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codeName="ThisWorkbook"/>
  <mc:AlternateContent xmlns:mc="http://schemas.openxmlformats.org/markup-compatibility/2006">
    <mc:Choice Requires="x15">
      <x15ac:absPath xmlns:x15ac="http://schemas.microsoft.com/office/spreadsheetml/2010/11/ac" url="Z:\AA  LOGISTICA\A4 Relevamiento INSUMOS Stock y OP\A1 Conteo INSUMOS y OC (Compra)\A7 Garage\"/>
    </mc:Choice>
  </mc:AlternateContent>
  <xr:revisionPtr revIDLastSave="0" documentId="13_ncr:1_{33EE85D4-EDEB-423D-A51E-827D844CCE69}" xr6:coauthVersionLast="36" xr6:coauthVersionMax="36" xr10:uidLastSave="{00000000-0000-0000-0000-000000000000}"/>
  <bookViews>
    <workbookView xWindow="-120" yWindow="-120" windowWidth="24270" windowHeight="13020" activeTab="1" xr2:uid="{00000000-000D-0000-FFFF-FFFF00000000}"/>
  </bookViews>
  <sheets>
    <sheet name="Garage Vacio 2026" sheetId="131" r:id="rId1"/>
    <sheet name="Garage Vacio 20-03" sheetId="140" r:id="rId2"/>
    <sheet name="Garage Vacio 13-03" sheetId="139" r:id="rId3"/>
    <sheet name="Garage Vacio 06-03" sheetId="138" r:id="rId4"/>
    <sheet name="Garage Vacio 27-02" sheetId="137" r:id="rId5"/>
    <sheet name="Garage Vacio 20-02" sheetId="136" r:id="rId6"/>
    <sheet name="Garage 06-02" sheetId="135" r:id="rId7"/>
    <sheet name="Garage Vacio 27-01" sheetId="134" r:id="rId8"/>
    <sheet name="Garage 22-01-26" sheetId="133" r:id="rId9"/>
    <sheet name="Garage 9-1" sheetId="130" r:id="rId10"/>
    <sheet name="Garage 02-01" sheetId="129" r:id="rId11"/>
    <sheet name="Consumo " sheetId="87" r:id="rId12"/>
    <sheet name="Estadistica Madre LK 23-01 " sheetId="80" r:id="rId13"/>
    <sheet name="Estadistica Madre CH 23-01" sheetId="79" r:id="rId14"/>
    <sheet name="Garage 05-12-25" sheetId="128" r:id="rId15"/>
    <sheet name="Garage 28-11" sheetId="127" r:id="rId16"/>
    <sheet name="Garage Vacio " sheetId="126" r:id="rId17"/>
    <sheet name="Garage 20-11" sheetId="119" r:id="rId18"/>
    <sheet name="Garage 16-10-25" sheetId="122" r:id="rId19"/>
    <sheet name="Garage 09-10" sheetId="121" r:id="rId20"/>
    <sheet name="23-10-25" sheetId="123" r:id="rId21"/>
    <sheet name="Garage 30-10" sheetId="124" r:id="rId22"/>
    <sheet name="Garage 06-11" sheetId="125" r:id="rId23"/>
    <sheet name="Garage Vacio" sheetId="111" r:id="rId24"/>
    <sheet name="Garage 02-10" sheetId="120" r:id="rId25"/>
    <sheet name="Garage 25-9" sheetId="117" r:id="rId26"/>
    <sheet name="Garage 11 (2)" sheetId="116" state="hidden" r:id="rId27"/>
    <sheet name="Garage 10-07-25" sheetId="112" r:id="rId28"/>
    <sheet name="Garage 18-06-25" sheetId="65" r:id="rId29"/>
    <sheet name="Garage 29-05" sheetId="110" r:id="rId30"/>
    <sheet name="Garage 23-05" sheetId="109" r:id="rId31"/>
    <sheet name="Garage 15-05" sheetId="108" r:id="rId32"/>
    <sheet name="Garage 28-04" sheetId="107" r:id="rId33"/>
    <sheet name="Garage 14-04" sheetId="106" r:id="rId34"/>
    <sheet name="Garage 10-04" sheetId="105" r:id="rId35"/>
    <sheet name="Garage 31-03" sheetId="103" r:id="rId36"/>
    <sheet name="Garage 25-03" sheetId="102" r:id="rId37"/>
    <sheet name="Garage 17-03" sheetId="101" r:id="rId38"/>
    <sheet name="Garage 10-03" sheetId="100" r:id="rId39"/>
    <sheet name="Garage 27-02" sheetId="99" r:id="rId40"/>
    <sheet name="Garage  17-02" sheetId="98" r:id="rId41"/>
    <sheet name="Garage 10-02" sheetId="97" r:id="rId42"/>
    <sheet name="Garage 03-02" sheetId="96" r:id="rId43"/>
    <sheet name="Garage 27-01" sheetId="95" r:id="rId44"/>
    <sheet name="Garage 22-01" sheetId="94" r:id="rId45"/>
    <sheet name="Garage 13-01" sheetId="91" r:id="rId46"/>
    <sheet name="Garage 06-01" sheetId="90" r:id="rId47"/>
    <sheet name="Garage 11-12" sheetId="89" r:id="rId48"/>
    <sheet name="Garage 4-12" sheetId="88" r:id="rId49"/>
    <sheet name="Garage 27-11" sheetId="86" r:id="rId50"/>
    <sheet name="Garage 19-11" sheetId="85" r:id="rId51"/>
    <sheet name="Garage 13-11-24" sheetId="84" r:id="rId52"/>
    <sheet name="Garage 6-11" sheetId="82" r:id="rId53"/>
    <sheet name="Garage 23-10" sheetId="81" r:id="rId54"/>
    <sheet name="Garage 16-10" sheetId="77" r:id="rId55"/>
    <sheet name="Garage 9-10" sheetId="75" r:id="rId56"/>
    <sheet name="Garage 2-10" sheetId="74" r:id="rId57"/>
    <sheet name="Garage 26-9" sheetId="73" r:id="rId58"/>
    <sheet name="Garage Vacio 19-9" sheetId="72" r:id="rId59"/>
    <sheet name="Garage 11-9" sheetId="71" r:id="rId60"/>
    <sheet name="Garage 4-9" sheetId="70" r:id="rId61"/>
    <sheet name="Garage 28-8 (2)" sheetId="67" r:id="rId62"/>
    <sheet name="Garage 28-8" sheetId="66" r:id="rId63"/>
    <sheet name="Garage Pedido 23-8 " sheetId="63" r:id="rId64"/>
    <sheet name="Garage 23-8" sheetId="57" r:id="rId65"/>
    <sheet name="Garage 13-08" sheetId="62" r:id="rId66"/>
    <sheet name="Garage Pedido 07-08" sheetId="61" r:id="rId67"/>
    <sheet name="Garage Vacio 07-08" sheetId="60" r:id="rId68"/>
    <sheet name="Garage Pedido 31-07" sheetId="59" r:id="rId69"/>
    <sheet name="Garage 31-07" sheetId="58" r:id="rId70"/>
    <sheet name="Garage Pedido 24-7" sheetId="56" r:id="rId71"/>
    <sheet name="Garage 24-7" sheetId="55" r:id="rId72"/>
    <sheet name="Garage Pedido 17-7" sheetId="54" r:id="rId73"/>
    <sheet name="Garage 17-7" sheetId="53" r:id="rId74"/>
    <sheet name="Garage Pedido 11-7" sheetId="52" r:id="rId75"/>
    <sheet name="Garage 11-7" sheetId="16" r:id="rId76"/>
    <sheet name="Garage 03-07" sheetId="50" r:id="rId77"/>
    <sheet name="Garage 26-6" sheetId="47" r:id="rId78"/>
    <sheet name="Garage 14-06" sheetId="46" r:id="rId79"/>
    <sheet name="Garage 07-06" sheetId="45" r:id="rId80"/>
    <sheet name="Garage 31-05" sheetId="44" r:id="rId81"/>
    <sheet name="Garage 24-05" sheetId="43" r:id="rId82"/>
    <sheet name="Garage 17-05" sheetId="42" r:id="rId83"/>
    <sheet name="Garage Relev 13-05" sheetId="41" r:id="rId84"/>
    <sheet name="Garage Relev 03-05" sheetId="39" r:id="rId85"/>
    <sheet name="Garage 19-04" sheetId="37" r:id="rId86"/>
    <sheet name="Garage 12-04" sheetId="36" r:id="rId87"/>
    <sheet name="Garage 05-04" sheetId="35" r:id="rId88"/>
    <sheet name="Garage 21-03" sheetId="34" r:id="rId89"/>
    <sheet name="Garage 14-03" sheetId="33" r:id="rId90"/>
    <sheet name="Garage 7-3" sheetId="32" r:id="rId91"/>
    <sheet name="Garage 29-02" sheetId="31" r:id="rId92"/>
    <sheet name="Garage 22-02" sheetId="30" r:id="rId93"/>
    <sheet name="Garage 15-02" sheetId="29" r:id="rId94"/>
    <sheet name="Garage 09-02" sheetId="28" r:id="rId95"/>
    <sheet name="Garage 01-02" sheetId="27" r:id="rId96"/>
    <sheet name="Garage Vacio 25-01" sheetId="26" r:id="rId97"/>
    <sheet name="Garage Vacio 18-01" sheetId="25" r:id="rId98"/>
    <sheet name="Garage 11-01" sheetId="24" r:id="rId99"/>
    <sheet name="Garage 21-12" sheetId="23" r:id="rId100"/>
    <sheet name="Garage 14-12" sheetId="22" r:id="rId101"/>
    <sheet name="Garage 7-12" sheetId="21" r:id="rId102"/>
    <sheet name="Garage 23-11" sheetId="20" r:id="rId103"/>
    <sheet name="Garage 16-11" sheetId="19" r:id="rId104"/>
    <sheet name="Garage 10-11" sheetId="18" r:id="rId105"/>
    <sheet name="Garage 2-11" sheetId="2" r:id="rId106"/>
    <sheet name="Garage 26-10" sheetId="15" r:id="rId107"/>
    <sheet name="Garage 19-10" sheetId="14" r:id="rId108"/>
    <sheet name="Garage 12-10" sheetId="13" r:id="rId109"/>
    <sheet name="Garage 5-10" sheetId="12" r:id="rId110"/>
    <sheet name="Garage 28-9" sheetId="11" r:id="rId111"/>
    <sheet name="Garage 21-9" sheetId="10" r:id="rId112"/>
    <sheet name="Garage 15-06" sheetId="3" r:id="rId113"/>
    <sheet name="Garage 05-07" sheetId="4" r:id="rId114"/>
    <sheet name="Garage 17-07" sheetId="5" r:id="rId115"/>
    <sheet name="Garage 26-07" sheetId="6" r:id="rId116"/>
    <sheet name="Garage 16-08" sheetId="8" r:id="rId117"/>
    <sheet name="Garage 07-09" sheetId="9" r:id="rId118"/>
    <sheet name="Garage 14-8" sheetId="113" r:id="rId119"/>
    <sheet name="Garage Sep" sheetId="114" r:id="rId120"/>
    <sheet name="Garage 11" sheetId="115" r:id="rId121"/>
  </sheets>
  <definedNames>
    <definedName name="_xlnm._FilterDatabase" localSheetId="20" hidden="1">'23-10-25'!$A$6:$N$15</definedName>
    <definedName name="_xlnm._FilterDatabase" localSheetId="12" hidden="1">'Estadistica Madre LK 23-01 '!$A$5:$C$193</definedName>
    <definedName name="_xlnm._FilterDatabase" localSheetId="40" hidden="1">'Garage  17-02'!$B$6:$AB$22</definedName>
    <definedName name="_xlnm._FilterDatabase" localSheetId="95" hidden="1">'Garage 01-02'!$A$3:$Q$19</definedName>
    <definedName name="_xlnm._FilterDatabase" localSheetId="10" hidden="1">'Garage 02-01'!$A$6:$N$15</definedName>
    <definedName name="_xlnm._FilterDatabase" localSheetId="24" hidden="1">'Garage 02-10'!$A$6:$N$15</definedName>
    <definedName name="_xlnm._FilterDatabase" localSheetId="76" hidden="1">'Garage 03-07'!$A$3:$Y$18</definedName>
    <definedName name="_xlnm._FilterDatabase" localSheetId="87" hidden="1">'Garage 05-04'!$A$3:$Q$18</definedName>
    <definedName name="_xlnm._FilterDatabase" localSheetId="113" hidden="1">'Garage 05-07'!$A$3:$O$15</definedName>
    <definedName name="_xlnm._FilterDatabase" localSheetId="14" hidden="1">'Garage 05-12-25'!$A$6:$N$15</definedName>
    <definedName name="_xlnm._FilterDatabase" localSheetId="6" hidden="1">'Garage 06-02'!$A$6:$N$15</definedName>
    <definedName name="_xlnm._FilterDatabase" localSheetId="22" hidden="1">'Garage 06-11'!$A$6:$N$15</definedName>
    <definedName name="_xlnm._FilterDatabase" localSheetId="79" hidden="1">'Garage 07-06'!$A$3:$Y$19</definedName>
    <definedName name="_xlnm._FilterDatabase" localSheetId="117" hidden="1">'Garage 07-09'!$A$3:$O$15</definedName>
    <definedName name="_xlnm._FilterDatabase" localSheetId="94" hidden="1">'Garage 09-02'!$A$3:$Q$19</definedName>
    <definedName name="_xlnm._FilterDatabase" localSheetId="19" hidden="1">'Garage 09-10'!$A$6:$N$15</definedName>
    <definedName name="_xlnm._FilterDatabase" localSheetId="38" hidden="1">'Garage 10-03'!$B$6:$AB$22</definedName>
    <definedName name="_xlnm._FilterDatabase" localSheetId="34" hidden="1">'Garage 10-04'!$B$6:$AB$22</definedName>
    <definedName name="_xlnm._FilterDatabase" localSheetId="27" hidden="1">'Garage 10-07-25'!$B$6:$AB$22</definedName>
    <definedName name="_xlnm._FilterDatabase" localSheetId="104" hidden="1">'Garage 10-11'!$A$3:$Q$19</definedName>
    <definedName name="_xlnm._FilterDatabase" localSheetId="120" hidden="1">'Garage 11'!$B$6:$AB$22</definedName>
    <definedName name="_xlnm._FilterDatabase" localSheetId="26" hidden="1">'Garage 11 (2)'!$B$6:$AB$22</definedName>
    <definedName name="_xlnm._FilterDatabase" localSheetId="98" hidden="1">'Garage 11-01'!$A$3:$Q$19</definedName>
    <definedName name="_xlnm._FilterDatabase" localSheetId="47" hidden="1">'Garage 11-12'!$B$6:$AB$22</definedName>
    <definedName name="_xlnm._FilterDatabase" localSheetId="75" hidden="1">'Garage 11-7'!$A$3:$Y$18</definedName>
    <definedName name="_xlnm._FilterDatabase" localSheetId="59" hidden="1">'Garage 11-9'!$A$6:$Z$22</definedName>
    <definedName name="_xlnm._FilterDatabase" localSheetId="86" hidden="1">'Garage 12-04'!$A$3:$Q$18</definedName>
    <definedName name="_xlnm._FilterDatabase" localSheetId="108" hidden="1">'Garage 12-10'!$A$3:$O$15</definedName>
    <definedName name="_xlnm._FilterDatabase" localSheetId="65" hidden="1">'Garage 13-08'!$A$3:$Y$19</definedName>
    <definedName name="_xlnm._FilterDatabase" localSheetId="51" hidden="1">'Garage 13-11-24'!$A$6:$AA$22</definedName>
    <definedName name="_xlnm._FilterDatabase" localSheetId="89" hidden="1">'Garage 14-03'!$A$3:$Q$18</definedName>
    <definedName name="_xlnm._FilterDatabase" localSheetId="33" hidden="1">'Garage 14-04'!$B$6:$AB$22</definedName>
    <definedName name="_xlnm._FilterDatabase" localSheetId="78" hidden="1">'Garage 14-06'!$A$3:$Y$18</definedName>
    <definedName name="_xlnm._FilterDatabase" localSheetId="100" hidden="1">'Garage 14-12'!$A$3:$Q$18</definedName>
    <definedName name="_xlnm._FilterDatabase" localSheetId="118" hidden="1">'Garage 14-8'!$B$6:$AB$22</definedName>
    <definedName name="_xlnm._FilterDatabase" localSheetId="93" hidden="1">'Garage 15-02'!$A$3:$Q$19</definedName>
    <definedName name="_xlnm._FilterDatabase" localSheetId="31" hidden="1">'Garage 15-05'!$B$6:$AB$22</definedName>
    <definedName name="_xlnm._FilterDatabase" localSheetId="112" hidden="1">'Garage 15-06'!$A$3:$O$15</definedName>
    <definedName name="_xlnm._FilterDatabase" localSheetId="116" hidden="1">'Garage 16-08'!$A$3:$O$15</definedName>
    <definedName name="_xlnm._FilterDatabase" localSheetId="54" hidden="1">'Garage 16-10'!$A$6:$Z$22</definedName>
    <definedName name="_xlnm._FilterDatabase" localSheetId="18" hidden="1">'Garage 16-10-25'!$A$6:$N$15</definedName>
    <definedName name="_xlnm._FilterDatabase" localSheetId="103" hidden="1">'Garage 16-11'!$A$3:$Q$19</definedName>
    <definedName name="_xlnm._FilterDatabase" localSheetId="37" hidden="1">'Garage 17-03'!$B$6:$AB$22</definedName>
    <definedName name="_xlnm._FilterDatabase" localSheetId="82" hidden="1">'Garage 17-05'!$A$3:$R$18</definedName>
    <definedName name="_xlnm._FilterDatabase" localSheetId="114" hidden="1">'Garage 17-07'!$A$3:$O$15</definedName>
    <definedName name="_xlnm._FilterDatabase" localSheetId="73" hidden="1">'Garage 17-7'!$A$3:$Y$19</definedName>
    <definedName name="_xlnm._FilterDatabase" localSheetId="28" hidden="1">'Garage 18-06-25'!$B$6:$AB$22</definedName>
    <definedName name="_xlnm._FilterDatabase" localSheetId="85" hidden="1">'Garage 19-04'!$A$3:$Q$19</definedName>
    <definedName name="_xlnm._FilterDatabase" localSheetId="107" hidden="1">'Garage 19-10'!$A$3:$Q$17</definedName>
    <definedName name="_xlnm._FilterDatabase" localSheetId="50" hidden="1">'Garage 19-11'!$A$6:$AA$22</definedName>
    <definedName name="_xlnm._FilterDatabase" localSheetId="17" hidden="1">'Garage 20-11'!$A$6:$N$15</definedName>
    <definedName name="_xlnm._FilterDatabase" localSheetId="56" hidden="1">'Garage 2-10'!$A$6:$Z$22</definedName>
    <definedName name="_xlnm._FilterDatabase" localSheetId="88" hidden="1">'Garage 21-03'!$A$3:$Q$18</definedName>
    <definedName name="_xlnm._FilterDatabase" localSheetId="105" hidden="1">'Garage 2-11'!$A$3:$Q$17</definedName>
    <definedName name="_xlnm._FilterDatabase" localSheetId="99" hidden="1">'Garage 21-12'!$A$3:$Q$18</definedName>
    <definedName name="_xlnm._FilterDatabase" localSheetId="111" hidden="1">'Garage 21-9'!$A$3:$O$19</definedName>
    <definedName name="_xlnm._FilterDatabase" localSheetId="8" hidden="1">'Garage 22-01-26'!$A$6:$N$15</definedName>
    <definedName name="_xlnm._FilterDatabase" localSheetId="92" hidden="1">'Garage 22-02'!$A$3:$Q$19</definedName>
    <definedName name="_xlnm._FilterDatabase" localSheetId="30" hidden="1">'Garage 23-05'!$B$6:$AB$22</definedName>
    <definedName name="_xlnm._FilterDatabase" localSheetId="53" hidden="1">'Garage 23-10'!$A$6:$Z$22</definedName>
    <definedName name="_xlnm._FilterDatabase" localSheetId="102" hidden="1">'Garage 23-11'!$A$3:$Q$18</definedName>
    <definedName name="_xlnm._FilterDatabase" localSheetId="64" hidden="1">'Garage 23-8'!$A$3:$Y$10</definedName>
    <definedName name="_xlnm._FilterDatabase" localSheetId="81" hidden="1">'Garage 24-05'!$A$3:$Y$18</definedName>
    <definedName name="_xlnm._FilterDatabase" localSheetId="71" hidden="1">'Garage 24-7'!$A$3:$Y$19</definedName>
    <definedName name="_xlnm._FilterDatabase" localSheetId="36" hidden="1">'Garage 25-03'!$B$6:$AB$22</definedName>
    <definedName name="_xlnm._FilterDatabase" localSheetId="25" hidden="1">'Garage 25-9'!$A$6:$O$15</definedName>
    <definedName name="_xlnm._FilterDatabase" localSheetId="115" hidden="1">'Garage 26-07'!$A$3:$O$19</definedName>
    <definedName name="_xlnm._FilterDatabase" localSheetId="106" hidden="1">'Garage 26-10'!$A$3:$Q$15</definedName>
    <definedName name="_xlnm._FilterDatabase" localSheetId="77" hidden="1">'Garage 26-6'!$A$3:$Y$18</definedName>
    <definedName name="_xlnm._FilterDatabase" localSheetId="57" hidden="1">'Garage 26-9'!$A$6:$Z$22</definedName>
    <definedName name="_xlnm._FilterDatabase" localSheetId="39" hidden="1">'Garage 27-02'!$B$6:$AB$22</definedName>
    <definedName name="_xlnm._FilterDatabase" localSheetId="49" hidden="1">'Garage 27-11'!$A$6:$AA$22</definedName>
    <definedName name="_xlnm._FilterDatabase" localSheetId="32" hidden="1">'Garage 28-04'!$B$6:$AB$22</definedName>
    <definedName name="_xlnm._FilterDatabase" localSheetId="15" hidden="1">'Garage 28-11'!$A$6:$N$15</definedName>
    <definedName name="_xlnm._FilterDatabase" localSheetId="62" hidden="1">'Garage 28-8'!$A$3:$Y$10</definedName>
    <definedName name="_xlnm._FilterDatabase" localSheetId="61" hidden="1">'Garage 28-8 (2)'!$B$3:$AB$10</definedName>
    <definedName name="_xlnm._FilterDatabase" localSheetId="110" hidden="1">'Garage 28-9'!$A$3:$O$15</definedName>
    <definedName name="_xlnm._FilterDatabase" localSheetId="91" hidden="1">'Garage 29-02'!$A$3:$Q$19</definedName>
    <definedName name="_xlnm._FilterDatabase" localSheetId="29" hidden="1">'Garage 29-05'!$B$6:$AB$22</definedName>
    <definedName name="_xlnm._FilterDatabase" localSheetId="21" hidden="1">'Garage 30-10'!$A$6:$N$15</definedName>
    <definedName name="_xlnm._FilterDatabase" localSheetId="35" hidden="1">'Garage 31-03'!$B$6:$AB$22</definedName>
    <definedName name="_xlnm._FilterDatabase" localSheetId="80" hidden="1">'Garage 31-05'!$A$3:$Y$18</definedName>
    <definedName name="_xlnm._FilterDatabase" localSheetId="69" hidden="1">'Garage 31-07'!$A$3:$Y$19</definedName>
    <definedName name="_xlnm._FilterDatabase" localSheetId="48" hidden="1">'Garage 4-12'!$B$6:$AB$22</definedName>
    <definedName name="_xlnm._FilterDatabase" localSheetId="60" hidden="1">'Garage 4-9'!$B$3:$AB$10</definedName>
    <definedName name="_xlnm._FilterDatabase" localSheetId="109" hidden="1">'Garage 5-10'!$A$3:$O$19</definedName>
    <definedName name="_xlnm._FilterDatabase" localSheetId="52" hidden="1">'Garage 6-11'!$A$6:$Z$22</definedName>
    <definedName name="_xlnm._FilterDatabase" localSheetId="101" hidden="1">'Garage 7-12'!$A$3:$Q$18</definedName>
    <definedName name="_xlnm._FilterDatabase" localSheetId="90" hidden="1">'Garage 7-3'!$A$3:$Q$18</definedName>
    <definedName name="_xlnm._FilterDatabase" localSheetId="9" hidden="1">'Garage 9-1'!$A$6:$N$15</definedName>
    <definedName name="_xlnm._FilterDatabase" localSheetId="55" hidden="1">'Garage 9-10'!$A$6:$Z$22</definedName>
    <definedName name="_xlnm._FilterDatabase" localSheetId="66">'Garage Pedido 07-08'!$A$3:$Z$19</definedName>
    <definedName name="_xlnm._FilterDatabase" localSheetId="74" hidden="1">'Garage Pedido 11-7'!$A$3:$AB$6</definedName>
    <definedName name="_xlnm._FilterDatabase" localSheetId="72" hidden="1">'Garage Pedido 17-7'!$A$3:$AB$7</definedName>
    <definedName name="_xlnm._FilterDatabase" localSheetId="63" hidden="1">'Garage Pedido 23-8 '!$A$3:$I$10</definedName>
    <definedName name="_xlnm._FilterDatabase" localSheetId="70" hidden="1">'Garage Pedido 24-7'!$A$3:$AB$7</definedName>
    <definedName name="_xlnm._FilterDatabase" localSheetId="68">'Garage Pedido 31-07'!$A$3:$Z$19</definedName>
    <definedName name="_xlnm._FilterDatabase" localSheetId="84" hidden="1">'Garage Relev 03-05'!$A$3:$Q$18</definedName>
    <definedName name="_xlnm._FilterDatabase" localSheetId="83" hidden="1">'Garage Relev 13-05'!$A$3:$R$17</definedName>
    <definedName name="_xlnm._FilterDatabase" localSheetId="119" hidden="1">'Garage Sep'!$B$6:$AB$22</definedName>
    <definedName name="_xlnm._FilterDatabase" localSheetId="23" hidden="1">'Garage Vacio'!$B$6:$AB$22</definedName>
    <definedName name="_xlnm._FilterDatabase" localSheetId="16" hidden="1">'Garage Vacio '!$A$6:$N$15</definedName>
    <definedName name="_xlnm._FilterDatabase" localSheetId="3" hidden="1">'Garage Vacio 06-03'!$B$6:$AC$23</definedName>
    <definedName name="_xlnm._FilterDatabase" localSheetId="67" hidden="1">'Garage Vacio 07-08'!$A$3:$Y$19</definedName>
    <definedName name="_xlnm._FilterDatabase" localSheetId="2" hidden="1">'Garage Vacio 13-03'!$B$6:$AC$23</definedName>
    <definedName name="_xlnm._FilterDatabase" localSheetId="97" hidden="1">'Garage Vacio 18-01'!$A$3:$Q$18</definedName>
    <definedName name="_xlnm._FilterDatabase" localSheetId="58" hidden="1">'Garage Vacio 19-9'!$A$6:$Z$22</definedName>
    <definedName name="_xlnm._FilterDatabase" localSheetId="5" hidden="1">'Garage Vacio 20-02'!$A$6:$N$16</definedName>
    <definedName name="_xlnm._FilterDatabase" localSheetId="1" hidden="1">'Garage Vacio 20-03'!$B$6:$AC$23</definedName>
    <definedName name="_xlnm._FilterDatabase" localSheetId="0" hidden="1">'Garage Vacio 2026'!$C$6:$Q$16</definedName>
    <definedName name="_xlnm._FilterDatabase" localSheetId="96" hidden="1">'Garage Vacio 25-01'!$A$3:$Q$18</definedName>
    <definedName name="_xlnm._FilterDatabase" localSheetId="7" hidden="1">'Garage Vacio 27-01'!$A$6:$O$15</definedName>
    <definedName name="_xlnm._FilterDatabase" localSheetId="4" hidden="1">'Garage Vacio 27-02'!$A$6:$AC$16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6" i="140" l="1"/>
  <c r="F16" i="140" s="1"/>
  <c r="AA23" i="140" s="1"/>
  <c r="M16" i="140"/>
  <c r="AB23" i="140" s="1"/>
  <c r="J16" i="140"/>
  <c r="G16" i="140"/>
  <c r="N15" i="140"/>
  <c r="F15" i="140" s="1"/>
  <c r="M15" i="140"/>
  <c r="K15" i="140"/>
  <c r="G15" i="140"/>
  <c r="N14" i="140"/>
  <c r="F14" i="140" s="1"/>
  <c r="M14" i="140"/>
  <c r="AB20" i="140" s="1"/>
  <c r="K14" i="140"/>
  <c r="G14" i="140"/>
  <c r="AB13" i="140"/>
  <c r="N13" i="140"/>
  <c r="F13" i="140" s="1"/>
  <c r="M13" i="140"/>
  <c r="AB16" i="140" s="1"/>
  <c r="K13" i="140"/>
  <c r="G13" i="140"/>
  <c r="G12" i="140"/>
  <c r="F12" i="140"/>
  <c r="AB11" i="140"/>
  <c r="N11" i="140"/>
  <c r="F11" i="140" s="1"/>
  <c r="AA14" i="140" s="1"/>
  <c r="M11" i="140"/>
  <c r="AB14" i="140" s="1"/>
  <c r="K11" i="140"/>
  <c r="G11" i="140"/>
  <c r="AB10" i="140"/>
  <c r="N10" i="140"/>
  <c r="F10" i="140" s="1"/>
  <c r="AA13" i="140" s="1"/>
  <c r="M10" i="140"/>
  <c r="K10" i="140"/>
  <c r="G10" i="140"/>
  <c r="AB9" i="140"/>
  <c r="N9" i="140"/>
  <c r="F9" i="140" s="1"/>
  <c r="AA11" i="140" s="1"/>
  <c r="M9" i="140"/>
  <c r="K9" i="140"/>
  <c r="G9" i="140"/>
  <c r="AB8" i="140"/>
  <c r="N8" i="140"/>
  <c r="F8" i="140" s="1"/>
  <c r="M8" i="140"/>
  <c r="AB22" i="140" s="1"/>
  <c r="K8" i="140"/>
  <c r="G8" i="140"/>
  <c r="AB7" i="140"/>
  <c r="N7" i="140"/>
  <c r="F7" i="140" s="1"/>
  <c r="M7" i="140"/>
  <c r="K7" i="140"/>
  <c r="G7" i="140"/>
  <c r="D4" i="140"/>
  <c r="H16" i="131"/>
  <c r="H15" i="131"/>
  <c r="H14" i="131"/>
  <c r="H13" i="131"/>
  <c r="H12" i="131"/>
  <c r="H11" i="131"/>
  <c r="H10" i="131"/>
  <c r="H9" i="131"/>
  <c r="H8" i="131"/>
  <c r="H7" i="131"/>
  <c r="F11" i="139"/>
  <c r="AA8" i="140" l="1"/>
  <c r="AC8" i="140" s="1"/>
  <c r="V8" i="140" s="1"/>
  <c r="AA7" i="140"/>
  <c r="AC7" i="140" s="1"/>
  <c r="V7" i="140" s="1"/>
  <c r="AA22" i="140"/>
  <c r="AC22" i="140" s="1"/>
  <c r="V22" i="140" s="1"/>
  <c r="AA21" i="140"/>
  <c r="AA10" i="140"/>
  <c r="AC10" i="140" s="1"/>
  <c r="V10" i="140" s="1"/>
  <c r="AA9" i="140"/>
  <c r="AC9" i="140" s="1"/>
  <c r="V9" i="140" s="1"/>
  <c r="AC14" i="140"/>
  <c r="V14" i="140" s="1"/>
  <c r="AC11" i="140"/>
  <c r="V11" i="140" s="1"/>
  <c r="AA16" i="140"/>
  <c r="AA15" i="140"/>
  <c r="AC23" i="140"/>
  <c r="V23" i="140" s="1"/>
  <c r="AC16" i="140"/>
  <c r="V16" i="140" s="1"/>
  <c r="AC13" i="140"/>
  <c r="V13" i="140" s="1"/>
  <c r="AA20" i="140"/>
  <c r="AC20" i="140" s="1"/>
  <c r="V20" i="140" s="1"/>
  <c r="AA19" i="140"/>
  <c r="AA18" i="140"/>
  <c r="AA17" i="140"/>
  <c r="AB15" i="140"/>
  <c r="AB17" i="140"/>
  <c r="AC17" i="140" s="1"/>
  <c r="V17" i="140" s="1"/>
  <c r="AB18" i="140"/>
  <c r="AC18" i="140" s="1"/>
  <c r="V18" i="140" s="1"/>
  <c r="AB19" i="140"/>
  <c r="AC19" i="140" s="1"/>
  <c r="V19" i="140" s="1"/>
  <c r="AB21" i="140"/>
  <c r="N16" i="139"/>
  <c r="J16" i="139"/>
  <c r="G16" i="139"/>
  <c r="N15" i="139"/>
  <c r="O15" i="139" s="1"/>
  <c r="F15" i="139" s="1"/>
  <c r="M15" i="139"/>
  <c r="K15" i="139" s="1"/>
  <c r="G15" i="139"/>
  <c r="N14" i="139"/>
  <c r="M14" i="139"/>
  <c r="K14" i="139" s="1"/>
  <c r="G14" i="139"/>
  <c r="N13" i="139"/>
  <c r="M13" i="139"/>
  <c r="K13" i="139" s="1"/>
  <c r="G13" i="139"/>
  <c r="G12" i="139"/>
  <c r="F12" i="139"/>
  <c r="N11" i="139"/>
  <c r="M11" i="139"/>
  <c r="G11" i="139"/>
  <c r="N10" i="139"/>
  <c r="O10" i="139" s="1"/>
  <c r="F10" i="139" s="1"/>
  <c r="AA13" i="139" s="1"/>
  <c r="M10" i="139"/>
  <c r="AB13" i="139" s="1"/>
  <c r="K10" i="139"/>
  <c r="G10" i="139"/>
  <c r="N9" i="139"/>
  <c r="O9" i="139" s="1"/>
  <c r="F9" i="139" s="1"/>
  <c r="AA11" i="139" s="1"/>
  <c r="M9" i="139"/>
  <c r="G9" i="139"/>
  <c r="N8" i="139"/>
  <c r="M8" i="139"/>
  <c r="K8" i="139" s="1"/>
  <c r="G8" i="139"/>
  <c r="N7" i="139"/>
  <c r="M7" i="139"/>
  <c r="K7" i="139" s="1"/>
  <c r="G7" i="139"/>
  <c r="D4" i="139"/>
  <c r="I23" i="131"/>
  <c r="I22" i="131"/>
  <c r="I21" i="131"/>
  <c r="I20" i="131"/>
  <c r="I19" i="131"/>
  <c r="I18" i="131"/>
  <c r="I17" i="131"/>
  <c r="F12" i="138"/>
  <c r="N16" i="138"/>
  <c r="J16" i="138"/>
  <c r="G16" i="138"/>
  <c r="N15" i="138"/>
  <c r="M15" i="138"/>
  <c r="K15" i="138" s="1"/>
  <c r="G15" i="138"/>
  <c r="N14" i="138"/>
  <c r="O14" i="138" s="1"/>
  <c r="M14" i="138"/>
  <c r="AB20" i="138" s="1"/>
  <c r="K14" i="138"/>
  <c r="G14" i="138"/>
  <c r="N13" i="138"/>
  <c r="M13" i="138"/>
  <c r="G13" i="138"/>
  <c r="G12" i="138"/>
  <c r="N11" i="138"/>
  <c r="M11" i="138"/>
  <c r="K11" i="138" s="1"/>
  <c r="G11" i="138"/>
  <c r="N10" i="138"/>
  <c r="M10" i="138"/>
  <c r="K10" i="138" s="1"/>
  <c r="G10" i="138"/>
  <c r="N9" i="138"/>
  <c r="M9" i="138"/>
  <c r="AB11" i="138" s="1"/>
  <c r="G9" i="138"/>
  <c r="N8" i="138"/>
  <c r="M8" i="138"/>
  <c r="AB10" i="138" s="1"/>
  <c r="G8" i="138"/>
  <c r="N7" i="138"/>
  <c r="M7" i="138"/>
  <c r="AB8" i="138" s="1"/>
  <c r="G7" i="138"/>
  <c r="D4" i="138"/>
  <c r="AC21" i="140" l="1"/>
  <c r="V21" i="140" s="1"/>
  <c r="AC15" i="140"/>
  <c r="V15" i="140" s="1"/>
  <c r="O15" i="138"/>
  <c r="F15" i="138" s="1"/>
  <c r="O8" i="139"/>
  <c r="F8" i="139" s="1"/>
  <c r="O11" i="139"/>
  <c r="AA14" i="139" s="1"/>
  <c r="O13" i="139"/>
  <c r="F13" i="139" s="1"/>
  <c r="O14" i="139"/>
  <c r="F14" i="139" s="1"/>
  <c r="AA17" i="139" s="1"/>
  <c r="AB14" i="139"/>
  <c r="K11" i="139"/>
  <c r="O7" i="139"/>
  <c r="F7" i="139" s="1"/>
  <c r="AB17" i="139"/>
  <c r="AB19" i="139"/>
  <c r="AB15" i="139"/>
  <c r="AB16" i="139"/>
  <c r="AB11" i="139"/>
  <c r="K9" i="139"/>
  <c r="AC11" i="139"/>
  <c r="V11" i="139" s="1"/>
  <c r="AA18" i="139"/>
  <c r="AA19" i="139"/>
  <c r="AB18" i="139"/>
  <c r="AB20" i="139"/>
  <c r="AA15" i="139"/>
  <c r="AA16" i="139"/>
  <c r="AA9" i="139"/>
  <c r="AA10" i="139"/>
  <c r="AA22" i="139"/>
  <c r="AA21" i="139"/>
  <c r="AB22" i="139"/>
  <c r="AB10" i="139"/>
  <c r="AB9" i="139"/>
  <c r="AC9" i="139" s="1"/>
  <c r="AB21" i="139"/>
  <c r="AB8" i="139"/>
  <c r="AB7" i="139"/>
  <c r="AC14" i="139"/>
  <c r="V14" i="139" s="1"/>
  <c r="AC13" i="139"/>
  <c r="V13" i="139" s="1"/>
  <c r="AB15" i="138"/>
  <c r="K13" i="138"/>
  <c r="F14" i="138"/>
  <c r="AB18" i="138"/>
  <c r="AB19" i="138"/>
  <c r="AB16" i="138"/>
  <c r="AB17" i="138"/>
  <c r="O13" i="138"/>
  <c r="F13" i="138" s="1"/>
  <c r="AA16" i="138" s="1"/>
  <c r="AA20" i="138"/>
  <c r="AC20" i="138" s="1"/>
  <c r="V20" i="138" s="1"/>
  <c r="AA19" i="138"/>
  <c r="AA18" i="138"/>
  <c r="AA17" i="138"/>
  <c r="AC17" i="138" s="1"/>
  <c r="V17" i="138" s="1"/>
  <c r="O7" i="138"/>
  <c r="F7" i="138" s="1"/>
  <c r="O8" i="138"/>
  <c r="F8" i="138" s="1"/>
  <c r="O9" i="138"/>
  <c r="F9" i="138" s="1"/>
  <c r="AA11" i="138" s="1"/>
  <c r="AC11" i="138" s="1"/>
  <c r="V11" i="138" s="1"/>
  <c r="O10" i="138"/>
  <c r="F10" i="138" s="1"/>
  <c r="AA13" i="138" s="1"/>
  <c r="O11" i="138"/>
  <c r="F11" i="138" s="1"/>
  <c r="AA14" i="138" s="1"/>
  <c r="AB13" i="138"/>
  <c r="AB14" i="138"/>
  <c r="AB21" i="138"/>
  <c r="AB22" i="138"/>
  <c r="K7" i="138"/>
  <c r="AB7" i="138"/>
  <c r="K8" i="138"/>
  <c r="K9" i="138"/>
  <c r="AB9" i="138"/>
  <c r="M16" i="137"/>
  <c r="I16" i="137"/>
  <c r="F16" i="137"/>
  <c r="M15" i="137"/>
  <c r="N15" i="137" s="1"/>
  <c r="E15" i="137" s="1"/>
  <c r="L15" i="137"/>
  <c r="J15" i="137" s="1"/>
  <c r="F15" i="137"/>
  <c r="M14" i="137"/>
  <c r="L14" i="137"/>
  <c r="J14" i="137" s="1"/>
  <c r="F14" i="137"/>
  <c r="M13" i="137"/>
  <c r="N13" i="137" s="1"/>
  <c r="E13" i="137" s="1"/>
  <c r="L13" i="137"/>
  <c r="F13" i="137"/>
  <c r="F12" i="137"/>
  <c r="M11" i="137"/>
  <c r="L11" i="137"/>
  <c r="AB14" i="137" s="1"/>
  <c r="F11" i="137"/>
  <c r="M10" i="137"/>
  <c r="L10" i="137"/>
  <c r="AB13" i="137" s="1"/>
  <c r="F10" i="137"/>
  <c r="M9" i="137"/>
  <c r="L9" i="137"/>
  <c r="AB11" i="137" s="1"/>
  <c r="F9" i="137"/>
  <c r="M8" i="137"/>
  <c r="L8" i="137"/>
  <c r="J8" i="137" s="1"/>
  <c r="F8" i="137"/>
  <c r="M7" i="137"/>
  <c r="L7" i="137"/>
  <c r="J7" i="137" s="1"/>
  <c r="F7" i="137"/>
  <c r="C4" i="137"/>
  <c r="M16" i="136"/>
  <c r="I16" i="136"/>
  <c r="F16" i="136"/>
  <c r="M15" i="136"/>
  <c r="L15" i="136"/>
  <c r="J15" i="136"/>
  <c r="F15" i="136"/>
  <c r="M14" i="136"/>
  <c r="N14" i="136" s="1"/>
  <c r="E14" i="136" s="1"/>
  <c r="L14" i="136"/>
  <c r="J14" i="136" s="1"/>
  <c r="F14" i="136"/>
  <c r="M13" i="136"/>
  <c r="L13" i="136"/>
  <c r="J13" i="136" s="1"/>
  <c r="F13" i="136"/>
  <c r="F12" i="136"/>
  <c r="M11" i="136"/>
  <c r="L11" i="136"/>
  <c r="AB14" i="136" s="1"/>
  <c r="J11" i="136"/>
  <c r="F11" i="136"/>
  <c r="M10" i="136"/>
  <c r="N10" i="136" s="1"/>
  <c r="E10" i="136" s="1"/>
  <c r="AA13" i="136" s="1"/>
  <c r="L10" i="136"/>
  <c r="AB13" i="136" s="1"/>
  <c r="J10" i="136"/>
  <c r="F10" i="136"/>
  <c r="M9" i="136"/>
  <c r="L9" i="136"/>
  <c r="AB11" i="136" s="1"/>
  <c r="F9" i="136"/>
  <c r="M8" i="136"/>
  <c r="L8" i="136"/>
  <c r="F8" i="136"/>
  <c r="M7" i="136"/>
  <c r="L7" i="136"/>
  <c r="AB7" i="136" s="1"/>
  <c r="J7" i="136"/>
  <c r="F7" i="136"/>
  <c r="C4" i="136"/>
  <c r="I12" i="131"/>
  <c r="I13" i="131"/>
  <c r="M15" i="135"/>
  <c r="I15" i="135"/>
  <c r="F15" i="135"/>
  <c r="M14" i="135"/>
  <c r="N14" i="135" s="1"/>
  <c r="E14" i="135" s="1"/>
  <c r="L14" i="135"/>
  <c r="J14" i="135" s="1"/>
  <c r="F14" i="135"/>
  <c r="M13" i="135"/>
  <c r="L13" i="135"/>
  <c r="AB19" i="135" s="1"/>
  <c r="F13" i="135"/>
  <c r="M12" i="135"/>
  <c r="L12" i="135"/>
  <c r="AB15" i="135" s="1"/>
  <c r="F12" i="135"/>
  <c r="M11" i="135"/>
  <c r="L11" i="135"/>
  <c r="AB13" i="135" s="1"/>
  <c r="F11" i="135"/>
  <c r="M10" i="135"/>
  <c r="L10" i="135"/>
  <c r="J10" i="135" s="1"/>
  <c r="F10" i="135"/>
  <c r="M9" i="135"/>
  <c r="L9" i="135"/>
  <c r="J9" i="135" s="1"/>
  <c r="F9" i="135"/>
  <c r="M8" i="135"/>
  <c r="L8" i="135"/>
  <c r="AB21" i="135" s="1"/>
  <c r="F8" i="135"/>
  <c r="M7" i="135"/>
  <c r="L7" i="135"/>
  <c r="J7" i="135" s="1"/>
  <c r="F7" i="135"/>
  <c r="C4" i="135"/>
  <c r="N7" i="137" l="1"/>
  <c r="E7" i="137" s="1"/>
  <c r="J10" i="137"/>
  <c r="AA20" i="139"/>
  <c r="AC17" i="139"/>
  <c r="V17" i="139" s="1"/>
  <c r="AC16" i="139"/>
  <c r="V16" i="139" s="1"/>
  <c r="AC19" i="139"/>
  <c r="V19" i="139" s="1"/>
  <c r="AC15" i="139"/>
  <c r="V15" i="139" s="1"/>
  <c r="AA7" i="139"/>
  <c r="AC7" i="139" s="1"/>
  <c r="V7" i="139" s="1"/>
  <c r="AA8" i="139"/>
  <c r="AC8" i="139" s="1"/>
  <c r="V8" i="139" s="1"/>
  <c r="AC22" i="139"/>
  <c r="V22" i="139" s="1"/>
  <c r="AC10" i="139"/>
  <c r="V10" i="139" s="1"/>
  <c r="V9" i="139"/>
  <c r="AC21" i="139"/>
  <c r="V21" i="139" s="1"/>
  <c r="AC18" i="139"/>
  <c r="V18" i="139" s="1"/>
  <c r="AC20" i="139"/>
  <c r="V20" i="139" s="1"/>
  <c r="AC13" i="138"/>
  <c r="V13" i="138" s="1"/>
  <c r="AC19" i="138"/>
  <c r="V19" i="138" s="1"/>
  <c r="AC16" i="138"/>
  <c r="V16" i="138" s="1"/>
  <c r="AC18" i="138"/>
  <c r="V18" i="138" s="1"/>
  <c r="AA15" i="138"/>
  <c r="AC15" i="138" s="1"/>
  <c r="V15" i="138" s="1"/>
  <c r="N8" i="136"/>
  <c r="E8" i="136" s="1"/>
  <c r="N13" i="136"/>
  <c r="E13" i="136" s="1"/>
  <c r="AA16" i="136" s="1"/>
  <c r="N14" i="137"/>
  <c r="E14" i="137" s="1"/>
  <c r="AA18" i="137" s="1"/>
  <c r="N11" i="136"/>
  <c r="E11" i="136" s="1"/>
  <c r="AA14" i="136" s="1"/>
  <c r="AC14" i="136" s="1"/>
  <c r="V14" i="136" s="1"/>
  <c r="N7" i="136"/>
  <c r="E7" i="136" s="1"/>
  <c r="AA8" i="136" s="1"/>
  <c r="N15" i="136"/>
  <c r="E15" i="136" s="1"/>
  <c r="AA21" i="136" s="1"/>
  <c r="N10" i="137"/>
  <c r="E10" i="137" s="1"/>
  <c r="AA13" i="137" s="1"/>
  <c r="N9" i="136"/>
  <c r="E9" i="136" s="1"/>
  <c r="AA11" i="136" s="1"/>
  <c r="AC11" i="136" s="1"/>
  <c r="V11" i="136" s="1"/>
  <c r="AB8" i="136"/>
  <c r="N8" i="137"/>
  <c r="E8" i="137" s="1"/>
  <c r="AA9" i="137" s="1"/>
  <c r="J9" i="136"/>
  <c r="AC14" i="138"/>
  <c r="V14" i="138" s="1"/>
  <c r="AA22" i="138"/>
  <c r="AC22" i="138" s="1"/>
  <c r="V22" i="138" s="1"/>
  <c r="AA21" i="138"/>
  <c r="AC21" i="138" s="1"/>
  <c r="V21" i="138" s="1"/>
  <c r="AA10" i="138"/>
  <c r="AC10" i="138" s="1"/>
  <c r="V10" i="138" s="1"/>
  <c r="AA9" i="138"/>
  <c r="AC9" i="138" s="1"/>
  <c r="V9" i="138" s="1"/>
  <c r="AA8" i="138"/>
  <c r="AC8" i="138" s="1"/>
  <c r="V8" i="138" s="1"/>
  <c r="AA7" i="138"/>
  <c r="AC7" i="138" s="1"/>
  <c r="V7" i="138" s="1"/>
  <c r="J9" i="137"/>
  <c r="J11" i="137"/>
  <c r="N9" i="137"/>
  <c r="E9" i="137" s="1"/>
  <c r="AA11" i="137" s="1"/>
  <c r="AC11" i="137" s="1"/>
  <c r="V11" i="137" s="1"/>
  <c r="N11" i="137"/>
  <c r="E11" i="137" s="1"/>
  <c r="AA14" i="137" s="1"/>
  <c r="AC14" i="137" s="1"/>
  <c r="V14" i="137" s="1"/>
  <c r="AC13" i="137"/>
  <c r="V13" i="137" s="1"/>
  <c r="AB19" i="137"/>
  <c r="AB17" i="137"/>
  <c r="AB18" i="137"/>
  <c r="AB20" i="137"/>
  <c r="AA16" i="137"/>
  <c r="AA15" i="137"/>
  <c r="AB16" i="137"/>
  <c r="J13" i="137"/>
  <c r="AB15" i="137"/>
  <c r="AA22" i="137"/>
  <c r="AA10" i="137"/>
  <c r="AB22" i="137"/>
  <c r="AB10" i="137"/>
  <c r="AB9" i="137"/>
  <c r="AB21" i="137"/>
  <c r="AA7" i="137"/>
  <c r="AA8" i="137"/>
  <c r="AB8" i="137"/>
  <c r="AB7" i="137"/>
  <c r="AC13" i="136"/>
  <c r="V13" i="136" s="1"/>
  <c r="AA20" i="136"/>
  <c r="AA19" i="136"/>
  <c r="AA17" i="136"/>
  <c r="AA18" i="136"/>
  <c r="AB19" i="136"/>
  <c r="AB18" i="136"/>
  <c r="AB17" i="136"/>
  <c r="AB20" i="136"/>
  <c r="AA15" i="136"/>
  <c r="AB16" i="136"/>
  <c r="AB15" i="136"/>
  <c r="AA9" i="136"/>
  <c r="J8" i="136"/>
  <c r="AB10" i="136"/>
  <c r="AB9" i="136"/>
  <c r="AB22" i="136"/>
  <c r="AB21" i="136"/>
  <c r="AA7" i="136"/>
  <c r="AC7" i="136" s="1"/>
  <c r="V7" i="136" s="1"/>
  <c r="N7" i="135"/>
  <c r="E7" i="135" s="1"/>
  <c r="AA8" i="135" s="1"/>
  <c r="N8" i="135"/>
  <c r="E8" i="135" s="1"/>
  <c r="AA21" i="135" s="1"/>
  <c r="AC21" i="135" s="1"/>
  <c r="V21" i="135" s="1"/>
  <c r="N11" i="135"/>
  <c r="E11" i="135" s="1"/>
  <c r="AA13" i="135" s="1"/>
  <c r="AC13" i="135" s="1"/>
  <c r="V13" i="135" s="1"/>
  <c r="N12" i="135"/>
  <c r="E12" i="135" s="1"/>
  <c r="AA15" i="135" s="1"/>
  <c r="AC15" i="135" s="1"/>
  <c r="V15" i="135" s="1"/>
  <c r="N13" i="135"/>
  <c r="E13" i="135" s="1"/>
  <c r="AA19" i="135" s="1"/>
  <c r="AC19" i="135" s="1"/>
  <c r="V19" i="135" s="1"/>
  <c r="AB9" i="135"/>
  <c r="AB8" i="135"/>
  <c r="AC8" i="135" s="1"/>
  <c r="V8" i="135" s="1"/>
  <c r="N9" i="135"/>
  <c r="E9" i="135" s="1"/>
  <c r="AA11" i="135" s="1"/>
  <c r="AB12" i="135"/>
  <c r="N10" i="135"/>
  <c r="E10" i="135" s="1"/>
  <c r="AA12" i="135" s="1"/>
  <c r="AB7" i="135"/>
  <c r="AB10" i="135"/>
  <c r="AB11" i="135"/>
  <c r="J8" i="135"/>
  <c r="J11" i="135"/>
  <c r="J12" i="135"/>
  <c r="J13" i="135"/>
  <c r="AB14" i="135"/>
  <c r="AB16" i="135"/>
  <c r="AB17" i="135"/>
  <c r="AB18" i="135"/>
  <c r="AB20" i="135"/>
  <c r="N15" i="134"/>
  <c r="J15" i="134"/>
  <c r="G15" i="134"/>
  <c r="F15" i="134"/>
  <c r="AB22" i="134" s="1"/>
  <c r="N14" i="134"/>
  <c r="M14" i="134"/>
  <c r="K14" i="134" s="1"/>
  <c r="G14" i="134"/>
  <c r="F14" i="134"/>
  <c r="N13" i="134"/>
  <c r="M13" i="134"/>
  <c r="AC19" i="134" s="1"/>
  <c r="G13" i="134"/>
  <c r="N12" i="134"/>
  <c r="M12" i="134"/>
  <c r="AC15" i="134" s="1"/>
  <c r="G12" i="134"/>
  <c r="N11" i="134"/>
  <c r="M11" i="134"/>
  <c r="AC13" i="134" s="1"/>
  <c r="G11" i="134"/>
  <c r="F11" i="134"/>
  <c r="AB13" i="134" s="1"/>
  <c r="N10" i="134"/>
  <c r="O10" i="134" s="1"/>
  <c r="M10" i="134"/>
  <c r="AC12" i="134" s="1"/>
  <c r="G10" i="134"/>
  <c r="F10" i="134"/>
  <c r="AB12" i="134" s="1"/>
  <c r="N9" i="134"/>
  <c r="M9" i="134"/>
  <c r="AC11" i="134" s="1"/>
  <c r="G9" i="134"/>
  <c r="F9" i="134"/>
  <c r="AB11" i="134" s="1"/>
  <c r="N8" i="134"/>
  <c r="M8" i="134"/>
  <c r="AC21" i="134" s="1"/>
  <c r="G8" i="134"/>
  <c r="F8" i="134"/>
  <c r="N7" i="134"/>
  <c r="M7" i="134"/>
  <c r="AC7" i="134" s="1"/>
  <c r="K7" i="134"/>
  <c r="G7" i="134"/>
  <c r="F7" i="134"/>
  <c r="AB8" i="134" s="1"/>
  <c r="C4" i="134"/>
  <c r="Y13" i="133"/>
  <c r="Y12" i="133"/>
  <c r="Z11" i="133"/>
  <c r="Y11" i="133" s="1"/>
  <c r="K11" i="134" l="1"/>
  <c r="O11" i="134"/>
  <c r="AA10" i="135"/>
  <c r="AA21" i="137"/>
  <c r="AC8" i="136"/>
  <c r="V8" i="136" s="1"/>
  <c r="AA10" i="136"/>
  <c r="AB10" i="134"/>
  <c r="AA22" i="136"/>
  <c r="AC22" i="136" s="1"/>
  <c r="V22" i="136" s="1"/>
  <c r="AA17" i="137"/>
  <c r="AC17" i="137" s="1"/>
  <c r="V17" i="137" s="1"/>
  <c r="AC12" i="135"/>
  <c r="V12" i="135" s="1"/>
  <c r="AA9" i="135"/>
  <c r="AC9" i="135" s="1"/>
  <c r="V9" i="135" s="1"/>
  <c r="K10" i="134"/>
  <c r="AA7" i="135"/>
  <c r="AA19" i="137"/>
  <c r="AA20" i="137"/>
  <c r="AC20" i="137" s="1"/>
  <c r="V20" i="137" s="1"/>
  <c r="AC21" i="137"/>
  <c r="V21" i="137" s="1"/>
  <c r="AC10" i="137"/>
  <c r="V10" i="137" s="1"/>
  <c r="AC8" i="137"/>
  <c r="V8" i="137" s="1"/>
  <c r="AC7" i="137"/>
  <c r="V7" i="137" s="1"/>
  <c r="AC18" i="137"/>
  <c r="V18" i="137" s="1"/>
  <c r="AC9" i="137"/>
  <c r="V9" i="137" s="1"/>
  <c r="AC22" i="137"/>
  <c r="V22" i="137" s="1"/>
  <c r="AC16" i="137"/>
  <c r="V16" i="137" s="1"/>
  <c r="AC15" i="137"/>
  <c r="V15" i="137" s="1"/>
  <c r="AC19" i="137"/>
  <c r="V19" i="137" s="1"/>
  <c r="AC20" i="136"/>
  <c r="V20" i="136" s="1"/>
  <c r="AC19" i="136"/>
  <c r="V19" i="136" s="1"/>
  <c r="AC18" i="136"/>
  <c r="V18" i="136" s="1"/>
  <c r="AC17" i="136"/>
  <c r="V17" i="136" s="1"/>
  <c r="AC15" i="136"/>
  <c r="V15" i="136" s="1"/>
  <c r="AC9" i="136"/>
  <c r="V9" i="136" s="1"/>
  <c r="AC16" i="136"/>
  <c r="V16" i="136" s="1"/>
  <c r="AC21" i="136"/>
  <c r="V21" i="136" s="1"/>
  <c r="AC10" i="136"/>
  <c r="V10" i="136" s="1"/>
  <c r="AA20" i="135"/>
  <c r="AA14" i="135"/>
  <c r="AC14" i="135" s="1"/>
  <c r="V14" i="135" s="1"/>
  <c r="AC11" i="135"/>
  <c r="V11" i="135" s="1"/>
  <c r="AA17" i="135"/>
  <c r="AC17" i="135" s="1"/>
  <c r="V17" i="135" s="1"/>
  <c r="K8" i="134"/>
  <c r="K9" i="134"/>
  <c r="O12" i="134"/>
  <c r="F12" i="134" s="1"/>
  <c r="AB14" i="134" s="1"/>
  <c r="AA16" i="135"/>
  <c r="AC16" i="135" s="1"/>
  <c r="V16" i="135" s="1"/>
  <c r="O9" i="134"/>
  <c r="AC10" i="134"/>
  <c r="AD10" i="134" s="1"/>
  <c r="W10" i="134" s="1"/>
  <c r="O14" i="134"/>
  <c r="AC10" i="135"/>
  <c r="V10" i="135" s="1"/>
  <c r="O7" i="134"/>
  <c r="AC14" i="134"/>
  <c r="O8" i="134"/>
  <c r="AC8" i="134"/>
  <c r="AD8" i="134" s="1"/>
  <c r="W8" i="134" s="1"/>
  <c r="K12" i="134"/>
  <c r="AA18" i="135"/>
  <c r="AC18" i="135" s="1"/>
  <c r="V18" i="135" s="1"/>
  <c r="AC7" i="135"/>
  <c r="V7" i="135" s="1"/>
  <c r="AC20" i="135"/>
  <c r="V20" i="135" s="1"/>
  <c r="O13" i="134"/>
  <c r="F13" i="134" s="1"/>
  <c r="AB18" i="134" s="1"/>
  <c r="AC9" i="134"/>
  <c r="AC16" i="134"/>
  <c r="K13" i="134"/>
  <c r="AC18" i="134"/>
  <c r="AC20" i="134"/>
  <c r="AD12" i="134"/>
  <c r="W12" i="134" s="1"/>
  <c r="AD13" i="134"/>
  <c r="W13" i="134" s="1"/>
  <c r="AD11" i="134"/>
  <c r="W11" i="134" s="1"/>
  <c r="AB7" i="134"/>
  <c r="AD7" i="134" s="1"/>
  <c r="W7" i="134" s="1"/>
  <c r="AB21" i="134"/>
  <c r="AD21" i="134" s="1"/>
  <c r="W21" i="134" s="1"/>
  <c r="AC17" i="134"/>
  <c r="AB20" i="134"/>
  <c r="AB9" i="134"/>
  <c r="M15" i="133"/>
  <c r="I15" i="133"/>
  <c r="F15" i="133"/>
  <c r="M14" i="133"/>
  <c r="N14" i="133" s="1"/>
  <c r="E14" i="133" s="1"/>
  <c r="L14" i="133"/>
  <c r="J14" i="133" s="1"/>
  <c r="F14" i="133"/>
  <c r="M13" i="133"/>
  <c r="L13" i="133"/>
  <c r="AB18" i="133" s="1"/>
  <c r="F13" i="133"/>
  <c r="M12" i="133"/>
  <c r="L12" i="133"/>
  <c r="AB15" i="133" s="1"/>
  <c r="F12" i="133"/>
  <c r="M11" i="133"/>
  <c r="L11" i="133"/>
  <c r="AB13" i="133" s="1"/>
  <c r="F11" i="133"/>
  <c r="M10" i="133"/>
  <c r="L10" i="133"/>
  <c r="AB12" i="133" s="1"/>
  <c r="F10" i="133"/>
  <c r="M9" i="133"/>
  <c r="L9" i="133"/>
  <c r="AB11" i="133" s="1"/>
  <c r="F9" i="133"/>
  <c r="M8" i="133"/>
  <c r="L8" i="133"/>
  <c r="AB21" i="133" s="1"/>
  <c r="F8" i="133"/>
  <c r="M7" i="133"/>
  <c r="L7" i="133"/>
  <c r="AB8" i="133" s="1"/>
  <c r="F7" i="133"/>
  <c r="C4" i="133"/>
  <c r="P16" i="131"/>
  <c r="L16" i="131"/>
  <c r="I16" i="131"/>
  <c r="P15" i="131"/>
  <c r="O15" i="131"/>
  <c r="M15" i="131" s="1"/>
  <c r="I15" i="131"/>
  <c r="P14" i="131"/>
  <c r="O14" i="131"/>
  <c r="AD19" i="131" s="1"/>
  <c r="I14" i="131"/>
  <c r="P13" i="131"/>
  <c r="Q13" i="131" s="1"/>
  <c r="O13" i="131"/>
  <c r="M13" i="131" s="1"/>
  <c r="P11" i="131"/>
  <c r="O11" i="131"/>
  <c r="AD14" i="131" s="1"/>
  <c r="I11" i="131"/>
  <c r="P10" i="131"/>
  <c r="O10" i="131"/>
  <c r="AD13" i="131" s="1"/>
  <c r="I10" i="131"/>
  <c r="AC13" i="131"/>
  <c r="P9" i="131"/>
  <c r="O9" i="131"/>
  <c r="AD11" i="131" s="1"/>
  <c r="I9" i="131"/>
  <c r="P8" i="131"/>
  <c r="O8" i="131"/>
  <c r="I8" i="131"/>
  <c r="P7" i="131"/>
  <c r="O7" i="131"/>
  <c r="AD8" i="131" s="1"/>
  <c r="I7" i="131"/>
  <c r="F4" i="131"/>
  <c r="M15" i="130"/>
  <c r="I15" i="130"/>
  <c r="F15" i="130"/>
  <c r="M14" i="130"/>
  <c r="L14" i="130"/>
  <c r="J14" i="130" s="1"/>
  <c r="F14" i="130"/>
  <c r="M13" i="130"/>
  <c r="N13" i="130" s="1"/>
  <c r="E13" i="130" s="1"/>
  <c r="L13" i="130"/>
  <c r="AB19" i="130" s="1"/>
  <c r="F13" i="130"/>
  <c r="M12" i="130"/>
  <c r="L12" i="130"/>
  <c r="AB14" i="130" s="1"/>
  <c r="F12" i="130"/>
  <c r="M11" i="130"/>
  <c r="L11" i="130"/>
  <c r="AB13" i="130" s="1"/>
  <c r="F11" i="130"/>
  <c r="M10" i="130"/>
  <c r="L10" i="130"/>
  <c r="AB12" i="130" s="1"/>
  <c r="F10" i="130"/>
  <c r="M9" i="130"/>
  <c r="L9" i="130"/>
  <c r="J9" i="130" s="1"/>
  <c r="F9" i="130"/>
  <c r="M8" i="130"/>
  <c r="L8" i="130"/>
  <c r="F8" i="130"/>
  <c r="M7" i="130"/>
  <c r="L7" i="130"/>
  <c r="AB8" i="130" s="1"/>
  <c r="F7" i="130"/>
  <c r="C4" i="130"/>
  <c r="M15" i="129"/>
  <c r="I15" i="129"/>
  <c r="F15" i="129"/>
  <c r="M14" i="129"/>
  <c r="L14" i="129"/>
  <c r="J14" i="129" s="1"/>
  <c r="F14" i="129"/>
  <c r="M13" i="129"/>
  <c r="N13" i="129" s="1"/>
  <c r="E13" i="129" s="1"/>
  <c r="L13" i="129"/>
  <c r="AB18" i="129" s="1"/>
  <c r="J13" i="129"/>
  <c r="F13" i="129"/>
  <c r="M12" i="129"/>
  <c r="N12" i="129" s="1"/>
  <c r="E12" i="129" s="1"/>
  <c r="L12" i="129"/>
  <c r="AB15" i="129" s="1"/>
  <c r="J12" i="129"/>
  <c r="F12" i="129"/>
  <c r="M11" i="129"/>
  <c r="N11" i="129" s="1"/>
  <c r="E11" i="129" s="1"/>
  <c r="AA13" i="129" s="1"/>
  <c r="L11" i="129"/>
  <c r="AB13" i="129" s="1"/>
  <c r="F11" i="129"/>
  <c r="M10" i="129"/>
  <c r="L10" i="129"/>
  <c r="AB12" i="129" s="1"/>
  <c r="F10" i="129"/>
  <c r="M9" i="129"/>
  <c r="L9" i="129"/>
  <c r="F9" i="129"/>
  <c r="M8" i="129"/>
  <c r="L8" i="129"/>
  <c r="F8" i="129"/>
  <c r="M7" i="129"/>
  <c r="L7" i="129"/>
  <c r="AB8" i="129" s="1"/>
  <c r="F7" i="129"/>
  <c r="C4" i="129"/>
  <c r="AB16" i="128"/>
  <c r="M15" i="128"/>
  <c r="I15" i="128"/>
  <c r="F15" i="128"/>
  <c r="AB14" i="128"/>
  <c r="M14" i="128"/>
  <c r="L14" i="128"/>
  <c r="F14" i="128"/>
  <c r="M13" i="128"/>
  <c r="N13" i="128" s="1"/>
  <c r="E13" i="128" s="1"/>
  <c r="L13" i="128"/>
  <c r="AB19" i="128" s="1"/>
  <c r="F13" i="128"/>
  <c r="M12" i="128"/>
  <c r="N12" i="128" s="1"/>
  <c r="E12" i="128" s="1"/>
  <c r="L12" i="128"/>
  <c r="AB15" i="128" s="1"/>
  <c r="F12" i="128"/>
  <c r="M11" i="128"/>
  <c r="L11" i="128"/>
  <c r="AB13" i="128" s="1"/>
  <c r="F11" i="128"/>
  <c r="M10" i="128"/>
  <c r="L10" i="128"/>
  <c r="J10" i="128" s="1"/>
  <c r="F10" i="128"/>
  <c r="M9" i="128"/>
  <c r="L9" i="128"/>
  <c r="AB11" i="128" s="1"/>
  <c r="F9" i="128"/>
  <c r="M8" i="128"/>
  <c r="L8" i="128"/>
  <c r="AB21" i="128" s="1"/>
  <c r="F8" i="128"/>
  <c r="M7" i="128"/>
  <c r="L7" i="128"/>
  <c r="AB7" i="128" s="1"/>
  <c r="F7" i="128"/>
  <c r="C4" i="128"/>
  <c r="M15" i="127"/>
  <c r="I15" i="127"/>
  <c r="F15" i="127"/>
  <c r="M14" i="127"/>
  <c r="L14" i="127"/>
  <c r="J14" i="127" s="1"/>
  <c r="F14" i="127"/>
  <c r="M13" i="127"/>
  <c r="L13" i="127"/>
  <c r="AB17" i="127" s="1"/>
  <c r="F13" i="127"/>
  <c r="M12" i="127"/>
  <c r="L12" i="127"/>
  <c r="J12" i="127" s="1"/>
  <c r="F12" i="127"/>
  <c r="M11" i="127"/>
  <c r="L11" i="127"/>
  <c r="J11" i="127" s="1"/>
  <c r="F11" i="127"/>
  <c r="M10" i="127"/>
  <c r="L10" i="127"/>
  <c r="AB12" i="127" s="1"/>
  <c r="F10" i="127"/>
  <c r="M9" i="127"/>
  <c r="N9" i="127" s="1"/>
  <c r="E9" i="127" s="1"/>
  <c r="AA11" i="127" s="1"/>
  <c r="L9" i="127"/>
  <c r="AB11" i="127" s="1"/>
  <c r="J9" i="127"/>
  <c r="F9" i="127"/>
  <c r="M8" i="127"/>
  <c r="L8" i="127"/>
  <c r="AB20" i="127" s="1"/>
  <c r="F8" i="127"/>
  <c r="M7" i="127"/>
  <c r="L7" i="127"/>
  <c r="AB7" i="127" s="1"/>
  <c r="F7" i="127"/>
  <c r="C4" i="127"/>
  <c r="L9" i="119"/>
  <c r="M7" i="119"/>
  <c r="L10" i="119"/>
  <c r="N10" i="127" l="1"/>
  <c r="E10" i="127" s="1"/>
  <c r="AA12" i="127" s="1"/>
  <c r="N7" i="128"/>
  <c r="E7" i="128" s="1"/>
  <c r="AB12" i="128"/>
  <c r="N14" i="128"/>
  <c r="E14" i="128" s="1"/>
  <c r="AB7" i="130"/>
  <c r="AD14" i="134"/>
  <c r="W14" i="134" s="1"/>
  <c r="AB14" i="129"/>
  <c r="AB16" i="130"/>
  <c r="AB19" i="134"/>
  <c r="AD19" i="134" s="1"/>
  <c r="W19" i="134" s="1"/>
  <c r="J7" i="130"/>
  <c r="N8" i="130"/>
  <c r="E8" i="130" s="1"/>
  <c r="N12" i="130"/>
  <c r="E12" i="130" s="1"/>
  <c r="AA15" i="130" s="1"/>
  <c r="M10" i="131"/>
  <c r="J7" i="128"/>
  <c r="AB8" i="128"/>
  <c r="AB21" i="129"/>
  <c r="Q10" i="131"/>
  <c r="N8" i="127"/>
  <c r="E8" i="127" s="1"/>
  <c r="AB19" i="127"/>
  <c r="N9" i="128"/>
  <c r="E9" i="128" s="1"/>
  <c r="AA11" i="128" s="1"/>
  <c r="AC11" i="128" s="1"/>
  <c r="V11" i="128" s="1"/>
  <c r="N14" i="129"/>
  <c r="E14" i="129" s="1"/>
  <c r="AB15" i="130"/>
  <c r="AE13" i="131"/>
  <c r="X13" i="131" s="1"/>
  <c r="M14" i="131"/>
  <c r="Q8" i="131"/>
  <c r="AC9" i="131" s="1"/>
  <c r="Q11" i="131"/>
  <c r="AC14" i="131" s="1"/>
  <c r="AE14" i="131" s="1"/>
  <c r="X14" i="131" s="1"/>
  <c r="N13" i="127"/>
  <c r="E13" i="127" s="1"/>
  <c r="AA18" i="127" s="1"/>
  <c r="J10" i="127"/>
  <c r="J13" i="127"/>
  <c r="AB18" i="127"/>
  <c r="AB10" i="128"/>
  <c r="J11" i="129"/>
  <c r="J8" i="129"/>
  <c r="AB9" i="129"/>
  <c r="J11" i="130"/>
  <c r="N7" i="127"/>
  <c r="E7" i="127" s="1"/>
  <c r="AA8" i="127" s="1"/>
  <c r="N12" i="127"/>
  <c r="E12" i="127" s="1"/>
  <c r="AA15" i="127" s="1"/>
  <c r="AB13" i="127"/>
  <c r="N11" i="128"/>
  <c r="E11" i="128" s="1"/>
  <c r="AA13" i="128" s="1"/>
  <c r="AC13" i="128" s="1"/>
  <c r="V13" i="128" s="1"/>
  <c r="N8" i="129"/>
  <c r="E8" i="129" s="1"/>
  <c r="AB21" i="130"/>
  <c r="N11" i="130"/>
  <c r="E11" i="130" s="1"/>
  <c r="AA13" i="130" s="1"/>
  <c r="AC13" i="130" s="1"/>
  <c r="V13" i="130" s="1"/>
  <c r="N14" i="130"/>
  <c r="E14" i="130" s="1"/>
  <c r="AB20" i="130"/>
  <c r="AD21" i="131"/>
  <c r="AD16" i="131"/>
  <c r="AD9" i="134"/>
  <c r="W9" i="134" s="1"/>
  <c r="AB17" i="134"/>
  <c r="AD17" i="134" s="1"/>
  <c r="W17" i="134" s="1"/>
  <c r="AB15" i="134"/>
  <c r="AD15" i="134" s="1"/>
  <c r="W15" i="134" s="1"/>
  <c r="AB16" i="127"/>
  <c r="N10" i="128"/>
  <c r="E10" i="128" s="1"/>
  <c r="AA12" i="128" s="1"/>
  <c r="AC12" i="128" s="1"/>
  <c r="V12" i="128" s="1"/>
  <c r="AB7" i="129"/>
  <c r="N9" i="129"/>
  <c r="E9" i="129" s="1"/>
  <c r="AA11" i="129" s="1"/>
  <c r="J12" i="130"/>
  <c r="Q15" i="131"/>
  <c r="AB16" i="134"/>
  <c r="AD16" i="134" s="1"/>
  <c r="W16" i="134" s="1"/>
  <c r="AD20" i="134"/>
  <c r="W20" i="134" s="1"/>
  <c r="AD18" i="134"/>
  <c r="W18" i="134" s="1"/>
  <c r="J7" i="129"/>
  <c r="N10" i="129"/>
  <c r="E10" i="129" s="1"/>
  <c r="AA12" i="129" s="1"/>
  <c r="AC12" i="129" s="1"/>
  <c r="V12" i="129" s="1"/>
  <c r="AB20" i="129"/>
  <c r="J8" i="130"/>
  <c r="AB9" i="130"/>
  <c r="AB17" i="130"/>
  <c r="AD9" i="131"/>
  <c r="AD22" i="131"/>
  <c r="J8" i="127"/>
  <c r="AB9" i="127"/>
  <c r="N11" i="127"/>
  <c r="E11" i="127" s="1"/>
  <c r="AA13" i="127" s="1"/>
  <c r="N8" i="128"/>
  <c r="E8" i="128" s="1"/>
  <c r="AA20" i="128" s="1"/>
  <c r="J12" i="128"/>
  <c r="AB10" i="129"/>
  <c r="J13" i="130"/>
  <c r="AB18" i="130"/>
  <c r="M8" i="131"/>
  <c r="AB20" i="128"/>
  <c r="N7" i="129"/>
  <c r="E7" i="129" s="1"/>
  <c r="AA8" i="129" s="1"/>
  <c r="AC8" i="129" s="1"/>
  <c r="V8" i="129" s="1"/>
  <c r="J9" i="129"/>
  <c r="J10" i="130"/>
  <c r="AB11" i="130"/>
  <c r="AD15" i="131"/>
  <c r="Q14" i="131"/>
  <c r="AC19" i="131" s="1"/>
  <c r="AE19" i="131" s="1"/>
  <c r="X19" i="131" s="1"/>
  <c r="J7" i="127"/>
  <c r="AB8" i="127"/>
  <c r="J9" i="128"/>
  <c r="AB18" i="128"/>
  <c r="N10" i="130"/>
  <c r="E10" i="130" s="1"/>
  <c r="AA12" i="130" s="1"/>
  <c r="AC12" i="130" s="1"/>
  <c r="V12" i="130" s="1"/>
  <c r="N7" i="130"/>
  <c r="E7" i="130" s="1"/>
  <c r="AA8" i="130" s="1"/>
  <c r="AC8" i="130" s="1"/>
  <c r="V8" i="130" s="1"/>
  <c r="AB10" i="130"/>
  <c r="M9" i="131"/>
  <c r="J13" i="128"/>
  <c r="N14" i="127"/>
  <c r="E14" i="127" s="1"/>
  <c r="J8" i="128"/>
  <c r="N9" i="130"/>
  <c r="E9" i="130" s="1"/>
  <c r="AA11" i="130" s="1"/>
  <c r="AC11" i="130" s="1"/>
  <c r="V11" i="130" s="1"/>
  <c r="Q7" i="131"/>
  <c r="AC7" i="131" s="1"/>
  <c r="Q9" i="131"/>
  <c r="AC11" i="131" s="1"/>
  <c r="AE11" i="131" s="1"/>
  <c r="X11" i="131" s="1"/>
  <c r="AD10" i="131"/>
  <c r="J8" i="133"/>
  <c r="J9" i="133"/>
  <c r="AB10" i="133"/>
  <c r="J11" i="133"/>
  <c r="N11" i="133"/>
  <c r="E11" i="133" s="1"/>
  <c r="AA13" i="133" s="1"/>
  <c r="AC13" i="133" s="1"/>
  <c r="V13" i="133" s="1"/>
  <c r="AB7" i="133"/>
  <c r="J7" i="133"/>
  <c r="N10" i="133"/>
  <c r="E10" i="133" s="1"/>
  <c r="AA12" i="133" s="1"/>
  <c r="J12" i="133"/>
  <c r="N12" i="133"/>
  <c r="E12" i="133" s="1"/>
  <c r="AA14" i="133" s="1"/>
  <c r="J13" i="133"/>
  <c r="AB14" i="133"/>
  <c r="N13" i="133"/>
  <c r="E13" i="133" s="1"/>
  <c r="AA16" i="133" s="1"/>
  <c r="N9" i="133"/>
  <c r="E9" i="133" s="1"/>
  <c r="AA11" i="133" s="1"/>
  <c r="AC11" i="133" s="1"/>
  <c r="V11" i="133" s="1"/>
  <c r="AB9" i="133"/>
  <c r="N8" i="133"/>
  <c r="E8" i="133" s="1"/>
  <c r="AA10" i="133" s="1"/>
  <c r="N7" i="133"/>
  <c r="E7" i="133" s="1"/>
  <c r="J10" i="133"/>
  <c r="AA17" i="133"/>
  <c r="AC12" i="133"/>
  <c r="V12" i="133" s="1"/>
  <c r="AB20" i="133"/>
  <c r="AB17" i="133"/>
  <c r="AB19" i="133"/>
  <c r="AB16" i="133"/>
  <c r="AC10" i="131"/>
  <c r="AC21" i="131"/>
  <c r="AC22" i="131"/>
  <c r="AC15" i="131"/>
  <c r="AC16" i="131"/>
  <c r="AD7" i="131"/>
  <c r="AD18" i="131"/>
  <c r="AD20" i="131"/>
  <c r="M7" i="131"/>
  <c r="M11" i="131"/>
  <c r="AD17" i="131"/>
  <c r="AA14" i="130"/>
  <c r="AC14" i="130" s="1"/>
  <c r="V14" i="130" s="1"/>
  <c r="AA20" i="130"/>
  <c r="AA21" i="130"/>
  <c r="AC21" i="130" s="1"/>
  <c r="V21" i="130" s="1"/>
  <c r="AA18" i="130"/>
  <c r="AA16" i="130"/>
  <c r="AC16" i="130" s="1"/>
  <c r="V16" i="130" s="1"/>
  <c r="AA19" i="130"/>
  <c r="AC19" i="130" s="1"/>
  <c r="V19" i="130" s="1"/>
  <c r="AA17" i="130"/>
  <c r="AC13" i="129"/>
  <c r="V13" i="129" s="1"/>
  <c r="AA14" i="129"/>
  <c r="AC14" i="129" s="1"/>
  <c r="V14" i="129" s="1"/>
  <c r="AA15" i="129"/>
  <c r="AC15" i="129" s="1"/>
  <c r="V15" i="129" s="1"/>
  <c r="AA7" i="129"/>
  <c r="AC7" i="129" s="1"/>
  <c r="V7" i="129" s="1"/>
  <c r="AA18" i="129"/>
  <c r="AC18" i="129" s="1"/>
  <c r="V18" i="129" s="1"/>
  <c r="AA16" i="129"/>
  <c r="AA19" i="129"/>
  <c r="AA17" i="129"/>
  <c r="J10" i="129"/>
  <c r="AB11" i="129"/>
  <c r="AB17" i="129"/>
  <c r="AB19" i="129"/>
  <c r="AB16" i="129"/>
  <c r="AA14" i="128"/>
  <c r="AC14" i="128" s="1"/>
  <c r="V14" i="128" s="1"/>
  <c r="AA15" i="128"/>
  <c r="AC15" i="128" s="1"/>
  <c r="V15" i="128" s="1"/>
  <c r="AA8" i="128"/>
  <c r="AA7" i="128"/>
  <c r="AC7" i="128" s="1"/>
  <c r="V7" i="128" s="1"/>
  <c r="AA21" i="128"/>
  <c r="AC21" i="128" s="1"/>
  <c r="V21" i="128" s="1"/>
  <c r="AA18" i="128"/>
  <c r="AA16" i="128"/>
  <c r="AC16" i="128" s="1"/>
  <c r="V16" i="128" s="1"/>
  <c r="AA19" i="128"/>
  <c r="AC19" i="128" s="1"/>
  <c r="V19" i="128" s="1"/>
  <c r="AA17" i="128"/>
  <c r="J14" i="128"/>
  <c r="AB17" i="128"/>
  <c r="J11" i="128"/>
  <c r="AB9" i="128"/>
  <c r="AC11" i="127"/>
  <c r="V11" i="127" s="1"/>
  <c r="AA9" i="127"/>
  <c r="AC9" i="127" s="1"/>
  <c r="V9" i="127" s="1"/>
  <c r="AA21" i="127"/>
  <c r="AA14" i="127"/>
  <c r="AA7" i="127"/>
  <c r="AC7" i="127" s="1"/>
  <c r="V7" i="127" s="1"/>
  <c r="AC12" i="127"/>
  <c r="V12" i="127" s="1"/>
  <c r="AB10" i="127"/>
  <c r="AB14" i="127"/>
  <c r="AB21" i="127"/>
  <c r="AC21" i="127" s="1"/>
  <c r="V21" i="127" s="1"/>
  <c r="AB15" i="127"/>
  <c r="M15" i="126"/>
  <c r="I15" i="126"/>
  <c r="F15" i="126"/>
  <c r="M14" i="126"/>
  <c r="L14" i="126"/>
  <c r="F14" i="126"/>
  <c r="M13" i="126"/>
  <c r="L13" i="126"/>
  <c r="AB19" i="126" s="1"/>
  <c r="F13" i="126"/>
  <c r="M12" i="126"/>
  <c r="L12" i="126"/>
  <c r="AB14" i="126" s="1"/>
  <c r="F12" i="126"/>
  <c r="M11" i="126"/>
  <c r="L11" i="126"/>
  <c r="AB13" i="126" s="1"/>
  <c r="F11" i="126"/>
  <c r="M10" i="126"/>
  <c r="L10" i="126"/>
  <c r="AB12" i="126" s="1"/>
  <c r="F10" i="126"/>
  <c r="M9" i="126"/>
  <c r="L9" i="126"/>
  <c r="AB11" i="126" s="1"/>
  <c r="J9" i="126"/>
  <c r="F9" i="126"/>
  <c r="M8" i="126"/>
  <c r="L8" i="126"/>
  <c r="J8" i="126" s="1"/>
  <c r="F8" i="126"/>
  <c r="M7" i="126"/>
  <c r="L7" i="126"/>
  <c r="AB7" i="126" s="1"/>
  <c r="F7" i="126"/>
  <c r="C4" i="126"/>
  <c r="M15" i="125"/>
  <c r="I15" i="125"/>
  <c r="F15" i="125"/>
  <c r="M14" i="125"/>
  <c r="L14" i="125"/>
  <c r="F14" i="125"/>
  <c r="M13" i="125"/>
  <c r="L13" i="125"/>
  <c r="AB18" i="125" s="1"/>
  <c r="F13" i="125"/>
  <c r="M12" i="125"/>
  <c r="L12" i="125"/>
  <c r="AB14" i="125" s="1"/>
  <c r="F12" i="125"/>
  <c r="M11" i="125"/>
  <c r="L11" i="125"/>
  <c r="AB13" i="125" s="1"/>
  <c r="F11" i="125"/>
  <c r="M10" i="125"/>
  <c r="L10" i="125"/>
  <c r="AB12" i="125" s="1"/>
  <c r="F10" i="125"/>
  <c r="M9" i="125"/>
  <c r="L9" i="125"/>
  <c r="AB11" i="125" s="1"/>
  <c r="F9" i="125"/>
  <c r="M8" i="125"/>
  <c r="L8" i="125"/>
  <c r="J8" i="125"/>
  <c r="F8" i="125"/>
  <c r="M7" i="125"/>
  <c r="L7" i="125"/>
  <c r="AB8" i="125" s="1"/>
  <c r="F7" i="125"/>
  <c r="C4" i="125"/>
  <c r="AB18" i="124"/>
  <c r="M15" i="124"/>
  <c r="I15" i="124"/>
  <c r="F15" i="124"/>
  <c r="M14" i="124"/>
  <c r="L14" i="124"/>
  <c r="J14" i="124"/>
  <c r="F14" i="124"/>
  <c r="M13" i="124"/>
  <c r="L13" i="124"/>
  <c r="AB19" i="124" s="1"/>
  <c r="F13" i="124"/>
  <c r="M12" i="124"/>
  <c r="L12" i="124"/>
  <c r="AB14" i="124" s="1"/>
  <c r="F12" i="124"/>
  <c r="AB11" i="124"/>
  <c r="M11" i="124"/>
  <c r="L11" i="124"/>
  <c r="AB13" i="124" s="1"/>
  <c r="F11" i="124"/>
  <c r="M10" i="124"/>
  <c r="L10" i="124"/>
  <c r="AB12" i="124" s="1"/>
  <c r="F10" i="124"/>
  <c r="M9" i="124"/>
  <c r="N9" i="124" s="1"/>
  <c r="E9" i="124" s="1"/>
  <c r="AA11" i="124" s="1"/>
  <c r="L9" i="124"/>
  <c r="J9" i="124" s="1"/>
  <c r="F9" i="124"/>
  <c r="M8" i="124"/>
  <c r="L8" i="124"/>
  <c r="AB21" i="124" s="1"/>
  <c r="F8" i="124"/>
  <c r="M7" i="124"/>
  <c r="L7" i="124"/>
  <c r="AB8" i="124" s="1"/>
  <c r="J7" i="124"/>
  <c r="F7" i="124"/>
  <c r="C4" i="124"/>
  <c r="M13" i="123"/>
  <c r="L13" i="123"/>
  <c r="J13" i="123" s="1"/>
  <c r="M15" i="123"/>
  <c r="I15" i="123"/>
  <c r="F15" i="123"/>
  <c r="M14" i="123"/>
  <c r="L14" i="123"/>
  <c r="J14" i="123"/>
  <c r="F14" i="123"/>
  <c r="F13" i="123"/>
  <c r="M12" i="123"/>
  <c r="L12" i="123"/>
  <c r="AB14" i="123" s="1"/>
  <c r="F12" i="123"/>
  <c r="M11" i="123"/>
  <c r="L11" i="123"/>
  <c r="AB13" i="123" s="1"/>
  <c r="F11" i="123"/>
  <c r="M10" i="123"/>
  <c r="L10" i="123"/>
  <c r="AB12" i="123" s="1"/>
  <c r="F10" i="123"/>
  <c r="M9" i="123"/>
  <c r="L9" i="123"/>
  <c r="J9" i="123" s="1"/>
  <c r="F9" i="123"/>
  <c r="M8" i="123"/>
  <c r="L8" i="123"/>
  <c r="AB21" i="123" s="1"/>
  <c r="F8" i="123"/>
  <c r="M7" i="123"/>
  <c r="L7" i="123"/>
  <c r="AB7" i="123" s="1"/>
  <c r="F7" i="123"/>
  <c r="C4" i="123"/>
  <c r="M15" i="122"/>
  <c r="I15" i="122"/>
  <c r="F15" i="122"/>
  <c r="M14" i="122"/>
  <c r="L14" i="122"/>
  <c r="J14" i="122" s="1"/>
  <c r="F14" i="122"/>
  <c r="M13" i="122"/>
  <c r="L13" i="122"/>
  <c r="AB19" i="122" s="1"/>
  <c r="F13" i="122"/>
  <c r="M12" i="122"/>
  <c r="L12" i="122"/>
  <c r="AB15" i="122" s="1"/>
  <c r="F12" i="122"/>
  <c r="M11" i="122"/>
  <c r="L11" i="122"/>
  <c r="AB13" i="122" s="1"/>
  <c r="F11" i="122"/>
  <c r="M10" i="122"/>
  <c r="L10" i="122"/>
  <c r="J10" i="122" s="1"/>
  <c r="F10" i="122"/>
  <c r="M9" i="122"/>
  <c r="L9" i="122"/>
  <c r="J9" i="122" s="1"/>
  <c r="F9" i="122"/>
  <c r="M8" i="122"/>
  <c r="L8" i="122"/>
  <c r="J8" i="122" s="1"/>
  <c r="F8" i="122"/>
  <c r="M7" i="122"/>
  <c r="L7" i="122"/>
  <c r="AB7" i="122" s="1"/>
  <c r="F7" i="122"/>
  <c r="C4" i="122"/>
  <c r="M15" i="121"/>
  <c r="I15" i="121"/>
  <c r="F15" i="121"/>
  <c r="M14" i="121"/>
  <c r="L14" i="121"/>
  <c r="F14" i="121"/>
  <c r="M13" i="121"/>
  <c r="L13" i="121"/>
  <c r="AB18" i="121" s="1"/>
  <c r="F13" i="121"/>
  <c r="M12" i="121"/>
  <c r="L12" i="121"/>
  <c r="AB15" i="121" s="1"/>
  <c r="F12" i="121"/>
  <c r="M11" i="121"/>
  <c r="L11" i="121"/>
  <c r="AB13" i="121" s="1"/>
  <c r="F11" i="121"/>
  <c r="M10" i="121"/>
  <c r="L10" i="121"/>
  <c r="AB12" i="121" s="1"/>
  <c r="F10" i="121"/>
  <c r="M9" i="121"/>
  <c r="L9" i="121"/>
  <c r="J9" i="121" s="1"/>
  <c r="F9" i="121"/>
  <c r="M8" i="121"/>
  <c r="L8" i="121"/>
  <c r="F8" i="121"/>
  <c r="M7" i="121"/>
  <c r="L7" i="121"/>
  <c r="AB7" i="121" s="1"/>
  <c r="J7" i="121"/>
  <c r="F7" i="121"/>
  <c r="C4" i="121"/>
  <c r="M15" i="120"/>
  <c r="I15" i="120"/>
  <c r="F15" i="120"/>
  <c r="M14" i="120"/>
  <c r="L14" i="120"/>
  <c r="F14" i="120"/>
  <c r="M13" i="120"/>
  <c r="L13" i="120"/>
  <c r="AB19" i="120" s="1"/>
  <c r="F13" i="120"/>
  <c r="M12" i="120"/>
  <c r="L12" i="120"/>
  <c r="AB14" i="120" s="1"/>
  <c r="J12" i="120"/>
  <c r="F12" i="120"/>
  <c r="M11" i="120"/>
  <c r="N11" i="120" s="1"/>
  <c r="E11" i="120" s="1"/>
  <c r="AA13" i="120" s="1"/>
  <c r="L11" i="120"/>
  <c r="AB13" i="120" s="1"/>
  <c r="F11" i="120"/>
  <c r="M10" i="120"/>
  <c r="L10" i="120"/>
  <c r="AB12" i="120" s="1"/>
  <c r="F10" i="120"/>
  <c r="M9" i="120"/>
  <c r="L9" i="120"/>
  <c r="AB11" i="120" s="1"/>
  <c r="J9" i="120"/>
  <c r="F9" i="120"/>
  <c r="M8" i="120"/>
  <c r="L8" i="120"/>
  <c r="J8" i="120" s="1"/>
  <c r="F8" i="120"/>
  <c r="M7" i="120"/>
  <c r="L7" i="120"/>
  <c r="AB8" i="120" s="1"/>
  <c r="F7" i="120"/>
  <c r="C4" i="120"/>
  <c r="F15" i="119"/>
  <c r="F14" i="119"/>
  <c r="F13" i="119"/>
  <c r="F12" i="119"/>
  <c r="F11" i="119"/>
  <c r="F10" i="119"/>
  <c r="F9" i="119"/>
  <c r="F8" i="119"/>
  <c r="F7" i="119"/>
  <c r="AB12" i="119"/>
  <c r="AB11" i="119"/>
  <c r="M15" i="119"/>
  <c r="I15" i="119"/>
  <c r="M14" i="119"/>
  <c r="L14" i="119"/>
  <c r="M13" i="119"/>
  <c r="L13" i="119"/>
  <c r="AB19" i="119" s="1"/>
  <c r="M12" i="119"/>
  <c r="L12" i="119"/>
  <c r="AB14" i="119" s="1"/>
  <c r="M11" i="119"/>
  <c r="L11" i="119"/>
  <c r="AB13" i="119" s="1"/>
  <c r="M10" i="119"/>
  <c r="N10" i="119" s="1"/>
  <c r="E10" i="119" s="1"/>
  <c r="AA12" i="119" s="1"/>
  <c r="J10" i="119"/>
  <c r="M9" i="119"/>
  <c r="M8" i="119"/>
  <c r="L8" i="119"/>
  <c r="L7" i="119"/>
  <c r="AB8" i="119" s="1"/>
  <c r="C4" i="119"/>
  <c r="D4" i="117"/>
  <c r="M7" i="117"/>
  <c r="M8" i="117"/>
  <c r="M10" i="117"/>
  <c r="M11" i="117"/>
  <c r="G14" i="117"/>
  <c r="G13" i="117"/>
  <c r="G12" i="117"/>
  <c r="G11" i="117"/>
  <c r="G10" i="117"/>
  <c r="G9" i="117"/>
  <c r="G8" i="117"/>
  <c r="G7" i="117"/>
  <c r="F15" i="117"/>
  <c r="AB22" i="117" s="1"/>
  <c r="F14" i="117"/>
  <c r="AB21" i="117" s="1"/>
  <c r="F13" i="117"/>
  <c r="AB19" i="117" s="1"/>
  <c r="F12" i="117"/>
  <c r="AB15" i="117" s="1"/>
  <c r="F11" i="117"/>
  <c r="AB13" i="117" s="1"/>
  <c r="F10" i="117"/>
  <c r="AB12" i="117" s="1"/>
  <c r="F9" i="117"/>
  <c r="AB11" i="117" s="1"/>
  <c r="F7" i="117"/>
  <c r="AB8" i="117" s="1"/>
  <c r="F8" i="117"/>
  <c r="AB10" i="117" s="1"/>
  <c r="N7" i="117"/>
  <c r="J50" i="111"/>
  <c r="I50" i="111"/>
  <c r="J49" i="111"/>
  <c r="I49" i="111"/>
  <c r="J48" i="111"/>
  <c r="I48" i="111"/>
  <c r="J47" i="111"/>
  <c r="I47" i="111"/>
  <c r="J46" i="111"/>
  <c r="I46" i="111"/>
  <c r="J45" i="111"/>
  <c r="I45" i="111"/>
  <c r="J44" i="111"/>
  <c r="I44" i="111"/>
  <c r="J43" i="111"/>
  <c r="I43" i="111"/>
  <c r="J42" i="111"/>
  <c r="I42" i="111"/>
  <c r="J41" i="111"/>
  <c r="I41" i="111"/>
  <c r="J40" i="111"/>
  <c r="I40" i="111"/>
  <c r="J39" i="111"/>
  <c r="I39" i="111"/>
  <c r="J38" i="111"/>
  <c r="I38" i="111"/>
  <c r="J37" i="111"/>
  <c r="I37" i="111"/>
  <c r="J36" i="111"/>
  <c r="I36" i="111"/>
  <c r="J35" i="111"/>
  <c r="I35" i="111"/>
  <c r="J7" i="122" l="1"/>
  <c r="N9" i="122"/>
  <c r="E9" i="122" s="1"/>
  <c r="AA11" i="122" s="1"/>
  <c r="J10" i="123"/>
  <c r="J11" i="124"/>
  <c r="AA10" i="130"/>
  <c r="AC10" i="130" s="1"/>
  <c r="V10" i="130" s="1"/>
  <c r="AA17" i="127"/>
  <c r="AC17" i="127" s="1"/>
  <c r="V17" i="127" s="1"/>
  <c r="AC11" i="129"/>
  <c r="V11" i="129" s="1"/>
  <c r="AA9" i="130"/>
  <c r="AA10" i="129"/>
  <c r="AC8" i="127"/>
  <c r="V8" i="127" s="1"/>
  <c r="AA20" i="127"/>
  <c r="AC20" i="127" s="1"/>
  <c r="V20" i="127" s="1"/>
  <c r="AC15" i="130"/>
  <c r="V15" i="130" s="1"/>
  <c r="AA10" i="127"/>
  <c r="AC18" i="128"/>
  <c r="V18" i="128" s="1"/>
  <c r="AC17" i="130"/>
  <c r="V17" i="130" s="1"/>
  <c r="AC20" i="130"/>
  <c r="V20" i="130" s="1"/>
  <c r="AA7" i="130"/>
  <c r="AC7" i="130" s="1"/>
  <c r="V7" i="130" s="1"/>
  <c r="AC13" i="127"/>
  <c r="V13" i="127" s="1"/>
  <c r="AC18" i="127"/>
  <c r="V18" i="127" s="1"/>
  <c r="AA20" i="129"/>
  <c r="AC20" i="129" s="1"/>
  <c r="V20" i="129" s="1"/>
  <c r="AE22" i="131"/>
  <c r="X22" i="131" s="1"/>
  <c r="AE10" i="131"/>
  <c r="X10" i="131" s="1"/>
  <c r="AE16" i="131"/>
  <c r="X16" i="131" s="1"/>
  <c r="K37" i="111"/>
  <c r="L37" i="111" s="1"/>
  <c r="K40" i="111"/>
  <c r="L40" i="111" s="1"/>
  <c r="N8" i="120"/>
  <c r="E8" i="120" s="1"/>
  <c r="J10" i="120"/>
  <c r="N11" i="123"/>
  <c r="E11" i="123" s="1"/>
  <c r="AA13" i="123" s="1"/>
  <c r="AC13" i="123" s="1"/>
  <c r="V13" i="123" s="1"/>
  <c r="N12" i="126"/>
  <c r="E12" i="126" s="1"/>
  <c r="AA14" i="126" s="1"/>
  <c r="AC14" i="126" s="1"/>
  <c r="V14" i="126" s="1"/>
  <c r="AA19" i="127"/>
  <c r="AC19" i="127" s="1"/>
  <c r="V19" i="127" s="1"/>
  <c r="N14" i="124"/>
  <c r="E14" i="124" s="1"/>
  <c r="J10" i="125"/>
  <c r="AA16" i="127"/>
  <c r="AC16" i="127" s="1"/>
  <c r="V16" i="127" s="1"/>
  <c r="AC9" i="130"/>
  <c r="V9" i="130" s="1"/>
  <c r="AC16" i="133"/>
  <c r="V16" i="133" s="1"/>
  <c r="AB9" i="120"/>
  <c r="N8" i="122"/>
  <c r="E8" i="122" s="1"/>
  <c r="AB21" i="126"/>
  <c r="AC8" i="128"/>
  <c r="V8" i="128" s="1"/>
  <c r="AA21" i="129"/>
  <c r="AC21" i="129" s="1"/>
  <c r="V21" i="129" s="1"/>
  <c r="AB20" i="122"/>
  <c r="AB10" i="122"/>
  <c r="N14" i="122"/>
  <c r="E14" i="122" s="1"/>
  <c r="N10" i="123"/>
  <c r="E10" i="123" s="1"/>
  <c r="AA12" i="123" s="1"/>
  <c r="AC12" i="123" s="1"/>
  <c r="V12" i="123" s="1"/>
  <c r="N14" i="123"/>
  <c r="E14" i="123" s="1"/>
  <c r="N10" i="125"/>
  <c r="E10" i="125" s="1"/>
  <c r="AA12" i="125" s="1"/>
  <c r="AC12" i="125" s="1"/>
  <c r="V12" i="125" s="1"/>
  <c r="N12" i="125"/>
  <c r="E12" i="125" s="1"/>
  <c r="AA14" i="125" s="1"/>
  <c r="AC14" i="125" s="1"/>
  <c r="V14" i="125" s="1"/>
  <c r="N8" i="126"/>
  <c r="E8" i="126" s="1"/>
  <c r="N13" i="126"/>
  <c r="E13" i="126" s="1"/>
  <c r="AA9" i="129"/>
  <c r="AC9" i="129" s="1"/>
  <c r="V9" i="129" s="1"/>
  <c r="AB20" i="119"/>
  <c r="AB7" i="125"/>
  <c r="N14" i="125"/>
  <c r="E14" i="125" s="1"/>
  <c r="J12" i="126"/>
  <c r="AC20" i="128"/>
  <c r="V20" i="128" s="1"/>
  <c r="AC20" i="131"/>
  <c r="AE20" i="131" s="1"/>
  <c r="X20" i="131" s="1"/>
  <c r="AC8" i="131"/>
  <c r="AE8" i="131" s="1"/>
  <c r="X8" i="131" s="1"/>
  <c r="AC18" i="131"/>
  <c r="AE18" i="131" s="1"/>
  <c r="X18" i="131" s="1"/>
  <c r="N13" i="121"/>
  <c r="E13" i="121" s="1"/>
  <c r="AA18" i="121" s="1"/>
  <c r="AC18" i="121" s="1"/>
  <c r="V18" i="121" s="1"/>
  <c r="AB12" i="122"/>
  <c r="AB10" i="124"/>
  <c r="N13" i="124"/>
  <c r="E13" i="124" s="1"/>
  <c r="AA18" i="124" s="1"/>
  <c r="N8" i="125"/>
  <c r="E8" i="125" s="1"/>
  <c r="AB15" i="125"/>
  <c r="N9" i="126"/>
  <c r="E9" i="126" s="1"/>
  <c r="AA11" i="126" s="1"/>
  <c r="AC11" i="126" s="1"/>
  <c r="V11" i="126" s="1"/>
  <c r="AB18" i="126"/>
  <c r="AA9" i="128"/>
  <c r="AC9" i="128" s="1"/>
  <c r="V9" i="128" s="1"/>
  <c r="AC18" i="130"/>
  <c r="V18" i="130" s="1"/>
  <c r="AA10" i="122"/>
  <c r="AB8" i="122"/>
  <c r="AC8" i="122" s="1"/>
  <c r="V8" i="122" s="1"/>
  <c r="N13" i="122"/>
  <c r="E13" i="122" s="1"/>
  <c r="AA19" i="122" s="1"/>
  <c r="AC19" i="122" s="1"/>
  <c r="V19" i="122" s="1"/>
  <c r="K41" i="111"/>
  <c r="L41" i="111" s="1"/>
  <c r="AB7" i="120"/>
  <c r="N7" i="121"/>
  <c r="E7" i="121" s="1"/>
  <c r="AA7" i="121" s="1"/>
  <c r="AC7" i="121" s="1"/>
  <c r="V7" i="121" s="1"/>
  <c r="N7" i="122"/>
  <c r="E7" i="122" s="1"/>
  <c r="AA8" i="122" s="1"/>
  <c r="AB15" i="120"/>
  <c r="K36" i="111"/>
  <c r="L36" i="111" s="1"/>
  <c r="K45" i="111"/>
  <c r="L45" i="111" s="1"/>
  <c r="K48" i="111"/>
  <c r="L48" i="111" s="1"/>
  <c r="J8" i="119"/>
  <c r="AB9" i="119"/>
  <c r="AB15" i="119"/>
  <c r="N9" i="120"/>
  <c r="E9" i="120" s="1"/>
  <c r="AA11" i="120" s="1"/>
  <c r="AC11" i="120" s="1"/>
  <c r="V11" i="120" s="1"/>
  <c r="AB21" i="121"/>
  <c r="AB7" i="124"/>
  <c r="J12" i="124"/>
  <c r="AB9" i="125"/>
  <c r="AB9" i="126"/>
  <c r="AA10" i="128"/>
  <c r="AC10" i="128" s="1"/>
  <c r="V10" i="128" s="1"/>
  <c r="AE21" i="131"/>
  <c r="X21" i="131" s="1"/>
  <c r="AC14" i="133"/>
  <c r="V14" i="133" s="1"/>
  <c r="K44" i="111"/>
  <c r="L44" i="111" s="1"/>
  <c r="N10" i="120"/>
  <c r="E10" i="120" s="1"/>
  <c r="AA12" i="120" s="1"/>
  <c r="AB21" i="119"/>
  <c r="J7" i="120"/>
  <c r="J13" i="120"/>
  <c r="J13" i="122"/>
  <c r="AB16" i="122"/>
  <c r="AB15" i="124"/>
  <c r="AB18" i="122"/>
  <c r="AB9" i="123"/>
  <c r="J11" i="123"/>
  <c r="J8" i="124"/>
  <c r="N12" i="124"/>
  <c r="E12" i="124" s="1"/>
  <c r="AA14" i="124" s="1"/>
  <c r="AC14" i="124" s="1"/>
  <c r="V14" i="124" s="1"/>
  <c r="N9" i="125"/>
  <c r="E9" i="125" s="1"/>
  <c r="AA11" i="125" s="1"/>
  <c r="J10" i="126"/>
  <c r="AC10" i="127"/>
  <c r="V10" i="127" s="1"/>
  <c r="AC17" i="131"/>
  <c r="AE17" i="131" s="1"/>
  <c r="X17" i="131" s="1"/>
  <c r="N8" i="124"/>
  <c r="E8" i="124" s="1"/>
  <c r="AA21" i="124" s="1"/>
  <c r="AC21" i="124" s="1"/>
  <c r="V21" i="124" s="1"/>
  <c r="N10" i="126"/>
  <c r="E10" i="126" s="1"/>
  <c r="AA12" i="126" s="1"/>
  <c r="AC12" i="126" s="1"/>
  <c r="V12" i="126" s="1"/>
  <c r="AB16" i="126"/>
  <c r="AE9" i="131"/>
  <c r="X9" i="131" s="1"/>
  <c r="N14" i="119"/>
  <c r="E14" i="119" s="1"/>
  <c r="AB21" i="122"/>
  <c r="AB9" i="122"/>
  <c r="N12" i="122"/>
  <c r="E12" i="122" s="1"/>
  <c r="AA14" i="122" s="1"/>
  <c r="J8" i="123"/>
  <c r="N9" i="123"/>
  <c r="E9" i="123" s="1"/>
  <c r="AA11" i="123" s="1"/>
  <c r="J12" i="123"/>
  <c r="AB15" i="123"/>
  <c r="AB9" i="124"/>
  <c r="J14" i="125"/>
  <c r="N7" i="126"/>
  <c r="E7" i="126" s="1"/>
  <c r="AA7" i="126" s="1"/>
  <c r="AC7" i="126" s="1"/>
  <c r="V7" i="126" s="1"/>
  <c r="J11" i="126"/>
  <c r="AC10" i="133"/>
  <c r="V10" i="133" s="1"/>
  <c r="K35" i="111"/>
  <c r="L35" i="111" s="1"/>
  <c r="K43" i="111"/>
  <c r="L43" i="111" s="1"/>
  <c r="K47" i="111"/>
  <c r="L47" i="111" s="1"/>
  <c r="AB21" i="120"/>
  <c r="N10" i="121"/>
  <c r="E10" i="121" s="1"/>
  <c r="AA12" i="121" s="1"/>
  <c r="AC12" i="121" s="1"/>
  <c r="V12" i="121" s="1"/>
  <c r="N11" i="122"/>
  <c r="E11" i="122" s="1"/>
  <c r="AA13" i="122" s="1"/>
  <c r="AC13" i="122" s="1"/>
  <c r="V13" i="122" s="1"/>
  <c r="N8" i="123"/>
  <c r="E8" i="123" s="1"/>
  <c r="AA21" i="123" s="1"/>
  <c r="AC21" i="123" s="1"/>
  <c r="V21" i="123" s="1"/>
  <c r="N12" i="123"/>
  <c r="E12" i="123" s="1"/>
  <c r="AA14" i="123" s="1"/>
  <c r="AC14" i="123" s="1"/>
  <c r="V14" i="123" s="1"/>
  <c r="N11" i="125"/>
  <c r="E11" i="125" s="1"/>
  <c r="AA13" i="125" s="1"/>
  <c r="AC13" i="125" s="1"/>
  <c r="V13" i="125" s="1"/>
  <c r="AB20" i="125"/>
  <c r="N11" i="126"/>
  <c r="E11" i="126" s="1"/>
  <c r="AA13" i="126" s="1"/>
  <c r="AC13" i="126" s="1"/>
  <c r="V13" i="126" s="1"/>
  <c r="K39" i="111"/>
  <c r="L39" i="111" s="1"/>
  <c r="N12" i="119"/>
  <c r="E12" i="119" s="1"/>
  <c r="AA15" i="119" s="1"/>
  <c r="AB7" i="119"/>
  <c r="N7" i="119"/>
  <c r="E7" i="119" s="1"/>
  <c r="AA8" i="119" s="1"/>
  <c r="AC8" i="119" s="1"/>
  <c r="V8" i="119" s="1"/>
  <c r="N7" i="120"/>
  <c r="E7" i="120" s="1"/>
  <c r="AA8" i="120" s="1"/>
  <c r="AC8" i="120" s="1"/>
  <c r="V8" i="120" s="1"/>
  <c r="N13" i="120"/>
  <c r="E13" i="120" s="1"/>
  <c r="AB11" i="122"/>
  <c r="AC11" i="122" s="1"/>
  <c r="V11" i="122" s="1"/>
  <c r="J7" i="123"/>
  <c r="AB8" i="123"/>
  <c r="N7" i="124"/>
  <c r="E7" i="124" s="1"/>
  <c r="AA8" i="124" s="1"/>
  <c r="AC8" i="124" s="1"/>
  <c r="V8" i="124" s="1"/>
  <c r="J10" i="124"/>
  <c r="N11" i="124"/>
  <c r="E11" i="124" s="1"/>
  <c r="AA13" i="124" s="1"/>
  <c r="AC13" i="124" s="1"/>
  <c r="V13" i="124" s="1"/>
  <c r="AB16" i="124"/>
  <c r="N7" i="125"/>
  <c r="E7" i="125" s="1"/>
  <c r="AA8" i="125" s="1"/>
  <c r="AC8" i="125" s="1"/>
  <c r="V8" i="125" s="1"/>
  <c r="AB21" i="125"/>
  <c r="AB15" i="126"/>
  <c r="AE15" i="131"/>
  <c r="X15" i="131" s="1"/>
  <c r="AA15" i="133"/>
  <c r="AC15" i="133" s="1"/>
  <c r="V15" i="133" s="1"/>
  <c r="AB20" i="123"/>
  <c r="N13" i="119"/>
  <c r="E13" i="119" s="1"/>
  <c r="AA17" i="119" s="1"/>
  <c r="AB10" i="120"/>
  <c r="N10" i="122"/>
  <c r="E10" i="122" s="1"/>
  <c r="AA12" i="122" s="1"/>
  <c r="AB14" i="122"/>
  <c r="N7" i="123"/>
  <c r="E7" i="123" s="1"/>
  <c r="AA8" i="123" s="1"/>
  <c r="AB11" i="123"/>
  <c r="N10" i="124"/>
  <c r="E10" i="124" s="1"/>
  <c r="AA12" i="124" s="1"/>
  <c r="J13" i="124"/>
  <c r="AB20" i="124"/>
  <c r="J12" i="125"/>
  <c r="N13" i="125"/>
  <c r="E13" i="125" s="1"/>
  <c r="AA19" i="125" s="1"/>
  <c r="AB8" i="126"/>
  <c r="AB20" i="126"/>
  <c r="AC10" i="129"/>
  <c r="V10" i="129" s="1"/>
  <c r="K49" i="111"/>
  <c r="L49" i="111" s="1"/>
  <c r="J14" i="119"/>
  <c r="N12" i="120"/>
  <c r="E12" i="120" s="1"/>
  <c r="AA14" i="120" s="1"/>
  <c r="AC14" i="120" s="1"/>
  <c r="V14" i="120" s="1"/>
  <c r="J14" i="120"/>
  <c r="J12" i="122"/>
  <c r="AB10" i="125"/>
  <c r="J7" i="126"/>
  <c r="N14" i="126"/>
  <c r="E14" i="126" s="1"/>
  <c r="AB10" i="123"/>
  <c r="AA9" i="133"/>
  <c r="AC9" i="133" s="1"/>
  <c r="V9" i="133" s="1"/>
  <c r="AA20" i="133"/>
  <c r="AC20" i="133" s="1"/>
  <c r="V20" i="133" s="1"/>
  <c r="AA21" i="133"/>
  <c r="AC21" i="133" s="1"/>
  <c r="V21" i="133" s="1"/>
  <c r="AA19" i="133"/>
  <c r="AC19" i="133" s="1"/>
  <c r="V19" i="133" s="1"/>
  <c r="AA18" i="133"/>
  <c r="AC18" i="133" s="1"/>
  <c r="V18" i="133" s="1"/>
  <c r="AA8" i="133"/>
  <c r="AC8" i="133" s="1"/>
  <c r="V8" i="133" s="1"/>
  <c r="AA7" i="133"/>
  <c r="AC7" i="133" s="1"/>
  <c r="V7" i="133" s="1"/>
  <c r="AC17" i="133"/>
  <c r="V17" i="133" s="1"/>
  <c r="AE7" i="131"/>
  <c r="X7" i="131" s="1"/>
  <c r="AC17" i="129"/>
  <c r="V17" i="129" s="1"/>
  <c r="AC19" i="129"/>
  <c r="V19" i="129" s="1"/>
  <c r="AC16" i="129"/>
  <c r="V16" i="129" s="1"/>
  <c r="AC17" i="128"/>
  <c r="V17" i="128" s="1"/>
  <c r="AC14" i="127"/>
  <c r="V14" i="127" s="1"/>
  <c r="AC15" i="127"/>
  <c r="V15" i="127" s="1"/>
  <c r="AB10" i="119"/>
  <c r="AB17" i="119"/>
  <c r="AA16" i="119"/>
  <c r="AA18" i="119"/>
  <c r="AB16" i="119"/>
  <c r="AC16" i="119" s="1"/>
  <c r="V16" i="119" s="1"/>
  <c r="AB18" i="119"/>
  <c r="J11" i="119"/>
  <c r="AA8" i="126"/>
  <c r="AC8" i="126" s="1"/>
  <c r="V8" i="126" s="1"/>
  <c r="AA18" i="126"/>
  <c r="AA16" i="126"/>
  <c r="AC16" i="126" s="1"/>
  <c r="V16" i="126" s="1"/>
  <c r="AA19" i="126"/>
  <c r="AC19" i="126" s="1"/>
  <c r="V19" i="126" s="1"/>
  <c r="AA17" i="126"/>
  <c r="AC18" i="126"/>
  <c r="V18" i="126" s="1"/>
  <c r="J13" i="126"/>
  <c r="AB10" i="126"/>
  <c r="J14" i="126"/>
  <c r="AB17" i="126"/>
  <c r="AA15" i="125"/>
  <c r="AC11" i="125"/>
  <c r="V11" i="125" s="1"/>
  <c r="J9" i="125"/>
  <c r="J13" i="125"/>
  <c r="AB17" i="125"/>
  <c r="AB19" i="125"/>
  <c r="J7" i="125"/>
  <c r="J11" i="125"/>
  <c r="AB16" i="125"/>
  <c r="AA10" i="124"/>
  <c r="AC12" i="124"/>
  <c r="V12" i="124" s="1"/>
  <c r="AC11" i="124"/>
  <c r="V11" i="124" s="1"/>
  <c r="AC18" i="124"/>
  <c r="V18" i="124" s="1"/>
  <c r="AA15" i="124"/>
  <c r="AC15" i="124" s="1"/>
  <c r="V15" i="124" s="1"/>
  <c r="AB17" i="124"/>
  <c r="N13" i="123"/>
  <c r="E13" i="123" s="1"/>
  <c r="AA18" i="123" s="1"/>
  <c r="AB18" i="123"/>
  <c r="AB19" i="123"/>
  <c r="AB16" i="123"/>
  <c r="AA10" i="123"/>
  <c r="AC10" i="123" s="1"/>
  <c r="V10" i="123" s="1"/>
  <c r="AA7" i="123"/>
  <c r="AC7" i="123" s="1"/>
  <c r="V7" i="123" s="1"/>
  <c r="AB17" i="123"/>
  <c r="AA20" i="123"/>
  <c r="AA20" i="122"/>
  <c r="AC20" i="122" s="1"/>
  <c r="V20" i="122" s="1"/>
  <c r="AA21" i="122"/>
  <c r="AA9" i="122"/>
  <c r="AB17" i="122"/>
  <c r="J11" i="122"/>
  <c r="N8" i="121"/>
  <c r="E8" i="121" s="1"/>
  <c r="N11" i="121"/>
  <c r="E11" i="121" s="1"/>
  <c r="AA13" i="121" s="1"/>
  <c r="AC13" i="121" s="1"/>
  <c r="V13" i="121" s="1"/>
  <c r="J13" i="121"/>
  <c r="AB14" i="121"/>
  <c r="AB8" i="121"/>
  <c r="AB10" i="121"/>
  <c r="J12" i="121"/>
  <c r="N9" i="121"/>
  <c r="E9" i="121" s="1"/>
  <c r="AA11" i="121" s="1"/>
  <c r="N12" i="121"/>
  <c r="E12" i="121" s="1"/>
  <c r="AA14" i="121" s="1"/>
  <c r="J8" i="121"/>
  <c r="J11" i="121"/>
  <c r="AB9" i="121"/>
  <c r="AA8" i="121"/>
  <c r="J10" i="121"/>
  <c r="AB11" i="121"/>
  <c r="J14" i="121"/>
  <c r="AB17" i="121"/>
  <c r="AB19" i="121"/>
  <c r="AB16" i="121"/>
  <c r="AB20" i="121"/>
  <c r="N14" i="121"/>
  <c r="E14" i="121" s="1"/>
  <c r="AA15" i="120"/>
  <c r="AC15" i="120" s="1"/>
  <c r="V15" i="120" s="1"/>
  <c r="AC13" i="120"/>
  <c r="V13" i="120" s="1"/>
  <c r="AC12" i="120"/>
  <c r="V12" i="120" s="1"/>
  <c r="AB17" i="120"/>
  <c r="J11" i="120"/>
  <c r="N14" i="120"/>
  <c r="E14" i="120" s="1"/>
  <c r="AB16" i="120"/>
  <c r="AB18" i="120"/>
  <c r="AB20" i="120"/>
  <c r="AA14" i="119"/>
  <c r="AC14" i="119" s="1"/>
  <c r="V14" i="119" s="1"/>
  <c r="N9" i="119"/>
  <c r="E9" i="119" s="1"/>
  <c r="AA11" i="119" s="1"/>
  <c r="AC11" i="119" s="1"/>
  <c r="V11" i="119" s="1"/>
  <c r="J7" i="119"/>
  <c r="N8" i="119"/>
  <c r="E8" i="119" s="1"/>
  <c r="AA20" i="119" s="1"/>
  <c r="AC20" i="119" s="1"/>
  <c r="V20" i="119" s="1"/>
  <c r="N11" i="119"/>
  <c r="E11" i="119" s="1"/>
  <c r="AA13" i="119" s="1"/>
  <c r="AC13" i="119" s="1"/>
  <c r="V13" i="119" s="1"/>
  <c r="J9" i="119"/>
  <c r="J12" i="119"/>
  <c r="K38" i="111"/>
  <c r="L38" i="111" s="1"/>
  <c r="K42" i="111"/>
  <c r="L42" i="111" s="1"/>
  <c r="K46" i="111"/>
  <c r="L46" i="111" s="1"/>
  <c r="K50" i="111"/>
  <c r="L50" i="111" s="1"/>
  <c r="AC12" i="119"/>
  <c r="V12" i="119" s="1"/>
  <c r="J13" i="119"/>
  <c r="AB14" i="117"/>
  <c r="AB16" i="117"/>
  <c r="AB17" i="117"/>
  <c r="AB18" i="117"/>
  <c r="AB7" i="117"/>
  <c r="AB20" i="117"/>
  <c r="AB9" i="117"/>
  <c r="AC17" i="119" l="1"/>
  <c r="V17" i="119" s="1"/>
  <c r="AA9" i="126"/>
  <c r="AC9" i="126" s="1"/>
  <c r="V9" i="126" s="1"/>
  <c r="AC10" i="122"/>
  <c r="V10" i="122" s="1"/>
  <c r="AC15" i="119"/>
  <c r="V15" i="119" s="1"/>
  <c r="AA21" i="120"/>
  <c r="AA15" i="122"/>
  <c r="AC15" i="122" s="1"/>
  <c r="V15" i="122" s="1"/>
  <c r="AA9" i="123"/>
  <c r="AA16" i="124"/>
  <c r="AA19" i="124"/>
  <c r="AC19" i="124" s="1"/>
  <c r="V19" i="124" s="1"/>
  <c r="AA7" i="124"/>
  <c r="AC7" i="124" s="1"/>
  <c r="V7" i="124" s="1"/>
  <c r="AA19" i="119"/>
  <c r="AC19" i="119" s="1"/>
  <c r="V19" i="119" s="1"/>
  <c r="AA10" i="126"/>
  <c r="AC11" i="123"/>
  <c r="V11" i="123" s="1"/>
  <c r="AC14" i="122"/>
  <c r="V14" i="122" s="1"/>
  <c r="AC8" i="123"/>
  <c r="V8" i="123" s="1"/>
  <c r="AA20" i="120"/>
  <c r="AC9" i="123"/>
  <c r="V9" i="123" s="1"/>
  <c r="AA20" i="124"/>
  <c r="AA9" i="124"/>
  <c r="AC9" i="124" s="1"/>
  <c r="V9" i="124" s="1"/>
  <c r="AA17" i="124"/>
  <c r="AC15" i="125"/>
  <c r="V15" i="125" s="1"/>
  <c r="AC12" i="122"/>
  <c r="V12" i="122" s="1"/>
  <c r="AA21" i="125"/>
  <c r="AC21" i="125" s="1"/>
  <c r="V21" i="125" s="1"/>
  <c r="AA20" i="125"/>
  <c r="AC20" i="125" s="1"/>
  <c r="V20" i="125" s="1"/>
  <c r="AA15" i="126"/>
  <c r="AC15" i="126" s="1"/>
  <c r="V15" i="126" s="1"/>
  <c r="AA10" i="125"/>
  <c r="AA9" i="120"/>
  <c r="AC9" i="120" s="1"/>
  <c r="V9" i="120" s="1"/>
  <c r="AA10" i="121"/>
  <c r="AA15" i="123"/>
  <c r="AC15" i="123" s="1"/>
  <c r="V15" i="123" s="1"/>
  <c r="AA16" i="122"/>
  <c r="AC16" i="122" s="1"/>
  <c r="V16" i="122" s="1"/>
  <c r="AA17" i="122"/>
  <c r="AC17" i="122" s="1"/>
  <c r="V17" i="122" s="1"/>
  <c r="AA18" i="122"/>
  <c r="AC18" i="122" s="1"/>
  <c r="V18" i="122" s="1"/>
  <c r="AC20" i="123"/>
  <c r="V20" i="123" s="1"/>
  <c r="AA10" i="119"/>
  <c r="AC10" i="119" s="1"/>
  <c r="V10" i="119" s="1"/>
  <c r="AA7" i="122"/>
  <c r="AC7" i="122" s="1"/>
  <c r="V7" i="122" s="1"/>
  <c r="AA9" i="125"/>
  <c r="AC9" i="125" s="1"/>
  <c r="V9" i="125" s="1"/>
  <c r="AC20" i="124"/>
  <c r="V20" i="124" s="1"/>
  <c r="AA7" i="119"/>
  <c r="AC7" i="119" s="1"/>
  <c r="V7" i="119" s="1"/>
  <c r="AA21" i="126"/>
  <c r="AC21" i="126" s="1"/>
  <c r="V21" i="126" s="1"/>
  <c r="AA20" i="126"/>
  <c r="AC20" i="126" s="1"/>
  <c r="V20" i="126" s="1"/>
  <c r="AC10" i="124"/>
  <c r="V10" i="124" s="1"/>
  <c r="AC10" i="125"/>
  <c r="V10" i="125" s="1"/>
  <c r="AA18" i="120"/>
  <c r="AC18" i="120" s="1"/>
  <c r="V18" i="120" s="1"/>
  <c r="AA19" i="120"/>
  <c r="AC19" i="120" s="1"/>
  <c r="V19" i="120" s="1"/>
  <c r="AA17" i="120"/>
  <c r="AC17" i="120" s="1"/>
  <c r="V17" i="120" s="1"/>
  <c r="AC21" i="120"/>
  <c r="V21" i="120" s="1"/>
  <c r="AA9" i="121"/>
  <c r="AC21" i="122"/>
  <c r="V21" i="122" s="1"/>
  <c r="AC17" i="126"/>
  <c r="V17" i="126" s="1"/>
  <c r="AA20" i="121"/>
  <c r="AC20" i="121" s="1"/>
  <c r="V20" i="121" s="1"/>
  <c r="AA19" i="123"/>
  <c r="AC19" i="123" s="1"/>
  <c r="V19" i="123" s="1"/>
  <c r="AC16" i="124"/>
  <c r="V16" i="124" s="1"/>
  <c r="AA10" i="120"/>
  <c r="AC10" i="120" s="1"/>
  <c r="V10" i="120" s="1"/>
  <c r="AA21" i="121"/>
  <c r="AC21" i="121" s="1"/>
  <c r="V21" i="121" s="1"/>
  <c r="AA17" i="123"/>
  <c r="AA18" i="125"/>
  <c r="AC18" i="125" s="1"/>
  <c r="V18" i="125" s="1"/>
  <c r="AA7" i="120"/>
  <c r="AC7" i="120" s="1"/>
  <c r="V7" i="120" s="1"/>
  <c r="AA15" i="121"/>
  <c r="AC15" i="121" s="1"/>
  <c r="V15" i="121" s="1"/>
  <c r="AA7" i="125"/>
  <c r="AC7" i="125" s="1"/>
  <c r="V7" i="125" s="1"/>
  <c r="AA17" i="125"/>
  <c r="AC17" i="125" s="1"/>
  <c r="V17" i="125" s="1"/>
  <c r="AA16" i="125"/>
  <c r="AC16" i="125" s="1"/>
  <c r="V16" i="125" s="1"/>
  <c r="AA16" i="120"/>
  <c r="AC14" i="121"/>
  <c r="V14" i="121" s="1"/>
  <c r="AC9" i="122"/>
  <c r="V9" i="122" s="1"/>
  <c r="AA16" i="123"/>
  <c r="AC16" i="123" s="1"/>
  <c r="V16" i="123" s="1"/>
  <c r="AC19" i="125"/>
  <c r="V19" i="125" s="1"/>
  <c r="AC18" i="119"/>
  <c r="V18" i="119" s="1"/>
  <c r="AA21" i="119"/>
  <c r="AC21" i="119" s="1"/>
  <c r="V21" i="119" s="1"/>
  <c r="AA9" i="119"/>
  <c r="AC9" i="119" s="1"/>
  <c r="V9" i="119" s="1"/>
  <c r="AC10" i="126"/>
  <c r="V10" i="126" s="1"/>
  <c r="AC17" i="124"/>
  <c r="V17" i="124" s="1"/>
  <c r="AC18" i="123"/>
  <c r="V18" i="123" s="1"/>
  <c r="AC17" i="123"/>
  <c r="V17" i="123" s="1"/>
  <c r="AC8" i="121"/>
  <c r="V8" i="121" s="1"/>
  <c r="AC9" i="121"/>
  <c r="V9" i="121" s="1"/>
  <c r="AA16" i="121"/>
  <c r="AC16" i="121" s="1"/>
  <c r="V16" i="121" s="1"/>
  <c r="AA17" i="121"/>
  <c r="AC17" i="121" s="1"/>
  <c r="V17" i="121" s="1"/>
  <c r="AC11" i="121"/>
  <c r="V11" i="121" s="1"/>
  <c r="AC10" i="121"/>
  <c r="V10" i="121" s="1"/>
  <c r="AA19" i="121"/>
  <c r="AC19" i="121" s="1"/>
  <c r="V19" i="121" s="1"/>
  <c r="AC20" i="120"/>
  <c r="V20" i="120" s="1"/>
  <c r="AC16" i="120"/>
  <c r="V16" i="120" s="1"/>
  <c r="N15" i="117"/>
  <c r="J15" i="117"/>
  <c r="N14" i="117"/>
  <c r="M14" i="117"/>
  <c r="N13" i="117"/>
  <c r="M13" i="117"/>
  <c r="N12" i="117"/>
  <c r="M12" i="117"/>
  <c r="N11" i="117"/>
  <c r="O11" i="117" s="1"/>
  <c r="K11" i="117"/>
  <c r="N10" i="117"/>
  <c r="O10" i="117" s="1"/>
  <c r="K10" i="117"/>
  <c r="N9" i="117"/>
  <c r="N8" i="117"/>
  <c r="AB31" i="116"/>
  <c r="Y31" i="116"/>
  <c r="AA31" i="116" s="1"/>
  <c r="X31" i="116" s="1"/>
  <c r="K31" i="116"/>
  <c r="I31" i="116"/>
  <c r="J31" i="116" s="1"/>
  <c r="W29" i="116"/>
  <c r="I29" i="116"/>
  <c r="AB24" i="116"/>
  <c r="Y24" i="116"/>
  <c r="AA24" i="116" s="1"/>
  <c r="K24" i="116"/>
  <c r="I24" i="116"/>
  <c r="AB23" i="116"/>
  <c r="Y23" i="116"/>
  <c r="AA23" i="116" s="1"/>
  <c r="X23" i="116" s="1"/>
  <c r="K23" i="116"/>
  <c r="I23" i="116"/>
  <c r="F23" i="116" s="1"/>
  <c r="AB22" i="116"/>
  <c r="Y22" i="116"/>
  <c r="AA22" i="116" s="1"/>
  <c r="X22" i="116" s="1"/>
  <c r="K22" i="116"/>
  <c r="I22" i="116"/>
  <c r="F22" i="116"/>
  <c r="AB16" i="116"/>
  <c r="AC16" i="116" s="1"/>
  <c r="Y16" i="116"/>
  <c r="X16" i="116"/>
  <c r="K16" i="116"/>
  <c r="J16" i="116"/>
  <c r="I16" i="116"/>
  <c r="F16" i="116" s="1"/>
  <c r="AB15" i="116"/>
  <c r="AC15" i="116" s="1"/>
  <c r="Y15" i="116"/>
  <c r="X15" i="116"/>
  <c r="K15" i="116"/>
  <c r="J15" i="116"/>
  <c r="I15" i="116"/>
  <c r="F15" i="116" s="1"/>
  <c r="AB14" i="116"/>
  <c r="AC14" i="116" s="1"/>
  <c r="Y14" i="116"/>
  <c r="W14" i="116" s="1"/>
  <c r="I14" i="116" s="1"/>
  <c r="F14" i="116" s="1"/>
  <c r="X14" i="116"/>
  <c r="K14" i="116"/>
  <c r="J14" i="116"/>
  <c r="AB9" i="116"/>
  <c r="Y9" i="116"/>
  <c r="AA9" i="116" s="1"/>
  <c r="X9" i="116" s="1"/>
  <c r="K9" i="116"/>
  <c r="I9" i="116"/>
  <c r="F9" i="116" s="1"/>
  <c r="AB8" i="116"/>
  <c r="Y8" i="116"/>
  <c r="AA8" i="116" s="1"/>
  <c r="X8" i="116" s="1"/>
  <c r="K8" i="116"/>
  <c r="I8" i="116"/>
  <c r="F8" i="116" s="1"/>
  <c r="AB7" i="116"/>
  <c r="Y7" i="116"/>
  <c r="AA7" i="116" s="1"/>
  <c r="X7" i="116" s="1"/>
  <c r="K7" i="116"/>
  <c r="I7" i="116"/>
  <c r="F7" i="116"/>
  <c r="D2" i="116"/>
  <c r="AB31" i="115"/>
  <c r="Y31" i="115"/>
  <c r="AA31" i="115" s="1"/>
  <c r="X31" i="115" s="1"/>
  <c r="K31" i="115"/>
  <c r="I31" i="115"/>
  <c r="F31" i="115" s="1"/>
  <c r="W29" i="115"/>
  <c r="I29" i="115"/>
  <c r="AB24" i="115"/>
  <c r="Y24" i="115"/>
  <c r="AA24" i="115" s="1"/>
  <c r="K24" i="115"/>
  <c r="I24" i="115"/>
  <c r="AB23" i="115"/>
  <c r="Y23" i="115"/>
  <c r="AA23" i="115" s="1"/>
  <c r="X23" i="115" s="1"/>
  <c r="K23" i="115"/>
  <c r="I23" i="115"/>
  <c r="AB22" i="115"/>
  <c r="Y22" i="115"/>
  <c r="AA22" i="115" s="1"/>
  <c r="X22" i="115" s="1"/>
  <c r="K22" i="115"/>
  <c r="I22" i="115"/>
  <c r="AB16" i="115"/>
  <c r="AC16" i="115" s="1"/>
  <c r="Y16" i="115"/>
  <c r="X16" i="115"/>
  <c r="K16" i="115"/>
  <c r="J16" i="115"/>
  <c r="I16" i="115"/>
  <c r="F16" i="115" s="1"/>
  <c r="AB15" i="115"/>
  <c r="AC15" i="115" s="1"/>
  <c r="Y15" i="115"/>
  <c r="X15" i="115"/>
  <c r="K15" i="115"/>
  <c r="J15" i="115"/>
  <c r="I15" i="115"/>
  <c r="F15" i="115" s="1"/>
  <c r="AB14" i="115"/>
  <c r="AC14" i="115" s="1"/>
  <c r="Y14" i="115"/>
  <c r="W14" i="115" s="1"/>
  <c r="I14" i="115" s="1"/>
  <c r="F14" i="115" s="1"/>
  <c r="X14" i="115"/>
  <c r="K14" i="115"/>
  <c r="J14" i="115"/>
  <c r="AB9" i="115"/>
  <c r="Y9" i="115"/>
  <c r="AA9" i="115" s="1"/>
  <c r="X9" i="115" s="1"/>
  <c r="K9" i="115"/>
  <c r="I9" i="115"/>
  <c r="AB8" i="115"/>
  <c r="Y8" i="115"/>
  <c r="AA8" i="115" s="1"/>
  <c r="X8" i="115" s="1"/>
  <c r="K8" i="115"/>
  <c r="I8" i="115"/>
  <c r="AB7" i="115"/>
  <c r="Y7" i="115"/>
  <c r="K7" i="115"/>
  <c r="I7" i="115"/>
  <c r="F7" i="115" s="1"/>
  <c r="D2" i="115"/>
  <c r="AB31" i="114"/>
  <c r="Y31" i="114"/>
  <c r="AA31" i="114" s="1"/>
  <c r="X31" i="114" s="1"/>
  <c r="K31" i="114"/>
  <c r="I31" i="114"/>
  <c r="W29" i="114"/>
  <c r="I29" i="114"/>
  <c r="AB24" i="114"/>
  <c r="Y24" i="114"/>
  <c r="AA24" i="114" s="1"/>
  <c r="X24" i="114" s="1"/>
  <c r="K24" i="114"/>
  <c r="I24" i="114"/>
  <c r="AB23" i="114"/>
  <c r="Y23" i="114"/>
  <c r="AA23" i="114" s="1"/>
  <c r="K23" i="114"/>
  <c r="I23" i="114"/>
  <c r="AB22" i="114"/>
  <c r="Y22" i="114"/>
  <c r="AA22" i="114" s="1"/>
  <c r="X22" i="114" s="1"/>
  <c r="K22" i="114"/>
  <c r="I22" i="114"/>
  <c r="AB16" i="114"/>
  <c r="AC16" i="114" s="1"/>
  <c r="Y16" i="114"/>
  <c r="X16" i="114"/>
  <c r="K16" i="114"/>
  <c r="J16" i="114"/>
  <c r="L16" i="114" s="1"/>
  <c r="I16" i="114"/>
  <c r="F16" i="114" s="1"/>
  <c r="AB15" i="114"/>
  <c r="AC15" i="114" s="1"/>
  <c r="Y15" i="114"/>
  <c r="X15" i="114"/>
  <c r="K15" i="114"/>
  <c r="J15" i="114"/>
  <c r="I15" i="114"/>
  <c r="F15" i="114" s="1"/>
  <c r="AB14" i="114"/>
  <c r="AC14" i="114" s="1"/>
  <c r="Y14" i="114"/>
  <c r="W14" i="114" s="1"/>
  <c r="I14" i="114" s="1"/>
  <c r="F14" i="114" s="1"/>
  <c r="X14" i="114"/>
  <c r="K14" i="114"/>
  <c r="J14" i="114"/>
  <c r="AB9" i="114"/>
  <c r="Y9" i="114"/>
  <c r="AA9" i="114" s="1"/>
  <c r="K9" i="114"/>
  <c r="I9" i="114"/>
  <c r="AB8" i="114"/>
  <c r="Y8" i="114"/>
  <c r="AA8" i="114" s="1"/>
  <c r="X8" i="114" s="1"/>
  <c r="K8" i="114"/>
  <c r="I8" i="114"/>
  <c r="AB7" i="114"/>
  <c r="Y7" i="114"/>
  <c r="K7" i="114"/>
  <c r="I7" i="114"/>
  <c r="F7" i="114" s="1"/>
  <c r="D2" i="114"/>
  <c r="AB31" i="113"/>
  <c r="Y31" i="113"/>
  <c r="AA31" i="113" s="1"/>
  <c r="X31" i="113" s="1"/>
  <c r="K31" i="113"/>
  <c r="I31" i="113"/>
  <c r="F31" i="113" s="1"/>
  <c r="W29" i="113"/>
  <c r="I29" i="113"/>
  <c r="AB24" i="113"/>
  <c r="Y24" i="113"/>
  <c r="AA24" i="113" s="1"/>
  <c r="X24" i="113" s="1"/>
  <c r="K24" i="113"/>
  <c r="I24" i="113"/>
  <c r="AB23" i="113"/>
  <c r="Y23" i="113"/>
  <c r="AA23" i="113" s="1"/>
  <c r="X23" i="113" s="1"/>
  <c r="K23" i="113"/>
  <c r="I23" i="113"/>
  <c r="AB22" i="113"/>
  <c r="Y22" i="113"/>
  <c r="AA22" i="113" s="1"/>
  <c r="X22" i="113" s="1"/>
  <c r="K22" i="113"/>
  <c r="I22" i="113"/>
  <c r="F22" i="113" s="1"/>
  <c r="AB16" i="113"/>
  <c r="AC16" i="113" s="1"/>
  <c r="Y16" i="113"/>
  <c r="X16" i="113"/>
  <c r="K16" i="113"/>
  <c r="J16" i="113"/>
  <c r="I16" i="113"/>
  <c r="F16" i="113" s="1"/>
  <c r="AB15" i="113"/>
  <c r="AC15" i="113" s="1"/>
  <c r="Y15" i="113"/>
  <c r="X15" i="113"/>
  <c r="K15" i="113"/>
  <c r="J15" i="113"/>
  <c r="L15" i="113" s="1"/>
  <c r="I15" i="113"/>
  <c r="F15" i="113" s="1"/>
  <c r="AB14" i="113"/>
  <c r="AC14" i="113" s="1"/>
  <c r="Y14" i="113"/>
  <c r="W14" i="113" s="1"/>
  <c r="I14" i="113" s="1"/>
  <c r="F14" i="113" s="1"/>
  <c r="X14" i="113"/>
  <c r="K14" i="113"/>
  <c r="J14" i="113"/>
  <c r="AB9" i="113"/>
  <c r="Y9" i="113"/>
  <c r="AA9" i="113" s="1"/>
  <c r="X9" i="113" s="1"/>
  <c r="K9" i="113"/>
  <c r="I9" i="113"/>
  <c r="F9" i="113" s="1"/>
  <c r="AB8" i="113"/>
  <c r="Y8" i="113"/>
  <c r="AA8" i="113" s="1"/>
  <c r="X8" i="113" s="1"/>
  <c r="K8" i="113"/>
  <c r="I8" i="113"/>
  <c r="F8" i="113" s="1"/>
  <c r="AB7" i="113"/>
  <c r="Y7" i="113"/>
  <c r="K7" i="113"/>
  <c r="I7" i="113"/>
  <c r="F7" i="113" s="1"/>
  <c r="G2" i="113"/>
  <c r="D2" i="113"/>
  <c r="AB31" i="112"/>
  <c r="Y31" i="112"/>
  <c r="AA31" i="112" s="1"/>
  <c r="K31" i="112"/>
  <c r="I31" i="112"/>
  <c r="F31" i="112" s="1"/>
  <c r="W29" i="112"/>
  <c r="I29" i="112"/>
  <c r="AB24" i="112"/>
  <c r="Y24" i="112"/>
  <c r="AA24" i="112" s="1"/>
  <c r="K24" i="112"/>
  <c r="I24" i="112"/>
  <c r="AB23" i="112"/>
  <c r="Y23" i="112"/>
  <c r="AA23" i="112" s="1"/>
  <c r="X23" i="112" s="1"/>
  <c r="K23" i="112"/>
  <c r="I23" i="112"/>
  <c r="F23" i="112" s="1"/>
  <c r="AB22" i="112"/>
  <c r="Y22" i="112"/>
  <c r="AA22" i="112" s="1"/>
  <c r="K22" i="112"/>
  <c r="I22" i="112"/>
  <c r="F22" i="112" s="1"/>
  <c r="AB16" i="112"/>
  <c r="AC16" i="112" s="1"/>
  <c r="Y16" i="112"/>
  <c r="X16" i="112"/>
  <c r="K16" i="112"/>
  <c r="J16" i="112"/>
  <c r="I16" i="112"/>
  <c r="F16" i="112" s="1"/>
  <c r="AB15" i="112"/>
  <c r="AC15" i="112" s="1"/>
  <c r="Y15" i="112"/>
  <c r="X15" i="112"/>
  <c r="K15" i="112"/>
  <c r="J15" i="112"/>
  <c r="I15" i="112"/>
  <c r="F15" i="112" s="1"/>
  <c r="AB14" i="112"/>
  <c r="AC14" i="112" s="1"/>
  <c r="Y14" i="112"/>
  <c r="W14" i="112" s="1"/>
  <c r="I14" i="112" s="1"/>
  <c r="F14" i="112" s="1"/>
  <c r="X14" i="112"/>
  <c r="K14" i="112"/>
  <c r="J14" i="112"/>
  <c r="AB9" i="112"/>
  <c r="Y9" i="112"/>
  <c r="AA9" i="112" s="1"/>
  <c r="X9" i="112" s="1"/>
  <c r="K9" i="112"/>
  <c r="I9" i="112"/>
  <c r="AB8" i="112"/>
  <c r="Y8" i="112"/>
  <c r="AA8" i="112" s="1"/>
  <c r="K8" i="112"/>
  <c r="I8" i="112"/>
  <c r="F8" i="112" s="1"/>
  <c r="AB7" i="112"/>
  <c r="Y7" i="112"/>
  <c r="AA7" i="112" s="1"/>
  <c r="X7" i="112" s="1"/>
  <c r="K7" i="112"/>
  <c r="I7" i="112"/>
  <c r="F7" i="112" s="1"/>
  <c r="G2" i="112"/>
  <c r="D2" i="112"/>
  <c r="AB31" i="111"/>
  <c r="Y31" i="111"/>
  <c r="AA31" i="111" s="1"/>
  <c r="X31" i="111" s="1"/>
  <c r="K31" i="111"/>
  <c r="I31" i="111"/>
  <c r="W29" i="111"/>
  <c r="I29" i="111"/>
  <c r="AB24" i="111"/>
  <c r="Y24" i="111"/>
  <c r="AA24" i="111" s="1"/>
  <c r="X24" i="111" s="1"/>
  <c r="K24" i="111"/>
  <c r="I24" i="111"/>
  <c r="F24" i="111" s="1"/>
  <c r="AB23" i="111"/>
  <c r="Y23" i="111"/>
  <c r="AA23" i="111" s="1"/>
  <c r="X23" i="111" s="1"/>
  <c r="K23" i="111"/>
  <c r="I23" i="111"/>
  <c r="AB22" i="111"/>
  <c r="Y22" i="111"/>
  <c r="AA22" i="111" s="1"/>
  <c r="X22" i="111" s="1"/>
  <c r="K22" i="111"/>
  <c r="I22" i="111"/>
  <c r="F22" i="111" s="1"/>
  <c r="AB16" i="111"/>
  <c r="AC16" i="111" s="1"/>
  <c r="Y16" i="111"/>
  <c r="X16" i="111"/>
  <c r="K16" i="111"/>
  <c r="J16" i="111"/>
  <c r="I16" i="111"/>
  <c r="F16" i="111" s="1"/>
  <c r="AB15" i="111"/>
  <c r="AC15" i="111" s="1"/>
  <c r="Y15" i="111"/>
  <c r="X15" i="111"/>
  <c r="K15" i="111"/>
  <c r="J15" i="111"/>
  <c r="I15" i="111"/>
  <c r="F15" i="111" s="1"/>
  <c r="AB14" i="111"/>
  <c r="AC14" i="111" s="1"/>
  <c r="Y14" i="111"/>
  <c r="W14" i="111" s="1"/>
  <c r="I14" i="111" s="1"/>
  <c r="F14" i="111" s="1"/>
  <c r="X14" i="111"/>
  <c r="K14" i="111"/>
  <c r="J14" i="111"/>
  <c r="AB9" i="111"/>
  <c r="Y9" i="111"/>
  <c r="AA9" i="111" s="1"/>
  <c r="X9" i="111" s="1"/>
  <c r="K9" i="111"/>
  <c r="I9" i="111"/>
  <c r="AB8" i="111"/>
  <c r="Y8" i="111"/>
  <c r="AA8" i="111" s="1"/>
  <c r="X8" i="111" s="1"/>
  <c r="K8" i="111"/>
  <c r="I8" i="111"/>
  <c r="F8" i="111" s="1"/>
  <c r="AB7" i="111"/>
  <c r="Y7" i="111"/>
  <c r="AA7" i="111" s="1"/>
  <c r="X7" i="111" s="1"/>
  <c r="K7" i="111"/>
  <c r="I7" i="111"/>
  <c r="F7" i="111" s="1"/>
  <c r="G2" i="111"/>
  <c r="D2" i="111"/>
  <c r="AB31" i="110"/>
  <c r="Y31" i="110"/>
  <c r="AA31" i="110" s="1"/>
  <c r="X31" i="110" s="1"/>
  <c r="K31" i="110"/>
  <c r="I31" i="110"/>
  <c r="F31" i="110" s="1"/>
  <c r="W29" i="110"/>
  <c r="I29" i="110"/>
  <c r="AB24" i="110"/>
  <c r="Y24" i="110"/>
  <c r="K24" i="110"/>
  <c r="I24" i="110"/>
  <c r="F24" i="110" s="1"/>
  <c r="AB23" i="110"/>
  <c r="Y23" i="110"/>
  <c r="AA23" i="110" s="1"/>
  <c r="X23" i="110" s="1"/>
  <c r="K23" i="110"/>
  <c r="I23" i="110"/>
  <c r="AB22" i="110"/>
  <c r="Y22" i="110"/>
  <c r="AA22" i="110" s="1"/>
  <c r="K22" i="110"/>
  <c r="I22" i="110"/>
  <c r="F22" i="110" s="1"/>
  <c r="AB16" i="110"/>
  <c r="AC16" i="110" s="1"/>
  <c r="Y16" i="110"/>
  <c r="X16" i="110"/>
  <c r="K16" i="110"/>
  <c r="J16" i="110"/>
  <c r="I16" i="110"/>
  <c r="F16" i="110" s="1"/>
  <c r="AB15" i="110"/>
  <c r="AC15" i="110" s="1"/>
  <c r="Y15" i="110"/>
  <c r="X15" i="110"/>
  <c r="K15" i="110"/>
  <c r="J15" i="110"/>
  <c r="I15" i="110"/>
  <c r="F15" i="110" s="1"/>
  <c r="AB14" i="110"/>
  <c r="AC14" i="110" s="1"/>
  <c r="Y14" i="110"/>
  <c r="W14" i="110" s="1"/>
  <c r="I14" i="110" s="1"/>
  <c r="F14" i="110" s="1"/>
  <c r="X14" i="110"/>
  <c r="K14" i="110"/>
  <c r="J14" i="110"/>
  <c r="AB9" i="110"/>
  <c r="Y9" i="110"/>
  <c r="AA9" i="110" s="1"/>
  <c r="X9" i="110" s="1"/>
  <c r="K9" i="110"/>
  <c r="I9" i="110"/>
  <c r="AB8" i="110"/>
  <c r="Y8" i="110"/>
  <c r="AA8" i="110" s="1"/>
  <c r="K8" i="110"/>
  <c r="I8" i="110"/>
  <c r="F8" i="110" s="1"/>
  <c r="AB7" i="110"/>
  <c r="Y7" i="110"/>
  <c r="AA7" i="110" s="1"/>
  <c r="X7" i="110" s="1"/>
  <c r="K7" i="110"/>
  <c r="I7" i="110"/>
  <c r="G2" i="110"/>
  <c r="D2" i="110"/>
  <c r="L15" i="116" l="1"/>
  <c r="J23" i="114"/>
  <c r="AC9" i="115"/>
  <c r="AC31" i="116"/>
  <c r="L14" i="116"/>
  <c r="J7" i="113"/>
  <c r="J9" i="114"/>
  <c r="L15" i="114"/>
  <c r="L16" i="112"/>
  <c r="J8" i="114"/>
  <c r="J8" i="115"/>
  <c r="L8" i="115" s="1"/>
  <c r="L16" i="116"/>
  <c r="J24" i="113"/>
  <c r="L24" i="113" s="1"/>
  <c r="AC8" i="115"/>
  <c r="J22" i="116"/>
  <c r="L22" i="116" s="1"/>
  <c r="J24" i="116"/>
  <c r="J22" i="115"/>
  <c r="J24" i="115"/>
  <c r="AC31" i="111"/>
  <c r="AC7" i="116"/>
  <c r="J8" i="116"/>
  <c r="L8" i="116" s="1"/>
  <c r="AC24" i="111"/>
  <c r="J24" i="112"/>
  <c r="AC9" i="111"/>
  <c r="J8" i="111"/>
  <c r="J9" i="110"/>
  <c r="L9" i="110" s="1"/>
  <c r="J31" i="111"/>
  <c r="L31" i="111" s="1"/>
  <c r="J31" i="113"/>
  <c r="L31" i="113" s="1"/>
  <c r="J31" i="114"/>
  <c r="L31" i="114" s="1"/>
  <c r="AC7" i="112"/>
  <c r="AC8" i="111"/>
  <c r="J22" i="111"/>
  <c r="L22" i="111" s="1"/>
  <c r="L15" i="112"/>
  <c r="J23" i="112"/>
  <c r="L23" i="112" s="1"/>
  <c r="J8" i="113"/>
  <c r="L8" i="113" s="1"/>
  <c r="J23" i="113"/>
  <c r="L23" i="113" s="1"/>
  <c r="F31" i="116"/>
  <c r="AC9" i="113"/>
  <c r="J9" i="111"/>
  <c r="J24" i="111"/>
  <c r="F31" i="111"/>
  <c r="AC24" i="113"/>
  <c r="J31" i="115"/>
  <c r="L31" i="115" s="1"/>
  <c r="AC22" i="113"/>
  <c r="L16" i="111"/>
  <c r="J22" i="113"/>
  <c r="L22" i="113" s="1"/>
  <c r="J9" i="115"/>
  <c r="L9" i="115" s="1"/>
  <c r="L16" i="115"/>
  <c r="J7" i="116"/>
  <c r="L7" i="116" s="1"/>
  <c r="J9" i="112"/>
  <c r="L9" i="112" s="1"/>
  <c r="J22" i="114"/>
  <c r="J24" i="114"/>
  <c r="J23" i="115"/>
  <c r="L15" i="111"/>
  <c r="J23" i="111"/>
  <c r="L23" i="111" s="1"/>
  <c r="AC23" i="112"/>
  <c r="L16" i="113"/>
  <c r="F24" i="113"/>
  <c r="AC31" i="113"/>
  <c r="F31" i="114"/>
  <c r="L15" i="115"/>
  <c r="J9" i="116"/>
  <c r="L9" i="116" s="1"/>
  <c r="J23" i="116"/>
  <c r="L23" i="116" s="1"/>
  <c r="L31" i="116"/>
  <c r="O14" i="117"/>
  <c r="O12" i="117"/>
  <c r="O8" i="117"/>
  <c r="O13" i="117"/>
  <c r="G15" i="117"/>
  <c r="K12" i="117"/>
  <c r="K14" i="117"/>
  <c r="K8" i="117"/>
  <c r="K13" i="117"/>
  <c r="O7" i="117"/>
  <c r="AC9" i="116"/>
  <c r="AC23" i="116"/>
  <c r="X24" i="116"/>
  <c r="L24" i="116" s="1"/>
  <c r="AC24" i="116"/>
  <c r="AC8" i="116"/>
  <c r="AC22" i="116"/>
  <c r="F24" i="116"/>
  <c r="F22" i="115"/>
  <c r="L23" i="115"/>
  <c r="L22" i="115"/>
  <c r="F23" i="115"/>
  <c r="L14" i="115"/>
  <c r="F8" i="115"/>
  <c r="J7" i="115"/>
  <c r="F9" i="115"/>
  <c r="AC23" i="115"/>
  <c r="AC22" i="115"/>
  <c r="X24" i="115"/>
  <c r="L24" i="115" s="1"/>
  <c r="AC24" i="115"/>
  <c r="AC31" i="115"/>
  <c r="F24" i="115"/>
  <c r="AA7" i="115"/>
  <c r="X7" i="115" s="1"/>
  <c r="F22" i="114"/>
  <c r="L22" i="114"/>
  <c r="L14" i="114"/>
  <c r="J7" i="114"/>
  <c r="F8" i="114"/>
  <c r="L8" i="114"/>
  <c r="AC31" i="114"/>
  <c r="AC8" i="114"/>
  <c r="AC23" i="114"/>
  <c r="X23" i="114"/>
  <c r="AC9" i="114"/>
  <c r="X9" i="114"/>
  <c r="AC22" i="114"/>
  <c r="L24" i="114"/>
  <c r="F9" i="114"/>
  <c r="F23" i="114"/>
  <c r="F24" i="114"/>
  <c r="AA7" i="114"/>
  <c r="X7" i="114" s="1"/>
  <c r="AC24" i="114"/>
  <c r="F23" i="113"/>
  <c r="L14" i="113"/>
  <c r="J9" i="113"/>
  <c r="L9" i="113" s="1"/>
  <c r="AC23" i="113"/>
  <c r="AC8" i="113"/>
  <c r="AA7" i="113"/>
  <c r="X7" i="113" s="1"/>
  <c r="L7" i="113" s="1"/>
  <c r="AC9" i="112"/>
  <c r="F9" i="112"/>
  <c r="J7" i="112"/>
  <c r="L7" i="112" s="1"/>
  <c r="L14" i="112"/>
  <c r="X22" i="112"/>
  <c r="AC22" i="112"/>
  <c r="X8" i="112"/>
  <c r="AC8" i="112"/>
  <c r="AC24" i="112"/>
  <c r="X24" i="112"/>
  <c r="AC31" i="112"/>
  <c r="X31" i="112"/>
  <c r="J22" i="112"/>
  <c r="F24" i="112"/>
  <c r="J31" i="112"/>
  <c r="J8" i="112"/>
  <c r="F23" i="111"/>
  <c r="L14" i="111"/>
  <c r="L9" i="111"/>
  <c r="L8" i="111"/>
  <c r="F9" i="111"/>
  <c r="AC23" i="111"/>
  <c r="AC22" i="111"/>
  <c r="L24" i="111"/>
  <c r="AC7" i="111"/>
  <c r="J7" i="111"/>
  <c r="L7" i="111" s="1"/>
  <c r="AC7" i="110"/>
  <c r="AC23" i="110"/>
  <c r="AC9" i="110"/>
  <c r="L16" i="110"/>
  <c r="J7" i="110"/>
  <c r="L7" i="110" s="1"/>
  <c r="L15" i="110"/>
  <c r="J23" i="110"/>
  <c r="L23" i="110" s="1"/>
  <c r="J31" i="110"/>
  <c r="L31" i="110" s="1"/>
  <c r="F9" i="110"/>
  <c r="J24" i="110"/>
  <c r="F23" i="110"/>
  <c r="J22" i="110"/>
  <c r="J8" i="110"/>
  <c r="F7" i="110"/>
  <c r="L14" i="110"/>
  <c r="AC8" i="110"/>
  <c r="X8" i="110"/>
  <c r="AC31" i="110"/>
  <c r="AC22" i="110"/>
  <c r="X22" i="110"/>
  <c r="AA24" i="110"/>
  <c r="L31" i="112" l="1"/>
  <c r="L23" i="114"/>
  <c r="L24" i="112"/>
  <c r="L9" i="114"/>
  <c r="L7" i="115"/>
  <c r="AC7" i="115"/>
  <c r="K7" i="117"/>
  <c r="L7" i="114"/>
  <c r="AC7" i="114"/>
  <c r="AC7" i="113"/>
  <c r="L8" i="112"/>
  <c r="L22" i="112"/>
  <c r="L8" i="110"/>
  <c r="L22" i="110"/>
  <c r="AC24" i="110"/>
  <c r="X24" i="110"/>
  <c r="L24" i="110" s="1"/>
  <c r="K9" i="109" l="1"/>
  <c r="K24" i="109"/>
  <c r="AB31" i="109"/>
  <c r="Y31" i="109"/>
  <c r="AA31" i="109" s="1"/>
  <c r="X31" i="109" s="1"/>
  <c r="K31" i="109"/>
  <c r="I31" i="109"/>
  <c r="J31" i="109" s="1"/>
  <c r="W29" i="109"/>
  <c r="I29" i="109"/>
  <c r="AB24" i="109"/>
  <c r="AC24" i="109" s="1"/>
  <c r="Y24" i="109"/>
  <c r="AA24" i="109" s="1"/>
  <c r="X24" i="109" s="1"/>
  <c r="I24" i="109"/>
  <c r="F24" i="109" s="1"/>
  <c r="AB23" i="109"/>
  <c r="Y23" i="109"/>
  <c r="AA23" i="109" s="1"/>
  <c r="X23" i="109" s="1"/>
  <c r="K23" i="109"/>
  <c r="I23" i="109"/>
  <c r="AB22" i="109"/>
  <c r="Y22" i="109"/>
  <c r="AA22" i="109" s="1"/>
  <c r="X22" i="109" s="1"/>
  <c r="K22" i="109"/>
  <c r="I22" i="109"/>
  <c r="AB16" i="109"/>
  <c r="AC16" i="109" s="1"/>
  <c r="Y16" i="109"/>
  <c r="X16" i="109"/>
  <c r="K16" i="109"/>
  <c r="J16" i="109"/>
  <c r="I16" i="109"/>
  <c r="F16" i="109" s="1"/>
  <c r="AB15" i="109"/>
  <c r="AC15" i="109" s="1"/>
  <c r="Y15" i="109"/>
  <c r="X15" i="109"/>
  <c r="K15" i="109"/>
  <c r="J15" i="109"/>
  <c r="I15" i="109"/>
  <c r="F15" i="109" s="1"/>
  <c r="AB14" i="109"/>
  <c r="AC14" i="109" s="1"/>
  <c r="Y14" i="109"/>
  <c r="W14" i="109" s="1"/>
  <c r="I14" i="109" s="1"/>
  <c r="F14" i="109" s="1"/>
  <c r="X14" i="109"/>
  <c r="K14" i="109"/>
  <c r="J14" i="109"/>
  <c r="AB9" i="109"/>
  <c r="Y9" i="109"/>
  <c r="AA9" i="109" s="1"/>
  <c r="X9" i="109" s="1"/>
  <c r="I9" i="109"/>
  <c r="AB8" i="109"/>
  <c r="Y8" i="109"/>
  <c r="AA8" i="109" s="1"/>
  <c r="X8" i="109" s="1"/>
  <c r="K8" i="109"/>
  <c r="I8" i="109"/>
  <c r="F8" i="109" s="1"/>
  <c r="AB7" i="109"/>
  <c r="Y7" i="109"/>
  <c r="AA7" i="109" s="1"/>
  <c r="X7" i="109" s="1"/>
  <c r="K7" i="109"/>
  <c r="I7" i="109"/>
  <c r="G2" i="109"/>
  <c r="D2" i="109"/>
  <c r="L16" i="109" l="1"/>
  <c r="AC8" i="109"/>
  <c r="F31" i="109"/>
  <c r="J7" i="109"/>
  <c r="L7" i="109" s="1"/>
  <c r="J9" i="109"/>
  <c r="L9" i="109" s="1"/>
  <c r="L15" i="109"/>
  <c r="J23" i="109"/>
  <c r="L23" i="109" s="1"/>
  <c r="L31" i="109"/>
  <c r="L14" i="109"/>
  <c r="J22" i="109"/>
  <c r="L22" i="109" s="1"/>
  <c r="J24" i="109"/>
  <c r="L24" i="109" s="1"/>
  <c r="F23" i="109"/>
  <c r="F22" i="109"/>
  <c r="F9" i="109"/>
  <c r="J8" i="109"/>
  <c r="L8" i="109" s="1"/>
  <c r="F7" i="109"/>
  <c r="AC9" i="109"/>
  <c r="AC22" i="109"/>
  <c r="AC7" i="109"/>
  <c r="AC23" i="109"/>
  <c r="AC31" i="109"/>
  <c r="AB31" i="108"/>
  <c r="Y31" i="108"/>
  <c r="AA31" i="108" s="1"/>
  <c r="X31" i="108" s="1"/>
  <c r="K31" i="108"/>
  <c r="I31" i="108"/>
  <c r="F31" i="108"/>
  <c r="W29" i="108"/>
  <c r="I29" i="108"/>
  <c r="AB24" i="108"/>
  <c r="Y24" i="108"/>
  <c r="AA24" i="108" s="1"/>
  <c r="X24" i="108" s="1"/>
  <c r="K24" i="108"/>
  <c r="I24" i="108"/>
  <c r="AB23" i="108"/>
  <c r="Y23" i="108"/>
  <c r="AA23" i="108" s="1"/>
  <c r="X23" i="108" s="1"/>
  <c r="K23" i="108"/>
  <c r="I23" i="108"/>
  <c r="AB22" i="108"/>
  <c r="Y22" i="108"/>
  <c r="AA22" i="108" s="1"/>
  <c r="X22" i="108" s="1"/>
  <c r="K22" i="108"/>
  <c r="I22" i="108"/>
  <c r="AB16" i="108"/>
  <c r="AC16" i="108" s="1"/>
  <c r="Y16" i="108"/>
  <c r="X16" i="108"/>
  <c r="K16" i="108"/>
  <c r="J16" i="108"/>
  <c r="I16" i="108"/>
  <c r="F16" i="108" s="1"/>
  <c r="AB15" i="108"/>
  <c r="AC15" i="108" s="1"/>
  <c r="Y15" i="108"/>
  <c r="X15" i="108"/>
  <c r="K15" i="108"/>
  <c r="J15" i="108"/>
  <c r="I15" i="108"/>
  <c r="F15" i="108" s="1"/>
  <c r="AB14" i="108"/>
  <c r="AC14" i="108" s="1"/>
  <c r="Y14" i="108"/>
  <c r="W14" i="108" s="1"/>
  <c r="I14" i="108" s="1"/>
  <c r="F14" i="108" s="1"/>
  <c r="X14" i="108"/>
  <c r="K14" i="108"/>
  <c r="J14" i="108"/>
  <c r="AB9" i="108"/>
  <c r="Y9" i="108"/>
  <c r="AA9" i="108" s="1"/>
  <c r="X9" i="108" s="1"/>
  <c r="K9" i="108"/>
  <c r="I9" i="108"/>
  <c r="J9" i="108" s="1"/>
  <c r="AB8" i="108"/>
  <c r="Y8" i="108"/>
  <c r="AA8" i="108" s="1"/>
  <c r="X8" i="108" s="1"/>
  <c r="K8" i="108"/>
  <c r="I8" i="108"/>
  <c r="AB7" i="108"/>
  <c r="Y7" i="108"/>
  <c r="K7" i="108"/>
  <c r="I7" i="108"/>
  <c r="F7" i="108" s="1"/>
  <c r="G2" i="108"/>
  <c r="D2" i="108"/>
  <c r="AB31" i="107"/>
  <c r="Y31" i="107"/>
  <c r="AA31" i="107" s="1"/>
  <c r="X31" i="107" s="1"/>
  <c r="K31" i="107"/>
  <c r="I31" i="107"/>
  <c r="F31" i="107" s="1"/>
  <c r="W29" i="107"/>
  <c r="I29" i="107"/>
  <c r="AB24" i="107"/>
  <c r="Y24" i="107"/>
  <c r="AA24" i="107" s="1"/>
  <c r="X24" i="107" s="1"/>
  <c r="K24" i="107"/>
  <c r="I24" i="107"/>
  <c r="F24" i="107" s="1"/>
  <c r="AB23" i="107"/>
  <c r="Y23" i="107"/>
  <c r="AA23" i="107" s="1"/>
  <c r="X23" i="107" s="1"/>
  <c r="K23" i="107"/>
  <c r="I23" i="107"/>
  <c r="F23" i="107" s="1"/>
  <c r="AB22" i="107"/>
  <c r="Y22" i="107"/>
  <c r="AA22" i="107" s="1"/>
  <c r="X22" i="107" s="1"/>
  <c r="K22" i="107"/>
  <c r="I22" i="107"/>
  <c r="AB16" i="107"/>
  <c r="AC16" i="107" s="1"/>
  <c r="Y16" i="107"/>
  <c r="X16" i="107"/>
  <c r="K16" i="107"/>
  <c r="J16" i="107"/>
  <c r="I16" i="107"/>
  <c r="F16" i="107" s="1"/>
  <c r="AB15" i="107"/>
  <c r="AC15" i="107" s="1"/>
  <c r="Y15" i="107"/>
  <c r="X15" i="107"/>
  <c r="K15" i="107"/>
  <c r="J15" i="107"/>
  <c r="I15" i="107"/>
  <c r="F15" i="107" s="1"/>
  <c r="AB14" i="107"/>
  <c r="AC14" i="107" s="1"/>
  <c r="Y14" i="107"/>
  <c r="W14" i="107" s="1"/>
  <c r="I14" i="107" s="1"/>
  <c r="F14" i="107" s="1"/>
  <c r="X14" i="107"/>
  <c r="K14" i="107"/>
  <c r="J14" i="107"/>
  <c r="AB9" i="107"/>
  <c r="Y9" i="107"/>
  <c r="AA9" i="107" s="1"/>
  <c r="X9" i="107" s="1"/>
  <c r="K9" i="107"/>
  <c r="I9" i="107"/>
  <c r="F9" i="107" s="1"/>
  <c r="AB8" i="107"/>
  <c r="Y8" i="107"/>
  <c r="AA8" i="107" s="1"/>
  <c r="X8" i="107" s="1"/>
  <c r="K8" i="107"/>
  <c r="I8" i="107"/>
  <c r="J8" i="107" s="1"/>
  <c r="AB7" i="107"/>
  <c r="Y7" i="107"/>
  <c r="K7" i="107"/>
  <c r="I7" i="107"/>
  <c r="F7" i="107" s="1"/>
  <c r="G2" i="107"/>
  <c r="D2" i="107"/>
  <c r="AB31" i="106"/>
  <c r="Y31" i="106"/>
  <c r="AA31" i="106" s="1"/>
  <c r="X31" i="106" s="1"/>
  <c r="K31" i="106"/>
  <c r="I31" i="106"/>
  <c r="F31" i="106" s="1"/>
  <c r="W29" i="106"/>
  <c r="I29" i="106"/>
  <c r="AB24" i="106"/>
  <c r="Y24" i="106"/>
  <c r="AA24" i="106" s="1"/>
  <c r="K24" i="106"/>
  <c r="I24" i="106"/>
  <c r="AB23" i="106"/>
  <c r="Y23" i="106"/>
  <c r="AA23" i="106" s="1"/>
  <c r="K23" i="106"/>
  <c r="I23" i="106"/>
  <c r="AB22" i="106"/>
  <c r="Y22" i="106"/>
  <c r="AA22" i="106" s="1"/>
  <c r="X22" i="106" s="1"/>
  <c r="K22" i="106"/>
  <c r="I22" i="106"/>
  <c r="F22" i="106" s="1"/>
  <c r="AB16" i="106"/>
  <c r="AC16" i="106" s="1"/>
  <c r="Y16" i="106"/>
  <c r="X16" i="106"/>
  <c r="K16" i="106"/>
  <c r="J16" i="106"/>
  <c r="I16" i="106"/>
  <c r="F16" i="106" s="1"/>
  <c r="AB15" i="106"/>
  <c r="AC15" i="106" s="1"/>
  <c r="Y15" i="106"/>
  <c r="X15" i="106"/>
  <c r="K15" i="106"/>
  <c r="J15" i="106"/>
  <c r="I15" i="106"/>
  <c r="F15" i="106" s="1"/>
  <c r="AB14" i="106"/>
  <c r="AC14" i="106" s="1"/>
  <c r="Y14" i="106"/>
  <c r="W14" i="106" s="1"/>
  <c r="I14" i="106" s="1"/>
  <c r="F14" i="106" s="1"/>
  <c r="X14" i="106"/>
  <c r="K14" i="106"/>
  <c r="J14" i="106"/>
  <c r="AB9" i="106"/>
  <c r="Y9" i="106"/>
  <c r="AA9" i="106" s="1"/>
  <c r="X9" i="106" s="1"/>
  <c r="K9" i="106"/>
  <c r="I9" i="106"/>
  <c r="AB8" i="106"/>
  <c r="Y8" i="106"/>
  <c r="AA8" i="106" s="1"/>
  <c r="X8" i="106" s="1"/>
  <c r="K8" i="106"/>
  <c r="I8" i="106"/>
  <c r="F8" i="106" s="1"/>
  <c r="AB7" i="106"/>
  <c r="Y7" i="106"/>
  <c r="AA7" i="106" s="1"/>
  <c r="X7" i="106" s="1"/>
  <c r="K7" i="106"/>
  <c r="I7" i="106"/>
  <c r="F7" i="106" s="1"/>
  <c r="G2" i="106"/>
  <c r="D2" i="106"/>
  <c r="H2" i="105"/>
  <c r="K24" i="105"/>
  <c r="K9" i="105"/>
  <c r="AB31" i="105"/>
  <c r="Y31" i="105"/>
  <c r="AA31" i="105" s="1"/>
  <c r="X31" i="105" s="1"/>
  <c r="K31" i="105"/>
  <c r="I31" i="105"/>
  <c r="F31" i="105" s="1"/>
  <c r="W29" i="105"/>
  <c r="I29" i="105"/>
  <c r="AB24" i="105"/>
  <c r="Y24" i="105"/>
  <c r="AA24" i="105" s="1"/>
  <c r="X24" i="105" s="1"/>
  <c r="I24" i="105"/>
  <c r="AB23" i="105"/>
  <c r="Y23" i="105"/>
  <c r="AA23" i="105" s="1"/>
  <c r="X23" i="105" s="1"/>
  <c r="K23" i="105"/>
  <c r="I23" i="105"/>
  <c r="AB22" i="105"/>
  <c r="Y22" i="105"/>
  <c r="AA22" i="105" s="1"/>
  <c r="X22" i="105" s="1"/>
  <c r="K22" i="105"/>
  <c r="I22" i="105"/>
  <c r="AB16" i="105"/>
  <c r="AC16" i="105" s="1"/>
  <c r="Y16" i="105"/>
  <c r="X16" i="105"/>
  <c r="K16" i="105"/>
  <c r="J16" i="105"/>
  <c r="I16" i="105"/>
  <c r="F16" i="105" s="1"/>
  <c r="AB15" i="105"/>
  <c r="AC15" i="105" s="1"/>
  <c r="Y15" i="105"/>
  <c r="X15" i="105"/>
  <c r="K15" i="105"/>
  <c r="J15" i="105"/>
  <c r="I15" i="105"/>
  <c r="F15" i="105" s="1"/>
  <c r="AB14" i="105"/>
  <c r="AC14" i="105" s="1"/>
  <c r="Y14" i="105"/>
  <c r="W14" i="105" s="1"/>
  <c r="I14" i="105" s="1"/>
  <c r="F14" i="105" s="1"/>
  <c r="X14" i="105"/>
  <c r="K14" i="105"/>
  <c r="J14" i="105"/>
  <c r="AB9" i="105"/>
  <c r="Y9" i="105"/>
  <c r="AA9" i="105" s="1"/>
  <c r="X9" i="105" s="1"/>
  <c r="I9" i="105"/>
  <c r="AB8" i="105"/>
  <c r="Y8" i="105"/>
  <c r="AA8" i="105" s="1"/>
  <c r="X8" i="105" s="1"/>
  <c r="K8" i="105"/>
  <c r="I8" i="105"/>
  <c r="AB7" i="105"/>
  <c r="Y7" i="105"/>
  <c r="K7" i="105"/>
  <c r="I7" i="105"/>
  <c r="F7" i="105" s="1"/>
  <c r="G2" i="105"/>
  <c r="D2" i="105"/>
  <c r="K24" i="65"/>
  <c r="K9" i="65"/>
  <c r="AB24" i="65"/>
  <c r="Y24" i="65"/>
  <c r="AA24" i="65" s="1"/>
  <c r="X24" i="65" s="1"/>
  <c r="I24" i="65"/>
  <c r="AB30" i="103"/>
  <c r="Y30" i="103"/>
  <c r="AA30" i="103" s="1"/>
  <c r="X30" i="103" s="1"/>
  <c r="K30" i="103"/>
  <c r="I30" i="103"/>
  <c r="F30" i="103" s="1"/>
  <c r="W28" i="103"/>
  <c r="I28" i="103"/>
  <c r="AB23" i="103"/>
  <c r="Y23" i="103"/>
  <c r="AA23" i="103" s="1"/>
  <c r="X23" i="103" s="1"/>
  <c r="K23" i="103"/>
  <c r="I23" i="103"/>
  <c r="J23" i="103" s="1"/>
  <c r="AB22" i="103"/>
  <c r="Y22" i="103"/>
  <c r="AA22" i="103" s="1"/>
  <c r="K22" i="103"/>
  <c r="I22" i="103"/>
  <c r="AB16" i="103"/>
  <c r="AC16" i="103" s="1"/>
  <c r="Y16" i="103"/>
  <c r="X16" i="103"/>
  <c r="K16" i="103"/>
  <c r="J16" i="103"/>
  <c r="I16" i="103"/>
  <c r="F16" i="103" s="1"/>
  <c r="AB15" i="103"/>
  <c r="AC15" i="103" s="1"/>
  <c r="Y15" i="103"/>
  <c r="X15" i="103"/>
  <c r="K15" i="103"/>
  <c r="J15" i="103"/>
  <c r="I15" i="103"/>
  <c r="F15" i="103" s="1"/>
  <c r="AB14" i="103"/>
  <c r="AC14" i="103" s="1"/>
  <c r="Y14" i="103"/>
  <c r="W14" i="103" s="1"/>
  <c r="I14" i="103" s="1"/>
  <c r="F14" i="103" s="1"/>
  <c r="X14" i="103"/>
  <c r="K14" i="103"/>
  <c r="J14" i="103"/>
  <c r="AB9" i="103"/>
  <c r="Y9" i="103"/>
  <c r="AA9" i="103" s="1"/>
  <c r="X9" i="103" s="1"/>
  <c r="K9" i="103"/>
  <c r="I9" i="103"/>
  <c r="F9" i="103" s="1"/>
  <c r="AB8" i="103"/>
  <c r="Y8" i="103"/>
  <c r="AA8" i="103" s="1"/>
  <c r="K8" i="103"/>
  <c r="I8" i="103"/>
  <c r="AB7" i="103"/>
  <c r="Y7" i="103"/>
  <c r="AA7" i="103" s="1"/>
  <c r="X7" i="103" s="1"/>
  <c r="K7" i="103"/>
  <c r="I7" i="103"/>
  <c r="G2" i="103"/>
  <c r="D2" i="103"/>
  <c r="AB30" i="102"/>
  <c r="Y30" i="102"/>
  <c r="AA30" i="102" s="1"/>
  <c r="X30" i="102" s="1"/>
  <c r="K30" i="102"/>
  <c r="I30" i="102"/>
  <c r="W28" i="102"/>
  <c r="I28" i="102"/>
  <c r="AB23" i="102"/>
  <c r="Y23" i="102"/>
  <c r="AA23" i="102" s="1"/>
  <c r="X23" i="102" s="1"/>
  <c r="K23" i="102"/>
  <c r="I23" i="102"/>
  <c r="F23" i="102" s="1"/>
  <c r="AB22" i="102"/>
  <c r="Y22" i="102"/>
  <c r="AA22" i="102" s="1"/>
  <c r="K22" i="102"/>
  <c r="I22" i="102"/>
  <c r="F22" i="102" s="1"/>
  <c r="AB16" i="102"/>
  <c r="AC16" i="102" s="1"/>
  <c r="Y16" i="102"/>
  <c r="X16" i="102"/>
  <c r="K16" i="102"/>
  <c r="J16" i="102"/>
  <c r="I16" i="102"/>
  <c r="F16" i="102" s="1"/>
  <c r="AB15" i="102"/>
  <c r="AC15" i="102" s="1"/>
  <c r="Y15" i="102"/>
  <c r="X15" i="102"/>
  <c r="K15" i="102"/>
  <c r="J15" i="102"/>
  <c r="I15" i="102"/>
  <c r="F15" i="102" s="1"/>
  <c r="AB14" i="102"/>
  <c r="AC14" i="102" s="1"/>
  <c r="Y14" i="102"/>
  <c r="W14" i="102" s="1"/>
  <c r="I14" i="102" s="1"/>
  <c r="F14" i="102" s="1"/>
  <c r="X14" i="102"/>
  <c r="K14" i="102"/>
  <c r="J14" i="102"/>
  <c r="AB9" i="102"/>
  <c r="Y9" i="102"/>
  <c r="AA9" i="102" s="1"/>
  <c r="X9" i="102" s="1"/>
  <c r="K9" i="102"/>
  <c r="I9" i="102"/>
  <c r="F9" i="102" s="1"/>
  <c r="AB8" i="102"/>
  <c r="Y8" i="102"/>
  <c r="AA8" i="102" s="1"/>
  <c r="K8" i="102"/>
  <c r="I8" i="102"/>
  <c r="AB7" i="102"/>
  <c r="Y7" i="102"/>
  <c r="AA7" i="102" s="1"/>
  <c r="X7" i="102" s="1"/>
  <c r="K7" i="102"/>
  <c r="I7" i="102"/>
  <c r="F7" i="102" s="1"/>
  <c r="D2" i="102"/>
  <c r="AB23" i="101"/>
  <c r="Y23" i="101"/>
  <c r="AA23" i="101" s="1"/>
  <c r="X23" i="101" s="1"/>
  <c r="I23" i="101"/>
  <c r="J23" i="101" l="1"/>
  <c r="L23" i="101" s="1"/>
  <c r="J8" i="103"/>
  <c r="J23" i="108"/>
  <c r="L15" i="103"/>
  <c r="J24" i="65"/>
  <c r="J31" i="105"/>
  <c r="AC31" i="106"/>
  <c r="J9" i="106"/>
  <c r="L16" i="106"/>
  <c r="F23" i="101"/>
  <c r="F23" i="103"/>
  <c r="AC31" i="105"/>
  <c r="J7" i="108"/>
  <c r="L15" i="108"/>
  <c r="L16" i="108"/>
  <c r="AC23" i="101"/>
  <c r="F24" i="65"/>
  <c r="J23" i="105"/>
  <c r="AC8" i="107"/>
  <c r="J8" i="108"/>
  <c r="AC23" i="108"/>
  <c r="J31" i="108"/>
  <c r="L31" i="108" s="1"/>
  <c r="J31" i="106"/>
  <c r="L31" i="106" s="1"/>
  <c r="J9" i="102"/>
  <c r="L9" i="102" s="1"/>
  <c r="L16" i="103"/>
  <c r="AC23" i="105"/>
  <c r="J24" i="106"/>
  <c r="J7" i="107"/>
  <c r="X24" i="106"/>
  <c r="AC24" i="106"/>
  <c r="J7" i="103"/>
  <c r="L7" i="103" s="1"/>
  <c r="J22" i="103"/>
  <c r="J30" i="103"/>
  <c r="L30" i="103" s="1"/>
  <c r="J30" i="102"/>
  <c r="L30" i="102" s="1"/>
  <c r="J9" i="103"/>
  <c r="L9" i="103" s="1"/>
  <c r="J8" i="105"/>
  <c r="L8" i="105" s="1"/>
  <c r="J22" i="105"/>
  <c r="L22" i="105" s="1"/>
  <c r="J24" i="105"/>
  <c r="L24" i="105" s="1"/>
  <c r="L14" i="106"/>
  <c r="AC9" i="107"/>
  <c r="L15" i="107"/>
  <c r="J23" i="107"/>
  <c r="L23" i="107" s="1"/>
  <c r="J31" i="107"/>
  <c r="L31" i="107" s="1"/>
  <c r="F9" i="108"/>
  <c r="J24" i="108"/>
  <c r="L24" i="108" s="1"/>
  <c r="AC24" i="107"/>
  <c r="AC23" i="102"/>
  <c r="L31" i="105"/>
  <c r="J22" i="107"/>
  <c r="L22" i="107" s="1"/>
  <c r="F8" i="108"/>
  <c r="F23" i="108"/>
  <c r="AC9" i="103"/>
  <c r="J9" i="105"/>
  <c r="L9" i="105" s="1"/>
  <c r="AC24" i="108"/>
  <c r="AC30" i="102"/>
  <c r="J8" i="102"/>
  <c r="L16" i="102"/>
  <c r="J24" i="107"/>
  <c r="L24" i="107" s="1"/>
  <c r="AC9" i="102"/>
  <c r="L24" i="65"/>
  <c r="L9" i="106"/>
  <c r="J23" i="106"/>
  <c r="L15" i="102"/>
  <c r="J23" i="102"/>
  <c r="L23" i="102" s="1"/>
  <c r="J22" i="108"/>
  <c r="L22" i="108" s="1"/>
  <c r="AC31" i="108"/>
  <c r="F24" i="108"/>
  <c r="F22" i="108"/>
  <c r="L14" i="108"/>
  <c r="L9" i="108"/>
  <c r="L8" i="108"/>
  <c r="AC8" i="108"/>
  <c r="AC22" i="108"/>
  <c r="L23" i="108"/>
  <c r="AC9" i="108"/>
  <c r="AA7" i="108"/>
  <c r="X7" i="108" s="1"/>
  <c r="J9" i="107"/>
  <c r="L9" i="107" s="1"/>
  <c r="F8" i="107"/>
  <c r="L8" i="107"/>
  <c r="F22" i="107"/>
  <c r="L16" i="107"/>
  <c r="L14" i="107"/>
  <c r="AC22" i="107"/>
  <c r="AC23" i="107"/>
  <c r="AC31" i="107"/>
  <c r="AA7" i="107"/>
  <c r="X7" i="107" s="1"/>
  <c r="L7" i="107" s="1"/>
  <c r="J7" i="106"/>
  <c r="L7" i="106" s="1"/>
  <c r="AC7" i="106"/>
  <c r="L15" i="106"/>
  <c r="F9" i="106"/>
  <c r="AC9" i="106"/>
  <c r="AC22" i="106"/>
  <c r="AC8" i="106"/>
  <c r="X23" i="106"/>
  <c r="AC23" i="106"/>
  <c r="J8" i="106"/>
  <c r="L8" i="106" s="1"/>
  <c r="J22" i="106"/>
  <c r="L22" i="106" s="1"/>
  <c r="F23" i="106"/>
  <c r="F24" i="106"/>
  <c r="L16" i="105"/>
  <c r="L15" i="105"/>
  <c r="J7" i="105"/>
  <c r="F22" i="105"/>
  <c r="F9" i="105"/>
  <c r="F8" i="105"/>
  <c r="F24" i="105"/>
  <c r="F23" i="105"/>
  <c r="L14" i="105"/>
  <c r="AC8" i="105"/>
  <c r="AC24" i="105"/>
  <c r="AC9" i="105"/>
  <c r="AC22" i="105"/>
  <c r="L23" i="105"/>
  <c r="AA7" i="105"/>
  <c r="X7" i="105" s="1"/>
  <c r="AC24" i="65"/>
  <c r="L23" i="103"/>
  <c r="L14" i="103"/>
  <c r="F7" i="103"/>
  <c r="AC22" i="103"/>
  <c r="X22" i="103"/>
  <c r="AC30" i="103"/>
  <c r="X8" i="103"/>
  <c r="L8" i="103" s="1"/>
  <c r="AC8" i="103"/>
  <c r="AC7" i="103"/>
  <c r="F8" i="103"/>
  <c r="F22" i="103"/>
  <c r="AC23" i="103"/>
  <c r="F30" i="102"/>
  <c r="L14" i="102"/>
  <c r="J7" i="102"/>
  <c r="L7" i="102" s="1"/>
  <c r="X8" i="102"/>
  <c r="AC8" i="102"/>
  <c r="X22" i="102"/>
  <c r="AC22" i="102"/>
  <c r="AC7" i="102"/>
  <c r="J22" i="102"/>
  <c r="F8" i="102"/>
  <c r="AB31" i="101"/>
  <c r="Y31" i="101"/>
  <c r="AA31" i="101" s="1"/>
  <c r="X31" i="101" s="1"/>
  <c r="K31" i="101"/>
  <c r="I31" i="101"/>
  <c r="W29" i="101"/>
  <c r="I29" i="101"/>
  <c r="AB24" i="101"/>
  <c r="Y24" i="101"/>
  <c r="AA24" i="101" s="1"/>
  <c r="X24" i="101" s="1"/>
  <c r="K24" i="101"/>
  <c r="I24" i="101"/>
  <c r="AB22" i="101"/>
  <c r="Y22" i="101"/>
  <c r="AA22" i="101" s="1"/>
  <c r="X22" i="101" s="1"/>
  <c r="K22" i="101"/>
  <c r="I22" i="101"/>
  <c r="AB16" i="101"/>
  <c r="AC16" i="101" s="1"/>
  <c r="Y16" i="101"/>
  <c r="X16" i="101"/>
  <c r="K16" i="101"/>
  <c r="J16" i="101"/>
  <c r="I16" i="101"/>
  <c r="F16" i="101" s="1"/>
  <c r="AB15" i="101"/>
  <c r="AC15" i="101" s="1"/>
  <c r="Y15" i="101"/>
  <c r="X15" i="101"/>
  <c r="K15" i="101"/>
  <c r="J15" i="101"/>
  <c r="I15" i="101"/>
  <c r="F15" i="101" s="1"/>
  <c r="AB14" i="101"/>
  <c r="AC14" i="101" s="1"/>
  <c r="Y14" i="101"/>
  <c r="W14" i="101" s="1"/>
  <c r="I14" i="101" s="1"/>
  <c r="F14" i="101" s="1"/>
  <c r="X14" i="101"/>
  <c r="K14" i="101"/>
  <c r="J14" i="101"/>
  <c r="AB9" i="101"/>
  <c r="Y9" i="101"/>
  <c r="AA9" i="101" s="1"/>
  <c r="X9" i="101" s="1"/>
  <c r="I9" i="101"/>
  <c r="F9" i="101" s="1"/>
  <c r="AB8" i="101"/>
  <c r="Y8" i="101"/>
  <c r="AA8" i="101" s="1"/>
  <c r="X8" i="101" s="1"/>
  <c r="K8" i="101"/>
  <c r="I8" i="101"/>
  <c r="F8" i="101" s="1"/>
  <c r="AB7" i="101"/>
  <c r="Y7" i="101"/>
  <c r="AA7" i="101" s="1"/>
  <c r="X7" i="101" s="1"/>
  <c r="K7" i="101"/>
  <c r="I7" i="101"/>
  <c r="F7" i="101" s="1"/>
  <c r="G2" i="101"/>
  <c r="D2" i="101"/>
  <c r="K8" i="100"/>
  <c r="AB30" i="100"/>
  <c r="Y30" i="100"/>
  <c r="AA30" i="100" s="1"/>
  <c r="X30" i="100" s="1"/>
  <c r="K30" i="100"/>
  <c r="I30" i="100"/>
  <c r="W28" i="100"/>
  <c r="I28" i="100"/>
  <c r="AB23" i="100"/>
  <c r="Y23" i="100"/>
  <c r="AA23" i="100" s="1"/>
  <c r="X23" i="100" s="1"/>
  <c r="K23" i="100"/>
  <c r="I23" i="100"/>
  <c r="F23" i="100" s="1"/>
  <c r="AB22" i="100"/>
  <c r="Y22" i="100"/>
  <c r="AA22" i="100" s="1"/>
  <c r="X22" i="100" s="1"/>
  <c r="K22" i="100"/>
  <c r="I22" i="100"/>
  <c r="AB16" i="100"/>
  <c r="AC16" i="100" s="1"/>
  <c r="Y16" i="100"/>
  <c r="X16" i="100"/>
  <c r="K16" i="100"/>
  <c r="J16" i="100"/>
  <c r="I16" i="100"/>
  <c r="F16" i="100" s="1"/>
  <c r="AB15" i="100"/>
  <c r="AC15" i="100" s="1"/>
  <c r="Y15" i="100"/>
  <c r="X15" i="100"/>
  <c r="K15" i="100"/>
  <c r="J15" i="100"/>
  <c r="I15" i="100"/>
  <c r="F15" i="100" s="1"/>
  <c r="AB14" i="100"/>
  <c r="AC14" i="100" s="1"/>
  <c r="Y14" i="100"/>
  <c r="W14" i="100" s="1"/>
  <c r="I14" i="100" s="1"/>
  <c r="F14" i="100" s="1"/>
  <c r="X14" i="100"/>
  <c r="K14" i="100"/>
  <c r="J14" i="100"/>
  <c r="AB9" i="100"/>
  <c r="Y9" i="100"/>
  <c r="AA9" i="100" s="1"/>
  <c r="X9" i="100" s="1"/>
  <c r="K9" i="100"/>
  <c r="I9" i="100"/>
  <c r="AB8" i="100"/>
  <c r="Y8" i="100"/>
  <c r="AA8" i="100" s="1"/>
  <c r="X8" i="100" s="1"/>
  <c r="I8" i="100"/>
  <c r="AB7" i="100"/>
  <c r="Y7" i="100"/>
  <c r="AA7" i="100" s="1"/>
  <c r="X7" i="100" s="1"/>
  <c r="K7" i="100"/>
  <c r="I7" i="100"/>
  <c r="G2" i="100"/>
  <c r="D2" i="100"/>
  <c r="L7" i="108" l="1"/>
  <c r="L24" i="106"/>
  <c r="L22" i="103"/>
  <c r="L15" i="100"/>
  <c r="J24" i="101"/>
  <c r="L8" i="102"/>
  <c r="L23" i="106"/>
  <c r="J31" i="101"/>
  <c r="J7" i="100"/>
  <c r="L7" i="100" s="1"/>
  <c r="J7" i="101"/>
  <c r="L7" i="101" s="1"/>
  <c r="L16" i="101"/>
  <c r="J23" i="100"/>
  <c r="L23" i="100" s="1"/>
  <c r="L14" i="100"/>
  <c r="AC8" i="101"/>
  <c r="J8" i="100"/>
  <c r="L8" i="100" s="1"/>
  <c r="F31" i="101"/>
  <c r="AC7" i="107"/>
  <c r="J9" i="100"/>
  <c r="AC7" i="105"/>
  <c r="AC31" i="101"/>
  <c r="AC7" i="108"/>
  <c r="L7" i="105"/>
  <c r="L22" i="102"/>
  <c r="J8" i="101"/>
  <c r="L14" i="101"/>
  <c r="AC9" i="101"/>
  <c r="L15" i="101"/>
  <c r="J22" i="101"/>
  <c r="L22" i="101" s="1"/>
  <c r="J9" i="101"/>
  <c r="L9" i="101" s="1"/>
  <c r="F22" i="101"/>
  <c r="L31" i="101"/>
  <c r="F24" i="101"/>
  <c r="AC22" i="101"/>
  <c r="L8" i="101"/>
  <c r="L24" i="101"/>
  <c r="AC7" i="101"/>
  <c r="AC24" i="101"/>
  <c r="J22" i="100"/>
  <c r="L22" i="100" s="1"/>
  <c r="J30" i="100"/>
  <c r="L30" i="100" s="1"/>
  <c r="F30" i="100"/>
  <c r="F22" i="100"/>
  <c r="L16" i="100"/>
  <c r="F9" i="100"/>
  <c r="L9" i="100"/>
  <c r="F8" i="100"/>
  <c r="F7" i="100"/>
  <c r="AC7" i="100"/>
  <c r="AC8" i="100"/>
  <c r="AC9" i="100"/>
  <c r="AC22" i="100"/>
  <c r="AC23" i="100"/>
  <c r="AC30" i="100"/>
  <c r="AB30" i="99"/>
  <c r="Y30" i="99"/>
  <c r="AA30" i="99" s="1"/>
  <c r="X30" i="99" s="1"/>
  <c r="K30" i="99"/>
  <c r="I30" i="99"/>
  <c r="F30" i="99" s="1"/>
  <c r="W28" i="99"/>
  <c r="I28" i="99"/>
  <c r="AB23" i="99"/>
  <c r="Y23" i="99"/>
  <c r="AA23" i="99" s="1"/>
  <c r="K23" i="99"/>
  <c r="I23" i="99"/>
  <c r="AB22" i="99"/>
  <c r="Y22" i="99"/>
  <c r="AA22" i="99" s="1"/>
  <c r="X22" i="99" s="1"/>
  <c r="K22" i="99"/>
  <c r="I22" i="99"/>
  <c r="AB16" i="99"/>
  <c r="AC16" i="99" s="1"/>
  <c r="Y16" i="99"/>
  <c r="X16" i="99"/>
  <c r="K16" i="99"/>
  <c r="J16" i="99"/>
  <c r="I16" i="99"/>
  <c r="F16" i="99" s="1"/>
  <c r="AB15" i="99"/>
  <c r="AC15" i="99" s="1"/>
  <c r="Y15" i="99"/>
  <c r="X15" i="99"/>
  <c r="K15" i="99"/>
  <c r="J15" i="99"/>
  <c r="I15" i="99"/>
  <c r="F15" i="99"/>
  <c r="AB14" i="99"/>
  <c r="AC14" i="99" s="1"/>
  <c r="Y14" i="99"/>
  <c r="W14" i="99" s="1"/>
  <c r="I14" i="99" s="1"/>
  <c r="F14" i="99" s="1"/>
  <c r="X14" i="99"/>
  <c r="K14" i="99"/>
  <c r="J14" i="99"/>
  <c r="AB9" i="99"/>
  <c r="Y9" i="99"/>
  <c r="AA9" i="99" s="1"/>
  <c r="X9" i="99" s="1"/>
  <c r="K9" i="99"/>
  <c r="I9" i="99"/>
  <c r="F9" i="99" s="1"/>
  <c r="AB8" i="99"/>
  <c r="Y8" i="99"/>
  <c r="AA8" i="99" s="1"/>
  <c r="X8" i="99" s="1"/>
  <c r="K8" i="99"/>
  <c r="I8" i="99"/>
  <c r="AB7" i="99"/>
  <c r="Y7" i="99"/>
  <c r="AA7" i="99" s="1"/>
  <c r="X7" i="99" s="1"/>
  <c r="K7" i="99"/>
  <c r="I7" i="99"/>
  <c r="F7" i="99" s="1"/>
  <c r="G2" i="99"/>
  <c r="D2" i="99"/>
  <c r="L16" i="99" l="1"/>
  <c r="J22" i="99"/>
  <c r="L22" i="99" s="1"/>
  <c r="L14" i="99"/>
  <c r="J7" i="99"/>
  <c r="L7" i="99" s="1"/>
  <c r="J9" i="99"/>
  <c r="J30" i="99"/>
  <c r="L30" i="99" s="1"/>
  <c r="J23" i="99"/>
  <c r="J8" i="99"/>
  <c r="L8" i="99" s="1"/>
  <c r="F8" i="99"/>
  <c r="AC8" i="99"/>
  <c r="L9" i="99"/>
  <c r="F22" i="99"/>
  <c r="AC30" i="99"/>
  <c r="L15" i="99"/>
  <c r="AC22" i="99"/>
  <c r="AC9" i="99"/>
  <c r="X23" i="99"/>
  <c r="AC23" i="99"/>
  <c r="AC7" i="99"/>
  <c r="F23" i="99"/>
  <c r="AB30" i="98"/>
  <c r="Y30" i="98"/>
  <c r="AA30" i="98" s="1"/>
  <c r="X30" i="98" s="1"/>
  <c r="K30" i="98"/>
  <c r="I30" i="98"/>
  <c r="W28" i="98"/>
  <c r="I28" i="98"/>
  <c r="AB23" i="98"/>
  <c r="Y23" i="98"/>
  <c r="AA23" i="98" s="1"/>
  <c r="K23" i="98"/>
  <c r="I23" i="98"/>
  <c r="AB22" i="98"/>
  <c r="Y22" i="98"/>
  <c r="AA22" i="98" s="1"/>
  <c r="X22" i="98" s="1"/>
  <c r="K22" i="98"/>
  <c r="I22" i="98"/>
  <c r="AB16" i="98"/>
  <c r="AC16" i="98" s="1"/>
  <c r="Y16" i="98"/>
  <c r="X16" i="98"/>
  <c r="K16" i="98"/>
  <c r="J16" i="98"/>
  <c r="I16" i="98"/>
  <c r="F16" i="98" s="1"/>
  <c r="AB15" i="98"/>
  <c r="AC15" i="98" s="1"/>
  <c r="Y15" i="98"/>
  <c r="X15" i="98"/>
  <c r="K15" i="98"/>
  <c r="J15" i="98"/>
  <c r="I15" i="98"/>
  <c r="F15" i="98" s="1"/>
  <c r="AB14" i="98"/>
  <c r="AC14" i="98" s="1"/>
  <c r="Y14" i="98"/>
  <c r="W14" i="98" s="1"/>
  <c r="I14" i="98" s="1"/>
  <c r="F14" i="98" s="1"/>
  <c r="X14" i="98"/>
  <c r="K14" i="98"/>
  <c r="J14" i="98"/>
  <c r="AB9" i="98"/>
  <c r="Y9" i="98"/>
  <c r="AA9" i="98" s="1"/>
  <c r="X9" i="98" s="1"/>
  <c r="K9" i="98"/>
  <c r="I9" i="98"/>
  <c r="AB8" i="98"/>
  <c r="Y8" i="98"/>
  <c r="AA8" i="98" s="1"/>
  <c r="X8" i="98" s="1"/>
  <c r="K8" i="98"/>
  <c r="I8" i="98"/>
  <c r="F8" i="98" s="1"/>
  <c r="AB7" i="98"/>
  <c r="Y7" i="98"/>
  <c r="AA7" i="98" s="1"/>
  <c r="X7" i="98" s="1"/>
  <c r="K7" i="98"/>
  <c r="I7" i="98"/>
  <c r="F7" i="98" s="1"/>
  <c r="G2" i="98"/>
  <c r="D2" i="98"/>
  <c r="J23" i="98" l="1"/>
  <c r="L23" i="99"/>
  <c r="L16" i="98"/>
  <c r="J9" i="98"/>
  <c r="L9" i="98" s="1"/>
  <c r="L14" i="98"/>
  <c r="AC8" i="98"/>
  <c r="J22" i="98"/>
  <c r="L22" i="98" s="1"/>
  <c r="J30" i="98"/>
  <c r="L30" i="98" s="1"/>
  <c r="J8" i="98"/>
  <c r="L8" i="98" s="1"/>
  <c r="AC7" i="98"/>
  <c r="F30" i="98"/>
  <c r="F22" i="98"/>
  <c r="L15" i="98"/>
  <c r="F9" i="98"/>
  <c r="J7" i="98"/>
  <c r="L7" i="98" s="1"/>
  <c r="AC22" i="98"/>
  <c r="AC9" i="98"/>
  <c r="AC30" i="98"/>
  <c r="X23" i="98"/>
  <c r="L23" i="98" s="1"/>
  <c r="AC23" i="98"/>
  <c r="F23" i="98"/>
  <c r="AB30" i="97"/>
  <c r="Y30" i="97"/>
  <c r="AA30" i="97" s="1"/>
  <c r="X30" i="97" s="1"/>
  <c r="K30" i="97"/>
  <c r="I30" i="97"/>
  <c r="F30" i="97" s="1"/>
  <c r="W28" i="97"/>
  <c r="I28" i="97"/>
  <c r="AB23" i="97"/>
  <c r="Y23" i="97"/>
  <c r="AA23" i="97" s="1"/>
  <c r="X23" i="97" s="1"/>
  <c r="K23" i="97"/>
  <c r="I23" i="97"/>
  <c r="AB22" i="97"/>
  <c r="Y22" i="97"/>
  <c r="AA22" i="97" s="1"/>
  <c r="X22" i="97" s="1"/>
  <c r="K22" i="97"/>
  <c r="I22" i="97"/>
  <c r="F22" i="97" s="1"/>
  <c r="AB16" i="97"/>
  <c r="AC16" i="97" s="1"/>
  <c r="Y16" i="97"/>
  <c r="X16" i="97"/>
  <c r="K16" i="97"/>
  <c r="J16" i="97"/>
  <c r="I16" i="97"/>
  <c r="F16" i="97" s="1"/>
  <c r="AB15" i="97"/>
  <c r="AC15" i="97" s="1"/>
  <c r="Y15" i="97"/>
  <c r="X15" i="97"/>
  <c r="K15" i="97"/>
  <c r="J15" i="97"/>
  <c r="I15" i="97"/>
  <c r="F15" i="97" s="1"/>
  <c r="AB14" i="97"/>
  <c r="AC14" i="97" s="1"/>
  <c r="Y14" i="97"/>
  <c r="W14" i="97" s="1"/>
  <c r="I14" i="97" s="1"/>
  <c r="F14" i="97" s="1"/>
  <c r="X14" i="97"/>
  <c r="K14" i="97"/>
  <c r="J14" i="97"/>
  <c r="AB8" i="97"/>
  <c r="Y8" i="97"/>
  <c r="AA8" i="97" s="1"/>
  <c r="K8" i="97"/>
  <c r="I8" i="97"/>
  <c r="AB9" i="97"/>
  <c r="Y9" i="97"/>
  <c r="AA9" i="97" s="1"/>
  <c r="X9" i="97" s="1"/>
  <c r="K9" i="97"/>
  <c r="I9" i="97"/>
  <c r="F9" i="97" s="1"/>
  <c r="AB7" i="97"/>
  <c r="Y7" i="97"/>
  <c r="AA7" i="97" s="1"/>
  <c r="X7" i="97" s="1"/>
  <c r="K7" i="97"/>
  <c r="I7" i="97"/>
  <c r="F7" i="97" s="1"/>
  <c r="G2" i="97"/>
  <c r="D2" i="97"/>
  <c r="G2" i="65"/>
  <c r="J23" i="97" l="1"/>
  <c r="J8" i="97"/>
  <c r="L16" i="97"/>
  <c r="AC23" i="97"/>
  <c r="J7" i="97"/>
  <c r="L7" i="97" s="1"/>
  <c r="L15" i="97"/>
  <c r="AC9" i="97"/>
  <c r="J22" i="97"/>
  <c r="L22" i="97" s="1"/>
  <c r="J30" i="97"/>
  <c r="L30" i="97" s="1"/>
  <c r="L23" i="97"/>
  <c r="J9" i="97"/>
  <c r="L9" i="97" s="1"/>
  <c r="L14" i="97"/>
  <c r="AC7" i="97"/>
  <c r="AC8" i="97"/>
  <c r="X8" i="97"/>
  <c r="AC22" i="97"/>
  <c r="AC30" i="97"/>
  <c r="F8" i="97"/>
  <c r="F23" i="97"/>
  <c r="K20" i="96"/>
  <c r="K12" i="96"/>
  <c r="K2" i="96"/>
  <c r="J16" i="65"/>
  <c r="J15" i="65"/>
  <c r="J14" i="96"/>
  <c r="J14" i="65"/>
  <c r="H16" i="96"/>
  <c r="J16" i="96" s="1"/>
  <c r="H15" i="96"/>
  <c r="J15" i="96" s="1"/>
  <c r="L8" i="97" l="1"/>
  <c r="K15" i="96"/>
  <c r="AB30" i="96"/>
  <c r="Y30" i="96"/>
  <c r="AA30" i="96" s="1"/>
  <c r="X30" i="96" s="1"/>
  <c r="K30" i="96"/>
  <c r="I30" i="96"/>
  <c r="W28" i="96"/>
  <c r="I28" i="96"/>
  <c r="AB23" i="96"/>
  <c r="Y23" i="96"/>
  <c r="AA23" i="96" s="1"/>
  <c r="X23" i="96" s="1"/>
  <c r="K23" i="96"/>
  <c r="I23" i="96"/>
  <c r="AB22" i="96"/>
  <c r="Y22" i="96"/>
  <c r="AA22" i="96" s="1"/>
  <c r="X22" i="96" s="1"/>
  <c r="K22" i="96"/>
  <c r="I22" i="96"/>
  <c r="AB16" i="96"/>
  <c r="AC16" i="96" s="1"/>
  <c r="Y16" i="96"/>
  <c r="X16" i="96"/>
  <c r="L16" i="96" s="1"/>
  <c r="K16" i="96"/>
  <c r="I16" i="96"/>
  <c r="AB15" i="96"/>
  <c r="AC15" i="96" s="1"/>
  <c r="Y15" i="96"/>
  <c r="X15" i="96"/>
  <c r="I15" i="96"/>
  <c r="AB14" i="96"/>
  <c r="AC14" i="96" s="1"/>
  <c r="Y14" i="96"/>
  <c r="W14" i="96" s="1"/>
  <c r="I14" i="96" s="1"/>
  <c r="X14" i="96"/>
  <c r="K14" i="96"/>
  <c r="AB9" i="96"/>
  <c r="Y9" i="96"/>
  <c r="AA9" i="96" s="1"/>
  <c r="X9" i="96" s="1"/>
  <c r="K9" i="96"/>
  <c r="I9" i="96"/>
  <c r="AB8" i="96"/>
  <c r="Y8" i="96"/>
  <c r="AA8" i="96" s="1"/>
  <c r="X8" i="96" s="1"/>
  <c r="K8" i="96"/>
  <c r="I8" i="96"/>
  <c r="AB7" i="96"/>
  <c r="AC7" i="96" s="1"/>
  <c r="Y7" i="96"/>
  <c r="AA7" i="96" s="1"/>
  <c r="X7" i="96" s="1"/>
  <c r="K7" i="96"/>
  <c r="I7" i="96"/>
  <c r="D2" i="96"/>
  <c r="J8" i="96" l="1"/>
  <c r="J7" i="96"/>
  <c r="L7" i="96" s="1"/>
  <c r="AC22" i="96"/>
  <c r="J23" i="96"/>
  <c r="J9" i="96"/>
  <c r="L9" i="96" s="1"/>
  <c r="J30" i="96"/>
  <c r="L30" i="96" s="1"/>
  <c r="F30" i="96"/>
  <c r="J22" i="96"/>
  <c r="L22" i="96" s="1"/>
  <c r="L15" i="96"/>
  <c r="F16" i="96"/>
  <c r="L23" i="96"/>
  <c r="F23" i="96"/>
  <c r="F22" i="96"/>
  <c r="F15" i="96"/>
  <c r="F9" i="96"/>
  <c r="F8" i="96"/>
  <c r="L8" i="96"/>
  <c r="F7" i="96"/>
  <c r="AC9" i="96"/>
  <c r="L14" i="96"/>
  <c r="F14" i="96"/>
  <c r="AC8" i="96"/>
  <c r="AC23" i="96"/>
  <c r="AC30" i="96"/>
  <c r="AB30" i="95"/>
  <c r="Y30" i="95"/>
  <c r="AA30" i="95" s="1"/>
  <c r="X30" i="95" s="1"/>
  <c r="K30" i="95"/>
  <c r="I30" i="95"/>
  <c r="F30" i="95" s="1"/>
  <c r="W28" i="95"/>
  <c r="I28" i="95"/>
  <c r="AB23" i="95"/>
  <c r="Y23" i="95"/>
  <c r="AA23" i="95" s="1"/>
  <c r="K23" i="95"/>
  <c r="I23" i="95"/>
  <c r="AB22" i="95"/>
  <c r="Y22" i="95"/>
  <c r="AA22" i="95" s="1"/>
  <c r="K22" i="95"/>
  <c r="I22" i="95"/>
  <c r="AB16" i="95"/>
  <c r="AC16" i="95" s="1"/>
  <c r="Y16" i="95"/>
  <c r="X16" i="95"/>
  <c r="K16" i="95"/>
  <c r="I16" i="95"/>
  <c r="F16" i="95" s="1"/>
  <c r="AB15" i="95"/>
  <c r="AC15" i="95" s="1"/>
  <c r="Y15" i="95"/>
  <c r="X15" i="95"/>
  <c r="K15" i="95"/>
  <c r="I15" i="95"/>
  <c r="F15" i="95" s="1"/>
  <c r="AB14" i="95"/>
  <c r="AC14" i="95" s="1"/>
  <c r="Y14" i="95"/>
  <c r="W14" i="95" s="1"/>
  <c r="I14" i="95" s="1"/>
  <c r="X14" i="95"/>
  <c r="K14" i="95"/>
  <c r="AB9" i="95"/>
  <c r="Y9" i="95"/>
  <c r="AA9" i="95" s="1"/>
  <c r="K9" i="95"/>
  <c r="I9" i="95"/>
  <c r="AB8" i="95"/>
  <c r="Y8" i="95"/>
  <c r="AA8" i="95" s="1"/>
  <c r="K8" i="95"/>
  <c r="I8" i="95"/>
  <c r="AB7" i="95"/>
  <c r="Y7" i="95"/>
  <c r="AA7" i="95" s="1"/>
  <c r="X7" i="95" s="1"/>
  <c r="K7" i="95"/>
  <c r="I7" i="95"/>
  <c r="D2" i="95"/>
  <c r="J22" i="95" l="1"/>
  <c r="J8" i="95"/>
  <c r="J23" i="95"/>
  <c r="AC9" i="95"/>
  <c r="J9" i="95"/>
  <c r="AC23" i="95"/>
  <c r="J7" i="95"/>
  <c r="L7" i="95" s="1"/>
  <c r="AC30" i="95"/>
  <c r="F7" i="95"/>
  <c r="AC7" i="95"/>
  <c r="J15" i="95"/>
  <c r="L15" i="95" s="1"/>
  <c r="J16" i="95"/>
  <c r="L16" i="95" s="1"/>
  <c r="X8" i="95"/>
  <c r="L8" i="95" s="1"/>
  <c r="AC8" i="95"/>
  <c r="F14" i="95"/>
  <c r="J14" i="95"/>
  <c r="L14" i="95" s="1"/>
  <c r="X22" i="95"/>
  <c r="AC22" i="95"/>
  <c r="X9" i="95"/>
  <c r="X23" i="95"/>
  <c r="F8" i="95"/>
  <c r="F22" i="95"/>
  <c r="J30" i="95"/>
  <c r="L30" i="95" s="1"/>
  <c r="F9" i="95"/>
  <c r="F23" i="95"/>
  <c r="I29" i="65"/>
  <c r="I28" i="94"/>
  <c r="AB30" i="94"/>
  <c r="Y30" i="94"/>
  <c r="AA30" i="94" s="1"/>
  <c r="X30" i="94" s="1"/>
  <c r="K30" i="94"/>
  <c r="I30" i="94"/>
  <c r="W28" i="94"/>
  <c r="AB23" i="94"/>
  <c r="Y23" i="94"/>
  <c r="AA23" i="94" s="1"/>
  <c r="X23" i="94" s="1"/>
  <c r="K23" i="94"/>
  <c r="I23" i="94"/>
  <c r="AB22" i="94"/>
  <c r="Y22" i="94"/>
  <c r="AA22" i="94" s="1"/>
  <c r="X22" i="94" s="1"/>
  <c r="K22" i="94"/>
  <c r="I22" i="94"/>
  <c r="AB16" i="94"/>
  <c r="AC16" i="94" s="1"/>
  <c r="Y16" i="94"/>
  <c r="X16" i="94"/>
  <c r="K16" i="94"/>
  <c r="I16" i="94"/>
  <c r="AB15" i="94"/>
  <c r="AC15" i="94" s="1"/>
  <c r="Y15" i="94"/>
  <c r="X15" i="94"/>
  <c r="K15" i="94"/>
  <c r="I15" i="94"/>
  <c r="F15" i="94" s="1"/>
  <c r="AB14" i="94"/>
  <c r="AC14" i="94" s="1"/>
  <c r="Y14" i="94"/>
  <c r="W14" i="94" s="1"/>
  <c r="I14" i="94" s="1"/>
  <c r="F14" i="94" s="1"/>
  <c r="X14" i="94"/>
  <c r="K14" i="94"/>
  <c r="AB9" i="94"/>
  <c r="Y9" i="94"/>
  <c r="K9" i="94"/>
  <c r="I9" i="94"/>
  <c r="F9" i="94" s="1"/>
  <c r="AB8" i="94"/>
  <c r="Y8" i="94"/>
  <c r="AA8" i="94" s="1"/>
  <c r="X8" i="94" s="1"/>
  <c r="K8" i="94"/>
  <c r="I8" i="94"/>
  <c r="F8" i="94" s="1"/>
  <c r="AB7" i="94"/>
  <c r="Y7" i="94"/>
  <c r="AA7" i="94" s="1"/>
  <c r="X7" i="94" s="1"/>
  <c r="K7" i="94"/>
  <c r="I7" i="94"/>
  <c r="D2" i="94"/>
  <c r="L22" i="95" l="1"/>
  <c r="AC23" i="94"/>
  <c r="J16" i="94"/>
  <c r="L16" i="94" s="1"/>
  <c r="J23" i="94"/>
  <c r="L23" i="95"/>
  <c r="J7" i="94"/>
  <c r="L7" i="94" s="1"/>
  <c r="J22" i="94"/>
  <c r="L22" i="94" s="1"/>
  <c r="F23" i="94"/>
  <c r="J30" i="94"/>
  <c r="L30" i="94" s="1"/>
  <c r="L9" i="95"/>
  <c r="AC7" i="94"/>
  <c r="AC22" i="94"/>
  <c r="AC8" i="94"/>
  <c r="F7" i="94"/>
  <c r="F16" i="94"/>
  <c r="F22" i="94"/>
  <c r="F30" i="94"/>
  <c r="J14" i="94"/>
  <c r="L14" i="94" s="1"/>
  <c r="J9" i="94"/>
  <c r="J8" i="94"/>
  <c r="L8" i="94" s="1"/>
  <c r="AC30" i="94"/>
  <c r="L23" i="94"/>
  <c r="AA9" i="94"/>
  <c r="X9" i="94" s="1"/>
  <c r="J15" i="94"/>
  <c r="L15" i="94" s="1"/>
  <c r="AB23" i="65"/>
  <c r="K23" i="65"/>
  <c r="I23" i="65"/>
  <c r="F23" i="65" s="1"/>
  <c r="Y23" i="65"/>
  <c r="AA23" i="65" s="1"/>
  <c r="X23" i="65" s="1"/>
  <c r="AC23" i="65" l="1"/>
  <c r="L9" i="94"/>
  <c r="J23" i="65"/>
  <c r="L23" i="65" s="1"/>
  <c r="AC9" i="94"/>
  <c r="AB29" i="91" l="1"/>
  <c r="Y29" i="91"/>
  <c r="AA29" i="91" s="1"/>
  <c r="X29" i="91" s="1"/>
  <c r="K29" i="91"/>
  <c r="I29" i="91"/>
  <c r="F29" i="91" s="1"/>
  <c r="W27" i="91"/>
  <c r="AB22" i="91"/>
  <c r="Y22" i="91"/>
  <c r="AA22" i="91" s="1"/>
  <c r="X22" i="91" s="1"/>
  <c r="K22" i="91"/>
  <c r="I22" i="91"/>
  <c r="F22" i="91" s="1"/>
  <c r="AB16" i="91"/>
  <c r="AC16" i="91" s="1"/>
  <c r="Y16" i="91"/>
  <c r="X16" i="91"/>
  <c r="K16" i="91"/>
  <c r="I16" i="91"/>
  <c r="AB15" i="91"/>
  <c r="AC15" i="91" s="1"/>
  <c r="Y15" i="91"/>
  <c r="X15" i="91"/>
  <c r="K15" i="91"/>
  <c r="I15" i="91"/>
  <c r="AB14" i="91"/>
  <c r="AC14" i="91" s="1"/>
  <c r="Y14" i="91"/>
  <c r="W14" i="91" s="1"/>
  <c r="I14" i="91" s="1"/>
  <c r="X14" i="91"/>
  <c r="K14" i="91"/>
  <c r="AB9" i="91"/>
  <c r="Y9" i="91"/>
  <c r="AA9" i="91" s="1"/>
  <c r="X9" i="91" s="1"/>
  <c r="K9" i="91"/>
  <c r="I9" i="91"/>
  <c r="AB8" i="91"/>
  <c r="Y8" i="91"/>
  <c r="K8" i="91"/>
  <c r="I8" i="91"/>
  <c r="F8" i="91" s="1"/>
  <c r="AB7" i="91"/>
  <c r="Y7" i="91"/>
  <c r="AA7" i="91" s="1"/>
  <c r="X7" i="91" s="1"/>
  <c r="K7" i="91"/>
  <c r="I7" i="91"/>
  <c r="D2" i="91"/>
  <c r="J7" i="91" l="1"/>
  <c r="L7" i="91" s="1"/>
  <c r="AC7" i="91"/>
  <c r="F7" i="91"/>
  <c r="J15" i="91"/>
  <c r="L15" i="91" s="1"/>
  <c r="J22" i="91"/>
  <c r="L22" i="91" s="1"/>
  <c r="J29" i="91"/>
  <c r="L29" i="91" s="1"/>
  <c r="J16" i="91"/>
  <c r="L16" i="91" s="1"/>
  <c r="J9" i="91"/>
  <c r="L9" i="91" s="1"/>
  <c r="F15" i="91"/>
  <c r="AC29" i="91"/>
  <c r="F9" i="91"/>
  <c r="J8" i="91"/>
  <c r="AC22" i="91"/>
  <c r="F14" i="91"/>
  <c r="J14" i="91"/>
  <c r="L14" i="91" s="1"/>
  <c r="AC9" i="91"/>
  <c r="AA8" i="91"/>
  <c r="X8" i="91" s="1"/>
  <c r="F16" i="91"/>
  <c r="L8" i="91" l="1"/>
  <c r="AC8" i="91"/>
  <c r="AB29" i="90"/>
  <c r="Y29" i="90"/>
  <c r="AA29" i="90" s="1"/>
  <c r="X29" i="90" s="1"/>
  <c r="K29" i="90"/>
  <c r="I29" i="90"/>
  <c r="J29" i="90" s="1"/>
  <c r="W27" i="90"/>
  <c r="I27" i="90"/>
  <c r="L27" i="90" s="1"/>
  <c r="AB22" i="90"/>
  <c r="Y22" i="90"/>
  <c r="AA22" i="90" s="1"/>
  <c r="X22" i="90" s="1"/>
  <c r="K22" i="90"/>
  <c r="I22" i="90"/>
  <c r="AB16" i="90"/>
  <c r="AC16" i="90" s="1"/>
  <c r="Y16" i="90"/>
  <c r="X16" i="90"/>
  <c r="K16" i="90"/>
  <c r="I16" i="90"/>
  <c r="AB15" i="90"/>
  <c r="AC15" i="90" s="1"/>
  <c r="Y15" i="90"/>
  <c r="X15" i="90"/>
  <c r="K15" i="90"/>
  <c r="I15" i="90"/>
  <c r="F15" i="90" s="1"/>
  <c r="AB14" i="90"/>
  <c r="AC14" i="90" s="1"/>
  <c r="Y14" i="90"/>
  <c r="W14" i="90" s="1"/>
  <c r="I14" i="90" s="1"/>
  <c r="J14" i="90" s="1"/>
  <c r="X14" i="90"/>
  <c r="K14" i="90"/>
  <c r="AB9" i="90"/>
  <c r="Y9" i="90"/>
  <c r="AA9" i="90" s="1"/>
  <c r="X9" i="90" s="1"/>
  <c r="K9" i="90"/>
  <c r="I9" i="90"/>
  <c r="AB8" i="90"/>
  <c r="Y8" i="90"/>
  <c r="AA8" i="90" s="1"/>
  <c r="X8" i="90" s="1"/>
  <c r="K8" i="90"/>
  <c r="I8" i="90"/>
  <c r="AB7" i="90"/>
  <c r="Y7" i="90"/>
  <c r="AA7" i="90" s="1"/>
  <c r="X7" i="90" s="1"/>
  <c r="K7" i="90"/>
  <c r="I7" i="90"/>
  <c r="D2" i="90"/>
  <c r="J7" i="90" l="1"/>
  <c r="J9" i="90"/>
  <c r="J22" i="90"/>
  <c r="L22" i="90" s="1"/>
  <c r="J8" i="90"/>
  <c r="L8" i="90" s="1"/>
  <c r="F8" i="90"/>
  <c r="J16" i="90"/>
  <c r="L16" i="90" s="1"/>
  <c r="L14" i="90"/>
  <c r="AC29" i="90"/>
  <c r="F7" i="90"/>
  <c r="F14" i="90"/>
  <c r="J15" i="90"/>
  <c r="L15" i="90" s="1"/>
  <c r="F16" i="90"/>
  <c r="F22" i="90"/>
  <c r="L29" i="90"/>
  <c r="F29" i="90"/>
  <c r="L9" i="90"/>
  <c r="F9" i="90"/>
  <c r="AC9" i="90"/>
  <c r="AC8" i="90"/>
  <c r="AC22" i="90"/>
  <c r="L7" i="90"/>
  <c r="AC7" i="90"/>
  <c r="D2" i="65"/>
  <c r="K7" i="89" l="1"/>
  <c r="I7" i="89"/>
  <c r="AB29" i="89" l="1"/>
  <c r="Y29" i="89"/>
  <c r="AA29" i="89" s="1"/>
  <c r="X29" i="89" s="1"/>
  <c r="K29" i="89"/>
  <c r="I29" i="89"/>
  <c r="J29" i="89" s="1"/>
  <c r="W27" i="89"/>
  <c r="I27" i="89"/>
  <c r="AB22" i="89"/>
  <c r="Y22" i="89"/>
  <c r="AA22" i="89" s="1"/>
  <c r="X22" i="89" s="1"/>
  <c r="K22" i="89"/>
  <c r="I22" i="89"/>
  <c r="AB16" i="89"/>
  <c r="AC16" i="89" s="1"/>
  <c r="Y16" i="89"/>
  <c r="X16" i="89"/>
  <c r="K16" i="89"/>
  <c r="I16" i="89"/>
  <c r="AB15" i="89"/>
  <c r="AC15" i="89" s="1"/>
  <c r="Y15" i="89"/>
  <c r="X15" i="89"/>
  <c r="K15" i="89"/>
  <c r="I15" i="89"/>
  <c r="AB14" i="89"/>
  <c r="AC14" i="89" s="1"/>
  <c r="Y14" i="89"/>
  <c r="W14" i="89" s="1"/>
  <c r="I14" i="89" s="1"/>
  <c r="J14" i="89" s="1"/>
  <c r="X14" i="89"/>
  <c r="K14" i="89"/>
  <c r="AB9" i="89"/>
  <c r="Y9" i="89"/>
  <c r="AA9" i="89" s="1"/>
  <c r="X9" i="89" s="1"/>
  <c r="K9" i="89"/>
  <c r="I9" i="89"/>
  <c r="AB8" i="89"/>
  <c r="Y8" i="89"/>
  <c r="AA8" i="89" s="1"/>
  <c r="X8" i="89" s="1"/>
  <c r="K8" i="89"/>
  <c r="I8" i="89"/>
  <c r="F8" i="89" s="1"/>
  <c r="AB7" i="89"/>
  <c r="Y7" i="89"/>
  <c r="AA7" i="89" s="1"/>
  <c r="X7" i="89" s="1"/>
  <c r="F7" i="89"/>
  <c r="J22" i="89" l="1"/>
  <c r="L22" i="89" s="1"/>
  <c r="J9" i="89"/>
  <c r="L9" i="89" s="1"/>
  <c r="J8" i="89"/>
  <c r="L8" i="89" s="1"/>
  <c r="J16" i="89"/>
  <c r="L16" i="89" s="1"/>
  <c r="AC9" i="89"/>
  <c r="F9" i="89"/>
  <c r="J15" i="89"/>
  <c r="L15" i="89" s="1"/>
  <c r="J7" i="89"/>
  <c r="L7" i="89" s="1"/>
  <c r="AC7" i="89"/>
  <c r="AC8" i="89"/>
  <c r="L14" i="89"/>
  <c r="F15" i="89"/>
  <c r="F29" i="89"/>
  <c r="L29" i="89"/>
  <c r="F22" i="89"/>
  <c r="F14" i="89"/>
  <c r="AC22" i="89"/>
  <c r="AC29" i="89"/>
  <c r="F16" i="89"/>
  <c r="AB29" i="88"/>
  <c r="Y29" i="88"/>
  <c r="AA29" i="88" s="1"/>
  <c r="X29" i="88" s="1"/>
  <c r="K29" i="88"/>
  <c r="I29" i="88"/>
  <c r="F29" i="88" s="1"/>
  <c r="W27" i="88"/>
  <c r="I27" i="88"/>
  <c r="AB22" i="88"/>
  <c r="Y22" i="88"/>
  <c r="AA22" i="88" s="1"/>
  <c r="K22" i="88"/>
  <c r="I22" i="88"/>
  <c r="J22" i="88" s="1"/>
  <c r="AB16" i="88"/>
  <c r="AC16" i="88" s="1"/>
  <c r="Y16" i="88"/>
  <c r="X16" i="88"/>
  <c r="K16" i="88"/>
  <c r="I16" i="88"/>
  <c r="AB15" i="88"/>
  <c r="AC15" i="88" s="1"/>
  <c r="Y15" i="88"/>
  <c r="X15" i="88"/>
  <c r="K15" i="88"/>
  <c r="I15" i="88"/>
  <c r="AB14" i="88"/>
  <c r="AC14" i="88" s="1"/>
  <c r="Y14" i="88"/>
  <c r="W14" i="88" s="1"/>
  <c r="I14" i="88" s="1"/>
  <c r="J14" i="88" s="1"/>
  <c r="X14" i="88"/>
  <c r="K14" i="88"/>
  <c r="AB9" i="88"/>
  <c r="Y9" i="88"/>
  <c r="AA9" i="88" s="1"/>
  <c r="X9" i="88" s="1"/>
  <c r="K9" i="88"/>
  <c r="I9" i="88"/>
  <c r="AB8" i="88"/>
  <c r="Y8" i="88"/>
  <c r="AA8" i="88" s="1"/>
  <c r="K8" i="88"/>
  <c r="I8" i="88"/>
  <c r="AB7" i="88"/>
  <c r="Y7" i="88"/>
  <c r="AA7" i="88" s="1"/>
  <c r="X7" i="88" s="1"/>
  <c r="K7" i="88"/>
  <c r="I7" i="88"/>
  <c r="J7" i="88" l="1"/>
  <c r="J9" i="88"/>
  <c r="L9" i="88" s="1"/>
  <c r="L14" i="88"/>
  <c r="J15" i="88"/>
  <c r="L15" i="88" s="1"/>
  <c r="J16" i="88"/>
  <c r="L16" i="88" s="1"/>
  <c r="J29" i="88"/>
  <c r="L29" i="88" s="1"/>
  <c r="F16" i="88"/>
  <c r="AC29" i="88"/>
  <c r="AC22" i="88"/>
  <c r="AC8" i="88"/>
  <c r="X8" i="88"/>
  <c r="F27" i="88"/>
  <c r="J8" i="88"/>
  <c r="AC7" i="88"/>
  <c r="AC9" i="88"/>
  <c r="L7" i="88"/>
  <c r="F7" i="88"/>
  <c r="F8" i="88"/>
  <c r="F9" i="88"/>
  <c r="F14" i="88"/>
  <c r="F15" i="88"/>
  <c r="F22" i="88"/>
  <c r="X22" i="88"/>
  <c r="L22" i="88" s="1"/>
  <c r="E3" i="87"/>
  <c r="F3" i="87" s="1"/>
  <c r="E4" i="87"/>
  <c r="F4" i="87" s="1"/>
  <c r="E5" i="87"/>
  <c r="F5" i="87" s="1"/>
  <c r="E6" i="87"/>
  <c r="F6" i="87" s="1"/>
  <c r="E7" i="87"/>
  <c r="F7" i="87" s="1"/>
  <c r="E2" i="87"/>
  <c r="W29" i="65"/>
  <c r="M16" i="139" l="1"/>
  <c r="AB23" i="139" s="1"/>
  <c r="M16" i="138"/>
  <c r="L16" i="137"/>
  <c r="L16" i="136"/>
  <c r="L15" i="135"/>
  <c r="M15" i="134"/>
  <c r="L15" i="133"/>
  <c r="O16" i="131"/>
  <c r="L15" i="129"/>
  <c r="L15" i="130"/>
  <c r="L15" i="127"/>
  <c r="L15" i="128"/>
  <c r="L15" i="125"/>
  <c r="L15" i="123"/>
  <c r="L15" i="120"/>
  <c r="L15" i="122"/>
  <c r="L15" i="121"/>
  <c r="L15" i="126"/>
  <c r="L15" i="124"/>
  <c r="L15" i="119"/>
  <c r="AB22" i="119" s="1"/>
  <c r="M15" i="117"/>
  <c r="O15" i="117" s="1"/>
  <c r="AA29" i="112"/>
  <c r="AA29" i="114"/>
  <c r="AA29" i="111"/>
  <c r="AA29" i="116"/>
  <c r="AA29" i="115"/>
  <c r="AA29" i="113"/>
  <c r="AA29" i="110"/>
  <c r="AA29" i="109"/>
  <c r="AA29" i="105"/>
  <c r="AA29" i="107"/>
  <c r="AA28" i="103"/>
  <c r="AA29" i="106"/>
  <c r="AA29" i="108"/>
  <c r="AA28" i="102"/>
  <c r="AA29" i="101"/>
  <c r="AA28" i="99"/>
  <c r="AA28" i="100"/>
  <c r="AA28" i="98"/>
  <c r="AA28" i="97"/>
  <c r="AA28" i="96"/>
  <c r="AA28" i="94"/>
  <c r="AA28" i="95"/>
  <c r="L8" i="88"/>
  <c r="AA27" i="89"/>
  <c r="AA27" i="91"/>
  <c r="AA27" i="90"/>
  <c r="F2" i="87"/>
  <c r="AA27" i="88"/>
  <c r="AA29" i="65"/>
  <c r="O16" i="139" l="1"/>
  <c r="F16" i="139" s="1"/>
  <c r="AA23" i="139" s="1"/>
  <c r="AC23" i="139" s="1"/>
  <c r="V23" i="139" s="1"/>
  <c r="AB23" i="136"/>
  <c r="N16" i="136"/>
  <c r="E16" i="136" s="1"/>
  <c r="AA23" i="136" s="1"/>
  <c r="AB23" i="137"/>
  <c r="N16" i="137"/>
  <c r="E16" i="137" s="1"/>
  <c r="AA23" i="137" s="1"/>
  <c r="AC23" i="137" s="1"/>
  <c r="V23" i="137" s="1"/>
  <c r="AB23" i="138"/>
  <c r="O16" i="138"/>
  <c r="F16" i="138" s="1"/>
  <c r="AA23" i="138" s="1"/>
  <c r="AC22" i="134"/>
  <c r="AD22" i="134" s="1"/>
  <c r="W22" i="134" s="1"/>
  <c r="O15" i="134"/>
  <c r="AB22" i="135"/>
  <c r="N15" i="135"/>
  <c r="E15" i="135" s="1"/>
  <c r="AA22" i="135" s="1"/>
  <c r="AB22" i="123"/>
  <c r="N15" i="123"/>
  <c r="E15" i="123" s="1"/>
  <c r="AA22" i="123" s="1"/>
  <c r="AB22" i="125"/>
  <c r="N15" i="125"/>
  <c r="E15" i="125" s="1"/>
  <c r="AA22" i="125" s="1"/>
  <c r="AB22" i="128"/>
  <c r="N15" i="128"/>
  <c r="E15" i="128" s="1"/>
  <c r="AA22" i="128" s="1"/>
  <c r="AB22" i="124"/>
  <c r="N15" i="124"/>
  <c r="E15" i="124" s="1"/>
  <c r="AA22" i="124" s="1"/>
  <c r="AB22" i="127"/>
  <c r="N15" i="127"/>
  <c r="E15" i="127" s="1"/>
  <c r="AA22" i="127" s="1"/>
  <c r="AB22" i="126"/>
  <c r="N15" i="126"/>
  <c r="E15" i="126" s="1"/>
  <c r="AA22" i="126" s="1"/>
  <c r="AB22" i="130"/>
  <c r="N15" i="130"/>
  <c r="E15" i="130" s="1"/>
  <c r="AA22" i="130" s="1"/>
  <c r="AB22" i="121"/>
  <c r="N15" i="121"/>
  <c r="E15" i="121" s="1"/>
  <c r="AA22" i="121" s="1"/>
  <c r="AB22" i="129"/>
  <c r="N15" i="129"/>
  <c r="E15" i="129" s="1"/>
  <c r="AA22" i="129" s="1"/>
  <c r="AB22" i="122"/>
  <c r="N15" i="122"/>
  <c r="E15" i="122" s="1"/>
  <c r="AA22" i="122" s="1"/>
  <c r="AD23" i="131"/>
  <c r="Q16" i="131"/>
  <c r="AC23" i="131" s="1"/>
  <c r="AB22" i="120"/>
  <c r="N15" i="120"/>
  <c r="E15" i="120" s="1"/>
  <c r="AA22" i="120" s="1"/>
  <c r="AB22" i="133"/>
  <c r="N15" i="133"/>
  <c r="E15" i="133" s="1"/>
  <c r="AA22" i="133" s="1"/>
  <c r="Y29" i="113"/>
  <c r="Y29" i="112"/>
  <c r="Y29" i="114"/>
  <c r="Y29" i="116"/>
  <c r="Y29" i="111"/>
  <c r="Y29" i="115"/>
  <c r="N15" i="119"/>
  <c r="E15" i="119" s="1"/>
  <c r="AA22" i="119" s="1"/>
  <c r="AC22" i="119" s="1"/>
  <c r="V22" i="119" s="1"/>
  <c r="Y29" i="110"/>
  <c r="Y29" i="109"/>
  <c r="Y29" i="108"/>
  <c r="Y29" i="106"/>
  <c r="Y28" i="102"/>
  <c r="Y29" i="105"/>
  <c r="Y29" i="107"/>
  <c r="Y28" i="103"/>
  <c r="Y29" i="101"/>
  <c r="Y28" i="99"/>
  <c r="AB28" i="99" s="1"/>
  <c r="J28" i="99" s="1"/>
  <c r="Y28" i="100"/>
  <c r="Y28" i="98"/>
  <c r="Y28" i="97"/>
  <c r="Y28" i="96"/>
  <c r="Y28" i="94"/>
  <c r="Z28" i="94" s="1"/>
  <c r="Y28" i="95"/>
  <c r="Y27" i="89"/>
  <c r="K27" i="89" s="1"/>
  <c r="Y27" i="91"/>
  <c r="Y27" i="90"/>
  <c r="Y27" i="88"/>
  <c r="Y29" i="65"/>
  <c r="AA27" i="86"/>
  <c r="X27" i="86"/>
  <c r="Z27" i="86" s="1"/>
  <c r="W27" i="86" s="1"/>
  <c r="J27" i="86"/>
  <c r="H27" i="86"/>
  <c r="AA22" i="86"/>
  <c r="X22" i="86"/>
  <c r="Z22" i="86" s="1"/>
  <c r="W22" i="86" s="1"/>
  <c r="J22" i="86"/>
  <c r="H22" i="86"/>
  <c r="AA16" i="86"/>
  <c r="AB16" i="86" s="1"/>
  <c r="X16" i="86"/>
  <c r="W16" i="86"/>
  <c r="J16" i="86"/>
  <c r="H16" i="86"/>
  <c r="AA15" i="86"/>
  <c r="AB15" i="86" s="1"/>
  <c r="X15" i="86"/>
  <c r="W15" i="86"/>
  <c r="J15" i="86"/>
  <c r="H15" i="86"/>
  <c r="E15" i="86" s="1"/>
  <c r="AA14" i="86"/>
  <c r="AB14" i="86" s="1"/>
  <c r="X14" i="86"/>
  <c r="V14" i="86" s="1"/>
  <c r="H14" i="86" s="1"/>
  <c r="I14" i="86" s="1"/>
  <c r="W14" i="86"/>
  <c r="J14" i="86"/>
  <c r="AA9" i="86"/>
  <c r="X9" i="86"/>
  <c r="Z9" i="86" s="1"/>
  <c r="W9" i="86" s="1"/>
  <c r="J9" i="86"/>
  <c r="H9" i="86"/>
  <c r="E9" i="86" s="1"/>
  <c r="AA8" i="86"/>
  <c r="X8" i="86"/>
  <c r="Z8" i="86" s="1"/>
  <c r="W8" i="86" s="1"/>
  <c r="J8" i="86"/>
  <c r="H8" i="86"/>
  <c r="AA7" i="86"/>
  <c r="X7" i="86"/>
  <c r="Z7" i="86" s="1"/>
  <c r="W7" i="86" s="1"/>
  <c r="J7" i="86"/>
  <c r="H7" i="86"/>
  <c r="AC23" i="138" l="1"/>
  <c r="V23" i="138" s="1"/>
  <c r="AC22" i="126"/>
  <c r="V22" i="126" s="1"/>
  <c r="AC23" i="136"/>
  <c r="V23" i="136" s="1"/>
  <c r="AC22" i="135"/>
  <c r="V22" i="135" s="1"/>
  <c r="AC22" i="122"/>
  <c r="V22" i="122" s="1"/>
  <c r="AC22" i="125"/>
  <c r="V22" i="125" s="1"/>
  <c r="AC22" i="120"/>
  <c r="V22" i="120" s="1"/>
  <c r="AC22" i="121"/>
  <c r="V22" i="121" s="1"/>
  <c r="AC22" i="124"/>
  <c r="V22" i="124" s="1"/>
  <c r="AE23" i="131"/>
  <c r="X23" i="131" s="1"/>
  <c r="AC22" i="130"/>
  <c r="V22" i="130" s="1"/>
  <c r="AC22" i="128"/>
  <c r="V22" i="128" s="1"/>
  <c r="AC22" i="133"/>
  <c r="V22" i="133" s="1"/>
  <c r="AC22" i="129"/>
  <c r="V22" i="129" s="1"/>
  <c r="AC22" i="127"/>
  <c r="V22" i="127" s="1"/>
  <c r="AC22" i="123"/>
  <c r="V22" i="123" s="1"/>
  <c r="AB29" i="115"/>
  <c r="J29" i="115" s="1"/>
  <c r="Z29" i="115"/>
  <c r="AB29" i="111"/>
  <c r="J29" i="111" s="1"/>
  <c r="Z29" i="111"/>
  <c r="AB29" i="116"/>
  <c r="J29" i="116" s="1"/>
  <c r="Z29" i="116"/>
  <c r="AB29" i="114"/>
  <c r="J29" i="114" s="1"/>
  <c r="Z29" i="114"/>
  <c r="AB29" i="112"/>
  <c r="J29" i="112" s="1"/>
  <c r="Z29" i="112"/>
  <c r="AB29" i="113"/>
  <c r="J29" i="113" s="1"/>
  <c r="Z29" i="113"/>
  <c r="I8" i="86"/>
  <c r="K8" i="86" s="1"/>
  <c r="AB28" i="94"/>
  <c r="J28" i="94" s="1"/>
  <c r="Z29" i="101"/>
  <c r="AB29" i="101"/>
  <c r="J29" i="101" s="1"/>
  <c r="I7" i="86"/>
  <c r="K7" i="86" s="1"/>
  <c r="AB28" i="103"/>
  <c r="J28" i="103" s="1"/>
  <c r="Z28" i="103"/>
  <c r="Z29" i="105"/>
  <c r="AB29" i="105"/>
  <c r="J29" i="105" s="1"/>
  <c r="AB29" i="107"/>
  <c r="J29" i="107" s="1"/>
  <c r="Z29" i="107"/>
  <c r="AB28" i="102"/>
  <c r="J28" i="102" s="1"/>
  <c r="Z28" i="102"/>
  <c r="AB29" i="106"/>
  <c r="J29" i="106" s="1"/>
  <c r="Z29" i="106"/>
  <c r="AB29" i="108"/>
  <c r="J29" i="108" s="1"/>
  <c r="Z29" i="108"/>
  <c r="Z29" i="109"/>
  <c r="AB29" i="109"/>
  <c r="J29" i="109" s="1"/>
  <c r="Z29" i="110"/>
  <c r="AB29" i="110"/>
  <c r="J29" i="110" s="1"/>
  <c r="Z28" i="99"/>
  <c r="AC28" i="99" s="1"/>
  <c r="K28" i="99" s="1"/>
  <c r="I27" i="86"/>
  <c r="AB28" i="100"/>
  <c r="J28" i="100" s="1"/>
  <c r="Z28" i="100"/>
  <c r="AB28" i="96"/>
  <c r="J28" i="96" s="1"/>
  <c r="Z28" i="96"/>
  <c r="I22" i="86"/>
  <c r="K22" i="86" s="1"/>
  <c r="AB28" i="97"/>
  <c r="J28" i="97" s="1"/>
  <c r="Z28" i="97"/>
  <c r="AB28" i="98"/>
  <c r="J28" i="98" s="1"/>
  <c r="Z28" i="98"/>
  <c r="AB28" i="95"/>
  <c r="J28" i="95" s="1"/>
  <c r="Z28" i="95"/>
  <c r="AC28" i="94"/>
  <c r="K28" i="94" s="1"/>
  <c r="F28" i="94"/>
  <c r="AB27" i="89"/>
  <c r="Z27" i="90"/>
  <c r="AB27" i="90"/>
  <c r="J27" i="90" s="1"/>
  <c r="AB9" i="86"/>
  <c r="I16" i="86"/>
  <c r="K16" i="86" s="1"/>
  <c r="Z27" i="89"/>
  <c r="AB27" i="91"/>
  <c r="J27" i="91" s="1"/>
  <c r="Z27" i="91"/>
  <c r="K14" i="86"/>
  <c r="E27" i="86"/>
  <c r="K27" i="86"/>
  <c r="I15" i="86"/>
  <c r="K15" i="86" s="1"/>
  <c r="Z29" i="65"/>
  <c r="AB29" i="65"/>
  <c r="J29" i="65" s="1"/>
  <c r="AB27" i="88"/>
  <c r="J27" i="88" s="1"/>
  <c r="Z27" i="88"/>
  <c r="AC27" i="88" s="1"/>
  <c r="K27" i="88" s="1"/>
  <c r="E22" i="86"/>
  <c r="E14" i="86"/>
  <c r="E8" i="86"/>
  <c r="E7" i="86"/>
  <c r="AB7" i="86"/>
  <c r="AB8" i="86"/>
  <c r="AB22" i="86"/>
  <c r="AB27" i="86"/>
  <c r="I9" i="86"/>
  <c r="K9" i="86" s="1"/>
  <c r="E16" i="86"/>
  <c r="AA27" i="85"/>
  <c r="X27" i="85"/>
  <c r="Z27" i="85" s="1"/>
  <c r="W27" i="85" s="1"/>
  <c r="J27" i="85"/>
  <c r="H27" i="85"/>
  <c r="E27" i="85" s="1"/>
  <c r="AA22" i="85"/>
  <c r="X22" i="85"/>
  <c r="Z22" i="85" s="1"/>
  <c r="W22" i="85" s="1"/>
  <c r="J22" i="85"/>
  <c r="H22" i="85"/>
  <c r="AA16" i="85"/>
  <c r="AB16" i="85" s="1"/>
  <c r="X16" i="85"/>
  <c r="W16" i="85"/>
  <c r="J16" i="85"/>
  <c r="H16" i="85"/>
  <c r="AA15" i="85"/>
  <c r="AB15" i="85" s="1"/>
  <c r="X15" i="85"/>
  <c r="W15" i="85"/>
  <c r="J15" i="85"/>
  <c r="H15" i="85"/>
  <c r="E15" i="85" s="1"/>
  <c r="AA14" i="85"/>
  <c r="AB14" i="85" s="1"/>
  <c r="X14" i="85"/>
  <c r="V14" i="85" s="1"/>
  <c r="H14" i="85" s="1"/>
  <c r="W14" i="85"/>
  <c r="J14" i="85"/>
  <c r="AA9" i="85"/>
  <c r="X9" i="85"/>
  <c r="Z9" i="85" s="1"/>
  <c r="W9" i="85" s="1"/>
  <c r="J9" i="85"/>
  <c r="H9" i="85"/>
  <c r="AA8" i="85"/>
  <c r="X8" i="85"/>
  <c r="Z8" i="85" s="1"/>
  <c r="W8" i="85" s="1"/>
  <c r="J8" i="85"/>
  <c r="H8" i="85"/>
  <c r="AA7" i="85"/>
  <c r="X7" i="85"/>
  <c r="Z7" i="85" s="1"/>
  <c r="W7" i="85" s="1"/>
  <c r="J7" i="85"/>
  <c r="H7" i="85"/>
  <c r="I8" i="85" l="1"/>
  <c r="K8" i="85" s="1"/>
  <c r="F29" i="114"/>
  <c r="AC29" i="114"/>
  <c r="K29" i="114" s="1"/>
  <c r="AC29" i="116"/>
  <c r="K29" i="116" s="1"/>
  <c r="F29" i="116"/>
  <c r="AC29" i="113"/>
  <c r="K29" i="113" s="1"/>
  <c r="F29" i="113"/>
  <c r="F29" i="111"/>
  <c r="AC29" i="111"/>
  <c r="K29" i="111" s="1"/>
  <c r="AC29" i="112"/>
  <c r="K29" i="112" s="1"/>
  <c r="F29" i="112"/>
  <c r="AC29" i="115"/>
  <c r="K29" i="115" s="1"/>
  <c r="F29" i="115"/>
  <c r="AC29" i="108"/>
  <c r="K29" i="108" s="1"/>
  <c r="F29" i="108"/>
  <c r="AC29" i="105"/>
  <c r="K29" i="105" s="1"/>
  <c r="F29" i="105"/>
  <c r="AC28" i="102"/>
  <c r="K28" i="102" s="1"/>
  <c r="F28" i="102"/>
  <c r="AC29" i="106"/>
  <c r="K29" i="106" s="1"/>
  <c r="F29" i="106"/>
  <c r="F29" i="110"/>
  <c r="AC29" i="110"/>
  <c r="K29" i="110" s="1"/>
  <c r="AC29" i="107"/>
  <c r="K29" i="107" s="1"/>
  <c r="F29" i="107"/>
  <c r="AC29" i="101"/>
  <c r="K29" i="101" s="1"/>
  <c r="F29" i="101"/>
  <c r="AC28" i="103"/>
  <c r="K28" i="103" s="1"/>
  <c r="F28" i="103"/>
  <c r="AC29" i="109"/>
  <c r="K29" i="109" s="1"/>
  <c r="F29" i="109"/>
  <c r="I9" i="85"/>
  <c r="K9" i="85" s="1"/>
  <c r="F28" i="99"/>
  <c r="AC28" i="100"/>
  <c r="K28" i="100" s="1"/>
  <c r="F28" i="100"/>
  <c r="I15" i="85"/>
  <c r="K15" i="85" s="1"/>
  <c r="AC28" i="96"/>
  <c r="K28" i="96" s="1"/>
  <c r="F28" i="96"/>
  <c r="I7" i="85"/>
  <c r="K7" i="85" s="1"/>
  <c r="AC28" i="97"/>
  <c r="K28" i="97" s="1"/>
  <c r="F28" i="97"/>
  <c r="AC28" i="98"/>
  <c r="K28" i="98" s="1"/>
  <c r="F28" i="98"/>
  <c r="AC28" i="95"/>
  <c r="K28" i="95" s="1"/>
  <c r="F28" i="95"/>
  <c r="F27" i="91"/>
  <c r="AC27" i="91"/>
  <c r="K27" i="91" s="1"/>
  <c r="AC27" i="89"/>
  <c r="J27" i="89"/>
  <c r="F27" i="89"/>
  <c r="F27" i="90"/>
  <c r="AC27" i="90"/>
  <c r="K27" i="90" s="1"/>
  <c r="AB27" i="85"/>
  <c r="AC29" i="65"/>
  <c r="K29" i="65" s="1"/>
  <c r="F29" i="65"/>
  <c r="E9" i="85"/>
  <c r="I27" i="85"/>
  <c r="K27" i="85" s="1"/>
  <c r="E14" i="85"/>
  <c r="I14" i="85"/>
  <c r="K14" i="85" s="1"/>
  <c r="AB22" i="85"/>
  <c r="I22" i="85"/>
  <c r="K22" i="85" s="1"/>
  <c r="I16" i="85"/>
  <c r="K16" i="85" s="1"/>
  <c r="E7" i="85"/>
  <c r="E8" i="85"/>
  <c r="E22" i="85"/>
  <c r="AB7" i="85"/>
  <c r="AB8" i="85"/>
  <c r="AB9" i="85"/>
  <c r="E16" i="85"/>
  <c r="D15" i="84"/>
  <c r="D14" i="84"/>
  <c r="AA27" i="84"/>
  <c r="X27" i="84"/>
  <c r="Z27" i="84" s="1"/>
  <c r="W27" i="84" s="1"/>
  <c r="J27" i="84"/>
  <c r="H27" i="84"/>
  <c r="AA22" i="84"/>
  <c r="X22" i="84"/>
  <c r="Z22" i="84" s="1"/>
  <c r="J22" i="84"/>
  <c r="H22" i="84"/>
  <c r="AA16" i="84"/>
  <c r="AB16" i="84" s="1"/>
  <c r="X16" i="84"/>
  <c r="W16" i="84"/>
  <c r="J16" i="84"/>
  <c r="H16" i="84"/>
  <c r="AA15" i="84"/>
  <c r="AB15" i="84" s="1"/>
  <c r="X15" i="84"/>
  <c r="W15" i="84"/>
  <c r="J15" i="84"/>
  <c r="H15" i="84"/>
  <c r="AA14" i="84"/>
  <c r="AB14" i="84" s="1"/>
  <c r="X14" i="84"/>
  <c r="V14" i="84" s="1"/>
  <c r="H14" i="84" s="1"/>
  <c r="I14" i="84" s="1"/>
  <c r="W14" i="84"/>
  <c r="J14" i="84"/>
  <c r="AA9" i="84"/>
  <c r="X9" i="84"/>
  <c r="Z9" i="84" s="1"/>
  <c r="J9" i="84"/>
  <c r="H9" i="84"/>
  <c r="AA8" i="84"/>
  <c r="X8" i="84"/>
  <c r="Z8" i="84" s="1"/>
  <c r="J8" i="84"/>
  <c r="H8" i="84"/>
  <c r="AA7" i="84"/>
  <c r="X7" i="84"/>
  <c r="Z7" i="84" s="1"/>
  <c r="J7" i="84"/>
  <c r="H7" i="84"/>
  <c r="I15" i="84" l="1"/>
  <c r="K15" i="84" s="1"/>
  <c r="AB27" i="84"/>
  <c r="K14" i="84"/>
  <c r="AB9" i="84"/>
  <c r="W9" i="84"/>
  <c r="AB22" i="84"/>
  <c r="W22" i="84"/>
  <c r="I27" i="84"/>
  <c r="K27" i="84" s="1"/>
  <c r="I9" i="84"/>
  <c r="I22" i="84"/>
  <c r="I16" i="84"/>
  <c r="K16" i="84" s="1"/>
  <c r="AB7" i="84"/>
  <c r="W7" i="84"/>
  <c r="AB8" i="84"/>
  <c r="W8" i="84"/>
  <c r="I7" i="84"/>
  <c r="I8" i="84"/>
  <c r="E16" i="84"/>
  <c r="E7" i="84"/>
  <c r="E8" i="84"/>
  <c r="E9" i="84"/>
  <c r="E14" i="84"/>
  <c r="E15" i="84"/>
  <c r="E22" i="84"/>
  <c r="E27" i="84"/>
  <c r="K9" i="84" l="1"/>
  <c r="K22" i="84"/>
  <c r="K8" i="84"/>
  <c r="K7" i="84"/>
  <c r="Z27" i="82"/>
  <c r="W27" i="82"/>
  <c r="Y27" i="82" s="1"/>
  <c r="V27" i="82" s="1"/>
  <c r="I27" i="82"/>
  <c r="G27" i="82"/>
  <c r="Z22" i="82"/>
  <c r="W22" i="82"/>
  <c r="Y22" i="82" s="1"/>
  <c r="V22" i="82" s="1"/>
  <c r="I22" i="82"/>
  <c r="G22" i="82"/>
  <c r="Z16" i="82"/>
  <c r="AA16" i="82" s="1"/>
  <c r="W16" i="82"/>
  <c r="V16" i="82"/>
  <c r="I16" i="82"/>
  <c r="G16" i="82"/>
  <c r="Z15" i="82"/>
  <c r="AA15" i="82" s="1"/>
  <c r="W15" i="82"/>
  <c r="V15" i="82"/>
  <c r="I15" i="82"/>
  <c r="G15" i="82"/>
  <c r="Z14" i="82"/>
  <c r="AA14" i="82" s="1"/>
  <c r="W14" i="82"/>
  <c r="U14" i="82" s="1"/>
  <c r="G14" i="82" s="1"/>
  <c r="H14" i="82" s="1"/>
  <c r="V14" i="82"/>
  <c r="I14" i="82"/>
  <c r="Z9" i="82"/>
  <c r="W9" i="82"/>
  <c r="Y9" i="82" s="1"/>
  <c r="V9" i="82" s="1"/>
  <c r="I9" i="82"/>
  <c r="G9" i="82"/>
  <c r="Z8" i="82"/>
  <c r="W8" i="82"/>
  <c r="Y8" i="82" s="1"/>
  <c r="V8" i="82" s="1"/>
  <c r="I8" i="82"/>
  <c r="G8" i="82"/>
  <c r="Z7" i="82"/>
  <c r="W7" i="82"/>
  <c r="Y7" i="82" s="1"/>
  <c r="V7" i="82" s="1"/>
  <c r="I7" i="82"/>
  <c r="G7" i="82"/>
  <c r="H15" i="82" l="1"/>
  <c r="J15" i="82" s="1"/>
  <c r="J14" i="82"/>
  <c r="H7" i="82"/>
  <c r="J7" i="82" s="1"/>
  <c r="H8" i="82"/>
  <c r="J8" i="82" s="1"/>
  <c r="H9" i="82"/>
  <c r="J9" i="82" s="1"/>
  <c r="H22" i="82"/>
  <c r="J22" i="82" s="1"/>
  <c r="H27" i="82"/>
  <c r="J27" i="82" s="1"/>
  <c r="D27" i="82"/>
  <c r="D7" i="82"/>
  <c r="D8" i="82"/>
  <c r="D14" i="82"/>
  <c r="D15" i="82"/>
  <c r="H16" i="82"/>
  <c r="J16" i="82" s="1"/>
  <c r="AA22" i="82"/>
  <c r="AA27" i="82"/>
  <c r="D22" i="82"/>
  <c r="D9" i="82"/>
  <c r="AA7" i="82"/>
  <c r="AA8" i="82"/>
  <c r="AA9" i="82"/>
  <c r="D16" i="82"/>
  <c r="Z27" i="81"/>
  <c r="W27" i="81"/>
  <c r="Y27" i="81" s="1"/>
  <c r="V27" i="81" s="1"/>
  <c r="I27" i="81"/>
  <c r="G27" i="81"/>
  <c r="Z22" i="81"/>
  <c r="W22" i="81"/>
  <c r="Y22" i="81" s="1"/>
  <c r="V22" i="81" s="1"/>
  <c r="I22" i="81"/>
  <c r="G22" i="81"/>
  <c r="D22" i="81" s="1"/>
  <c r="Z16" i="81"/>
  <c r="AA16" i="81" s="1"/>
  <c r="W16" i="81"/>
  <c r="V16" i="81"/>
  <c r="I16" i="81"/>
  <c r="G16" i="81"/>
  <c r="Z15" i="81"/>
  <c r="AA15" i="81" s="1"/>
  <c r="W15" i="81"/>
  <c r="V15" i="81"/>
  <c r="I15" i="81"/>
  <c r="G15" i="81"/>
  <c r="D15" i="81" s="1"/>
  <c r="Z14" i="81"/>
  <c r="AA14" i="81" s="1"/>
  <c r="W14" i="81"/>
  <c r="U14" i="81" s="1"/>
  <c r="G14" i="81" s="1"/>
  <c r="V14" i="81"/>
  <c r="I14" i="81"/>
  <c r="Z9" i="81"/>
  <c r="W9" i="81"/>
  <c r="Y9" i="81" s="1"/>
  <c r="V9" i="81" s="1"/>
  <c r="I9" i="81"/>
  <c r="G9" i="81"/>
  <c r="D9" i="81" s="1"/>
  <c r="Z8" i="81"/>
  <c r="W8" i="81"/>
  <c r="Y8" i="81" s="1"/>
  <c r="V8" i="81" s="1"/>
  <c r="I8" i="81"/>
  <c r="G8" i="81"/>
  <c r="Z7" i="81"/>
  <c r="W7" i="81"/>
  <c r="I7" i="81"/>
  <c r="G7" i="81"/>
  <c r="D7" i="81" s="1"/>
  <c r="AB31" i="65"/>
  <c r="AB22" i="65"/>
  <c r="AB16" i="65"/>
  <c r="AC16" i="65" s="1"/>
  <c r="AB15" i="65"/>
  <c r="AC15" i="65" s="1"/>
  <c r="AB14" i="65"/>
  <c r="AC14" i="65" s="1"/>
  <c r="AB9" i="65"/>
  <c r="AB7" i="65"/>
  <c r="AB8" i="65"/>
  <c r="H27" i="81" l="1"/>
  <c r="J27" i="81" s="1"/>
  <c r="H8" i="81"/>
  <c r="J8" i="81" s="1"/>
  <c r="AA8" i="81"/>
  <c r="H16" i="81"/>
  <c r="J16" i="81" s="1"/>
  <c r="H22" i="81"/>
  <c r="J22" i="81" s="1"/>
  <c r="D27" i="81"/>
  <c r="AA27" i="81"/>
  <c r="H15" i="81"/>
  <c r="J15" i="81" s="1"/>
  <c r="H9" i="81"/>
  <c r="J9" i="81" s="1"/>
  <c r="D8" i="81"/>
  <c r="H7" i="81"/>
  <c r="AA22" i="81"/>
  <c r="D14" i="81"/>
  <c r="H14" i="81"/>
  <c r="J14" i="81" s="1"/>
  <c r="AA9" i="81"/>
  <c r="D16" i="81"/>
  <c r="Y7" i="81"/>
  <c r="V7" i="81" s="1"/>
  <c r="J7" i="81" l="1"/>
  <c r="AA7" i="81"/>
  <c r="W27" i="77"/>
  <c r="Y27" i="77" s="1"/>
  <c r="I27" i="77"/>
  <c r="G27" i="77"/>
  <c r="W22" i="77"/>
  <c r="Y22" i="77" s="1"/>
  <c r="I22" i="77"/>
  <c r="G22" i="77"/>
  <c r="AA16" i="77"/>
  <c r="W16" i="77"/>
  <c r="V16" i="77"/>
  <c r="I16" i="77"/>
  <c r="G16" i="77"/>
  <c r="AA15" i="77"/>
  <c r="W15" i="77"/>
  <c r="V15" i="77"/>
  <c r="I15" i="77"/>
  <c r="G15" i="77"/>
  <c r="AA14" i="77"/>
  <c r="W14" i="77"/>
  <c r="U14" i="77" s="1"/>
  <c r="G14" i="77" s="1"/>
  <c r="H14" i="77" s="1"/>
  <c r="V14" i="77"/>
  <c r="I14" i="77"/>
  <c r="W9" i="77"/>
  <c r="Y9" i="77" s="1"/>
  <c r="I9" i="77"/>
  <c r="G9" i="77"/>
  <c r="W8" i="77"/>
  <c r="Y8" i="77" s="1"/>
  <c r="I8" i="77"/>
  <c r="G8" i="77"/>
  <c r="W7" i="77"/>
  <c r="Y7" i="77" s="1"/>
  <c r="I7" i="77"/>
  <c r="G7" i="77"/>
  <c r="H22" i="77" l="1"/>
  <c r="H7" i="77"/>
  <c r="H27" i="77"/>
  <c r="H9" i="77"/>
  <c r="J14" i="77"/>
  <c r="H15" i="77"/>
  <c r="J15" i="77" s="1"/>
  <c r="AA27" i="77"/>
  <c r="V27" i="77"/>
  <c r="H8" i="77"/>
  <c r="AA8" i="77"/>
  <c r="V8" i="77"/>
  <c r="H16" i="77"/>
  <c r="J16" i="77" s="1"/>
  <c r="D22" i="77"/>
  <c r="D15" i="77"/>
  <c r="D16" i="77"/>
  <c r="D7" i="77"/>
  <c r="D9" i="77"/>
  <c r="V22" i="77"/>
  <c r="AA22" i="77"/>
  <c r="V7" i="77"/>
  <c r="AA7" i="77"/>
  <c r="V9" i="77"/>
  <c r="J9" i="77" s="1"/>
  <c r="AA9" i="77"/>
  <c r="D8" i="77"/>
  <c r="D14" i="77"/>
  <c r="D27" i="77"/>
  <c r="W27" i="75"/>
  <c r="Y27" i="75" s="1"/>
  <c r="I27" i="75"/>
  <c r="G27" i="75"/>
  <c r="W22" i="75"/>
  <c r="Y22" i="75" s="1"/>
  <c r="I22" i="75"/>
  <c r="G22" i="75"/>
  <c r="AA16" i="75"/>
  <c r="W16" i="75"/>
  <c r="V16" i="75"/>
  <c r="I16" i="75"/>
  <c r="G16" i="75"/>
  <c r="D16" i="75" s="1"/>
  <c r="AA15" i="75"/>
  <c r="W15" i="75"/>
  <c r="V15" i="75"/>
  <c r="I15" i="75"/>
  <c r="G15" i="75"/>
  <c r="AA14" i="75"/>
  <c r="W14" i="75"/>
  <c r="U14" i="75" s="1"/>
  <c r="G14" i="75" s="1"/>
  <c r="H14" i="75" s="1"/>
  <c r="V14" i="75"/>
  <c r="I14" i="75"/>
  <c r="W9" i="75"/>
  <c r="Y9" i="75" s="1"/>
  <c r="I9" i="75"/>
  <c r="G9" i="75"/>
  <c r="W8" i="75"/>
  <c r="Y8" i="75" s="1"/>
  <c r="AA8" i="75" s="1"/>
  <c r="I8" i="75"/>
  <c r="G8" i="75"/>
  <c r="W7" i="75"/>
  <c r="Y7" i="75" s="1"/>
  <c r="I7" i="75"/>
  <c r="G7" i="75"/>
  <c r="H7" i="75" s="1"/>
  <c r="J22" i="77" l="1"/>
  <c r="J27" i="77"/>
  <c r="H22" i="75"/>
  <c r="J7" i="77"/>
  <c r="H9" i="75"/>
  <c r="H8" i="75"/>
  <c r="J8" i="77"/>
  <c r="J14" i="75"/>
  <c r="H15" i="75"/>
  <c r="J15" i="75" s="1"/>
  <c r="D7" i="75"/>
  <c r="D9" i="75"/>
  <c r="AA27" i="75"/>
  <c r="V27" i="75"/>
  <c r="H16" i="75"/>
  <c r="J16" i="75" s="1"/>
  <c r="V8" i="75"/>
  <c r="H27" i="75"/>
  <c r="D22" i="75"/>
  <c r="D15" i="75"/>
  <c r="V22" i="75"/>
  <c r="J22" i="75" s="1"/>
  <c r="AA22" i="75"/>
  <c r="V7" i="75"/>
  <c r="J7" i="75" s="1"/>
  <c r="AA7" i="75"/>
  <c r="V9" i="75"/>
  <c r="J9" i="75" s="1"/>
  <c r="AA9" i="75"/>
  <c r="D8" i="75"/>
  <c r="D14" i="75"/>
  <c r="D27" i="75"/>
  <c r="J8" i="75" l="1"/>
  <c r="J27" i="75"/>
  <c r="W27" i="74"/>
  <c r="Y27" i="74" s="1"/>
  <c r="I27" i="74"/>
  <c r="G27" i="74"/>
  <c r="W22" i="74"/>
  <c r="Y22" i="74" s="1"/>
  <c r="I22" i="74"/>
  <c r="G22" i="74"/>
  <c r="AA16" i="74"/>
  <c r="W16" i="74"/>
  <c r="V16" i="74"/>
  <c r="I16" i="74"/>
  <c r="G16" i="74"/>
  <c r="AA15" i="74"/>
  <c r="W15" i="74"/>
  <c r="V15" i="74"/>
  <c r="I15" i="74"/>
  <c r="G15" i="74"/>
  <c r="AA14" i="74"/>
  <c r="W14" i="74"/>
  <c r="U14" i="74" s="1"/>
  <c r="G14" i="74" s="1"/>
  <c r="H14" i="74" s="1"/>
  <c r="V14" i="74"/>
  <c r="I14" i="74"/>
  <c r="W9" i="74"/>
  <c r="Y9" i="74" s="1"/>
  <c r="I9" i="74"/>
  <c r="G9" i="74"/>
  <c r="D9" i="74" s="1"/>
  <c r="W8" i="74"/>
  <c r="Y8" i="74" s="1"/>
  <c r="I8" i="74"/>
  <c r="G8" i="74"/>
  <c r="W7" i="74"/>
  <c r="Y7" i="74" s="1"/>
  <c r="I7" i="74"/>
  <c r="G7" i="74"/>
  <c r="H16" i="74" l="1"/>
  <c r="J16" i="74" s="1"/>
  <c r="H22" i="74"/>
  <c r="H27" i="74"/>
  <c r="AA8" i="74"/>
  <c r="V8" i="74"/>
  <c r="AA27" i="74"/>
  <c r="V27" i="74"/>
  <c r="J27" i="74" s="1"/>
  <c r="H7" i="74"/>
  <c r="H9" i="74"/>
  <c r="H8" i="74"/>
  <c r="J14" i="74"/>
  <c r="H15" i="74"/>
  <c r="J15" i="74" s="1"/>
  <c r="D16" i="74"/>
  <c r="D7" i="74"/>
  <c r="D22" i="74"/>
  <c r="D15" i="74"/>
  <c r="V22" i="74"/>
  <c r="AA22" i="74"/>
  <c r="V7" i="74"/>
  <c r="AA7" i="74"/>
  <c r="V9" i="74"/>
  <c r="AA9" i="74"/>
  <c r="D8" i="74"/>
  <c r="D14" i="74"/>
  <c r="D27" i="74"/>
  <c r="W27" i="73"/>
  <c r="Y27" i="73" s="1"/>
  <c r="I27" i="73"/>
  <c r="G27" i="73"/>
  <c r="W22" i="73"/>
  <c r="Y22" i="73" s="1"/>
  <c r="I22" i="73"/>
  <c r="G22" i="73"/>
  <c r="AA16" i="73"/>
  <c r="W16" i="73"/>
  <c r="V16" i="73"/>
  <c r="I16" i="73"/>
  <c r="G16" i="73"/>
  <c r="AA15" i="73"/>
  <c r="W15" i="73"/>
  <c r="V15" i="73"/>
  <c r="I15" i="73"/>
  <c r="G15" i="73"/>
  <c r="AA14" i="73"/>
  <c r="W14" i="73"/>
  <c r="U14" i="73" s="1"/>
  <c r="G14" i="73" s="1"/>
  <c r="H14" i="73" s="1"/>
  <c r="V14" i="73"/>
  <c r="I14" i="73"/>
  <c r="W9" i="73"/>
  <c r="Y9" i="73" s="1"/>
  <c r="I9" i="73"/>
  <c r="G9" i="73"/>
  <c r="W8" i="73"/>
  <c r="Y8" i="73" s="1"/>
  <c r="AA8" i="73" s="1"/>
  <c r="I8" i="73"/>
  <c r="G8" i="73"/>
  <c r="W7" i="73"/>
  <c r="Y7" i="73" s="1"/>
  <c r="I7" i="73"/>
  <c r="G7" i="73"/>
  <c r="J9" i="74" l="1"/>
  <c r="H22" i="73"/>
  <c r="H9" i="73"/>
  <c r="H27" i="73"/>
  <c r="H16" i="73"/>
  <c r="J16" i="73" s="1"/>
  <c r="J22" i="74"/>
  <c r="J14" i="73"/>
  <c r="H15" i="73"/>
  <c r="J15" i="73" s="1"/>
  <c r="H8" i="73"/>
  <c r="J7" i="74"/>
  <c r="H7" i="73"/>
  <c r="J8" i="74"/>
  <c r="D16" i="73"/>
  <c r="AA27" i="73"/>
  <c r="V27" i="73"/>
  <c r="V8" i="73"/>
  <c r="D7" i="73"/>
  <c r="D9" i="73"/>
  <c r="D22" i="73"/>
  <c r="D15" i="73"/>
  <c r="V22" i="73"/>
  <c r="AA22" i="73"/>
  <c r="V7" i="73"/>
  <c r="J7" i="73" s="1"/>
  <c r="AA7" i="73"/>
  <c r="V9" i="73"/>
  <c r="AA9" i="73"/>
  <c r="D8" i="73"/>
  <c r="D14" i="73"/>
  <c r="D27" i="73"/>
  <c r="V14" i="72"/>
  <c r="J22" i="73" l="1"/>
  <c r="J9" i="73"/>
  <c r="J27" i="73"/>
  <c r="J8" i="73"/>
  <c r="W27" i="72"/>
  <c r="Y27" i="72" s="1"/>
  <c r="I27" i="72"/>
  <c r="G27" i="72"/>
  <c r="W22" i="72"/>
  <c r="Y22" i="72" s="1"/>
  <c r="I22" i="72"/>
  <c r="G22" i="72"/>
  <c r="AA16" i="72"/>
  <c r="W16" i="72"/>
  <c r="V16" i="72"/>
  <c r="I16" i="72"/>
  <c r="G16" i="72"/>
  <c r="AA15" i="72"/>
  <c r="W15" i="72"/>
  <c r="V15" i="72"/>
  <c r="I15" i="72"/>
  <c r="G15" i="72"/>
  <c r="AA14" i="72"/>
  <c r="W14" i="72"/>
  <c r="U14" i="72" s="1"/>
  <c r="G14" i="72" s="1"/>
  <c r="H14" i="72" s="1"/>
  <c r="I14" i="72"/>
  <c r="W9" i="72"/>
  <c r="Y9" i="72" s="1"/>
  <c r="I9" i="72"/>
  <c r="G9" i="72"/>
  <c r="W8" i="72"/>
  <c r="Y8" i="72" s="1"/>
  <c r="I8" i="72"/>
  <c r="G8" i="72"/>
  <c r="W7" i="72"/>
  <c r="Y7" i="72" s="1"/>
  <c r="I7" i="72"/>
  <c r="G7" i="72"/>
  <c r="H9" i="72" l="1"/>
  <c r="H7" i="72"/>
  <c r="H22" i="72"/>
  <c r="AA8" i="72"/>
  <c r="V8" i="72"/>
  <c r="AA27" i="72"/>
  <c r="V27" i="72"/>
  <c r="H8" i="72"/>
  <c r="H27" i="72"/>
  <c r="J14" i="72"/>
  <c r="P14" i="72"/>
  <c r="D7" i="72"/>
  <c r="H15" i="72"/>
  <c r="J15" i="72" s="1"/>
  <c r="H16" i="72"/>
  <c r="J16" i="72" s="1"/>
  <c r="D16" i="72"/>
  <c r="D22" i="72"/>
  <c r="D15" i="72"/>
  <c r="D9" i="72"/>
  <c r="V22" i="72"/>
  <c r="AA22" i="72"/>
  <c r="V7" i="72"/>
  <c r="AA7" i="72"/>
  <c r="V9" i="72"/>
  <c r="J9" i="72" s="1"/>
  <c r="AA9" i="72"/>
  <c r="D8" i="72"/>
  <c r="D14" i="72"/>
  <c r="D27" i="72"/>
  <c r="W27" i="71"/>
  <c r="Y27" i="71" s="1"/>
  <c r="I27" i="71"/>
  <c r="G27" i="71"/>
  <c r="W22" i="71"/>
  <c r="Y22" i="71" s="1"/>
  <c r="I22" i="71"/>
  <c r="G22" i="71"/>
  <c r="D22" i="71" s="1"/>
  <c r="AA16" i="71"/>
  <c r="W16" i="71"/>
  <c r="V16" i="71"/>
  <c r="I16" i="71"/>
  <c r="G16" i="71"/>
  <c r="AA15" i="71"/>
  <c r="W15" i="71"/>
  <c r="V15" i="71"/>
  <c r="I15" i="71"/>
  <c r="G15" i="71"/>
  <c r="AA14" i="71"/>
  <c r="W14" i="71"/>
  <c r="U14" i="71" s="1"/>
  <c r="G14" i="71" s="1"/>
  <c r="H14" i="71" s="1"/>
  <c r="V14" i="71"/>
  <c r="I14" i="71"/>
  <c r="W9" i="71"/>
  <c r="Y9" i="71" s="1"/>
  <c r="I9" i="71"/>
  <c r="G9" i="71"/>
  <c r="D9" i="71" s="1"/>
  <c r="W8" i="71"/>
  <c r="Y8" i="71" s="1"/>
  <c r="I8" i="71"/>
  <c r="G8" i="71"/>
  <c r="W7" i="71"/>
  <c r="Y7" i="71" s="1"/>
  <c r="I7" i="71"/>
  <c r="G7" i="71"/>
  <c r="J22" i="72" l="1"/>
  <c r="J7" i="72"/>
  <c r="J8" i="72"/>
  <c r="H8" i="71"/>
  <c r="H27" i="71"/>
  <c r="J27" i="72"/>
  <c r="H7" i="71"/>
  <c r="J14" i="71"/>
  <c r="AA8" i="71"/>
  <c r="V8" i="71"/>
  <c r="AA27" i="71"/>
  <c r="V27" i="71"/>
  <c r="H9" i="71"/>
  <c r="H16" i="71"/>
  <c r="J16" i="71" s="1"/>
  <c r="H15" i="71"/>
  <c r="J15" i="71" s="1"/>
  <c r="H22" i="71"/>
  <c r="D7" i="71"/>
  <c r="D16" i="71"/>
  <c r="D15" i="71"/>
  <c r="V22" i="71"/>
  <c r="AA22" i="71"/>
  <c r="V7" i="71"/>
  <c r="AA7" i="71"/>
  <c r="V9" i="71"/>
  <c r="AA9" i="71"/>
  <c r="D8" i="71"/>
  <c r="D14" i="71"/>
  <c r="D27" i="71"/>
  <c r="Y15" i="70"/>
  <c r="AA15" i="70" s="1"/>
  <c r="K15" i="70"/>
  <c r="I15" i="70"/>
  <c r="AC10" i="70"/>
  <c r="Y10" i="70"/>
  <c r="X10" i="70"/>
  <c r="K10" i="70"/>
  <c r="I10" i="70"/>
  <c r="AC9" i="70"/>
  <c r="Y9" i="70"/>
  <c r="X9" i="70"/>
  <c r="K9" i="70"/>
  <c r="I9" i="70"/>
  <c r="AC8" i="70"/>
  <c r="Y8" i="70"/>
  <c r="W8" i="70" s="1"/>
  <c r="I8" i="70" s="1"/>
  <c r="J8" i="70" s="1"/>
  <c r="X8" i="70"/>
  <c r="K8" i="70"/>
  <c r="Y7" i="70"/>
  <c r="AA7" i="70" s="1"/>
  <c r="K7" i="70"/>
  <c r="I7" i="70"/>
  <c r="Y6" i="70"/>
  <c r="AA6" i="70" s="1"/>
  <c r="K6" i="70"/>
  <c r="I6" i="70"/>
  <c r="Y5" i="70"/>
  <c r="AA5" i="70" s="1"/>
  <c r="K5" i="70"/>
  <c r="I5" i="70"/>
  <c r="Y4" i="70"/>
  <c r="AA4" i="70" s="1"/>
  <c r="K4" i="70"/>
  <c r="I4" i="70"/>
  <c r="J8" i="71" l="1"/>
  <c r="J9" i="71"/>
  <c r="J27" i="71"/>
  <c r="J7" i="71"/>
  <c r="J4" i="70"/>
  <c r="J10" i="70"/>
  <c r="E10" i="70" s="1"/>
  <c r="J6" i="70"/>
  <c r="J5" i="70"/>
  <c r="J7" i="70"/>
  <c r="J15" i="70"/>
  <c r="J22" i="71"/>
  <c r="AC15" i="70"/>
  <c r="X15" i="70"/>
  <c r="J9" i="70"/>
  <c r="E9" i="70" s="1"/>
  <c r="L8" i="70"/>
  <c r="F7" i="70"/>
  <c r="F5" i="70"/>
  <c r="E8" i="70"/>
  <c r="F4" i="70"/>
  <c r="F6" i="70"/>
  <c r="F8" i="70"/>
  <c r="F9" i="70"/>
  <c r="X5" i="70"/>
  <c r="AC5" i="70"/>
  <c r="X7" i="70"/>
  <c r="AC7" i="70"/>
  <c r="X4" i="70"/>
  <c r="AC4" i="70"/>
  <c r="X6" i="70"/>
  <c r="AC6" i="70"/>
  <c r="F10" i="70"/>
  <c r="F15" i="70"/>
  <c r="I9" i="67"/>
  <c r="I4" i="67"/>
  <c r="L15" i="70" l="1"/>
  <c r="L10" i="70"/>
  <c r="L9" i="70"/>
  <c r="E7" i="70"/>
  <c r="L7" i="70"/>
  <c r="E5" i="70"/>
  <c r="L5" i="70"/>
  <c r="E6" i="70"/>
  <c r="L6" i="70"/>
  <c r="E4" i="70"/>
  <c r="L4" i="70"/>
  <c r="Y15" i="67"/>
  <c r="AA15" i="67" s="1"/>
  <c r="K15" i="67"/>
  <c r="I15" i="67"/>
  <c r="F15" i="67" s="1"/>
  <c r="Y7" i="67"/>
  <c r="AA7" i="67" s="1"/>
  <c r="AC7" i="67" s="1"/>
  <c r="K7" i="67"/>
  <c r="I7" i="67"/>
  <c r="F7" i="67" s="1"/>
  <c r="Y6" i="67"/>
  <c r="AA6" i="67" s="1"/>
  <c r="K6" i="67"/>
  <c r="I6" i="67"/>
  <c r="AC10" i="67"/>
  <c r="Y10" i="67"/>
  <c r="X10" i="67"/>
  <c r="K10" i="67"/>
  <c r="I10" i="67"/>
  <c r="AC9" i="67"/>
  <c r="Y9" i="67"/>
  <c r="J9" i="67" s="1"/>
  <c r="X9" i="67"/>
  <c r="K9" i="67"/>
  <c r="AC8" i="67"/>
  <c r="Y8" i="67"/>
  <c r="W8" i="67" s="1"/>
  <c r="I8" i="67" s="1"/>
  <c r="X8" i="67"/>
  <c r="K8" i="67"/>
  <c r="Y5" i="67"/>
  <c r="AA5" i="67" s="1"/>
  <c r="K5" i="67"/>
  <c r="I5" i="67"/>
  <c r="Y4" i="67"/>
  <c r="AA4" i="67" s="1"/>
  <c r="K4" i="67"/>
  <c r="F4" i="67"/>
  <c r="J4" i="67" l="1"/>
  <c r="J10" i="67"/>
  <c r="E10" i="67" s="1"/>
  <c r="E9" i="67"/>
  <c r="J7" i="67"/>
  <c r="J5" i="67"/>
  <c r="J6" i="67"/>
  <c r="L9" i="67"/>
  <c r="X5" i="67"/>
  <c r="AC5" i="67"/>
  <c r="J8" i="67"/>
  <c r="L8" i="67" s="1"/>
  <c r="F8" i="67"/>
  <c r="AC6" i="67"/>
  <c r="X6" i="67"/>
  <c r="AC15" i="67"/>
  <c r="X15" i="67"/>
  <c r="X4" i="67"/>
  <c r="AC4" i="67"/>
  <c r="F5" i="67"/>
  <c r="X7" i="67"/>
  <c r="J15" i="67"/>
  <c r="F9" i="67"/>
  <c r="F10" i="67"/>
  <c r="F6" i="67"/>
  <c r="V15" i="66"/>
  <c r="X15" i="66" s="1"/>
  <c r="H15" i="66"/>
  <c r="F15" i="66"/>
  <c r="V10" i="66"/>
  <c r="X10" i="66" s="1"/>
  <c r="H10" i="66"/>
  <c r="F10" i="66"/>
  <c r="V9" i="66"/>
  <c r="X9" i="66" s="1"/>
  <c r="H9" i="66"/>
  <c r="F9" i="66"/>
  <c r="Z8" i="66"/>
  <c r="V8" i="66"/>
  <c r="U8" i="66"/>
  <c r="H8" i="66"/>
  <c r="F8" i="66"/>
  <c r="Z7" i="66"/>
  <c r="V7" i="66"/>
  <c r="U7" i="66"/>
  <c r="H7" i="66"/>
  <c r="F7" i="66"/>
  <c r="Z6" i="66"/>
  <c r="V6" i="66"/>
  <c r="T6" i="66" s="1"/>
  <c r="F6" i="66" s="1"/>
  <c r="G6" i="66" s="1"/>
  <c r="U6" i="66"/>
  <c r="H6" i="66"/>
  <c r="V5" i="66"/>
  <c r="X5" i="66" s="1"/>
  <c r="H5" i="66"/>
  <c r="F5" i="66"/>
  <c r="V4" i="66"/>
  <c r="X4" i="66" s="1"/>
  <c r="H4" i="66"/>
  <c r="F4" i="66"/>
  <c r="G10" i="66" l="1"/>
  <c r="E7" i="67"/>
  <c r="G4" i="66"/>
  <c r="L10" i="67"/>
  <c r="Z5" i="66"/>
  <c r="U5" i="66"/>
  <c r="G5" i="66"/>
  <c r="G8" i="66"/>
  <c r="I8" i="66" s="1"/>
  <c r="L15" i="67"/>
  <c r="Z9" i="66"/>
  <c r="U9" i="66"/>
  <c r="Z15" i="66"/>
  <c r="U15" i="66"/>
  <c r="I6" i="66"/>
  <c r="G7" i="66"/>
  <c r="I7" i="66" s="1"/>
  <c r="G9" i="66"/>
  <c r="G15" i="66"/>
  <c r="L6" i="67"/>
  <c r="E6" i="67"/>
  <c r="E8" i="67"/>
  <c r="L4" i="67"/>
  <c r="E4" i="67"/>
  <c r="L5" i="67"/>
  <c r="E5" i="67"/>
  <c r="L7" i="67"/>
  <c r="D10" i="66"/>
  <c r="D6" i="66"/>
  <c r="D4" i="66"/>
  <c r="U10" i="66"/>
  <c r="Z10" i="66"/>
  <c r="U4" i="66"/>
  <c r="Z4" i="66"/>
  <c r="D5" i="66"/>
  <c r="D7" i="66"/>
  <c r="D8" i="66"/>
  <c r="D9" i="66"/>
  <c r="D15" i="66"/>
  <c r="K7" i="57"/>
  <c r="K8" i="57"/>
  <c r="Q6" i="57"/>
  <c r="K6" i="57" s="1"/>
  <c r="I10" i="66" l="1"/>
  <c r="I9" i="66"/>
  <c r="I5" i="66"/>
  <c r="I15" i="66"/>
  <c r="I4" i="66"/>
  <c r="Q10" i="57"/>
  <c r="K10" i="57" s="1"/>
  <c r="Q9" i="57"/>
  <c r="K9" i="57" s="1"/>
  <c r="Y31" i="65" l="1"/>
  <c r="AA31" i="65" s="1"/>
  <c r="AC31" i="65" s="1"/>
  <c r="K31" i="65"/>
  <c r="I31" i="65"/>
  <c r="Y22" i="65"/>
  <c r="AA22" i="65" s="1"/>
  <c r="K22" i="65"/>
  <c r="I22" i="65"/>
  <c r="Y9" i="65"/>
  <c r="AA9" i="65" s="1"/>
  <c r="AC9" i="65" s="1"/>
  <c r="I9" i="65"/>
  <c r="F9" i="65" s="1"/>
  <c r="Y16" i="65"/>
  <c r="X16" i="65"/>
  <c r="K16" i="65"/>
  <c r="I16" i="65"/>
  <c r="F16" i="65" s="1"/>
  <c r="Y15" i="65"/>
  <c r="X15" i="65"/>
  <c r="K15" i="65"/>
  <c r="I15" i="65"/>
  <c r="F15" i="65" s="1"/>
  <c r="Y14" i="65"/>
  <c r="W14" i="65" s="1"/>
  <c r="I14" i="65" s="1"/>
  <c r="X14" i="65"/>
  <c r="K14" i="65"/>
  <c r="Y8" i="65"/>
  <c r="AA8" i="65" s="1"/>
  <c r="AC8" i="65" s="1"/>
  <c r="K8" i="65"/>
  <c r="I8" i="65"/>
  <c r="F8" i="65" s="1"/>
  <c r="Y7" i="65"/>
  <c r="AA7" i="65" s="1"/>
  <c r="AC7" i="65" s="1"/>
  <c r="K7" i="65"/>
  <c r="I7" i="65"/>
  <c r="J31" i="65" l="1"/>
  <c r="X7" i="65"/>
  <c r="J7" i="65"/>
  <c r="F7" i="65"/>
  <c r="J22" i="65"/>
  <c r="F22" i="65"/>
  <c r="L14" i="65"/>
  <c r="F14" i="65"/>
  <c r="L15" i="65"/>
  <c r="J9" i="65"/>
  <c r="X8" i="65"/>
  <c r="X9" i="65"/>
  <c r="X31" i="65"/>
  <c r="J8" i="65"/>
  <c r="L16" i="65"/>
  <c r="X22" i="65"/>
  <c r="AC22" i="65"/>
  <c r="F31" i="65"/>
  <c r="L31" i="65" l="1"/>
  <c r="L7" i="65"/>
  <c r="L22" i="65"/>
  <c r="L8" i="65"/>
  <c r="L9" i="65"/>
  <c r="Z19" i="62"/>
  <c r="V19" i="62"/>
  <c r="I19" i="62"/>
  <c r="F19" i="62"/>
  <c r="D19" i="62" s="1"/>
  <c r="Z18" i="62"/>
  <c r="V18" i="62"/>
  <c r="U18" i="62"/>
  <c r="G18" i="62"/>
  <c r="F18" i="62"/>
  <c r="D18" i="62" s="1"/>
  <c r="Z17" i="62"/>
  <c r="V17" i="62"/>
  <c r="I17" i="62"/>
  <c r="D17" i="62"/>
  <c r="Z16" i="62"/>
  <c r="V16" i="62"/>
  <c r="U16" i="62"/>
  <c r="H16" i="62"/>
  <c r="G16" i="62"/>
  <c r="F16" i="62"/>
  <c r="D16" i="62" s="1"/>
  <c r="V15" i="62"/>
  <c r="I15" i="62"/>
  <c r="D15" i="62"/>
  <c r="Z14" i="62"/>
  <c r="V14" i="62"/>
  <c r="U14" i="62"/>
  <c r="H14" i="62"/>
  <c r="G14" i="62"/>
  <c r="F14" i="62"/>
  <c r="D14" i="62" s="1"/>
  <c r="V13" i="62"/>
  <c r="I13" i="62"/>
  <c r="D13" i="62"/>
  <c r="Z12" i="62"/>
  <c r="V12" i="62"/>
  <c r="U12" i="62"/>
  <c r="H12" i="62"/>
  <c r="G12" i="62"/>
  <c r="F12" i="62"/>
  <c r="D12" i="62" s="1"/>
  <c r="V11" i="62"/>
  <c r="X11" i="62" s="1"/>
  <c r="H11" i="62"/>
  <c r="F11" i="62"/>
  <c r="V10" i="62"/>
  <c r="X10" i="62" s="1"/>
  <c r="H10" i="62"/>
  <c r="F10" i="62"/>
  <c r="D10" i="62" s="1"/>
  <c r="Z9" i="62"/>
  <c r="V9" i="62"/>
  <c r="U9" i="62"/>
  <c r="H9" i="62"/>
  <c r="F9" i="62"/>
  <c r="Z8" i="62"/>
  <c r="V8" i="62"/>
  <c r="U8" i="62"/>
  <c r="H8" i="62"/>
  <c r="F8" i="62"/>
  <c r="Z7" i="62"/>
  <c r="V7" i="62"/>
  <c r="T7" i="62" s="1"/>
  <c r="F7" i="62" s="1"/>
  <c r="G7" i="62" s="1"/>
  <c r="U7" i="62"/>
  <c r="H7" i="62"/>
  <c r="V6" i="62"/>
  <c r="X6" i="62" s="1"/>
  <c r="H6" i="62"/>
  <c r="F6" i="62"/>
  <c r="V5" i="62"/>
  <c r="X5" i="62" s="1"/>
  <c r="H5" i="62"/>
  <c r="F5" i="62"/>
  <c r="V4" i="62"/>
  <c r="X4" i="62" s="1"/>
  <c r="H4" i="62"/>
  <c r="F4" i="62"/>
  <c r="I12" i="62" l="1"/>
  <c r="I16" i="62"/>
  <c r="G4" i="62"/>
  <c r="G6" i="62"/>
  <c r="Z5" i="62"/>
  <c r="U5" i="62"/>
  <c r="I7" i="62"/>
  <c r="G8" i="62"/>
  <c r="I8" i="62" s="1"/>
  <c r="G10" i="62"/>
  <c r="G5" i="62"/>
  <c r="Z11" i="62"/>
  <c r="U11" i="62"/>
  <c r="D4" i="62"/>
  <c r="G9" i="62"/>
  <c r="I9" i="62" s="1"/>
  <c r="G11" i="62"/>
  <c r="I18" i="62"/>
  <c r="I14" i="62"/>
  <c r="D9" i="62"/>
  <c r="D8" i="62"/>
  <c r="D6" i="62"/>
  <c r="U4" i="62"/>
  <c r="I4" i="62" s="1"/>
  <c r="Z4" i="62"/>
  <c r="U6" i="62"/>
  <c r="Z6" i="62"/>
  <c r="U10" i="62"/>
  <c r="Z10" i="62"/>
  <c r="D5" i="62"/>
  <c r="D7" i="62"/>
  <c r="D11" i="62"/>
  <c r="K19" i="61"/>
  <c r="K18" i="61"/>
  <c r="K17" i="61"/>
  <c r="K15" i="61"/>
  <c r="K13" i="61"/>
  <c r="J17" i="61"/>
  <c r="J15" i="61"/>
  <c r="J13" i="61"/>
  <c r="F19" i="61"/>
  <c r="F17" i="61"/>
  <c r="F15" i="61"/>
  <c r="F13" i="61"/>
  <c r="E19" i="61"/>
  <c r="E18" i="61"/>
  <c r="E17" i="61"/>
  <c r="E16" i="61"/>
  <c r="E15" i="61"/>
  <c r="E14" i="61"/>
  <c r="E13" i="61"/>
  <c r="E12" i="61"/>
  <c r="E11" i="61"/>
  <c r="E5" i="61"/>
  <c r="E6" i="61"/>
  <c r="E7" i="61"/>
  <c r="E8" i="61"/>
  <c r="E9" i="61"/>
  <c r="E10" i="61"/>
  <c r="E4" i="61"/>
  <c r="I6" i="62" l="1"/>
  <c r="I5" i="62"/>
  <c r="I11" i="62"/>
  <c r="I10" i="62"/>
  <c r="D19" i="61"/>
  <c r="D17" i="61"/>
  <c r="D15" i="61"/>
  <c r="D13" i="61"/>
  <c r="Z19" i="60"/>
  <c r="V19" i="60"/>
  <c r="I19" i="60"/>
  <c r="G19" i="61" s="1"/>
  <c r="F19" i="60"/>
  <c r="J19" i="61" s="1"/>
  <c r="Z18" i="60"/>
  <c r="V18" i="60"/>
  <c r="U18" i="60"/>
  <c r="F18" i="61" s="1"/>
  <c r="G18" i="60"/>
  <c r="D18" i="61" s="1"/>
  <c r="F18" i="60"/>
  <c r="Z17" i="60"/>
  <c r="V17" i="60"/>
  <c r="I17" i="60"/>
  <c r="G17" i="61" s="1"/>
  <c r="D17" i="60"/>
  <c r="I17" i="61" s="1"/>
  <c r="Z16" i="60"/>
  <c r="V16" i="60"/>
  <c r="U16" i="60"/>
  <c r="H16" i="60"/>
  <c r="K16" i="61" s="1"/>
  <c r="G16" i="60"/>
  <c r="D16" i="61" s="1"/>
  <c r="F16" i="60"/>
  <c r="V15" i="60"/>
  <c r="I15" i="60"/>
  <c r="G15" i="61" s="1"/>
  <c r="D15" i="60"/>
  <c r="I15" i="61" s="1"/>
  <c r="Z14" i="60"/>
  <c r="V14" i="60"/>
  <c r="U14" i="60"/>
  <c r="H14" i="60"/>
  <c r="K14" i="61" s="1"/>
  <c r="G14" i="60"/>
  <c r="D14" i="61" s="1"/>
  <c r="F14" i="60"/>
  <c r="V13" i="60"/>
  <c r="I13" i="60"/>
  <c r="G13" i="61" s="1"/>
  <c r="D13" i="60"/>
  <c r="I13" i="61" s="1"/>
  <c r="Z12" i="60"/>
  <c r="V12" i="60"/>
  <c r="U12" i="60"/>
  <c r="F12" i="61" s="1"/>
  <c r="H12" i="60"/>
  <c r="K12" i="61" s="1"/>
  <c r="G12" i="60"/>
  <c r="D12" i="61" s="1"/>
  <c r="F12" i="60"/>
  <c r="J12" i="61" s="1"/>
  <c r="V11" i="60"/>
  <c r="X11" i="60" s="1"/>
  <c r="H11" i="60"/>
  <c r="K11" i="61" s="1"/>
  <c r="F11" i="60"/>
  <c r="V10" i="60"/>
  <c r="X10" i="60" s="1"/>
  <c r="H10" i="60"/>
  <c r="K10" i="61" s="1"/>
  <c r="F10" i="60"/>
  <c r="Z9" i="60"/>
  <c r="V9" i="60"/>
  <c r="U9" i="60"/>
  <c r="F9" i="61" s="1"/>
  <c r="H9" i="60"/>
  <c r="K9" i="61" s="1"/>
  <c r="F9" i="60"/>
  <c r="Z8" i="60"/>
  <c r="V8" i="60"/>
  <c r="U8" i="60"/>
  <c r="F8" i="61" s="1"/>
  <c r="H8" i="60"/>
  <c r="K8" i="61" s="1"/>
  <c r="F8" i="60"/>
  <c r="Z7" i="60"/>
  <c r="V7" i="60"/>
  <c r="T7" i="60" s="1"/>
  <c r="F7" i="60" s="1"/>
  <c r="U7" i="60"/>
  <c r="F7" i="61" s="1"/>
  <c r="H7" i="60"/>
  <c r="K7" i="61" s="1"/>
  <c r="V6" i="60"/>
  <c r="X6" i="60" s="1"/>
  <c r="H6" i="60"/>
  <c r="K6" i="61" s="1"/>
  <c r="F6" i="60"/>
  <c r="V5" i="60"/>
  <c r="X5" i="60" s="1"/>
  <c r="H5" i="60"/>
  <c r="K5" i="61" s="1"/>
  <c r="F5" i="60"/>
  <c r="V4" i="60"/>
  <c r="X4" i="60" s="1"/>
  <c r="H4" i="60"/>
  <c r="K4" i="61" s="1"/>
  <c r="F4" i="60"/>
  <c r="U11" i="60" l="1"/>
  <c r="F11" i="61" s="1"/>
  <c r="Z11" i="60"/>
  <c r="G4" i="60"/>
  <c r="D4" i="61" s="1"/>
  <c r="J4" i="61"/>
  <c r="D6" i="60"/>
  <c r="I6" i="61" s="1"/>
  <c r="J6" i="61"/>
  <c r="D9" i="60"/>
  <c r="I9" i="61" s="1"/>
  <c r="J9" i="61"/>
  <c r="G11" i="60"/>
  <c r="D11" i="61" s="1"/>
  <c r="J11" i="61"/>
  <c r="I14" i="60"/>
  <c r="G14" i="61" s="1"/>
  <c r="F14" i="61"/>
  <c r="D16" i="60"/>
  <c r="I16" i="61" s="1"/>
  <c r="J16" i="61"/>
  <c r="D18" i="60"/>
  <c r="I18" i="61" s="1"/>
  <c r="J18" i="61"/>
  <c r="G5" i="60"/>
  <c r="D5" i="61" s="1"/>
  <c r="J5" i="61"/>
  <c r="D7" i="60"/>
  <c r="I7" i="61" s="1"/>
  <c r="J7" i="61"/>
  <c r="D8" i="60"/>
  <c r="I8" i="61" s="1"/>
  <c r="J8" i="61"/>
  <c r="D10" i="60"/>
  <c r="I10" i="61" s="1"/>
  <c r="J10" i="61"/>
  <c r="D12" i="60"/>
  <c r="I12" i="61" s="1"/>
  <c r="D14" i="60"/>
  <c r="I14" i="61" s="1"/>
  <c r="J14" i="61"/>
  <c r="I16" i="60"/>
  <c r="G16" i="61" s="1"/>
  <c r="F16" i="61"/>
  <c r="D19" i="60"/>
  <c r="I19" i="61" s="1"/>
  <c r="I18" i="60"/>
  <c r="G18" i="61" s="1"/>
  <c r="I12" i="60"/>
  <c r="G12" i="61" s="1"/>
  <c r="I11" i="60"/>
  <c r="G11" i="61" s="1"/>
  <c r="G10" i="60"/>
  <c r="D10" i="61" s="1"/>
  <c r="G9" i="60"/>
  <c r="G8" i="60"/>
  <c r="D8" i="61" s="1"/>
  <c r="G7" i="60"/>
  <c r="G6" i="60"/>
  <c r="D6" i="61" s="1"/>
  <c r="U5" i="60"/>
  <c r="Z5" i="60"/>
  <c r="U10" i="60"/>
  <c r="Z10" i="60"/>
  <c r="Z4" i="60"/>
  <c r="U4" i="60"/>
  <c r="Z6" i="60"/>
  <c r="U6" i="60"/>
  <c r="D11" i="60"/>
  <c r="I11" i="61" s="1"/>
  <c r="D4" i="60"/>
  <c r="I4" i="61" s="1"/>
  <c r="D5" i="60"/>
  <c r="I5" i="61" s="1"/>
  <c r="Z19" i="58"/>
  <c r="V19" i="58"/>
  <c r="I19" i="58"/>
  <c r="F19" i="58"/>
  <c r="D19" i="58" s="1"/>
  <c r="Z18" i="58"/>
  <c r="V18" i="58"/>
  <c r="U18" i="58"/>
  <c r="G18" i="58"/>
  <c r="F18" i="58"/>
  <c r="D18" i="58" s="1"/>
  <c r="Z17" i="58"/>
  <c r="V17" i="58"/>
  <c r="I17" i="58"/>
  <c r="D17" i="58"/>
  <c r="Z16" i="58"/>
  <c r="V16" i="58"/>
  <c r="U16" i="58"/>
  <c r="H16" i="58"/>
  <c r="G16" i="58"/>
  <c r="F16" i="58"/>
  <c r="D16" i="58" s="1"/>
  <c r="V15" i="58"/>
  <c r="I15" i="58"/>
  <c r="D15" i="58"/>
  <c r="Z14" i="58"/>
  <c r="V14" i="58"/>
  <c r="U14" i="58"/>
  <c r="H14" i="58"/>
  <c r="G14" i="58"/>
  <c r="F14" i="58"/>
  <c r="D14" i="58" s="1"/>
  <c r="V13" i="58"/>
  <c r="I13" i="58"/>
  <c r="D13" i="58"/>
  <c r="Z12" i="58"/>
  <c r="V12" i="58"/>
  <c r="U12" i="58"/>
  <c r="H12" i="58"/>
  <c r="G12" i="58"/>
  <c r="F12" i="58"/>
  <c r="D12" i="58" s="1"/>
  <c r="V11" i="58"/>
  <c r="X11" i="58" s="1"/>
  <c r="H11" i="58"/>
  <c r="F11" i="58"/>
  <c r="V10" i="58"/>
  <c r="X10" i="58" s="1"/>
  <c r="H10" i="58"/>
  <c r="F10" i="58"/>
  <c r="Z9" i="58"/>
  <c r="V9" i="58"/>
  <c r="U9" i="58"/>
  <c r="H9" i="58"/>
  <c r="F9" i="58"/>
  <c r="Z8" i="58"/>
  <c r="V8" i="58"/>
  <c r="U8" i="58"/>
  <c r="H8" i="58"/>
  <c r="F8" i="58"/>
  <c r="Z7" i="58"/>
  <c r="V7" i="58"/>
  <c r="T7" i="58" s="1"/>
  <c r="F7" i="58" s="1"/>
  <c r="G7" i="58" s="1"/>
  <c r="U7" i="58"/>
  <c r="H7" i="58"/>
  <c r="V6" i="58"/>
  <c r="X6" i="58" s="1"/>
  <c r="H6" i="58"/>
  <c r="F6" i="58"/>
  <c r="V5" i="58"/>
  <c r="X5" i="58" s="1"/>
  <c r="H5" i="58"/>
  <c r="F5" i="58"/>
  <c r="V4" i="58"/>
  <c r="X4" i="58" s="1"/>
  <c r="H4" i="58"/>
  <c r="F4" i="58"/>
  <c r="V10" i="57"/>
  <c r="X10" i="57" s="1"/>
  <c r="H10" i="57"/>
  <c r="F10" i="57"/>
  <c r="V9" i="57"/>
  <c r="X9" i="57" s="1"/>
  <c r="H9" i="57"/>
  <c r="F9" i="57"/>
  <c r="Z8" i="57"/>
  <c r="V8" i="57"/>
  <c r="U8" i="57"/>
  <c r="H8" i="57"/>
  <c r="F8" i="57"/>
  <c r="Z7" i="57"/>
  <c r="V7" i="57"/>
  <c r="U7" i="57"/>
  <c r="H7" i="57"/>
  <c r="F7" i="57"/>
  <c r="Z6" i="57"/>
  <c r="V6" i="57"/>
  <c r="T6" i="57" s="1"/>
  <c r="F6" i="57" s="1"/>
  <c r="G6" i="57" s="1"/>
  <c r="U6" i="57"/>
  <c r="H6" i="57"/>
  <c r="V15" i="57"/>
  <c r="X15" i="57" s="1"/>
  <c r="H15" i="57"/>
  <c r="F15" i="57"/>
  <c r="V5" i="57"/>
  <c r="X5" i="57" s="1"/>
  <c r="H5" i="57"/>
  <c r="F5" i="57"/>
  <c r="V4" i="57"/>
  <c r="X4" i="57" s="1"/>
  <c r="Z4" i="57" s="1"/>
  <c r="H4" i="57"/>
  <c r="F4" i="57"/>
  <c r="G4" i="57" l="1"/>
  <c r="G10" i="57"/>
  <c r="G5" i="58"/>
  <c r="G11" i="58"/>
  <c r="G5" i="57"/>
  <c r="I12" i="58"/>
  <c r="G9" i="57"/>
  <c r="I7" i="58"/>
  <c r="I18" i="58"/>
  <c r="Z15" i="57"/>
  <c r="U15" i="57"/>
  <c r="Z4" i="58"/>
  <c r="U4" i="58"/>
  <c r="Z6" i="58"/>
  <c r="U6" i="58"/>
  <c r="G15" i="57"/>
  <c r="G8" i="57"/>
  <c r="I8" i="57" s="1"/>
  <c r="G4" i="58"/>
  <c r="G6" i="58"/>
  <c r="G9" i="58"/>
  <c r="I9" i="58" s="1"/>
  <c r="Z10" i="58"/>
  <c r="U10" i="58"/>
  <c r="I10" i="60"/>
  <c r="G10" i="61" s="1"/>
  <c r="F10" i="61"/>
  <c r="I5" i="60"/>
  <c r="G5" i="61" s="1"/>
  <c r="F5" i="61"/>
  <c r="I7" i="60"/>
  <c r="G7" i="61" s="1"/>
  <c r="D7" i="61"/>
  <c r="I6" i="57"/>
  <c r="D5" i="58"/>
  <c r="D7" i="58"/>
  <c r="G8" i="58"/>
  <c r="I8" i="58" s="1"/>
  <c r="G10" i="58"/>
  <c r="I6" i="60"/>
  <c r="G6" i="61" s="1"/>
  <c r="F6" i="61"/>
  <c r="I4" i="60"/>
  <c r="G4" i="61" s="1"/>
  <c r="F4" i="61"/>
  <c r="I8" i="60"/>
  <c r="G8" i="61" s="1"/>
  <c r="I9" i="60"/>
  <c r="G9" i="61" s="1"/>
  <c r="D9" i="61"/>
  <c r="I16" i="58"/>
  <c r="I14" i="58"/>
  <c r="D11" i="58"/>
  <c r="Z11" i="58"/>
  <c r="U11" i="58"/>
  <c r="Z5" i="58"/>
  <c r="U5" i="58"/>
  <c r="D4" i="58"/>
  <c r="D6" i="58"/>
  <c r="D8" i="58"/>
  <c r="D9" i="58"/>
  <c r="D10" i="58"/>
  <c r="D10" i="57"/>
  <c r="Z9" i="57"/>
  <c r="U9" i="57"/>
  <c r="U4" i="57"/>
  <c r="I4" i="57" s="1"/>
  <c r="D5" i="57"/>
  <c r="D6" i="57"/>
  <c r="G7" i="57"/>
  <c r="I7" i="57" s="1"/>
  <c r="Z10" i="57"/>
  <c r="U10" i="57"/>
  <c r="I10" i="57" s="1"/>
  <c r="Z5" i="57"/>
  <c r="U5" i="57"/>
  <c r="D4" i="57"/>
  <c r="D15" i="57"/>
  <c r="D7" i="57"/>
  <c r="D8" i="57"/>
  <c r="D9" i="57"/>
  <c r="Z19" i="55"/>
  <c r="V19" i="55"/>
  <c r="I19" i="55"/>
  <c r="F19" i="55"/>
  <c r="D19" i="55" s="1"/>
  <c r="Z18" i="55"/>
  <c r="V18" i="55"/>
  <c r="U18" i="55"/>
  <c r="G18" i="55"/>
  <c r="F18" i="55"/>
  <c r="D18" i="55" s="1"/>
  <c r="Z17" i="55"/>
  <c r="V17" i="55"/>
  <c r="I17" i="55"/>
  <c r="D17" i="55"/>
  <c r="Z16" i="55"/>
  <c r="V16" i="55"/>
  <c r="U16" i="55"/>
  <c r="H16" i="55"/>
  <c r="G16" i="55"/>
  <c r="F16" i="55"/>
  <c r="D16" i="55" s="1"/>
  <c r="V15" i="55"/>
  <c r="I15" i="55"/>
  <c r="D15" i="55"/>
  <c r="Z14" i="55"/>
  <c r="V14" i="55"/>
  <c r="U14" i="55"/>
  <c r="H14" i="55"/>
  <c r="G14" i="55"/>
  <c r="F14" i="55"/>
  <c r="D14" i="55" s="1"/>
  <c r="V13" i="55"/>
  <c r="I13" i="55"/>
  <c r="D13" i="55"/>
  <c r="Z12" i="55"/>
  <c r="V12" i="55"/>
  <c r="U12" i="55"/>
  <c r="H12" i="55"/>
  <c r="G12" i="55"/>
  <c r="F12" i="55"/>
  <c r="D12" i="55" s="1"/>
  <c r="V11" i="55"/>
  <c r="X11" i="55" s="1"/>
  <c r="U11" i="55" s="1"/>
  <c r="H11" i="55"/>
  <c r="G7" i="56" s="1"/>
  <c r="F11" i="55"/>
  <c r="V10" i="55"/>
  <c r="X10" i="55" s="1"/>
  <c r="H10" i="55"/>
  <c r="G6" i="56" s="1"/>
  <c r="F10" i="55"/>
  <c r="D10" i="55" s="1"/>
  <c r="D6" i="56" s="1"/>
  <c r="Z9" i="55"/>
  <c r="V9" i="55"/>
  <c r="U9" i="55"/>
  <c r="H9" i="55"/>
  <c r="F9" i="55"/>
  <c r="D9" i="55" s="1"/>
  <c r="Z8" i="55"/>
  <c r="V8" i="55"/>
  <c r="U8" i="55"/>
  <c r="H8" i="55"/>
  <c r="F8" i="55"/>
  <c r="D8" i="55" s="1"/>
  <c r="Z7" i="55"/>
  <c r="V7" i="55"/>
  <c r="T7" i="55" s="1"/>
  <c r="F7" i="55" s="1"/>
  <c r="E5" i="56" s="1"/>
  <c r="U7" i="55"/>
  <c r="H7" i="55"/>
  <c r="G5" i="56" s="1"/>
  <c r="V6" i="55"/>
  <c r="X6" i="55" s="1"/>
  <c r="H6" i="55"/>
  <c r="G4" i="56" s="1"/>
  <c r="F6" i="55"/>
  <c r="D6" i="55" s="1"/>
  <c r="D4" i="56" s="1"/>
  <c r="V5" i="55"/>
  <c r="H5" i="55"/>
  <c r="F5" i="55"/>
  <c r="D5" i="55" s="1"/>
  <c r="V4" i="55"/>
  <c r="H4" i="55"/>
  <c r="F4" i="55"/>
  <c r="D4" i="55" s="1"/>
  <c r="I6" i="58" l="1"/>
  <c r="I4" i="58"/>
  <c r="I9" i="57"/>
  <c r="I5" i="58"/>
  <c r="I5" i="57"/>
  <c r="I11" i="58"/>
  <c r="G11" i="55"/>
  <c r="F7" i="56" s="1"/>
  <c r="I10" i="58"/>
  <c r="I15" i="57"/>
  <c r="E7" i="56"/>
  <c r="E4" i="56"/>
  <c r="E6" i="56"/>
  <c r="G5" i="55"/>
  <c r="I18" i="55"/>
  <c r="Z6" i="55"/>
  <c r="U6" i="55"/>
  <c r="G10" i="55"/>
  <c r="F6" i="56" s="1"/>
  <c r="G9" i="55"/>
  <c r="I9" i="55" s="1"/>
  <c r="I12" i="55"/>
  <c r="G4" i="55"/>
  <c r="G8" i="55"/>
  <c r="I8" i="55" s="1"/>
  <c r="I16" i="55"/>
  <c r="I14" i="55"/>
  <c r="U10" i="55"/>
  <c r="Z10" i="55"/>
  <c r="D7" i="55"/>
  <c r="D5" i="56" s="1"/>
  <c r="G7" i="55"/>
  <c r="G6" i="55"/>
  <c r="D11" i="55"/>
  <c r="D7" i="56" s="1"/>
  <c r="Z11" i="55"/>
  <c r="X4" i="55"/>
  <c r="X5" i="55"/>
  <c r="I11" i="55" l="1"/>
  <c r="H7" i="56" s="1"/>
  <c r="I6" i="55"/>
  <c r="H4" i="56" s="1"/>
  <c r="F4" i="56"/>
  <c r="I7" i="55"/>
  <c r="H5" i="56" s="1"/>
  <c r="F5" i="56"/>
  <c r="I10" i="55"/>
  <c r="H6" i="56" s="1"/>
  <c r="Z5" i="55"/>
  <c r="U5" i="55"/>
  <c r="I5" i="55" s="1"/>
  <c r="Z4" i="55"/>
  <c r="U4" i="55"/>
  <c r="I4" i="55" s="1"/>
  <c r="Z19" i="53"/>
  <c r="V19" i="53"/>
  <c r="I19" i="53"/>
  <c r="F19" i="53"/>
  <c r="D19" i="53" s="1"/>
  <c r="Z18" i="53"/>
  <c r="V18" i="53"/>
  <c r="U18" i="53"/>
  <c r="G18" i="53"/>
  <c r="F18" i="53"/>
  <c r="D18" i="53" s="1"/>
  <c r="Z17" i="53"/>
  <c r="V17" i="53"/>
  <c r="I17" i="53"/>
  <c r="D17" i="53"/>
  <c r="Z16" i="53"/>
  <c r="V16" i="53"/>
  <c r="U16" i="53"/>
  <c r="H16" i="53"/>
  <c r="G16" i="53"/>
  <c r="F16" i="53"/>
  <c r="D16" i="53" s="1"/>
  <c r="V15" i="53"/>
  <c r="I15" i="53"/>
  <c r="D15" i="53"/>
  <c r="Z14" i="53"/>
  <c r="V14" i="53"/>
  <c r="U14" i="53"/>
  <c r="H14" i="53"/>
  <c r="G14" i="53"/>
  <c r="F14" i="53"/>
  <c r="D14" i="53" s="1"/>
  <c r="V13" i="53"/>
  <c r="I13" i="53"/>
  <c r="D13" i="53"/>
  <c r="Z12" i="53"/>
  <c r="V12" i="53"/>
  <c r="U12" i="53"/>
  <c r="H12" i="53"/>
  <c r="G12" i="53"/>
  <c r="F12" i="53"/>
  <c r="D12" i="53" s="1"/>
  <c r="V11" i="53"/>
  <c r="X11" i="53" s="1"/>
  <c r="U11" i="53" s="1"/>
  <c r="H11" i="53"/>
  <c r="F11" i="53"/>
  <c r="V10" i="53"/>
  <c r="X10" i="53" s="1"/>
  <c r="H10" i="53"/>
  <c r="F10" i="53"/>
  <c r="Z9" i="53"/>
  <c r="V9" i="53"/>
  <c r="U9" i="53"/>
  <c r="H9" i="53"/>
  <c r="F9" i="53"/>
  <c r="Z8" i="53"/>
  <c r="V8" i="53"/>
  <c r="U8" i="53"/>
  <c r="H8" i="53"/>
  <c r="F8" i="53"/>
  <c r="Z7" i="53"/>
  <c r="V7" i="53"/>
  <c r="T7" i="53" s="1"/>
  <c r="F7" i="53" s="1"/>
  <c r="U7" i="53"/>
  <c r="H7" i="53"/>
  <c r="V6" i="53"/>
  <c r="X6" i="53" s="1"/>
  <c r="Z6" i="53" s="1"/>
  <c r="H6" i="53"/>
  <c r="F6" i="53"/>
  <c r="V5" i="53"/>
  <c r="X5" i="53" s="1"/>
  <c r="H5" i="53"/>
  <c r="F5" i="53"/>
  <c r="V4" i="53"/>
  <c r="X4" i="53" s="1"/>
  <c r="H4" i="53"/>
  <c r="F4" i="53"/>
  <c r="G10" i="53" l="1"/>
  <c r="I14" i="53"/>
  <c r="I12" i="53"/>
  <c r="G8" i="53"/>
  <c r="I8" i="53" s="1"/>
  <c r="G11" i="53"/>
  <c r="I11" i="53" s="1"/>
  <c r="G5" i="53"/>
  <c r="Z4" i="53"/>
  <c r="U4" i="53"/>
  <c r="D5" i="53"/>
  <c r="G9" i="53"/>
  <c r="I9" i="53" s="1"/>
  <c r="G4" i="53"/>
  <c r="G6" i="53"/>
  <c r="I16" i="53"/>
  <c r="D9" i="53"/>
  <c r="D6" i="53"/>
  <c r="I18" i="53"/>
  <c r="D8" i="53"/>
  <c r="D11" i="53"/>
  <c r="D10" i="53"/>
  <c r="Z5" i="53"/>
  <c r="U5" i="53"/>
  <c r="D7" i="53"/>
  <c r="G7" i="53"/>
  <c r="I7" i="53" s="1"/>
  <c r="U10" i="53"/>
  <c r="Z10" i="53"/>
  <c r="Z11" i="53"/>
  <c r="U6" i="53"/>
  <c r="D4" i="53"/>
  <c r="Z19" i="50"/>
  <c r="V19" i="50"/>
  <c r="I19" i="50"/>
  <c r="F19" i="50"/>
  <c r="D19" i="50" s="1"/>
  <c r="Z18" i="50"/>
  <c r="V18" i="50"/>
  <c r="U18" i="50"/>
  <c r="G18" i="50"/>
  <c r="F18" i="50"/>
  <c r="D18" i="50" s="1"/>
  <c r="Z17" i="50"/>
  <c r="V17" i="50"/>
  <c r="I17" i="50"/>
  <c r="D17" i="50"/>
  <c r="Z16" i="50"/>
  <c r="V16" i="50"/>
  <c r="U16" i="50"/>
  <c r="H16" i="50"/>
  <c r="G16" i="50"/>
  <c r="F16" i="50"/>
  <c r="D16" i="50" s="1"/>
  <c r="V15" i="50"/>
  <c r="I15" i="50"/>
  <c r="D15" i="50"/>
  <c r="Z14" i="50"/>
  <c r="V14" i="50"/>
  <c r="U14" i="50"/>
  <c r="H14" i="50"/>
  <c r="G14" i="50"/>
  <c r="F14" i="50"/>
  <c r="D14" i="50" s="1"/>
  <c r="V13" i="50"/>
  <c r="I13" i="50"/>
  <c r="D13" i="50"/>
  <c r="Z12" i="50"/>
  <c r="V12" i="50"/>
  <c r="U12" i="50"/>
  <c r="H12" i="50"/>
  <c r="G12" i="50"/>
  <c r="F12" i="50"/>
  <c r="D12" i="50" s="1"/>
  <c r="V11" i="50"/>
  <c r="X11" i="50" s="1"/>
  <c r="U11" i="50" s="1"/>
  <c r="H11" i="50"/>
  <c r="F11" i="50"/>
  <c r="D11" i="50" s="1"/>
  <c r="V10" i="50"/>
  <c r="X10" i="50" s="1"/>
  <c r="H10" i="50"/>
  <c r="F10" i="50"/>
  <c r="Z9" i="50"/>
  <c r="V9" i="50"/>
  <c r="U9" i="50"/>
  <c r="H9" i="50"/>
  <c r="F9" i="50"/>
  <c r="Z8" i="50"/>
  <c r="V8" i="50"/>
  <c r="U8" i="50"/>
  <c r="H8" i="50"/>
  <c r="F8" i="50"/>
  <c r="Z7" i="50"/>
  <c r="V7" i="50"/>
  <c r="T7" i="50" s="1"/>
  <c r="F7" i="50" s="1"/>
  <c r="U7" i="50"/>
  <c r="H7" i="50"/>
  <c r="V6" i="50"/>
  <c r="H6" i="50"/>
  <c r="F6" i="50"/>
  <c r="D6" i="50" s="1"/>
  <c r="V5" i="50"/>
  <c r="X5" i="50" s="1"/>
  <c r="H5" i="50"/>
  <c r="F5" i="50"/>
  <c r="V4" i="50"/>
  <c r="X4" i="50" s="1"/>
  <c r="Z4" i="50" s="1"/>
  <c r="H4" i="50"/>
  <c r="F4" i="50"/>
  <c r="G5" i="50" l="1"/>
  <c r="I14" i="50"/>
  <c r="G4" i="50"/>
  <c r="G10" i="50"/>
  <c r="I10" i="53"/>
  <c r="I12" i="50"/>
  <c r="I5" i="53"/>
  <c r="I4" i="53"/>
  <c r="G8" i="50"/>
  <c r="I8" i="50" s="1"/>
  <c r="I6" i="53"/>
  <c r="D8" i="50"/>
  <c r="G9" i="50"/>
  <c r="I9" i="50" s="1"/>
  <c r="I18" i="50"/>
  <c r="I16" i="50"/>
  <c r="G11" i="50"/>
  <c r="I11" i="50" s="1"/>
  <c r="D10" i="50"/>
  <c r="D9" i="50"/>
  <c r="G6" i="50"/>
  <c r="D5" i="50"/>
  <c r="D4" i="50"/>
  <c r="Z5" i="50"/>
  <c r="U5" i="50"/>
  <c r="I5" i="50" s="1"/>
  <c r="U10" i="50"/>
  <c r="I10" i="50" s="1"/>
  <c r="Z10" i="50"/>
  <c r="D7" i="50"/>
  <c r="G7" i="50"/>
  <c r="I7" i="50" s="1"/>
  <c r="X6" i="50"/>
  <c r="Z11" i="50"/>
  <c r="U4" i="50"/>
  <c r="I4" i="50" s="1"/>
  <c r="Z19" i="47"/>
  <c r="V19" i="47"/>
  <c r="I19" i="47"/>
  <c r="F19" i="47"/>
  <c r="D19" i="47" s="1"/>
  <c r="Z18" i="47"/>
  <c r="V18" i="47"/>
  <c r="U18" i="47"/>
  <c r="G18" i="47"/>
  <c r="F18" i="47"/>
  <c r="D18" i="47" s="1"/>
  <c r="Z17" i="47"/>
  <c r="V17" i="47"/>
  <c r="I17" i="47"/>
  <c r="D17" i="47"/>
  <c r="Z16" i="47"/>
  <c r="V16" i="47"/>
  <c r="U16" i="47"/>
  <c r="H16" i="47"/>
  <c r="G16" i="47"/>
  <c r="F16" i="47"/>
  <c r="D16" i="47" s="1"/>
  <c r="V15" i="47"/>
  <c r="I15" i="47"/>
  <c r="D15" i="47"/>
  <c r="Z14" i="47"/>
  <c r="V14" i="47"/>
  <c r="U14" i="47"/>
  <c r="H14" i="47"/>
  <c r="G14" i="47"/>
  <c r="F14" i="47"/>
  <c r="D14" i="47" s="1"/>
  <c r="V13" i="47"/>
  <c r="I13" i="47"/>
  <c r="D13" i="47"/>
  <c r="Z12" i="47"/>
  <c r="V12" i="47"/>
  <c r="U12" i="47"/>
  <c r="H12" i="47"/>
  <c r="G12" i="47"/>
  <c r="F12" i="47"/>
  <c r="D12" i="47" s="1"/>
  <c r="V11" i="47"/>
  <c r="X11" i="47" s="1"/>
  <c r="U11" i="47" s="1"/>
  <c r="H11" i="47"/>
  <c r="F11" i="47"/>
  <c r="G11" i="47" s="1"/>
  <c r="V10" i="47"/>
  <c r="X10" i="47" s="1"/>
  <c r="H10" i="47"/>
  <c r="F10" i="47"/>
  <c r="Z9" i="47"/>
  <c r="V9" i="47"/>
  <c r="U9" i="47"/>
  <c r="H9" i="47"/>
  <c r="F9" i="47"/>
  <c r="D9" i="47" s="1"/>
  <c r="Z8" i="47"/>
  <c r="V8" i="47"/>
  <c r="U8" i="47"/>
  <c r="H8" i="47"/>
  <c r="F8" i="47"/>
  <c r="D8" i="47" s="1"/>
  <c r="Z7" i="47"/>
  <c r="V7" i="47"/>
  <c r="T7" i="47" s="1"/>
  <c r="F7" i="47" s="1"/>
  <c r="U7" i="47"/>
  <c r="H7" i="47"/>
  <c r="V6" i="47"/>
  <c r="X6" i="47" s="1"/>
  <c r="Z6" i="47" s="1"/>
  <c r="H6" i="47"/>
  <c r="F6" i="47"/>
  <c r="D6" i="47" s="1"/>
  <c r="V5" i="47"/>
  <c r="X5" i="47" s="1"/>
  <c r="H5" i="47"/>
  <c r="F5" i="47"/>
  <c r="V4" i="47"/>
  <c r="X4" i="47" s="1"/>
  <c r="H4" i="47"/>
  <c r="F4" i="47"/>
  <c r="I12" i="47" l="1"/>
  <c r="G4" i="47"/>
  <c r="G5" i="47"/>
  <c r="G10" i="47"/>
  <c r="G6" i="47"/>
  <c r="Z6" i="50"/>
  <c r="U6" i="50"/>
  <c r="I6" i="50" s="1"/>
  <c r="I14" i="47"/>
  <c r="G8" i="47"/>
  <c r="I8" i="47" s="1"/>
  <c r="D10" i="47"/>
  <c r="I18" i="47"/>
  <c r="I16" i="47"/>
  <c r="I11" i="47"/>
  <c r="G9" i="47"/>
  <c r="I9" i="47" s="1"/>
  <c r="D5" i="47"/>
  <c r="D7" i="47"/>
  <c r="G7" i="47"/>
  <c r="I7" i="47" s="1"/>
  <c r="Z4" i="47"/>
  <c r="U4" i="47"/>
  <c r="U10" i="47"/>
  <c r="Z10" i="47"/>
  <c r="Z5" i="47"/>
  <c r="U5" i="47"/>
  <c r="I5" i="47" s="1"/>
  <c r="D11" i="47"/>
  <c r="Z11" i="47"/>
  <c r="U6" i="47"/>
  <c r="D4" i="47"/>
  <c r="I4" i="47" l="1"/>
  <c r="I10" i="47"/>
  <c r="I6" i="47"/>
  <c r="Z19" i="46"/>
  <c r="V19" i="46"/>
  <c r="I19" i="46"/>
  <c r="F19" i="46"/>
  <c r="D19" i="46" s="1"/>
  <c r="Z18" i="46"/>
  <c r="V18" i="46"/>
  <c r="U18" i="46"/>
  <c r="G18" i="46"/>
  <c r="F18" i="46"/>
  <c r="D18" i="46" s="1"/>
  <c r="Z17" i="46"/>
  <c r="V17" i="46"/>
  <c r="I17" i="46"/>
  <c r="D17" i="46"/>
  <c r="Z16" i="46"/>
  <c r="V16" i="46"/>
  <c r="U16" i="46"/>
  <c r="H16" i="46"/>
  <c r="G16" i="46"/>
  <c r="F16" i="46"/>
  <c r="D16" i="46" s="1"/>
  <c r="V15" i="46"/>
  <c r="I15" i="46"/>
  <c r="D15" i="46"/>
  <c r="Z14" i="46"/>
  <c r="V14" i="46"/>
  <c r="U14" i="46"/>
  <c r="H14" i="46"/>
  <c r="G14" i="46"/>
  <c r="F14" i="46"/>
  <c r="D14" i="46" s="1"/>
  <c r="V13" i="46"/>
  <c r="I13" i="46"/>
  <c r="D13" i="46"/>
  <c r="Z12" i="46"/>
  <c r="V12" i="46"/>
  <c r="U12" i="46"/>
  <c r="H12" i="46"/>
  <c r="G12" i="46"/>
  <c r="F12" i="46"/>
  <c r="D12" i="46" s="1"/>
  <c r="V11" i="46"/>
  <c r="X11" i="46" s="1"/>
  <c r="H11" i="46"/>
  <c r="F11" i="46"/>
  <c r="V10" i="46"/>
  <c r="X10" i="46" s="1"/>
  <c r="H10" i="46"/>
  <c r="F10" i="46"/>
  <c r="G10" i="46" s="1"/>
  <c r="Z9" i="46"/>
  <c r="V9" i="46"/>
  <c r="U9" i="46"/>
  <c r="H9" i="46"/>
  <c r="F9" i="46"/>
  <c r="Z8" i="46"/>
  <c r="V8" i="46"/>
  <c r="U8" i="46"/>
  <c r="H8" i="46"/>
  <c r="F8" i="46"/>
  <c r="Z7" i="46"/>
  <c r="V7" i="46"/>
  <c r="T7" i="46" s="1"/>
  <c r="F7" i="46" s="1"/>
  <c r="G7" i="46" s="1"/>
  <c r="U7" i="46"/>
  <c r="H7" i="46"/>
  <c r="V6" i="46"/>
  <c r="X6" i="46" s="1"/>
  <c r="H6" i="46"/>
  <c r="F6" i="46"/>
  <c r="V5" i="46"/>
  <c r="X5" i="46" s="1"/>
  <c r="H5" i="46"/>
  <c r="F5" i="46"/>
  <c r="V4" i="46"/>
  <c r="X4" i="46" s="1"/>
  <c r="H4" i="46"/>
  <c r="F4" i="46"/>
  <c r="C2" i="46"/>
  <c r="I16" i="46" l="1"/>
  <c r="I12" i="46"/>
  <c r="G4" i="46"/>
  <c r="G6" i="46"/>
  <c r="G9" i="46"/>
  <c r="I9" i="46" s="1"/>
  <c r="Z11" i="46"/>
  <c r="U11" i="46"/>
  <c r="D9" i="46"/>
  <c r="G11" i="46"/>
  <c r="D4" i="46"/>
  <c r="D6" i="46"/>
  <c r="G8" i="46"/>
  <c r="I8" i="46" s="1"/>
  <c r="I18" i="46"/>
  <c r="Z5" i="46"/>
  <c r="U5" i="46"/>
  <c r="G5" i="46"/>
  <c r="I7" i="46"/>
  <c r="D8" i="46"/>
  <c r="D10" i="46"/>
  <c r="I14" i="46"/>
  <c r="U10" i="46"/>
  <c r="I10" i="46" s="1"/>
  <c r="Z10" i="46"/>
  <c r="U4" i="46"/>
  <c r="I4" i="46" s="1"/>
  <c r="Z4" i="46"/>
  <c r="U6" i="46"/>
  <c r="Z6" i="46"/>
  <c r="D5" i="46"/>
  <c r="D7" i="46"/>
  <c r="D11" i="46"/>
  <c r="H12" i="45"/>
  <c r="I6" i="46" l="1"/>
  <c r="I5" i="46"/>
  <c r="I11" i="46"/>
  <c r="Z19" i="45"/>
  <c r="V19" i="45"/>
  <c r="I19" i="45"/>
  <c r="F19" i="45"/>
  <c r="D19" i="45" s="1"/>
  <c r="Z18" i="45"/>
  <c r="V18" i="45"/>
  <c r="U18" i="45"/>
  <c r="G18" i="45"/>
  <c r="F18" i="45"/>
  <c r="D18" i="45" s="1"/>
  <c r="Z17" i="45"/>
  <c r="V17" i="45"/>
  <c r="I17" i="45"/>
  <c r="D17" i="45"/>
  <c r="Z16" i="45"/>
  <c r="V16" i="45"/>
  <c r="U16" i="45"/>
  <c r="H16" i="45"/>
  <c r="G16" i="45"/>
  <c r="F16" i="45"/>
  <c r="D16" i="45" s="1"/>
  <c r="V15" i="45"/>
  <c r="I15" i="45"/>
  <c r="D15" i="45"/>
  <c r="Z14" i="45"/>
  <c r="V14" i="45"/>
  <c r="U14" i="45"/>
  <c r="H14" i="45"/>
  <c r="G14" i="45"/>
  <c r="F14" i="45"/>
  <c r="D14" i="45" s="1"/>
  <c r="V13" i="45"/>
  <c r="I13" i="45"/>
  <c r="D13" i="45"/>
  <c r="Z12" i="45"/>
  <c r="V12" i="45"/>
  <c r="U12" i="45"/>
  <c r="G12" i="45"/>
  <c r="F12" i="45"/>
  <c r="D12" i="45" s="1"/>
  <c r="V11" i="45"/>
  <c r="X11" i="45" s="1"/>
  <c r="U11" i="45" s="1"/>
  <c r="H11" i="45"/>
  <c r="F11" i="45"/>
  <c r="V10" i="45"/>
  <c r="X10" i="45" s="1"/>
  <c r="H10" i="45"/>
  <c r="F10" i="45"/>
  <c r="D10" i="45" s="1"/>
  <c r="Z9" i="45"/>
  <c r="V9" i="45"/>
  <c r="U9" i="45"/>
  <c r="H9" i="45"/>
  <c r="F9" i="45"/>
  <c r="Z8" i="45"/>
  <c r="V8" i="45"/>
  <c r="U8" i="45"/>
  <c r="H8" i="45"/>
  <c r="F8" i="45"/>
  <c r="Z7" i="45"/>
  <c r="V7" i="45"/>
  <c r="T7" i="45" s="1"/>
  <c r="F7" i="45" s="1"/>
  <c r="U7" i="45"/>
  <c r="H7" i="45"/>
  <c r="V6" i="45"/>
  <c r="X6" i="45" s="1"/>
  <c r="H6" i="45"/>
  <c r="F6" i="45"/>
  <c r="D6" i="45" s="1"/>
  <c r="V5" i="45"/>
  <c r="X5" i="45" s="1"/>
  <c r="H5" i="45"/>
  <c r="F5" i="45"/>
  <c r="V4" i="45"/>
  <c r="X4" i="45" s="1"/>
  <c r="H4" i="45"/>
  <c r="F4" i="45"/>
  <c r="G11" i="45" l="1"/>
  <c r="I11" i="45" s="1"/>
  <c r="G4" i="45"/>
  <c r="G5" i="45"/>
  <c r="G9" i="45"/>
  <c r="I9" i="45" s="1"/>
  <c r="G8" i="45"/>
  <c r="I8" i="45" s="1"/>
  <c r="I18" i="45"/>
  <c r="I16" i="45"/>
  <c r="I14" i="45"/>
  <c r="I12" i="45"/>
  <c r="G10" i="45"/>
  <c r="D9" i="45"/>
  <c r="D8" i="45"/>
  <c r="G6" i="45"/>
  <c r="U10" i="45"/>
  <c r="Z10" i="45"/>
  <c r="Z5" i="45"/>
  <c r="U5" i="45"/>
  <c r="Z4" i="45"/>
  <c r="U4" i="45"/>
  <c r="Z6" i="45"/>
  <c r="U6" i="45"/>
  <c r="I6" i="45" s="1"/>
  <c r="D7" i="45"/>
  <c r="G7" i="45"/>
  <c r="I7" i="45" s="1"/>
  <c r="D11" i="45"/>
  <c r="Z11" i="45"/>
  <c r="D4" i="45"/>
  <c r="D5" i="45"/>
  <c r="Z19" i="44"/>
  <c r="V19" i="44"/>
  <c r="I19" i="44"/>
  <c r="F19" i="44"/>
  <c r="D19" i="44" s="1"/>
  <c r="Z18" i="44"/>
  <c r="V18" i="44"/>
  <c r="U18" i="44"/>
  <c r="G18" i="44"/>
  <c r="F18" i="44"/>
  <c r="D18" i="44" s="1"/>
  <c r="Z17" i="44"/>
  <c r="V17" i="44"/>
  <c r="I17" i="44"/>
  <c r="D17" i="44"/>
  <c r="Z16" i="44"/>
  <c r="V16" i="44"/>
  <c r="U16" i="44"/>
  <c r="H16" i="44"/>
  <c r="G16" i="44"/>
  <c r="F16" i="44"/>
  <c r="D16" i="44" s="1"/>
  <c r="V15" i="44"/>
  <c r="I15" i="44"/>
  <c r="D15" i="44"/>
  <c r="Z14" i="44"/>
  <c r="V14" i="44"/>
  <c r="U14" i="44"/>
  <c r="H14" i="44"/>
  <c r="G14" i="44"/>
  <c r="F14" i="44"/>
  <c r="D14" i="44" s="1"/>
  <c r="V13" i="44"/>
  <c r="I13" i="44"/>
  <c r="D13" i="44"/>
  <c r="Z12" i="44"/>
  <c r="V12" i="44"/>
  <c r="U12" i="44"/>
  <c r="H12" i="44"/>
  <c r="G12" i="44"/>
  <c r="F12" i="44"/>
  <c r="D12" i="44" s="1"/>
  <c r="V11" i="44"/>
  <c r="X11" i="44" s="1"/>
  <c r="H11" i="44"/>
  <c r="F11" i="44"/>
  <c r="V10" i="44"/>
  <c r="X10" i="44" s="1"/>
  <c r="U10" i="44" s="1"/>
  <c r="H10" i="44"/>
  <c r="F10" i="44"/>
  <c r="Z9" i="44"/>
  <c r="V9" i="44"/>
  <c r="U9" i="44"/>
  <c r="H9" i="44"/>
  <c r="F9" i="44"/>
  <c r="D9" i="44" s="1"/>
  <c r="Z8" i="44"/>
  <c r="V8" i="44"/>
  <c r="U8" i="44"/>
  <c r="H8" i="44"/>
  <c r="F8" i="44"/>
  <c r="D8" i="44" s="1"/>
  <c r="Z7" i="44"/>
  <c r="V7" i="44"/>
  <c r="U7" i="44"/>
  <c r="T7" i="44"/>
  <c r="F7" i="44" s="1"/>
  <c r="G7" i="44" s="1"/>
  <c r="H7" i="44"/>
  <c r="V6" i="44"/>
  <c r="X6" i="44" s="1"/>
  <c r="H6" i="44"/>
  <c r="F6" i="44"/>
  <c r="D6" i="44" s="1"/>
  <c r="V5" i="44"/>
  <c r="X5" i="44" s="1"/>
  <c r="H5" i="44"/>
  <c r="F5" i="44"/>
  <c r="D5" i="44" s="1"/>
  <c r="V4" i="44"/>
  <c r="X4" i="44" s="1"/>
  <c r="H4" i="44"/>
  <c r="F4" i="44"/>
  <c r="I4" i="45" l="1"/>
  <c r="G11" i="44"/>
  <c r="G4" i="44"/>
  <c r="G10" i="44"/>
  <c r="I10" i="44" s="1"/>
  <c r="I5" i="45"/>
  <c r="I7" i="44"/>
  <c r="G5" i="44"/>
  <c r="D7" i="44"/>
  <c r="G8" i="44"/>
  <c r="I8" i="44" s="1"/>
  <c r="I16" i="44"/>
  <c r="I18" i="44"/>
  <c r="I10" i="45"/>
  <c r="I14" i="44"/>
  <c r="I12" i="44"/>
  <c r="D10" i="44"/>
  <c r="G9" i="44"/>
  <c r="I9" i="44" s="1"/>
  <c r="D4" i="44"/>
  <c r="Z4" i="44"/>
  <c r="U4" i="44"/>
  <c r="U11" i="44"/>
  <c r="I11" i="44" s="1"/>
  <c r="Z11" i="44"/>
  <c r="U5" i="44"/>
  <c r="Z5" i="44"/>
  <c r="Z6" i="44"/>
  <c r="U6" i="44"/>
  <c r="G6" i="44"/>
  <c r="Z10" i="44"/>
  <c r="D11" i="44"/>
  <c r="Z19" i="43"/>
  <c r="V19" i="43"/>
  <c r="I19" i="43"/>
  <c r="F19" i="43"/>
  <c r="D19" i="43" s="1"/>
  <c r="Z18" i="43"/>
  <c r="V18" i="43"/>
  <c r="U18" i="43"/>
  <c r="G18" i="43"/>
  <c r="F18" i="43"/>
  <c r="D18" i="43" s="1"/>
  <c r="Z17" i="43"/>
  <c r="V17" i="43"/>
  <c r="I17" i="43"/>
  <c r="D17" i="43"/>
  <c r="Z16" i="43"/>
  <c r="V16" i="43"/>
  <c r="U16" i="43"/>
  <c r="H16" i="43"/>
  <c r="G16" i="43"/>
  <c r="F16" i="43"/>
  <c r="D16" i="43" s="1"/>
  <c r="V15" i="43"/>
  <c r="I15" i="43"/>
  <c r="D15" i="43"/>
  <c r="Z14" i="43"/>
  <c r="V14" i="43"/>
  <c r="U14" i="43"/>
  <c r="H14" i="43"/>
  <c r="G14" i="43"/>
  <c r="F14" i="43"/>
  <c r="D14" i="43" s="1"/>
  <c r="V13" i="43"/>
  <c r="I13" i="43"/>
  <c r="D13" i="43"/>
  <c r="Z12" i="43"/>
  <c r="V12" i="43"/>
  <c r="U12" i="43"/>
  <c r="H12" i="43"/>
  <c r="G12" i="43"/>
  <c r="F12" i="43"/>
  <c r="D12" i="43" s="1"/>
  <c r="V11" i="43"/>
  <c r="X11" i="43" s="1"/>
  <c r="U11" i="43" s="1"/>
  <c r="H11" i="43"/>
  <c r="F11" i="43"/>
  <c r="V10" i="43"/>
  <c r="X10" i="43" s="1"/>
  <c r="U10" i="43" s="1"/>
  <c r="H10" i="43"/>
  <c r="F10" i="43"/>
  <c r="Z9" i="43"/>
  <c r="V9" i="43"/>
  <c r="U9" i="43"/>
  <c r="H9" i="43"/>
  <c r="F9" i="43"/>
  <c r="Z8" i="43"/>
  <c r="V8" i="43"/>
  <c r="U8" i="43"/>
  <c r="H8" i="43"/>
  <c r="F8" i="43"/>
  <c r="D8" i="43" s="1"/>
  <c r="Z7" i="43"/>
  <c r="V7" i="43"/>
  <c r="T7" i="43" s="1"/>
  <c r="F7" i="43" s="1"/>
  <c r="D7" i="43" s="1"/>
  <c r="U7" i="43"/>
  <c r="H7" i="43"/>
  <c r="V6" i="43"/>
  <c r="X6" i="43" s="1"/>
  <c r="H6" i="43"/>
  <c r="F6" i="43"/>
  <c r="D6" i="43" s="1"/>
  <c r="V5" i="43"/>
  <c r="X5" i="43" s="1"/>
  <c r="H5" i="43"/>
  <c r="F5" i="43"/>
  <c r="V4" i="43"/>
  <c r="X4" i="43" s="1"/>
  <c r="H4" i="43"/>
  <c r="F4" i="43"/>
  <c r="I4" i="44" l="1"/>
  <c r="G4" i="43"/>
  <c r="G11" i="43"/>
  <c r="I11" i="43" s="1"/>
  <c r="G10" i="43"/>
  <c r="I14" i="43"/>
  <c r="I5" i="44"/>
  <c r="G5" i="43"/>
  <c r="G9" i="43"/>
  <c r="I9" i="43" s="1"/>
  <c r="D11" i="43"/>
  <c r="I12" i="43"/>
  <c r="I16" i="43"/>
  <c r="G6" i="43"/>
  <c r="G8" i="43"/>
  <c r="I8" i="43" s="1"/>
  <c r="Z10" i="43"/>
  <c r="I18" i="43"/>
  <c r="I6" i="44"/>
  <c r="D10" i="43"/>
  <c r="D9" i="43"/>
  <c r="Z4" i="43"/>
  <c r="U4" i="43"/>
  <c r="I4" i="43" s="1"/>
  <c r="Z5" i="43"/>
  <c r="U5" i="43"/>
  <c r="I10" i="43"/>
  <c r="Z6" i="43"/>
  <c r="U6" i="43"/>
  <c r="G7" i="43"/>
  <c r="I7" i="43" s="1"/>
  <c r="Z11" i="43"/>
  <c r="D4" i="43"/>
  <c r="D5" i="43"/>
  <c r="S19" i="42"/>
  <c r="O19" i="42"/>
  <c r="I19" i="42"/>
  <c r="F19" i="42"/>
  <c r="D19" i="42" s="1"/>
  <c r="S18" i="42"/>
  <c r="O18" i="42"/>
  <c r="N18" i="42"/>
  <c r="G18" i="42"/>
  <c r="F18" i="42"/>
  <c r="D18" i="42" s="1"/>
  <c r="S17" i="42"/>
  <c r="O17" i="42"/>
  <c r="I17" i="42"/>
  <c r="D17" i="42"/>
  <c r="S16" i="42"/>
  <c r="O16" i="42"/>
  <c r="N16" i="42"/>
  <c r="H16" i="42"/>
  <c r="G16" i="42"/>
  <c r="F16" i="42"/>
  <c r="D16" i="42" s="1"/>
  <c r="O15" i="42"/>
  <c r="I15" i="42"/>
  <c r="D15" i="42"/>
  <c r="S14" i="42"/>
  <c r="O14" i="42"/>
  <c r="N14" i="42"/>
  <c r="H14" i="42"/>
  <c r="G14" i="42"/>
  <c r="F14" i="42"/>
  <c r="D14" i="42" s="1"/>
  <c r="O13" i="42"/>
  <c r="I13" i="42"/>
  <c r="D13" i="42"/>
  <c r="S12" i="42"/>
  <c r="O12" i="42"/>
  <c r="N12" i="42"/>
  <c r="H12" i="42"/>
  <c r="G12" i="42"/>
  <c r="F12" i="42"/>
  <c r="D12" i="42" s="1"/>
  <c r="O11" i="42"/>
  <c r="Q11" i="42" s="1"/>
  <c r="N11" i="42" s="1"/>
  <c r="H11" i="42"/>
  <c r="F11" i="42"/>
  <c r="O10" i="42"/>
  <c r="Q10" i="42" s="1"/>
  <c r="H10" i="42"/>
  <c r="F10" i="42"/>
  <c r="D10" i="42" s="1"/>
  <c r="S9" i="42"/>
  <c r="O9" i="42"/>
  <c r="N9" i="42"/>
  <c r="H9" i="42"/>
  <c r="F9" i="42"/>
  <c r="S8" i="42"/>
  <c r="O8" i="42"/>
  <c r="N8" i="42"/>
  <c r="H8" i="42"/>
  <c r="F8" i="42"/>
  <c r="S7" i="42"/>
  <c r="O7" i="42"/>
  <c r="M7" i="42" s="1"/>
  <c r="F7" i="42" s="1"/>
  <c r="D7" i="42" s="1"/>
  <c r="N7" i="42"/>
  <c r="H7" i="42"/>
  <c r="O6" i="42"/>
  <c r="Q6" i="42" s="1"/>
  <c r="H6" i="42"/>
  <c r="F6" i="42"/>
  <c r="D6" i="42" s="1"/>
  <c r="O5" i="42"/>
  <c r="H5" i="42"/>
  <c r="F5" i="42"/>
  <c r="D5" i="42" s="1"/>
  <c r="O4" i="42"/>
  <c r="H4" i="42"/>
  <c r="F4" i="42"/>
  <c r="D4" i="42" s="1"/>
  <c r="I5" i="43" l="1"/>
  <c r="G11" i="42"/>
  <c r="G9" i="42"/>
  <c r="I9" i="42" s="1"/>
  <c r="I6" i="43"/>
  <c r="G8" i="42"/>
  <c r="I8" i="42" s="1"/>
  <c r="G4" i="42"/>
  <c r="G6" i="42"/>
  <c r="D9" i="42"/>
  <c r="I18" i="42"/>
  <c r="D8" i="42"/>
  <c r="G10" i="42"/>
  <c r="I12" i="42"/>
  <c r="I14" i="42"/>
  <c r="G5" i="42"/>
  <c r="I16" i="42"/>
  <c r="N10" i="42"/>
  <c r="S10" i="42"/>
  <c r="N6" i="42"/>
  <c r="S6" i="42"/>
  <c r="I11" i="42"/>
  <c r="G7" i="42"/>
  <c r="I7" i="42" s="1"/>
  <c r="D11" i="42"/>
  <c r="S11" i="42"/>
  <c r="Q5" i="42"/>
  <c r="Q4" i="42"/>
  <c r="G18" i="41"/>
  <c r="J18" i="41" s="1"/>
  <c r="G17" i="41"/>
  <c r="G16" i="41"/>
  <c r="J16" i="41" s="1"/>
  <c r="G15" i="41"/>
  <c r="G14" i="41"/>
  <c r="J14" i="41" s="1"/>
  <c r="G13" i="41"/>
  <c r="G12" i="41"/>
  <c r="J12" i="41" s="1"/>
  <c r="G11" i="41"/>
  <c r="G8" i="41"/>
  <c r="G7" i="41"/>
  <c r="G6" i="41"/>
  <c r="O25" i="41"/>
  <c r="Q25" i="41" s="1"/>
  <c r="S25" i="41" s="1"/>
  <c r="I25" i="41"/>
  <c r="E25" i="41"/>
  <c r="H25" i="41" s="1"/>
  <c r="O18" i="41"/>
  <c r="I18" i="41"/>
  <c r="E18" i="41"/>
  <c r="H18" i="41" s="1"/>
  <c r="S17" i="41"/>
  <c r="O17" i="41"/>
  <c r="I17" i="41"/>
  <c r="F17" i="41"/>
  <c r="E17" i="41"/>
  <c r="H17" i="41" s="1"/>
  <c r="O16" i="41"/>
  <c r="I16" i="41"/>
  <c r="H16" i="41"/>
  <c r="S15" i="41"/>
  <c r="O15" i="41"/>
  <c r="I15" i="41"/>
  <c r="F15" i="41"/>
  <c r="E15" i="41"/>
  <c r="H15" i="41" s="1"/>
  <c r="I14" i="41"/>
  <c r="H14" i="41"/>
  <c r="S13" i="41"/>
  <c r="O13" i="41"/>
  <c r="I13" i="41"/>
  <c r="F13" i="41"/>
  <c r="E13" i="41"/>
  <c r="H13" i="41" s="1"/>
  <c r="P12" i="41"/>
  <c r="I12" i="41"/>
  <c r="H12" i="41"/>
  <c r="S11" i="41"/>
  <c r="O11" i="41"/>
  <c r="I11" i="41"/>
  <c r="F11" i="41"/>
  <c r="E11" i="41"/>
  <c r="H11" i="41" s="1"/>
  <c r="O10" i="41"/>
  <c r="Q10" i="41" s="1"/>
  <c r="G10" i="41" s="1"/>
  <c r="I10" i="41"/>
  <c r="E10" i="41"/>
  <c r="H10" i="41" s="1"/>
  <c r="O9" i="41"/>
  <c r="Q9" i="41" s="1"/>
  <c r="S9" i="41" s="1"/>
  <c r="I9" i="41"/>
  <c r="E9" i="41"/>
  <c r="S8" i="41"/>
  <c r="O8" i="41"/>
  <c r="I8" i="41"/>
  <c r="E8" i="41"/>
  <c r="H8" i="41" s="1"/>
  <c r="S7" i="41"/>
  <c r="O7" i="41"/>
  <c r="I7" i="41"/>
  <c r="E7" i="41"/>
  <c r="H7" i="41" s="1"/>
  <c r="S6" i="41"/>
  <c r="O6" i="41"/>
  <c r="N6" i="41" s="1"/>
  <c r="E6" i="41" s="1"/>
  <c r="H6" i="41" s="1"/>
  <c r="I6" i="41"/>
  <c r="O5" i="41"/>
  <c r="Q5" i="41" s="1"/>
  <c r="I5" i="41"/>
  <c r="E5" i="41"/>
  <c r="O4" i="41"/>
  <c r="Q4" i="41" s="1"/>
  <c r="G4" i="41" s="1"/>
  <c r="I4" i="41"/>
  <c r="E4" i="41"/>
  <c r="H4" i="41" s="1"/>
  <c r="C2" i="41"/>
  <c r="F9" i="41" l="1"/>
  <c r="J13" i="41"/>
  <c r="F5" i="41"/>
  <c r="F8" i="41"/>
  <c r="J8" i="41" s="1"/>
  <c r="F25" i="41"/>
  <c r="I6" i="42"/>
  <c r="I10" i="42"/>
  <c r="S4" i="42"/>
  <c r="N4" i="42"/>
  <c r="I4" i="42" s="1"/>
  <c r="S5" i="42"/>
  <c r="N5" i="42"/>
  <c r="I5" i="42" s="1"/>
  <c r="S5" i="41"/>
  <c r="G5" i="41"/>
  <c r="G9" i="41"/>
  <c r="J9" i="41" s="1"/>
  <c r="J15" i="41"/>
  <c r="J11" i="41"/>
  <c r="J17" i="41"/>
  <c r="H9" i="41"/>
  <c r="F7" i="41"/>
  <c r="J7" i="41" s="1"/>
  <c r="H5" i="41"/>
  <c r="S10" i="41"/>
  <c r="S4" i="41"/>
  <c r="F4" i="41"/>
  <c r="J4" i="41" s="1"/>
  <c r="F6" i="41"/>
  <c r="J6" i="41" s="1"/>
  <c r="F10" i="41"/>
  <c r="G25" i="41"/>
  <c r="J5" i="41" l="1"/>
  <c r="J25" i="41"/>
  <c r="J10" i="41"/>
  <c r="N19" i="39" l="1"/>
  <c r="J19" i="39"/>
  <c r="E19" i="39"/>
  <c r="H19" i="39" s="1"/>
  <c r="N18" i="39"/>
  <c r="G18" i="39"/>
  <c r="F18" i="39"/>
  <c r="E18" i="39"/>
  <c r="H18" i="39" s="1"/>
  <c r="N17" i="39"/>
  <c r="J17" i="39"/>
  <c r="H17" i="39"/>
  <c r="N16" i="39"/>
  <c r="I16" i="39"/>
  <c r="G16" i="39"/>
  <c r="F16" i="39"/>
  <c r="E16" i="39"/>
  <c r="H16" i="39" s="1"/>
  <c r="J15" i="39"/>
  <c r="H15" i="39"/>
  <c r="R14" i="39"/>
  <c r="N14" i="39"/>
  <c r="I14" i="39"/>
  <c r="G14" i="39"/>
  <c r="F14" i="39"/>
  <c r="E14" i="39"/>
  <c r="H14" i="39" s="1"/>
  <c r="O13" i="39"/>
  <c r="J13" i="39"/>
  <c r="H13" i="39"/>
  <c r="R12" i="39"/>
  <c r="N12" i="39"/>
  <c r="I12" i="39"/>
  <c r="G12" i="39"/>
  <c r="F12" i="39"/>
  <c r="E12" i="39"/>
  <c r="H12" i="39" s="1"/>
  <c r="N11" i="39"/>
  <c r="P11" i="39" s="1"/>
  <c r="I11" i="39"/>
  <c r="E11" i="39"/>
  <c r="N10" i="39"/>
  <c r="I10" i="39"/>
  <c r="E10" i="39"/>
  <c r="H10" i="39" s="1"/>
  <c r="R9" i="39"/>
  <c r="N9" i="39"/>
  <c r="I9" i="39"/>
  <c r="G9" i="39"/>
  <c r="E9" i="39"/>
  <c r="H9" i="39" s="1"/>
  <c r="R8" i="39"/>
  <c r="N8" i="39"/>
  <c r="I8" i="39"/>
  <c r="G8" i="39"/>
  <c r="E8" i="39"/>
  <c r="H8" i="39" s="1"/>
  <c r="R7" i="39"/>
  <c r="N7" i="39"/>
  <c r="M7" i="39" s="1"/>
  <c r="E7" i="39" s="1"/>
  <c r="I7" i="39"/>
  <c r="G7" i="39"/>
  <c r="N6" i="39"/>
  <c r="P6" i="39" s="1"/>
  <c r="I6" i="39"/>
  <c r="E6" i="39"/>
  <c r="H6" i="39" s="1"/>
  <c r="N5" i="39"/>
  <c r="P5" i="39" s="1"/>
  <c r="I5" i="39"/>
  <c r="E5" i="39"/>
  <c r="H5" i="39" s="1"/>
  <c r="N4" i="39"/>
  <c r="P4" i="39" s="1"/>
  <c r="R4" i="39" s="1"/>
  <c r="I4" i="39"/>
  <c r="E4" i="39"/>
  <c r="H4" i="39" s="1"/>
  <c r="F11" i="39" l="1"/>
  <c r="J16" i="39"/>
  <c r="F9" i="39"/>
  <c r="J9" i="39" s="1"/>
  <c r="F10" i="39"/>
  <c r="J18" i="39"/>
  <c r="J14" i="39"/>
  <c r="J12" i="39"/>
  <c r="H11" i="39"/>
  <c r="F8" i="39"/>
  <c r="J8" i="39" s="1"/>
  <c r="R5" i="39"/>
  <c r="G5" i="39"/>
  <c r="R6" i="39"/>
  <c r="G6" i="39"/>
  <c r="H7" i="39"/>
  <c r="F7" i="39"/>
  <c r="J7" i="39" s="1"/>
  <c r="R11" i="39"/>
  <c r="G11" i="39"/>
  <c r="J11" i="39" s="1"/>
  <c r="G4" i="39"/>
  <c r="F5" i="39"/>
  <c r="P10" i="39"/>
  <c r="F4" i="39"/>
  <c r="F6" i="39"/>
  <c r="J4" i="39" l="1"/>
  <c r="J6" i="39"/>
  <c r="G10" i="39"/>
  <c r="J10" i="39" s="1"/>
  <c r="R10" i="39"/>
  <c r="J5" i="39"/>
  <c r="H4" i="16"/>
  <c r="C2" i="16"/>
  <c r="V15" i="16"/>
  <c r="V13" i="16"/>
  <c r="Z19" i="16"/>
  <c r="Z18" i="16"/>
  <c r="Z17" i="16"/>
  <c r="Z16" i="16"/>
  <c r="N19" i="37" l="1"/>
  <c r="J19" i="37"/>
  <c r="E19" i="37"/>
  <c r="H19" i="37" s="1"/>
  <c r="N18" i="37"/>
  <c r="G18" i="37"/>
  <c r="F18" i="37"/>
  <c r="E18" i="37"/>
  <c r="H18" i="37" s="1"/>
  <c r="N17" i="37"/>
  <c r="J17" i="37"/>
  <c r="H17" i="37"/>
  <c r="N16" i="37"/>
  <c r="I16" i="37"/>
  <c r="G16" i="37"/>
  <c r="F16" i="37"/>
  <c r="E16" i="37"/>
  <c r="H16" i="37" s="1"/>
  <c r="J15" i="37"/>
  <c r="H15" i="37"/>
  <c r="R14" i="37"/>
  <c r="N14" i="37"/>
  <c r="I14" i="37"/>
  <c r="G14" i="37"/>
  <c r="F14" i="37"/>
  <c r="E14" i="37"/>
  <c r="H14" i="37" s="1"/>
  <c r="O13" i="37"/>
  <c r="J13" i="37"/>
  <c r="H13" i="37"/>
  <c r="R12" i="37"/>
  <c r="N12" i="37"/>
  <c r="I12" i="37"/>
  <c r="G12" i="37"/>
  <c r="F12" i="37"/>
  <c r="E12" i="37"/>
  <c r="H12" i="37" s="1"/>
  <c r="N11" i="37"/>
  <c r="I11" i="37"/>
  <c r="E11" i="37"/>
  <c r="H11" i="37" s="1"/>
  <c r="N10" i="37"/>
  <c r="P10" i="37" s="1"/>
  <c r="I10" i="37"/>
  <c r="E10" i="37"/>
  <c r="H10" i="37" s="1"/>
  <c r="R9" i="37"/>
  <c r="N9" i="37"/>
  <c r="I9" i="37"/>
  <c r="G9" i="37"/>
  <c r="E9" i="37"/>
  <c r="R8" i="37"/>
  <c r="N8" i="37"/>
  <c r="I8" i="37"/>
  <c r="G8" i="37"/>
  <c r="E8" i="37"/>
  <c r="R7" i="37"/>
  <c r="N7" i="37"/>
  <c r="M7" i="37" s="1"/>
  <c r="E7" i="37" s="1"/>
  <c r="I7" i="37"/>
  <c r="G7" i="37"/>
  <c r="N6" i="37"/>
  <c r="P6" i="37" s="1"/>
  <c r="I6" i="37"/>
  <c r="E6" i="37"/>
  <c r="H6" i="37" s="1"/>
  <c r="N5" i="37"/>
  <c r="P5" i="37" s="1"/>
  <c r="G5" i="37" s="1"/>
  <c r="I5" i="37"/>
  <c r="E5" i="37"/>
  <c r="N4" i="37"/>
  <c r="P4" i="37" s="1"/>
  <c r="I4" i="37"/>
  <c r="E4" i="37"/>
  <c r="J16" i="37" l="1"/>
  <c r="J18" i="37"/>
  <c r="F9" i="37"/>
  <c r="J9" i="37" s="1"/>
  <c r="F8" i="37"/>
  <c r="J8" i="37" s="1"/>
  <c r="F4" i="37"/>
  <c r="G4" i="37"/>
  <c r="R4" i="37"/>
  <c r="F5" i="37"/>
  <c r="J5" i="37" s="1"/>
  <c r="J14" i="37"/>
  <c r="J12" i="37"/>
  <c r="F11" i="37"/>
  <c r="H9" i="37"/>
  <c r="H8" i="37"/>
  <c r="G6" i="37"/>
  <c r="R6" i="37"/>
  <c r="H7" i="37"/>
  <c r="F7" i="37"/>
  <c r="J7" i="37" s="1"/>
  <c r="G10" i="37"/>
  <c r="R10" i="37"/>
  <c r="R5" i="37"/>
  <c r="H4" i="37"/>
  <c r="F6" i="37"/>
  <c r="H5" i="37"/>
  <c r="P11" i="37"/>
  <c r="F10" i="37"/>
  <c r="N19" i="36"/>
  <c r="J19" i="36"/>
  <c r="E19" i="36"/>
  <c r="H19" i="36" s="1"/>
  <c r="N18" i="36"/>
  <c r="G18" i="36"/>
  <c r="F18" i="36"/>
  <c r="E18" i="36"/>
  <c r="H18" i="36" s="1"/>
  <c r="N17" i="36"/>
  <c r="J17" i="36"/>
  <c r="H17" i="36"/>
  <c r="N16" i="36"/>
  <c r="I16" i="36"/>
  <c r="G16" i="36"/>
  <c r="F16" i="36"/>
  <c r="E16" i="36"/>
  <c r="H16" i="36" s="1"/>
  <c r="J15" i="36"/>
  <c r="H15" i="36"/>
  <c r="R14" i="36"/>
  <c r="N14" i="36"/>
  <c r="I14" i="36"/>
  <c r="G14" i="36"/>
  <c r="F14" i="36"/>
  <c r="E14" i="36"/>
  <c r="H14" i="36" s="1"/>
  <c r="O13" i="36"/>
  <c r="J13" i="36"/>
  <c r="H13" i="36"/>
  <c r="R12" i="36"/>
  <c r="N12" i="36"/>
  <c r="I12" i="36"/>
  <c r="G12" i="36"/>
  <c r="F12" i="36"/>
  <c r="E12" i="36"/>
  <c r="H12" i="36" s="1"/>
  <c r="N11" i="36"/>
  <c r="P11" i="36" s="1"/>
  <c r="I11" i="36"/>
  <c r="E11" i="36"/>
  <c r="N10" i="36"/>
  <c r="P10" i="36" s="1"/>
  <c r="I10" i="36"/>
  <c r="E10" i="36"/>
  <c r="R9" i="36"/>
  <c r="N9" i="36"/>
  <c r="I9" i="36"/>
  <c r="G9" i="36"/>
  <c r="E9" i="36"/>
  <c r="R8" i="36"/>
  <c r="N8" i="36"/>
  <c r="I8" i="36"/>
  <c r="G8" i="36"/>
  <c r="E8" i="36"/>
  <c r="R7" i="36"/>
  <c r="N7" i="36"/>
  <c r="M7" i="36" s="1"/>
  <c r="E7" i="36" s="1"/>
  <c r="I7" i="36"/>
  <c r="G7" i="36"/>
  <c r="N6" i="36"/>
  <c r="P6" i="36" s="1"/>
  <c r="I6" i="36"/>
  <c r="E6" i="36"/>
  <c r="H6" i="36" s="1"/>
  <c r="N5" i="36"/>
  <c r="I5" i="36"/>
  <c r="E5" i="36"/>
  <c r="H5" i="36" s="1"/>
  <c r="N4" i="36"/>
  <c r="P4" i="36" s="1"/>
  <c r="R4" i="36" s="1"/>
  <c r="I4" i="36"/>
  <c r="E4" i="36"/>
  <c r="H4" i="36" s="1"/>
  <c r="F11" i="36" l="1"/>
  <c r="F10" i="36"/>
  <c r="F8" i="36"/>
  <c r="J8" i="36" s="1"/>
  <c r="J16" i="36"/>
  <c r="F9" i="36"/>
  <c r="J9" i="36" s="1"/>
  <c r="J4" i="37"/>
  <c r="H8" i="36"/>
  <c r="H11" i="36"/>
  <c r="J10" i="37"/>
  <c r="R11" i="37"/>
  <c r="G11" i="37"/>
  <c r="J11" i="37" s="1"/>
  <c r="J6" i="37"/>
  <c r="J18" i="36"/>
  <c r="J14" i="36"/>
  <c r="J12" i="36"/>
  <c r="H10" i="36"/>
  <c r="H9" i="36"/>
  <c r="F5" i="36"/>
  <c r="H7" i="36"/>
  <c r="F7" i="36"/>
  <c r="J7" i="36" s="1"/>
  <c r="G10" i="36"/>
  <c r="J10" i="36" s="1"/>
  <c r="R10" i="36"/>
  <c r="R6" i="36"/>
  <c r="G6" i="36"/>
  <c r="G11" i="36"/>
  <c r="J11" i="36" s="1"/>
  <c r="R11" i="36"/>
  <c r="P5" i="36"/>
  <c r="F4" i="36"/>
  <c r="F6" i="36"/>
  <c r="G4" i="36"/>
  <c r="N19" i="35"/>
  <c r="J19" i="35"/>
  <c r="E19" i="35"/>
  <c r="H19" i="35" s="1"/>
  <c r="N18" i="35"/>
  <c r="G18" i="35"/>
  <c r="F18" i="35"/>
  <c r="E18" i="35"/>
  <c r="H18" i="35" s="1"/>
  <c r="N17" i="35"/>
  <c r="J17" i="35"/>
  <c r="H17" i="35"/>
  <c r="N16" i="35"/>
  <c r="I16" i="35"/>
  <c r="G16" i="35"/>
  <c r="F16" i="35"/>
  <c r="E16" i="35"/>
  <c r="H16" i="35" s="1"/>
  <c r="J15" i="35"/>
  <c r="H15" i="35"/>
  <c r="R14" i="35"/>
  <c r="N14" i="35"/>
  <c r="I14" i="35"/>
  <c r="G14" i="35"/>
  <c r="F14" i="35"/>
  <c r="E14" i="35"/>
  <c r="H14" i="35" s="1"/>
  <c r="O13" i="35"/>
  <c r="J13" i="35"/>
  <c r="H13" i="35"/>
  <c r="R12" i="35"/>
  <c r="N12" i="35"/>
  <c r="I12" i="35"/>
  <c r="G12" i="35"/>
  <c r="F12" i="35"/>
  <c r="E12" i="35"/>
  <c r="H12" i="35" s="1"/>
  <c r="N11" i="35"/>
  <c r="P11" i="35" s="1"/>
  <c r="I11" i="35"/>
  <c r="E11" i="35"/>
  <c r="F11" i="35" s="1"/>
  <c r="N10" i="35"/>
  <c r="P10" i="35" s="1"/>
  <c r="I10" i="35"/>
  <c r="E10" i="35"/>
  <c r="H10" i="35" s="1"/>
  <c r="R9" i="35"/>
  <c r="N9" i="35"/>
  <c r="I9" i="35"/>
  <c r="G9" i="35"/>
  <c r="E9" i="35"/>
  <c r="R8" i="35"/>
  <c r="N8" i="35"/>
  <c r="I8" i="35"/>
  <c r="G8" i="35"/>
  <c r="E8" i="35"/>
  <c r="R7" i="35"/>
  <c r="N7" i="35"/>
  <c r="M7" i="35" s="1"/>
  <c r="E7" i="35" s="1"/>
  <c r="I7" i="35"/>
  <c r="G7" i="35"/>
  <c r="N6" i="35"/>
  <c r="P6" i="35" s="1"/>
  <c r="I6" i="35"/>
  <c r="E6" i="35"/>
  <c r="N5" i="35"/>
  <c r="P5" i="35" s="1"/>
  <c r="I5" i="35"/>
  <c r="E5" i="35"/>
  <c r="H5" i="35" s="1"/>
  <c r="N4" i="35"/>
  <c r="P4" i="35" s="1"/>
  <c r="R4" i="35" s="1"/>
  <c r="I4" i="35"/>
  <c r="E4" i="35"/>
  <c r="H4" i="35" s="1"/>
  <c r="F6" i="35" l="1"/>
  <c r="J4" i="36"/>
  <c r="F8" i="35"/>
  <c r="J8" i="35" s="1"/>
  <c r="J12" i="35"/>
  <c r="J16" i="35"/>
  <c r="F9" i="35"/>
  <c r="J9" i="35" s="1"/>
  <c r="J6" i="36"/>
  <c r="G5" i="36"/>
  <c r="J5" i="36" s="1"/>
  <c r="R5" i="36"/>
  <c r="H8" i="35"/>
  <c r="H9" i="35"/>
  <c r="J18" i="35"/>
  <c r="J14" i="35"/>
  <c r="H11" i="35"/>
  <c r="F10" i="35"/>
  <c r="H6" i="35"/>
  <c r="H7" i="35"/>
  <c r="F7" i="35"/>
  <c r="J7" i="35" s="1"/>
  <c r="R11" i="35"/>
  <c r="G11" i="35"/>
  <c r="J11" i="35" s="1"/>
  <c r="G10" i="35"/>
  <c r="R10" i="35"/>
  <c r="R5" i="35"/>
  <c r="G5" i="35"/>
  <c r="G6" i="35"/>
  <c r="J6" i="35" s="1"/>
  <c r="R6" i="35"/>
  <c r="F4" i="35"/>
  <c r="G4" i="35"/>
  <c r="F5" i="35"/>
  <c r="N19" i="34"/>
  <c r="J19" i="34"/>
  <c r="E19" i="34"/>
  <c r="H19" i="34" s="1"/>
  <c r="N18" i="34"/>
  <c r="G18" i="34"/>
  <c r="F18" i="34"/>
  <c r="E18" i="34"/>
  <c r="H18" i="34" s="1"/>
  <c r="N17" i="34"/>
  <c r="J17" i="34"/>
  <c r="H17" i="34"/>
  <c r="N16" i="34"/>
  <c r="I16" i="34"/>
  <c r="G16" i="34"/>
  <c r="F16" i="34"/>
  <c r="E16" i="34"/>
  <c r="H16" i="34" s="1"/>
  <c r="J15" i="34"/>
  <c r="H15" i="34"/>
  <c r="R14" i="34"/>
  <c r="N14" i="34"/>
  <c r="I14" i="34"/>
  <c r="G14" i="34"/>
  <c r="F14" i="34"/>
  <c r="E14" i="34"/>
  <c r="H14" i="34" s="1"/>
  <c r="O13" i="34"/>
  <c r="J13" i="34"/>
  <c r="H13" i="34"/>
  <c r="R12" i="34"/>
  <c r="N12" i="34"/>
  <c r="I12" i="34"/>
  <c r="G12" i="34"/>
  <c r="F12" i="34"/>
  <c r="E12" i="34"/>
  <c r="H12" i="34" s="1"/>
  <c r="N11" i="34"/>
  <c r="P11" i="34" s="1"/>
  <c r="R11" i="34" s="1"/>
  <c r="I11" i="34"/>
  <c r="E11" i="34"/>
  <c r="H11" i="34" s="1"/>
  <c r="N10" i="34"/>
  <c r="P10" i="34" s="1"/>
  <c r="I10" i="34"/>
  <c r="E10" i="34"/>
  <c r="R9" i="34"/>
  <c r="N9" i="34"/>
  <c r="I9" i="34"/>
  <c r="G9" i="34"/>
  <c r="E9" i="34"/>
  <c r="R8" i="34"/>
  <c r="N8" i="34"/>
  <c r="I8" i="34"/>
  <c r="G8" i="34"/>
  <c r="E8" i="34"/>
  <c r="R7" i="34"/>
  <c r="N7" i="34"/>
  <c r="M7" i="34" s="1"/>
  <c r="E7" i="34" s="1"/>
  <c r="I7" i="34"/>
  <c r="G7" i="34"/>
  <c r="N6" i="34"/>
  <c r="P6" i="34" s="1"/>
  <c r="G6" i="34" s="1"/>
  <c r="I6" i="34"/>
  <c r="E6" i="34"/>
  <c r="H6" i="34" s="1"/>
  <c r="N5" i="34"/>
  <c r="P5" i="34" s="1"/>
  <c r="I5" i="34"/>
  <c r="E5" i="34"/>
  <c r="H5" i="34" s="1"/>
  <c r="N4" i="34"/>
  <c r="P4" i="34" s="1"/>
  <c r="G4" i="34" s="1"/>
  <c r="I4" i="34"/>
  <c r="E4" i="34"/>
  <c r="H4" i="34" s="1"/>
  <c r="F10" i="34" l="1"/>
  <c r="J10" i="35"/>
  <c r="F8" i="34"/>
  <c r="J8" i="34" s="1"/>
  <c r="J14" i="34"/>
  <c r="F6" i="34"/>
  <c r="J6" i="34" s="1"/>
  <c r="H8" i="34"/>
  <c r="F9" i="34"/>
  <c r="J9" i="34" s="1"/>
  <c r="H10" i="34"/>
  <c r="G11" i="34"/>
  <c r="J16" i="34"/>
  <c r="J5" i="35"/>
  <c r="J4" i="35"/>
  <c r="J18" i="34"/>
  <c r="J12" i="34"/>
  <c r="F11" i="34"/>
  <c r="H9" i="34"/>
  <c r="F4" i="34"/>
  <c r="J4" i="34" s="1"/>
  <c r="R5" i="34"/>
  <c r="G5" i="34"/>
  <c r="H7" i="34"/>
  <c r="F7" i="34"/>
  <c r="J7" i="34" s="1"/>
  <c r="G10" i="34"/>
  <c r="J10" i="34" s="1"/>
  <c r="R10" i="34"/>
  <c r="R4" i="34"/>
  <c r="F5" i="34"/>
  <c r="R6" i="34"/>
  <c r="N19" i="33"/>
  <c r="J19" i="33"/>
  <c r="E19" i="33"/>
  <c r="H19" i="33" s="1"/>
  <c r="N18" i="33"/>
  <c r="G18" i="33"/>
  <c r="F18" i="33"/>
  <c r="E18" i="33"/>
  <c r="H18" i="33" s="1"/>
  <c r="N17" i="33"/>
  <c r="J17" i="33"/>
  <c r="H17" i="33"/>
  <c r="N16" i="33"/>
  <c r="I16" i="33"/>
  <c r="G16" i="33"/>
  <c r="F16" i="33"/>
  <c r="E16" i="33"/>
  <c r="H16" i="33" s="1"/>
  <c r="J15" i="33"/>
  <c r="H15" i="33"/>
  <c r="R14" i="33"/>
  <c r="N14" i="33"/>
  <c r="I14" i="33"/>
  <c r="G14" i="33"/>
  <c r="F14" i="33"/>
  <c r="E14" i="33"/>
  <c r="H14" i="33" s="1"/>
  <c r="O13" i="33"/>
  <c r="J13" i="33"/>
  <c r="H13" i="33"/>
  <c r="R12" i="33"/>
  <c r="N12" i="33"/>
  <c r="I12" i="33"/>
  <c r="G12" i="33"/>
  <c r="F12" i="33"/>
  <c r="E12" i="33"/>
  <c r="H12" i="33" s="1"/>
  <c r="N11" i="33"/>
  <c r="P11" i="33" s="1"/>
  <c r="I11" i="33"/>
  <c r="E11" i="33"/>
  <c r="H11" i="33" s="1"/>
  <c r="N10" i="33"/>
  <c r="P10" i="33" s="1"/>
  <c r="R10" i="33" s="1"/>
  <c r="I10" i="33"/>
  <c r="E10" i="33"/>
  <c r="H10" i="33" s="1"/>
  <c r="R9" i="33"/>
  <c r="N9" i="33"/>
  <c r="I9" i="33"/>
  <c r="G9" i="33"/>
  <c r="E9" i="33"/>
  <c r="H9" i="33" s="1"/>
  <c r="R8" i="33"/>
  <c r="N8" i="33"/>
  <c r="I8" i="33"/>
  <c r="G8" i="33"/>
  <c r="E8" i="33"/>
  <c r="H8" i="33" s="1"/>
  <c r="R7" i="33"/>
  <c r="N7" i="33"/>
  <c r="M7" i="33" s="1"/>
  <c r="E7" i="33" s="1"/>
  <c r="H7" i="33" s="1"/>
  <c r="I7" i="33"/>
  <c r="G7" i="33"/>
  <c r="N6" i="33"/>
  <c r="P6" i="33" s="1"/>
  <c r="R6" i="33" s="1"/>
  <c r="I6" i="33"/>
  <c r="E6" i="33"/>
  <c r="N5" i="33"/>
  <c r="P5" i="33" s="1"/>
  <c r="I5" i="33"/>
  <c r="E5" i="33"/>
  <c r="H5" i="33" s="1"/>
  <c r="N4" i="33"/>
  <c r="P4" i="33" s="1"/>
  <c r="R4" i="33" s="1"/>
  <c r="I4" i="33"/>
  <c r="E4" i="33"/>
  <c r="F6" i="33" l="1"/>
  <c r="F4" i="33"/>
  <c r="J11" i="34"/>
  <c r="J16" i="33"/>
  <c r="J18" i="33"/>
  <c r="F10" i="33"/>
  <c r="J12" i="33"/>
  <c r="J5" i="34"/>
  <c r="J14" i="33"/>
  <c r="F9" i="33"/>
  <c r="J9" i="33" s="1"/>
  <c r="F8" i="33"/>
  <c r="J8" i="33" s="1"/>
  <c r="H6" i="33"/>
  <c r="H4" i="33"/>
  <c r="R11" i="33"/>
  <c r="G11" i="33"/>
  <c r="R5" i="33"/>
  <c r="G5" i="33"/>
  <c r="G4" i="33"/>
  <c r="J4" i="33" s="1"/>
  <c r="F5" i="33"/>
  <c r="G6" i="33"/>
  <c r="J6" i="33" s="1"/>
  <c r="F7" i="33"/>
  <c r="J7" i="33" s="1"/>
  <c r="G10" i="33"/>
  <c r="F11" i="33"/>
  <c r="N19" i="32"/>
  <c r="J19" i="32"/>
  <c r="E19" i="32"/>
  <c r="H19" i="32" s="1"/>
  <c r="N18" i="32"/>
  <c r="G18" i="32"/>
  <c r="F18" i="32"/>
  <c r="E18" i="32"/>
  <c r="H18" i="32" s="1"/>
  <c r="N17" i="32"/>
  <c r="J17" i="32"/>
  <c r="H17" i="32"/>
  <c r="N16" i="32"/>
  <c r="I16" i="32"/>
  <c r="G16" i="32"/>
  <c r="F16" i="32"/>
  <c r="E16" i="32"/>
  <c r="H16" i="32" s="1"/>
  <c r="J15" i="32"/>
  <c r="H15" i="32"/>
  <c r="R14" i="32"/>
  <c r="N14" i="32"/>
  <c r="I14" i="32"/>
  <c r="G14" i="32"/>
  <c r="F14" i="32"/>
  <c r="E14" i="32"/>
  <c r="H14" i="32" s="1"/>
  <c r="O13" i="32"/>
  <c r="J13" i="32"/>
  <c r="H13" i="32"/>
  <c r="R12" i="32"/>
  <c r="N12" i="32"/>
  <c r="I12" i="32"/>
  <c r="G12" i="32"/>
  <c r="F12" i="32"/>
  <c r="E12" i="32"/>
  <c r="H12" i="32" s="1"/>
  <c r="N11" i="32"/>
  <c r="P11" i="32" s="1"/>
  <c r="I11" i="32"/>
  <c r="E11" i="32"/>
  <c r="H11" i="32" s="1"/>
  <c r="N10" i="32"/>
  <c r="P10" i="32" s="1"/>
  <c r="I10" i="32"/>
  <c r="E10" i="32"/>
  <c r="R9" i="32"/>
  <c r="N9" i="32"/>
  <c r="I9" i="32"/>
  <c r="G9" i="32"/>
  <c r="E9" i="32"/>
  <c r="H9" i="32" s="1"/>
  <c r="R8" i="32"/>
  <c r="N8" i="32"/>
  <c r="I8" i="32"/>
  <c r="G8" i="32"/>
  <c r="E8" i="32"/>
  <c r="R7" i="32"/>
  <c r="N7" i="32"/>
  <c r="M7" i="32" s="1"/>
  <c r="E7" i="32" s="1"/>
  <c r="I7" i="32"/>
  <c r="G7" i="32"/>
  <c r="N6" i="32"/>
  <c r="P6" i="32" s="1"/>
  <c r="G6" i="32" s="1"/>
  <c r="I6" i="32"/>
  <c r="E6" i="32"/>
  <c r="H6" i="32" s="1"/>
  <c r="N5" i="32"/>
  <c r="P5" i="32" s="1"/>
  <c r="I5" i="32"/>
  <c r="E5" i="32"/>
  <c r="H5" i="32" s="1"/>
  <c r="N4" i="32"/>
  <c r="P4" i="32" s="1"/>
  <c r="I4" i="32"/>
  <c r="E4" i="32"/>
  <c r="F10" i="32" l="1"/>
  <c r="J10" i="33"/>
  <c r="F4" i="32"/>
  <c r="F8" i="32"/>
  <c r="J8" i="32" s="1"/>
  <c r="J12" i="32"/>
  <c r="J18" i="32"/>
  <c r="J11" i="33"/>
  <c r="J5" i="33"/>
  <c r="R5" i="32"/>
  <c r="G5" i="32"/>
  <c r="R6" i="32"/>
  <c r="J16" i="32"/>
  <c r="J14" i="32"/>
  <c r="F5" i="32"/>
  <c r="H4" i="32"/>
  <c r="G4" i="32"/>
  <c r="R4" i="32"/>
  <c r="G10" i="32"/>
  <c r="J10" i="32" s="1"/>
  <c r="R10" i="32"/>
  <c r="H7" i="32"/>
  <c r="F7" i="32"/>
  <c r="J7" i="32" s="1"/>
  <c r="R11" i="32"/>
  <c r="G11" i="32"/>
  <c r="F6" i="32"/>
  <c r="J6" i="32" s="1"/>
  <c r="F9" i="32"/>
  <c r="J9" i="32" s="1"/>
  <c r="F11" i="32"/>
  <c r="H8" i="32"/>
  <c r="H10" i="32"/>
  <c r="N19" i="31"/>
  <c r="J19" i="31"/>
  <c r="E19" i="31"/>
  <c r="H19" i="31" s="1"/>
  <c r="N18" i="31"/>
  <c r="G18" i="31"/>
  <c r="F18" i="31"/>
  <c r="E18" i="31"/>
  <c r="H18" i="31" s="1"/>
  <c r="N17" i="31"/>
  <c r="J17" i="31"/>
  <c r="H17" i="31"/>
  <c r="N16" i="31"/>
  <c r="I16" i="31"/>
  <c r="G16" i="31"/>
  <c r="F16" i="31"/>
  <c r="E16" i="31"/>
  <c r="H16" i="31" s="1"/>
  <c r="J15" i="31"/>
  <c r="H15" i="31"/>
  <c r="R14" i="31"/>
  <c r="N14" i="31"/>
  <c r="I14" i="31"/>
  <c r="G14" i="31"/>
  <c r="F14" i="31"/>
  <c r="E14" i="31"/>
  <c r="H14" i="31" s="1"/>
  <c r="O13" i="31"/>
  <c r="J13" i="31"/>
  <c r="H13" i="31"/>
  <c r="R12" i="31"/>
  <c r="N12" i="31"/>
  <c r="I12" i="31"/>
  <c r="G12" i="31"/>
  <c r="F12" i="31"/>
  <c r="E12" i="31"/>
  <c r="H12" i="31" s="1"/>
  <c r="N11" i="31"/>
  <c r="P11" i="31" s="1"/>
  <c r="I11" i="31"/>
  <c r="E11" i="31"/>
  <c r="H11" i="31" s="1"/>
  <c r="N10" i="31"/>
  <c r="P10" i="31" s="1"/>
  <c r="R10" i="31" s="1"/>
  <c r="I10" i="31"/>
  <c r="E10" i="31"/>
  <c r="H10" i="31" s="1"/>
  <c r="R9" i="31"/>
  <c r="N9" i="31"/>
  <c r="I9" i="31"/>
  <c r="G9" i="31"/>
  <c r="E9" i="31"/>
  <c r="H9" i="31" s="1"/>
  <c r="R8" i="31"/>
  <c r="N8" i="31"/>
  <c r="I8" i="31"/>
  <c r="G8" i="31"/>
  <c r="E8" i="31"/>
  <c r="H8" i="31" s="1"/>
  <c r="R7" i="31"/>
  <c r="N7" i="31"/>
  <c r="M7" i="31" s="1"/>
  <c r="E7" i="31" s="1"/>
  <c r="H7" i="31" s="1"/>
  <c r="I7" i="31"/>
  <c r="G7" i="31"/>
  <c r="N6" i="31"/>
  <c r="P6" i="31" s="1"/>
  <c r="R6" i="31" s="1"/>
  <c r="I6" i="31"/>
  <c r="E6" i="31"/>
  <c r="H6" i="31" s="1"/>
  <c r="N5" i="31"/>
  <c r="P5" i="31" s="1"/>
  <c r="I5" i="31"/>
  <c r="E5" i="31"/>
  <c r="H5" i="31" s="1"/>
  <c r="N4" i="31"/>
  <c r="P4" i="31" s="1"/>
  <c r="R4" i="31" s="1"/>
  <c r="I4" i="31"/>
  <c r="E4" i="31"/>
  <c r="J5" i="32" l="1"/>
  <c r="F4" i="31"/>
  <c r="J4" i="32"/>
  <c r="J14" i="31"/>
  <c r="J16" i="31"/>
  <c r="J11" i="32"/>
  <c r="J12" i="31"/>
  <c r="F8" i="31"/>
  <c r="J8" i="31" s="1"/>
  <c r="F10" i="31"/>
  <c r="F6" i="31"/>
  <c r="J18" i="31"/>
  <c r="F9" i="31"/>
  <c r="J9" i="31" s="1"/>
  <c r="H4" i="31"/>
  <c r="R11" i="31"/>
  <c r="G11" i="31"/>
  <c r="R5" i="31"/>
  <c r="G5" i="31"/>
  <c r="G4" i="31"/>
  <c r="F5" i="31"/>
  <c r="G6" i="31"/>
  <c r="F7" i="31"/>
  <c r="J7" i="31" s="1"/>
  <c r="G10" i="31"/>
  <c r="F11" i="31"/>
  <c r="N19" i="30"/>
  <c r="J19" i="30"/>
  <c r="E19" i="30"/>
  <c r="H19" i="30" s="1"/>
  <c r="N18" i="30"/>
  <c r="G18" i="30"/>
  <c r="F18" i="30"/>
  <c r="E18" i="30"/>
  <c r="H18" i="30" s="1"/>
  <c r="N17" i="30"/>
  <c r="J17" i="30"/>
  <c r="H17" i="30"/>
  <c r="N16" i="30"/>
  <c r="I16" i="30"/>
  <c r="G16" i="30"/>
  <c r="F16" i="30"/>
  <c r="E16" i="30"/>
  <c r="H16" i="30" s="1"/>
  <c r="J15" i="30"/>
  <c r="H15" i="30"/>
  <c r="R14" i="30"/>
  <c r="N14" i="30"/>
  <c r="I14" i="30"/>
  <c r="G14" i="30"/>
  <c r="F14" i="30"/>
  <c r="E14" i="30"/>
  <c r="H14" i="30" s="1"/>
  <c r="O13" i="30"/>
  <c r="J13" i="30"/>
  <c r="H13" i="30"/>
  <c r="R12" i="30"/>
  <c r="N12" i="30"/>
  <c r="I12" i="30"/>
  <c r="G12" i="30"/>
  <c r="F12" i="30"/>
  <c r="E12" i="30"/>
  <c r="H12" i="30" s="1"/>
  <c r="N11" i="30"/>
  <c r="P11" i="30" s="1"/>
  <c r="I11" i="30"/>
  <c r="E11" i="30"/>
  <c r="N10" i="30"/>
  <c r="P10" i="30" s="1"/>
  <c r="I10" i="30"/>
  <c r="E10" i="30"/>
  <c r="R9" i="30"/>
  <c r="N9" i="30"/>
  <c r="I9" i="30"/>
  <c r="G9" i="30"/>
  <c r="E9" i="30"/>
  <c r="R8" i="30"/>
  <c r="N8" i="30"/>
  <c r="I8" i="30"/>
  <c r="G8" i="30"/>
  <c r="E8" i="30"/>
  <c r="R7" i="30"/>
  <c r="N7" i="30"/>
  <c r="M7" i="30" s="1"/>
  <c r="E7" i="30" s="1"/>
  <c r="I7" i="30"/>
  <c r="G7" i="30"/>
  <c r="N6" i="30"/>
  <c r="P6" i="30" s="1"/>
  <c r="I6" i="30"/>
  <c r="E6" i="30"/>
  <c r="H6" i="30" s="1"/>
  <c r="N5" i="30"/>
  <c r="P5" i="30" s="1"/>
  <c r="I5" i="30"/>
  <c r="E5" i="30"/>
  <c r="H5" i="30" s="1"/>
  <c r="N4" i="30"/>
  <c r="P4" i="30" s="1"/>
  <c r="I4" i="30"/>
  <c r="E4" i="30"/>
  <c r="H4" i="30" s="1"/>
  <c r="J4" i="31" l="1"/>
  <c r="F11" i="30"/>
  <c r="F8" i="30"/>
  <c r="J8" i="30" s="1"/>
  <c r="J6" i="31"/>
  <c r="J10" i="31"/>
  <c r="J11" i="31"/>
  <c r="J5" i="31"/>
  <c r="F10" i="30"/>
  <c r="J12" i="30"/>
  <c r="J14" i="30"/>
  <c r="J16" i="30"/>
  <c r="F9" i="30"/>
  <c r="J9" i="30" s="1"/>
  <c r="H11" i="30"/>
  <c r="J18" i="30"/>
  <c r="H10" i="30"/>
  <c r="H9" i="30"/>
  <c r="H8" i="30"/>
  <c r="G4" i="30"/>
  <c r="R4" i="30"/>
  <c r="R11" i="30"/>
  <c r="G11" i="30"/>
  <c r="F7" i="30"/>
  <c r="J7" i="30" s="1"/>
  <c r="H7" i="30"/>
  <c r="G5" i="30"/>
  <c r="R5" i="30"/>
  <c r="G6" i="30"/>
  <c r="R6" i="30"/>
  <c r="R10" i="30"/>
  <c r="G10" i="30"/>
  <c r="F4" i="30"/>
  <c r="F5" i="30"/>
  <c r="F6" i="30"/>
  <c r="N19" i="29"/>
  <c r="J19" i="29"/>
  <c r="E19" i="29"/>
  <c r="H19" i="29" s="1"/>
  <c r="N18" i="29"/>
  <c r="G18" i="29"/>
  <c r="F18" i="29"/>
  <c r="E18" i="29"/>
  <c r="H18" i="29" s="1"/>
  <c r="N17" i="29"/>
  <c r="J17" i="29"/>
  <c r="H17" i="29"/>
  <c r="N16" i="29"/>
  <c r="I16" i="29"/>
  <c r="G16" i="29"/>
  <c r="F16" i="29"/>
  <c r="E16" i="29"/>
  <c r="H16" i="29" s="1"/>
  <c r="J15" i="29"/>
  <c r="H15" i="29"/>
  <c r="R14" i="29"/>
  <c r="N14" i="29"/>
  <c r="I14" i="29"/>
  <c r="G14" i="29"/>
  <c r="F14" i="29"/>
  <c r="E14" i="29"/>
  <c r="H14" i="29" s="1"/>
  <c r="O13" i="29"/>
  <c r="J13" i="29"/>
  <c r="H13" i="29"/>
  <c r="R12" i="29"/>
  <c r="N12" i="29"/>
  <c r="I12" i="29"/>
  <c r="G12" i="29"/>
  <c r="F12" i="29"/>
  <c r="E12" i="29"/>
  <c r="H12" i="29" s="1"/>
  <c r="N11" i="29"/>
  <c r="P11" i="29" s="1"/>
  <c r="I11" i="29"/>
  <c r="E11" i="29"/>
  <c r="N10" i="29"/>
  <c r="P10" i="29" s="1"/>
  <c r="I10" i="29"/>
  <c r="E10" i="29"/>
  <c r="R9" i="29"/>
  <c r="N9" i="29"/>
  <c r="I9" i="29"/>
  <c r="G9" i="29"/>
  <c r="E9" i="29"/>
  <c r="R8" i="29"/>
  <c r="N8" i="29"/>
  <c r="I8" i="29"/>
  <c r="G8" i="29"/>
  <c r="E8" i="29"/>
  <c r="R7" i="29"/>
  <c r="N7" i="29"/>
  <c r="M7" i="29" s="1"/>
  <c r="E7" i="29" s="1"/>
  <c r="I7" i="29"/>
  <c r="G7" i="29"/>
  <c r="N6" i="29"/>
  <c r="P6" i="29" s="1"/>
  <c r="G6" i="29" s="1"/>
  <c r="I6" i="29"/>
  <c r="E6" i="29"/>
  <c r="N5" i="29"/>
  <c r="P5" i="29" s="1"/>
  <c r="I5" i="29"/>
  <c r="E5" i="29"/>
  <c r="H5" i="29" s="1"/>
  <c r="N4" i="29"/>
  <c r="P4" i="29" s="1"/>
  <c r="G4" i="29" s="1"/>
  <c r="I4" i="29"/>
  <c r="E4" i="29"/>
  <c r="H4" i="29" s="1"/>
  <c r="F10" i="29" l="1"/>
  <c r="J11" i="30"/>
  <c r="J10" i="30"/>
  <c r="J16" i="29"/>
  <c r="F9" i="29"/>
  <c r="J9" i="29" s="1"/>
  <c r="J5" i="30"/>
  <c r="J6" i="30"/>
  <c r="J4" i="30"/>
  <c r="J12" i="29"/>
  <c r="F11" i="29"/>
  <c r="F6" i="29"/>
  <c r="J6" i="29" s="1"/>
  <c r="F8" i="29"/>
  <c r="J8" i="29" s="1"/>
  <c r="J18" i="29"/>
  <c r="J14" i="29"/>
  <c r="H10" i="29"/>
  <c r="H9" i="29"/>
  <c r="H8" i="29"/>
  <c r="H6" i="29"/>
  <c r="F4" i="29"/>
  <c r="J4" i="29" s="1"/>
  <c r="G11" i="29"/>
  <c r="R11" i="29"/>
  <c r="G10" i="29"/>
  <c r="R10" i="29"/>
  <c r="R5" i="29"/>
  <c r="G5" i="29"/>
  <c r="H7" i="29"/>
  <c r="F7" i="29"/>
  <c r="J7" i="29" s="1"/>
  <c r="R4" i="29"/>
  <c r="H11" i="29"/>
  <c r="F5" i="29"/>
  <c r="R6" i="29"/>
  <c r="N19" i="28"/>
  <c r="J19" i="28"/>
  <c r="E19" i="28"/>
  <c r="H19" i="28" s="1"/>
  <c r="N18" i="28"/>
  <c r="G18" i="28"/>
  <c r="F18" i="28"/>
  <c r="E18" i="28"/>
  <c r="H18" i="28" s="1"/>
  <c r="N17" i="28"/>
  <c r="J17" i="28"/>
  <c r="H17" i="28"/>
  <c r="N16" i="28"/>
  <c r="I16" i="28"/>
  <c r="G16" i="28"/>
  <c r="F16" i="28"/>
  <c r="E16" i="28"/>
  <c r="H16" i="28" s="1"/>
  <c r="J15" i="28"/>
  <c r="H15" i="28"/>
  <c r="R14" i="28"/>
  <c r="N14" i="28"/>
  <c r="I14" i="28"/>
  <c r="G14" i="28"/>
  <c r="F14" i="28"/>
  <c r="E14" i="28"/>
  <c r="H14" i="28" s="1"/>
  <c r="O13" i="28"/>
  <c r="J13" i="28"/>
  <c r="H13" i="28"/>
  <c r="R12" i="28"/>
  <c r="N12" i="28"/>
  <c r="I12" i="28"/>
  <c r="G12" i="28"/>
  <c r="F12" i="28"/>
  <c r="E12" i="28"/>
  <c r="H12" i="28" s="1"/>
  <c r="N11" i="28"/>
  <c r="P11" i="28" s="1"/>
  <c r="R11" i="28" s="1"/>
  <c r="I11" i="28"/>
  <c r="E11" i="28"/>
  <c r="N10" i="28"/>
  <c r="P10" i="28" s="1"/>
  <c r="I10" i="28"/>
  <c r="E10" i="28"/>
  <c r="H10" i="28" s="1"/>
  <c r="R9" i="28"/>
  <c r="N9" i="28"/>
  <c r="I9" i="28"/>
  <c r="G9" i="28"/>
  <c r="E9" i="28"/>
  <c r="H9" i="28" s="1"/>
  <c r="R8" i="28"/>
  <c r="N8" i="28"/>
  <c r="I8" i="28"/>
  <c r="G8" i="28"/>
  <c r="E8" i="28"/>
  <c r="H8" i="28" s="1"/>
  <c r="R7" i="28"/>
  <c r="N7" i="28"/>
  <c r="M7" i="28" s="1"/>
  <c r="E7" i="28" s="1"/>
  <c r="I7" i="28"/>
  <c r="G7" i="28"/>
  <c r="N6" i="28"/>
  <c r="P6" i="28" s="1"/>
  <c r="I6" i="28"/>
  <c r="E6" i="28"/>
  <c r="H6" i="28" s="1"/>
  <c r="N5" i="28"/>
  <c r="P5" i="28" s="1"/>
  <c r="R5" i="28" s="1"/>
  <c r="I5" i="28"/>
  <c r="E5" i="28"/>
  <c r="N4" i="28"/>
  <c r="P4" i="28" s="1"/>
  <c r="I4" i="28"/>
  <c r="E4" i="28"/>
  <c r="H4" i="28" s="1"/>
  <c r="J11" i="29" l="1"/>
  <c r="J10" i="29"/>
  <c r="F11" i="28"/>
  <c r="F5" i="28"/>
  <c r="J5" i="29"/>
  <c r="J16" i="28"/>
  <c r="J12" i="28"/>
  <c r="J14" i="28"/>
  <c r="J18" i="28"/>
  <c r="H11" i="28"/>
  <c r="H5" i="28"/>
  <c r="R4" i="28"/>
  <c r="G4" i="28"/>
  <c r="H7" i="28"/>
  <c r="F7" i="28"/>
  <c r="J7" i="28" s="1"/>
  <c r="R10" i="28"/>
  <c r="G10" i="28"/>
  <c r="R6" i="28"/>
  <c r="G6" i="28"/>
  <c r="F4" i="28"/>
  <c r="G5" i="28"/>
  <c r="F6" i="28"/>
  <c r="F8" i="28"/>
  <c r="J8" i="28" s="1"/>
  <c r="F9" i="28"/>
  <c r="J9" i="28" s="1"/>
  <c r="F10" i="28"/>
  <c r="G11" i="28"/>
  <c r="N19" i="27"/>
  <c r="F19" i="27"/>
  <c r="H19" i="27"/>
  <c r="I19" i="27" s="1"/>
  <c r="N18" i="27"/>
  <c r="D18" i="27"/>
  <c r="E18" i="27"/>
  <c r="H18" i="27"/>
  <c r="I18" i="27" s="1"/>
  <c r="N17" i="27"/>
  <c r="F17" i="27"/>
  <c r="I17" i="27"/>
  <c r="N16" i="27"/>
  <c r="J16" i="27"/>
  <c r="D16" i="27"/>
  <c r="E16" i="27"/>
  <c r="H16" i="27"/>
  <c r="I16" i="27" s="1"/>
  <c r="F15" i="27"/>
  <c r="I15" i="27"/>
  <c r="R14" i="27"/>
  <c r="N14" i="27"/>
  <c r="J14" i="27"/>
  <c r="D14" i="27"/>
  <c r="E14" i="27"/>
  <c r="H14" i="27"/>
  <c r="I14" i="27" s="1"/>
  <c r="O13" i="27"/>
  <c r="F13" i="27"/>
  <c r="I13" i="27"/>
  <c r="R12" i="27"/>
  <c r="N12" i="27"/>
  <c r="J12" i="27"/>
  <c r="D12" i="27"/>
  <c r="E12" i="27"/>
  <c r="H12" i="27"/>
  <c r="I12" i="27" s="1"/>
  <c r="N11" i="27"/>
  <c r="P11" i="27" s="1"/>
  <c r="D11" i="27" s="1"/>
  <c r="J11" i="27"/>
  <c r="H11" i="27"/>
  <c r="N10" i="27"/>
  <c r="P10" i="27" s="1"/>
  <c r="J10" i="27"/>
  <c r="H10" i="27"/>
  <c r="R9" i="27"/>
  <c r="N9" i="27"/>
  <c r="J9" i="27"/>
  <c r="D9" i="27"/>
  <c r="H9" i="27"/>
  <c r="I9" i="27" s="1"/>
  <c r="R8" i="27"/>
  <c r="N8" i="27"/>
  <c r="J8" i="27"/>
  <c r="D8" i="27"/>
  <c r="H8" i="27"/>
  <c r="I8" i="27" s="1"/>
  <c r="R7" i="27"/>
  <c r="N7" i="27"/>
  <c r="M7" i="27" s="1"/>
  <c r="H7" i="27" s="1"/>
  <c r="J7" i="27"/>
  <c r="D7" i="27"/>
  <c r="N6" i="27"/>
  <c r="P6" i="27" s="1"/>
  <c r="J6" i="27"/>
  <c r="H6" i="27"/>
  <c r="N5" i="27"/>
  <c r="P5" i="27" s="1"/>
  <c r="J5" i="27"/>
  <c r="H5" i="27"/>
  <c r="N4" i="27"/>
  <c r="P4" i="27" s="1"/>
  <c r="J4" i="27"/>
  <c r="H4" i="27"/>
  <c r="I4" i="27" s="1"/>
  <c r="J11" i="28" l="1"/>
  <c r="E10" i="27"/>
  <c r="E11" i="27"/>
  <c r="F11" i="27" s="1"/>
  <c r="J5" i="28"/>
  <c r="J10" i="28"/>
  <c r="J6" i="28"/>
  <c r="J4" i="28"/>
  <c r="E5" i="27"/>
  <c r="F18" i="27"/>
  <c r="E6" i="27"/>
  <c r="F12" i="27"/>
  <c r="F14" i="27"/>
  <c r="F16" i="27"/>
  <c r="I6" i="27"/>
  <c r="I5" i="27"/>
  <c r="D5" i="27"/>
  <c r="R5" i="27"/>
  <c r="R6" i="27"/>
  <c r="D6" i="27"/>
  <c r="I7" i="27"/>
  <c r="E7" i="27"/>
  <c r="F7" i="27" s="1"/>
  <c r="D4" i="27"/>
  <c r="R4" i="27"/>
  <c r="D10" i="27"/>
  <c r="F10" i="27" s="1"/>
  <c r="R10" i="27"/>
  <c r="E8" i="27"/>
  <c r="F8" i="27" s="1"/>
  <c r="E9" i="27"/>
  <c r="F9" i="27" s="1"/>
  <c r="R11" i="27"/>
  <c r="I10" i="27"/>
  <c r="I11" i="27"/>
  <c r="E4" i="27"/>
  <c r="N19" i="26"/>
  <c r="J19" i="26"/>
  <c r="E19" i="26"/>
  <c r="H19" i="26" s="1"/>
  <c r="N18" i="26"/>
  <c r="G18" i="26"/>
  <c r="F18" i="26"/>
  <c r="E18" i="26"/>
  <c r="H18" i="26" s="1"/>
  <c r="N17" i="26"/>
  <c r="J17" i="26"/>
  <c r="H17" i="26"/>
  <c r="N16" i="26"/>
  <c r="I16" i="26"/>
  <c r="G16" i="26"/>
  <c r="F16" i="26"/>
  <c r="E16" i="26"/>
  <c r="H16" i="26" s="1"/>
  <c r="J15" i="26"/>
  <c r="H15" i="26"/>
  <c r="R14" i="26"/>
  <c r="N14" i="26"/>
  <c r="I14" i="26"/>
  <c r="G14" i="26"/>
  <c r="F14" i="26"/>
  <c r="E14" i="26"/>
  <c r="H14" i="26" s="1"/>
  <c r="O13" i="26"/>
  <c r="J13" i="26"/>
  <c r="H13" i="26"/>
  <c r="R12" i="26"/>
  <c r="N12" i="26"/>
  <c r="I12" i="26"/>
  <c r="G12" i="26"/>
  <c r="F12" i="26"/>
  <c r="E12" i="26"/>
  <c r="H12" i="26" s="1"/>
  <c r="N11" i="26"/>
  <c r="P11" i="26" s="1"/>
  <c r="I11" i="26"/>
  <c r="E11" i="26"/>
  <c r="N10" i="26"/>
  <c r="I10" i="26"/>
  <c r="E10" i="26"/>
  <c r="H10" i="26" s="1"/>
  <c r="R9" i="26"/>
  <c r="N9" i="26"/>
  <c r="I9" i="26"/>
  <c r="G9" i="26"/>
  <c r="E9" i="26"/>
  <c r="H9" i="26" s="1"/>
  <c r="R8" i="26"/>
  <c r="N8" i="26"/>
  <c r="I8" i="26"/>
  <c r="G8" i="26"/>
  <c r="E8" i="26"/>
  <c r="H8" i="26" s="1"/>
  <c r="R7" i="26"/>
  <c r="N7" i="26"/>
  <c r="M7" i="26" s="1"/>
  <c r="E7" i="26" s="1"/>
  <c r="I7" i="26"/>
  <c r="G7" i="26"/>
  <c r="N6" i="26"/>
  <c r="P6" i="26" s="1"/>
  <c r="G6" i="26" s="1"/>
  <c r="I6" i="26"/>
  <c r="E6" i="26"/>
  <c r="H6" i="26" s="1"/>
  <c r="N5" i="26"/>
  <c r="P5" i="26" s="1"/>
  <c r="I5" i="26"/>
  <c r="E5" i="26"/>
  <c r="H5" i="26" s="1"/>
  <c r="N4" i="26"/>
  <c r="P4" i="26" s="1"/>
  <c r="I4" i="26"/>
  <c r="E4" i="26"/>
  <c r="H4" i="26" s="1"/>
  <c r="F5" i="27" l="1"/>
  <c r="F11" i="26"/>
  <c r="F6" i="27"/>
  <c r="J12" i="26"/>
  <c r="J18" i="26"/>
  <c r="R4" i="26"/>
  <c r="G4" i="26"/>
  <c r="J14" i="26"/>
  <c r="F4" i="27"/>
  <c r="J16" i="26"/>
  <c r="F10" i="26"/>
  <c r="F9" i="26"/>
  <c r="J9" i="26" s="1"/>
  <c r="F8" i="26"/>
  <c r="J8" i="26" s="1"/>
  <c r="F4" i="26"/>
  <c r="G5" i="26"/>
  <c r="R5" i="26"/>
  <c r="R11" i="26"/>
  <c r="G11" i="26"/>
  <c r="J11" i="26" s="1"/>
  <c r="H7" i="26"/>
  <c r="F7" i="26"/>
  <c r="J7" i="26" s="1"/>
  <c r="H11" i="26"/>
  <c r="R6" i="26"/>
  <c r="F6" i="26"/>
  <c r="J6" i="26" s="1"/>
  <c r="P10" i="26"/>
  <c r="F5" i="26"/>
  <c r="N19" i="25"/>
  <c r="J19" i="25"/>
  <c r="E19" i="25"/>
  <c r="H19" i="25" s="1"/>
  <c r="N18" i="25"/>
  <c r="G18" i="25"/>
  <c r="F18" i="25"/>
  <c r="E18" i="25"/>
  <c r="H18" i="25" s="1"/>
  <c r="N17" i="25"/>
  <c r="J17" i="25"/>
  <c r="H17" i="25"/>
  <c r="N16" i="25"/>
  <c r="I16" i="25"/>
  <c r="G16" i="25"/>
  <c r="F16" i="25"/>
  <c r="E16" i="25"/>
  <c r="H16" i="25" s="1"/>
  <c r="J15" i="25"/>
  <c r="H15" i="25"/>
  <c r="R14" i="25"/>
  <c r="N14" i="25"/>
  <c r="I14" i="25"/>
  <c r="G14" i="25"/>
  <c r="F14" i="25"/>
  <c r="E14" i="25"/>
  <c r="H14" i="25" s="1"/>
  <c r="O13" i="25"/>
  <c r="J13" i="25"/>
  <c r="H13" i="25"/>
  <c r="R12" i="25"/>
  <c r="N12" i="25"/>
  <c r="I12" i="25"/>
  <c r="G12" i="25"/>
  <c r="F12" i="25"/>
  <c r="E12" i="25"/>
  <c r="H12" i="25" s="1"/>
  <c r="N11" i="25"/>
  <c r="P11" i="25" s="1"/>
  <c r="I11" i="25"/>
  <c r="E11" i="25"/>
  <c r="N10" i="25"/>
  <c r="P10" i="25" s="1"/>
  <c r="G10" i="25" s="1"/>
  <c r="I10" i="25"/>
  <c r="E10" i="25"/>
  <c r="R9" i="25"/>
  <c r="N9" i="25"/>
  <c r="I9" i="25"/>
  <c r="G9" i="25"/>
  <c r="E9" i="25"/>
  <c r="R8" i="25"/>
  <c r="N8" i="25"/>
  <c r="I8" i="25"/>
  <c r="G8" i="25"/>
  <c r="E8" i="25"/>
  <c r="R7" i="25"/>
  <c r="N7" i="25"/>
  <c r="M7" i="25" s="1"/>
  <c r="E7" i="25" s="1"/>
  <c r="H7" i="25" s="1"/>
  <c r="I7" i="25"/>
  <c r="G7" i="25"/>
  <c r="N6" i="25"/>
  <c r="P6" i="25" s="1"/>
  <c r="I6" i="25"/>
  <c r="E6" i="25"/>
  <c r="H6" i="25" s="1"/>
  <c r="N5" i="25"/>
  <c r="P5" i="25" s="1"/>
  <c r="I5" i="25"/>
  <c r="E5" i="25"/>
  <c r="N4" i="25"/>
  <c r="P4" i="25" s="1"/>
  <c r="G4" i="25" s="1"/>
  <c r="I4" i="25"/>
  <c r="E4" i="25"/>
  <c r="F10" i="25" l="1"/>
  <c r="F4" i="25"/>
  <c r="F11" i="25"/>
  <c r="F5" i="25"/>
  <c r="F8" i="25"/>
  <c r="J8" i="25" s="1"/>
  <c r="J16" i="25"/>
  <c r="J10" i="25"/>
  <c r="F9" i="25"/>
  <c r="J9" i="25" s="1"/>
  <c r="J12" i="25"/>
  <c r="J4" i="26"/>
  <c r="G10" i="26"/>
  <c r="J10" i="26" s="1"/>
  <c r="R10" i="26"/>
  <c r="J5" i="26"/>
  <c r="J18" i="25"/>
  <c r="J14" i="25"/>
  <c r="H11" i="25"/>
  <c r="H10" i="25"/>
  <c r="H9" i="25"/>
  <c r="H8" i="25"/>
  <c r="F6" i="25"/>
  <c r="H5" i="25"/>
  <c r="J4" i="25"/>
  <c r="H4" i="25"/>
  <c r="R11" i="25"/>
  <c r="G11" i="25"/>
  <c r="G5" i="25"/>
  <c r="R5" i="25"/>
  <c r="G6" i="25"/>
  <c r="R6" i="25"/>
  <c r="R4" i="25"/>
  <c r="F7" i="25"/>
  <c r="J7" i="25" s="1"/>
  <c r="R10" i="25"/>
  <c r="H23" i="24"/>
  <c r="H22" i="24"/>
  <c r="J6" i="25" l="1"/>
  <c r="J11" i="25"/>
  <c r="J5" i="25"/>
  <c r="N19" i="24"/>
  <c r="J19" i="24"/>
  <c r="E19" i="24"/>
  <c r="H19" i="24" s="1"/>
  <c r="N18" i="24"/>
  <c r="G18" i="24"/>
  <c r="F18" i="24"/>
  <c r="E18" i="24"/>
  <c r="H18" i="24" s="1"/>
  <c r="N17" i="24"/>
  <c r="J17" i="24"/>
  <c r="H17" i="24"/>
  <c r="N16" i="24"/>
  <c r="I16" i="24"/>
  <c r="G16" i="24"/>
  <c r="F16" i="24"/>
  <c r="E16" i="24"/>
  <c r="H16" i="24" s="1"/>
  <c r="J15" i="24"/>
  <c r="H15" i="24"/>
  <c r="R14" i="24"/>
  <c r="N14" i="24"/>
  <c r="I14" i="24"/>
  <c r="G14" i="24"/>
  <c r="F14" i="24"/>
  <c r="E14" i="24"/>
  <c r="H14" i="24" s="1"/>
  <c r="O13" i="24"/>
  <c r="J13" i="24"/>
  <c r="H13" i="24"/>
  <c r="R12" i="24"/>
  <c r="N12" i="24"/>
  <c r="I12" i="24"/>
  <c r="G12" i="24"/>
  <c r="F12" i="24"/>
  <c r="E12" i="24"/>
  <c r="H12" i="24" s="1"/>
  <c r="N11" i="24"/>
  <c r="P11" i="24" s="1"/>
  <c r="I11" i="24"/>
  <c r="E11" i="24"/>
  <c r="N10" i="24"/>
  <c r="P10" i="24" s="1"/>
  <c r="I10" i="24"/>
  <c r="E10" i="24"/>
  <c r="H10" i="24" s="1"/>
  <c r="R9" i="24"/>
  <c r="N9" i="24"/>
  <c r="I9" i="24"/>
  <c r="G9" i="24"/>
  <c r="E9" i="24"/>
  <c r="R8" i="24"/>
  <c r="N8" i="24"/>
  <c r="I8" i="24"/>
  <c r="G8" i="24"/>
  <c r="E8" i="24"/>
  <c r="R7" i="24"/>
  <c r="N7" i="24"/>
  <c r="M7" i="24" s="1"/>
  <c r="E7" i="24" s="1"/>
  <c r="I7" i="24"/>
  <c r="G7" i="24"/>
  <c r="N6" i="24"/>
  <c r="P6" i="24" s="1"/>
  <c r="I6" i="24"/>
  <c r="E6" i="24"/>
  <c r="H6" i="24" s="1"/>
  <c r="N5" i="24"/>
  <c r="P5" i="24" s="1"/>
  <c r="I5" i="24"/>
  <c r="E5" i="24"/>
  <c r="H5" i="24" s="1"/>
  <c r="N4" i="24"/>
  <c r="P4" i="24" s="1"/>
  <c r="R4" i="24" s="1"/>
  <c r="I4" i="24"/>
  <c r="E4" i="24"/>
  <c r="H4" i="24" s="1"/>
  <c r="F9" i="24" l="1"/>
  <c r="J9" i="24" s="1"/>
  <c r="J16" i="24"/>
  <c r="F11" i="24"/>
  <c r="F8" i="24"/>
  <c r="J8" i="24" s="1"/>
  <c r="H8" i="24"/>
  <c r="J18" i="24"/>
  <c r="J14" i="24"/>
  <c r="J12" i="24"/>
  <c r="H11" i="24"/>
  <c r="F10" i="24"/>
  <c r="H9" i="24"/>
  <c r="R5" i="24"/>
  <c r="G5" i="24"/>
  <c r="G10" i="24"/>
  <c r="R10" i="24"/>
  <c r="G11" i="24"/>
  <c r="R11" i="24"/>
  <c r="H7" i="24"/>
  <c r="F7" i="24"/>
  <c r="J7" i="24" s="1"/>
  <c r="G6" i="24"/>
  <c r="R6" i="24"/>
  <c r="F4" i="24"/>
  <c r="G4" i="24"/>
  <c r="F5" i="24"/>
  <c r="F6" i="24"/>
  <c r="N19" i="23"/>
  <c r="J19" i="23"/>
  <c r="E19" i="23"/>
  <c r="H19" i="23" s="1"/>
  <c r="N18" i="23"/>
  <c r="G18" i="23"/>
  <c r="F18" i="23"/>
  <c r="E18" i="23"/>
  <c r="H18" i="23" s="1"/>
  <c r="N17" i="23"/>
  <c r="J17" i="23"/>
  <c r="H17" i="23"/>
  <c r="N16" i="23"/>
  <c r="I16" i="23"/>
  <c r="G16" i="23"/>
  <c r="F16" i="23"/>
  <c r="E16" i="23"/>
  <c r="H16" i="23" s="1"/>
  <c r="J15" i="23"/>
  <c r="H15" i="23"/>
  <c r="R14" i="23"/>
  <c r="N14" i="23"/>
  <c r="I14" i="23"/>
  <c r="G14" i="23"/>
  <c r="F14" i="23"/>
  <c r="E14" i="23"/>
  <c r="H14" i="23" s="1"/>
  <c r="O13" i="23"/>
  <c r="J13" i="23"/>
  <c r="H13" i="23"/>
  <c r="R12" i="23"/>
  <c r="N12" i="23"/>
  <c r="I12" i="23"/>
  <c r="G12" i="23"/>
  <c r="F12" i="23"/>
  <c r="E12" i="23"/>
  <c r="H12" i="23" s="1"/>
  <c r="N11" i="23"/>
  <c r="P11" i="23" s="1"/>
  <c r="I11" i="23"/>
  <c r="E11" i="23"/>
  <c r="N10" i="23"/>
  <c r="P10" i="23" s="1"/>
  <c r="G10" i="23" s="1"/>
  <c r="I10" i="23"/>
  <c r="E10" i="23"/>
  <c r="R9" i="23"/>
  <c r="N9" i="23"/>
  <c r="I9" i="23"/>
  <c r="G9" i="23"/>
  <c r="E9" i="23"/>
  <c r="R8" i="23"/>
  <c r="N8" i="23"/>
  <c r="I8" i="23"/>
  <c r="G8" i="23"/>
  <c r="E8" i="23"/>
  <c r="H8" i="23" s="1"/>
  <c r="R7" i="23"/>
  <c r="N7" i="23"/>
  <c r="M7" i="23" s="1"/>
  <c r="E7" i="23" s="1"/>
  <c r="I7" i="23"/>
  <c r="G7" i="23"/>
  <c r="N6" i="23"/>
  <c r="I6" i="23"/>
  <c r="E6" i="23"/>
  <c r="H6" i="23" s="1"/>
  <c r="N5" i="23"/>
  <c r="P5" i="23" s="1"/>
  <c r="I5" i="23"/>
  <c r="E5" i="23"/>
  <c r="H5" i="23" s="1"/>
  <c r="N4" i="23"/>
  <c r="P4" i="23" s="1"/>
  <c r="G4" i="23" s="1"/>
  <c r="I4" i="23"/>
  <c r="E4" i="23"/>
  <c r="H4" i="23" s="1"/>
  <c r="F11" i="23" l="1"/>
  <c r="F10" i="23"/>
  <c r="J10" i="23" s="1"/>
  <c r="F9" i="23"/>
  <c r="J9" i="23" s="1"/>
  <c r="J11" i="24"/>
  <c r="J10" i="24"/>
  <c r="J4" i="24"/>
  <c r="J5" i="24"/>
  <c r="J6" i="24"/>
  <c r="J18" i="23"/>
  <c r="J16" i="23"/>
  <c r="J14" i="23"/>
  <c r="J12" i="23"/>
  <c r="H10" i="23"/>
  <c r="H9" i="23"/>
  <c r="F8" i="23"/>
  <c r="J8" i="23" s="1"/>
  <c r="F6" i="23"/>
  <c r="G5" i="23"/>
  <c r="R5" i="23"/>
  <c r="H7" i="23"/>
  <c r="F7" i="23"/>
  <c r="J7" i="23" s="1"/>
  <c r="R11" i="23"/>
  <c r="G11" i="23"/>
  <c r="R4" i="23"/>
  <c r="H11" i="23"/>
  <c r="F4" i="23"/>
  <c r="J4" i="23" s="1"/>
  <c r="P6" i="23"/>
  <c r="F5" i="23"/>
  <c r="R10" i="23"/>
  <c r="N19" i="22"/>
  <c r="J19" i="22"/>
  <c r="E19" i="22"/>
  <c r="H19" i="22" s="1"/>
  <c r="N18" i="22"/>
  <c r="G18" i="22"/>
  <c r="F18" i="22"/>
  <c r="E18" i="22"/>
  <c r="H18" i="22" s="1"/>
  <c r="N17" i="22"/>
  <c r="J17" i="22"/>
  <c r="H17" i="22"/>
  <c r="N16" i="22"/>
  <c r="I16" i="22"/>
  <c r="G16" i="22"/>
  <c r="F16" i="22"/>
  <c r="E16" i="22"/>
  <c r="H16" i="22" s="1"/>
  <c r="J15" i="22"/>
  <c r="H15" i="22"/>
  <c r="R14" i="22"/>
  <c r="N14" i="22"/>
  <c r="I14" i="22"/>
  <c r="G14" i="22"/>
  <c r="F14" i="22"/>
  <c r="E14" i="22"/>
  <c r="H14" i="22" s="1"/>
  <c r="O13" i="22"/>
  <c r="J13" i="22"/>
  <c r="H13" i="22"/>
  <c r="R12" i="22"/>
  <c r="N12" i="22"/>
  <c r="I12" i="22"/>
  <c r="G12" i="22"/>
  <c r="F12" i="22"/>
  <c r="E12" i="22"/>
  <c r="H12" i="22" s="1"/>
  <c r="N11" i="22"/>
  <c r="P11" i="22" s="1"/>
  <c r="R11" i="22" s="1"/>
  <c r="I11" i="22"/>
  <c r="E11" i="22"/>
  <c r="H11" i="22" s="1"/>
  <c r="N10" i="22"/>
  <c r="P10" i="22" s="1"/>
  <c r="I10" i="22"/>
  <c r="E10" i="22"/>
  <c r="R9" i="22"/>
  <c r="N9" i="22"/>
  <c r="I9" i="22"/>
  <c r="G9" i="22"/>
  <c r="E9" i="22"/>
  <c r="R8" i="22"/>
  <c r="N8" i="22"/>
  <c r="I8" i="22"/>
  <c r="G8" i="22"/>
  <c r="E8" i="22"/>
  <c r="R7" i="22"/>
  <c r="N7" i="22"/>
  <c r="M7" i="22" s="1"/>
  <c r="E7" i="22" s="1"/>
  <c r="I7" i="22"/>
  <c r="G7" i="22"/>
  <c r="N6" i="22"/>
  <c r="P6" i="22" s="1"/>
  <c r="I6" i="22"/>
  <c r="E6" i="22"/>
  <c r="H6" i="22" s="1"/>
  <c r="N5" i="22"/>
  <c r="I5" i="22"/>
  <c r="E5" i="22"/>
  <c r="H5" i="22" s="1"/>
  <c r="N4" i="22"/>
  <c r="P4" i="22" s="1"/>
  <c r="G4" i="22" s="1"/>
  <c r="I4" i="22"/>
  <c r="E4" i="22"/>
  <c r="J11" i="23" l="1"/>
  <c r="F10" i="22"/>
  <c r="F4" i="22"/>
  <c r="J4" i="22" s="1"/>
  <c r="H4" i="22"/>
  <c r="F6" i="22"/>
  <c r="F9" i="22"/>
  <c r="J9" i="22" s="1"/>
  <c r="J14" i="22"/>
  <c r="F8" i="22"/>
  <c r="J8" i="22" s="1"/>
  <c r="J12" i="22"/>
  <c r="J5" i="23"/>
  <c r="G6" i="23"/>
  <c r="J6" i="23" s="1"/>
  <c r="R6" i="23"/>
  <c r="J18" i="22"/>
  <c r="J16" i="22"/>
  <c r="F11" i="22"/>
  <c r="F5" i="22"/>
  <c r="H7" i="22"/>
  <c r="F7" i="22"/>
  <c r="J7" i="22" s="1"/>
  <c r="R6" i="22"/>
  <c r="G6" i="22"/>
  <c r="G10" i="22"/>
  <c r="J10" i="22" s="1"/>
  <c r="R10" i="22"/>
  <c r="H10" i="22"/>
  <c r="R4" i="22"/>
  <c r="P5" i="22"/>
  <c r="H9" i="22"/>
  <c r="H8" i="22"/>
  <c r="G11" i="22"/>
  <c r="N19" i="21"/>
  <c r="J19" i="21"/>
  <c r="E19" i="21"/>
  <c r="H19" i="21" s="1"/>
  <c r="N18" i="21"/>
  <c r="G18" i="21"/>
  <c r="F18" i="21"/>
  <c r="E18" i="21"/>
  <c r="H18" i="21" s="1"/>
  <c r="N17" i="21"/>
  <c r="J17" i="21"/>
  <c r="H17" i="21"/>
  <c r="N16" i="21"/>
  <c r="I16" i="21"/>
  <c r="G16" i="21"/>
  <c r="F16" i="21"/>
  <c r="E16" i="21"/>
  <c r="H16" i="21" s="1"/>
  <c r="J15" i="21"/>
  <c r="H15" i="21"/>
  <c r="R14" i="21"/>
  <c r="N14" i="21"/>
  <c r="I14" i="21"/>
  <c r="G14" i="21"/>
  <c r="F14" i="21"/>
  <c r="E14" i="21"/>
  <c r="H14" i="21" s="1"/>
  <c r="O13" i="21"/>
  <c r="J13" i="21"/>
  <c r="H13" i="21"/>
  <c r="R12" i="21"/>
  <c r="N12" i="21"/>
  <c r="I12" i="21"/>
  <c r="G12" i="21"/>
  <c r="F12" i="21"/>
  <c r="E12" i="21"/>
  <c r="H12" i="21" s="1"/>
  <c r="N11" i="21"/>
  <c r="P11" i="21" s="1"/>
  <c r="I11" i="21"/>
  <c r="E11" i="21"/>
  <c r="F11" i="21" s="1"/>
  <c r="N10" i="21"/>
  <c r="P10" i="21" s="1"/>
  <c r="I10" i="21"/>
  <c r="E10" i="21"/>
  <c r="R9" i="21"/>
  <c r="N9" i="21"/>
  <c r="I9" i="21"/>
  <c r="G9" i="21"/>
  <c r="E9" i="21"/>
  <c r="R8" i="21"/>
  <c r="N8" i="21"/>
  <c r="I8" i="21"/>
  <c r="G8" i="21"/>
  <c r="E8" i="21"/>
  <c r="H8" i="21" s="1"/>
  <c r="R7" i="21"/>
  <c r="N7" i="21"/>
  <c r="M7" i="21" s="1"/>
  <c r="E7" i="21" s="1"/>
  <c r="I7" i="21"/>
  <c r="G7" i="21"/>
  <c r="N6" i="21"/>
  <c r="P6" i="21" s="1"/>
  <c r="I6" i="21"/>
  <c r="E6" i="21"/>
  <c r="H6" i="21" s="1"/>
  <c r="N5" i="21"/>
  <c r="P5" i="21" s="1"/>
  <c r="I5" i="21"/>
  <c r="E5" i="21"/>
  <c r="H5" i="21" s="1"/>
  <c r="N4" i="21"/>
  <c r="P4" i="21" s="1"/>
  <c r="I4" i="21"/>
  <c r="E4" i="21"/>
  <c r="F10" i="21" l="1"/>
  <c r="F4" i="21"/>
  <c r="J6" i="22"/>
  <c r="F9" i="21"/>
  <c r="J9" i="21" s="1"/>
  <c r="J12" i="21"/>
  <c r="J18" i="21"/>
  <c r="R4" i="21"/>
  <c r="G4" i="21"/>
  <c r="J4" i="21" s="1"/>
  <c r="G6" i="21"/>
  <c r="R6" i="21"/>
  <c r="R5" i="21"/>
  <c r="G5" i="21"/>
  <c r="H4" i="21"/>
  <c r="J11" i="22"/>
  <c r="G5" i="22"/>
  <c r="J5" i="22" s="1"/>
  <c r="R5" i="22"/>
  <c r="J16" i="21"/>
  <c r="J14" i="21"/>
  <c r="F5" i="21"/>
  <c r="G10" i="21"/>
  <c r="R10" i="21"/>
  <c r="H7" i="21"/>
  <c r="F7" i="21"/>
  <c r="J7" i="21" s="1"/>
  <c r="R11" i="21"/>
  <c r="G11" i="21"/>
  <c r="J11" i="21" s="1"/>
  <c r="F6" i="21"/>
  <c r="F8" i="21"/>
  <c r="J8" i="21" s="1"/>
  <c r="H9" i="21"/>
  <c r="H10" i="21"/>
  <c r="H11" i="21"/>
  <c r="J13" i="20"/>
  <c r="J15" i="20"/>
  <c r="J17" i="20"/>
  <c r="J19" i="20"/>
  <c r="N19" i="20"/>
  <c r="E19" i="20"/>
  <c r="H19" i="20" s="1"/>
  <c r="N18" i="20"/>
  <c r="G18" i="20"/>
  <c r="F18" i="20"/>
  <c r="E18" i="20"/>
  <c r="H18" i="20" s="1"/>
  <c r="N17" i="20"/>
  <c r="H17" i="20"/>
  <c r="N16" i="20"/>
  <c r="I16" i="20"/>
  <c r="G16" i="20"/>
  <c r="F16" i="20"/>
  <c r="E16" i="20"/>
  <c r="H16" i="20" s="1"/>
  <c r="H15" i="20"/>
  <c r="R14" i="20"/>
  <c r="N14" i="20"/>
  <c r="I14" i="20"/>
  <c r="G14" i="20"/>
  <c r="F14" i="20"/>
  <c r="E14" i="20"/>
  <c r="H14" i="20" s="1"/>
  <c r="O13" i="20"/>
  <c r="H13" i="20"/>
  <c r="R12" i="20"/>
  <c r="N12" i="20"/>
  <c r="I12" i="20"/>
  <c r="G12" i="20"/>
  <c r="F12" i="20"/>
  <c r="E12" i="20"/>
  <c r="H12" i="20" s="1"/>
  <c r="N11" i="20"/>
  <c r="P11" i="20" s="1"/>
  <c r="R11" i="20" s="1"/>
  <c r="I11" i="20"/>
  <c r="E11" i="20"/>
  <c r="H11" i="20" s="1"/>
  <c r="N10" i="20"/>
  <c r="P10" i="20" s="1"/>
  <c r="I10" i="20"/>
  <c r="E10" i="20"/>
  <c r="R9" i="20"/>
  <c r="N9" i="20"/>
  <c r="I9" i="20"/>
  <c r="G9" i="20"/>
  <c r="E9" i="20"/>
  <c r="R8" i="20"/>
  <c r="N8" i="20"/>
  <c r="I8" i="20"/>
  <c r="G8" i="20"/>
  <c r="E8" i="20"/>
  <c r="R7" i="20"/>
  <c r="N7" i="20"/>
  <c r="M7" i="20" s="1"/>
  <c r="E7" i="20" s="1"/>
  <c r="H7" i="20" s="1"/>
  <c r="I7" i="20"/>
  <c r="G7" i="20"/>
  <c r="N6" i="20"/>
  <c r="P6" i="20" s="1"/>
  <c r="I6" i="20"/>
  <c r="E6" i="20"/>
  <c r="H6" i="20" s="1"/>
  <c r="N5" i="20"/>
  <c r="P5" i="20" s="1"/>
  <c r="I5" i="20"/>
  <c r="E5" i="20"/>
  <c r="N4" i="20"/>
  <c r="I4" i="20"/>
  <c r="E4" i="20"/>
  <c r="H4" i="20" s="1"/>
  <c r="F10" i="20" l="1"/>
  <c r="J10" i="21"/>
  <c r="J6" i="21"/>
  <c r="F8" i="20"/>
  <c r="J8" i="20" s="1"/>
  <c r="J5" i="21"/>
  <c r="J12" i="20"/>
  <c r="J14" i="20"/>
  <c r="J16" i="20"/>
  <c r="R5" i="20"/>
  <c r="G5" i="20"/>
  <c r="G10" i="20"/>
  <c r="J10" i="20" s="1"/>
  <c r="R10" i="20"/>
  <c r="R6" i="20"/>
  <c r="G6" i="20"/>
  <c r="F5" i="20"/>
  <c r="F9" i="20"/>
  <c r="J9" i="20" s="1"/>
  <c r="J18" i="20"/>
  <c r="F7" i="20"/>
  <c r="J7" i="20" s="1"/>
  <c r="F6" i="20"/>
  <c r="H5" i="20"/>
  <c r="F4" i="20"/>
  <c r="P4" i="20"/>
  <c r="H8" i="20"/>
  <c r="H9" i="20"/>
  <c r="H10" i="20"/>
  <c r="G11" i="20"/>
  <c r="F11" i="20"/>
  <c r="F18" i="19"/>
  <c r="F16" i="19"/>
  <c r="J19" i="19"/>
  <c r="J17" i="19"/>
  <c r="J15" i="19"/>
  <c r="J13" i="19"/>
  <c r="N19" i="19"/>
  <c r="E19" i="19"/>
  <c r="H19" i="19" s="1"/>
  <c r="N18" i="19"/>
  <c r="G18" i="19"/>
  <c r="E18" i="19"/>
  <c r="H18" i="19" s="1"/>
  <c r="N17" i="19"/>
  <c r="H17" i="19"/>
  <c r="N16" i="19"/>
  <c r="I16" i="19"/>
  <c r="G16" i="19"/>
  <c r="E16" i="19"/>
  <c r="H16" i="19" s="1"/>
  <c r="H15" i="19"/>
  <c r="R14" i="19"/>
  <c r="N14" i="19"/>
  <c r="I14" i="19"/>
  <c r="G14" i="19"/>
  <c r="E14" i="19"/>
  <c r="H14" i="19" s="1"/>
  <c r="O13" i="19"/>
  <c r="H13" i="19"/>
  <c r="R12" i="19"/>
  <c r="N12" i="19"/>
  <c r="I12" i="19"/>
  <c r="G12" i="19"/>
  <c r="E12" i="19"/>
  <c r="N11" i="19"/>
  <c r="P11" i="19" s="1"/>
  <c r="I11" i="19"/>
  <c r="E11" i="19"/>
  <c r="N10" i="19"/>
  <c r="P10" i="19" s="1"/>
  <c r="I10" i="19"/>
  <c r="E10" i="19"/>
  <c r="H10" i="19" s="1"/>
  <c r="R9" i="19"/>
  <c r="N9" i="19"/>
  <c r="I9" i="19"/>
  <c r="G9" i="19"/>
  <c r="E9" i="19"/>
  <c r="H9" i="19" s="1"/>
  <c r="R8" i="19"/>
  <c r="N8" i="19"/>
  <c r="I8" i="19"/>
  <c r="G8" i="19"/>
  <c r="E8" i="19"/>
  <c r="H8" i="19" s="1"/>
  <c r="R7" i="19"/>
  <c r="N7" i="19"/>
  <c r="M7" i="19" s="1"/>
  <c r="E7" i="19" s="1"/>
  <c r="I7" i="19"/>
  <c r="G7" i="19"/>
  <c r="N6" i="19"/>
  <c r="P6" i="19" s="1"/>
  <c r="I6" i="19"/>
  <c r="E6" i="19"/>
  <c r="N5" i="19"/>
  <c r="P5" i="19" s="1"/>
  <c r="I5" i="19"/>
  <c r="E5" i="19"/>
  <c r="H5" i="19" s="1"/>
  <c r="N4" i="19"/>
  <c r="P4" i="19" s="1"/>
  <c r="R4" i="19" s="1"/>
  <c r="I4" i="19"/>
  <c r="E4" i="19"/>
  <c r="H4" i="19" s="1"/>
  <c r="D17" i="16"/>
  <c r="D15" i="16"/>
  <c r="D13" i="16"/>
  <c r="F6" i="19" l="1"/>
  <c r="J11" i="20"/>
  <c r="J6" i="20"/>
  <c r="J5" i="20"/>
  <c r="G4" i="20"/>
  <c r="J4" i="20" s="1"/>
  <c r="R4" i="20"/>
  <c r="F12" i="19"/>
  <c r="J12" i="19" s="1"/>
  <c r="J16" i="19"/>
  <c r="F8" i="19"/>
  <c r="J8" i="19" s="1"/>
  <c r="J18" i="19"/>
  <c r="F9" i="19"/>
  <c r="J9" i="19" s="1"/>
  <c r="H12" i="19"/>
  <c r="F11" i="19"/>
  <c r="F14" i="19"/>
  <c r="J14" i="19" s="1"/>
  <c r="H11" i="19"/>
  <c r="F10" i="19"/>
  <c r="H6" i="19"/>
  <c r="G6" i="19"/>
  <c r="J6" i="19" s="1"/>
  <c r="R6" i="19"/>
  <c r="G10" i="19"/>
  <c r="R10" i="19"/>
  <c r="H7" i="19"/>
  <c r="F7" i="19"/>
  <c r="J7" i="19" s="1"/>
  <c r="G5" i="19"/>
  <c r="R5" i="19"/>
  <c r="R11" i="19"/>
  <c r="G11" i="19"/>
  <c r="F4" i="19"/>
  <c r="G4" i="19"/>
  <c r="F5" i="19"/>
  <c r="H19" i="18"/>
  <c r="H17" i="18"/>
  <c r="H15" i="18"/>
  <c r="H13" i="18"/>
  <c r="I19" i="16"/>
  <c r="I17" i="16"/>
  <c r="G18" i="16"/>
  <c r="G16" i="16"/>
  <c r="G14" i="16"/>
  <c r="G12" i="16"/>
  <c r="U18" i="16"/>
  <c r="U16" i="16"/>
  <c r="H16" i="16"/>
  <c r="I15" i="16"/>
  <c r="I13" i="16"/>
  <c r="J19" i="18"/>
  <c r="J17" i="18"/>
  <c r="J15" i="18"/>
  <c r="J13" i="18"/>
  <c r="G16" i="18"/>
  <c r="F18" i="18"/>
  <c r="F16" i="18"/>
  <c r="G18" i="18"/>
  <c r="I18" i="18"/>
  <c r="I16" i="18"/>
  <c r="N19" i="18"/>
  <c r="N18" i="18"/>
  <c r="E18" i="18"/>
  <c r="H18" i="18" s="1"/>
  <c r="N17" i="18"/>
  <c r="N16" i="18"/>
  <c r="E16" i="18"/>
  <c r="H16" i="18" s="1"/>
  <c r="R14" i="18"/>
  <c r="N14" i="18"/>
  <c r="I14" i="18"/>
  <c r="G14" i="18"/>
  <c r="E14" i="18"/>
  <c r="H14" i="18" s="1"/>
  <c r="O13" i="18"/>
  <c r="R12" i="18"/>
  <c r="N12" i="18"/>
  <c r="I12" i="18"/>
  <c r="G12" i="18"/>
  <c r="E12" i="18"/>
  <c r="H12" i="18" s="1"/>
  <c r="N11" i="18"/>
  <c r="P11" i="18" s="1"/>
  <c r="I11" i="18"/>
  <c r="E11" i="18"/>
  <c r="H11" i="18" s="1"/>
  <c r="N10" i="18"/>
  <c r="P10" i="18" s="1"/>
  <c r="I10" i="18"/>
  <c r="E10" i="18"/>
  <c r="R9" i="18"/>
  <c r="N9" i="18"/>
  <c r="I9" i="18"/>
  <c r="G9" i="18"/>
  <c r="E9" i="18"/>
  <c r="H9" i="18" s="1"/>
  <c r="R8" i="18"/>
  <c r="N8" i="18"/>
  <c r="I8" i="18"/>
  <c r="G8" i="18"/>
  <c r="E8" i="18"/>
  <c r="R7" i="18"/>
  <c r="N7" i="18"/>
  <c r="M7" i="18" s="1"/>
  <c r="E7" i="18" s="1"/>
  <c r="H7" i="18" s="1"/>
  <c r="I7" i="18"/>
  <c r="G7" i="18"/>
  <c r="N6" i="18"/>
  <c r="P6" i="18" s="1"/>
  <c r="I6" i="18"/>
  <c r="E6" i="18"/>
  <c r="H6" i="18" s="1"/>
  <c r="N5" i="18"/>
  <c r="P5" i="18" s="1"/>
  <c r="R5" i="18" s="1"/>
  <c r="I5" i="18"/>
  <c r="E5" i="18"/>
  <c r="H5" i="18" s="1"/>
  <c r="N4" i="18"/>
  <c r="P4" i="18" s="1"/>
  <c r="I4" i="18"/>
  <c r="E4" i="18"/>
  <c r="H4" i="18" s="1"/>
  <c r="F19" i="16"/>
  <c r="D19" i="16" s="1"/>
  <c r="V19" i="16"/>
  <c r="V17" i="16"/>
  <c r="I16" i="16" l="1"/>
  <c r="I18" i="16"/>
  <c r="J5" i="19"/>
  <c r="J11" i="19"/>
  <c r="J4" i="19"/>
  <c r="J10" i="19"/>
  <c r="F4" i="18"/>
  <c r="J18" i="18"/>
  <c r="J16" i="18"/>
  <c r="F8" i="18"/>
  <c r="J8" i="18" s="1"/>
  <c r="F10" i="18"/>
  <c r="H10" i="18"/>
  <c r="F9" i="18"/>
  <c r="J9" i="18" s="1"/>
  <c r="H8" i="18"/>
  <c r="F11" i="18"/>
  <c r="F7" i="18"/>
  <c r="J7" i="18" s="1"/>
  <c r="G4" i="18"/>
  <c r="R4" i="18"/>
  <c r="R10" i="18"/>
  <c r="G10" i="18"/>
  <c r="R11" i="18"/>
  <c r="G11" i="18"/>
  <c r="G6" i="18"/>
  <c r="R6" i="18"/>
  <c r="F12" i="18"/>
  <c r="J12" i="18" s="1"/>
  <c r="F5" i="18"/>
  <c r="F14" i="18"/>
  <c r="J14" i="18" s="1"/>
  <c r="G5" i="18"/>
  <c r="F6" i="18"/>
  <c r="V18" i="16"/>
  <c r="F18" i="16"/>
  <c r="D18" i="16" s="1"/>
  <c r="V16" i="16"/>
  <c r="F16" i="16"/>
  <c r="D16" i="16" s="1"/>
  <c r="Z14" i="16"/>
  <c r="V14" i="16"/>
  <c r="H14" i="16"/>
  <c r="U14" i="16"/>
  <c r="I14" i="16" s="1"/>
  <c r="F14" i="16"/>
  <c r="D14" i="16" s="1"/>
  <c r="Z12" i="16"/>
  <c r="V12" i="16"/>
  <c r="H12" i="16"/>
  <c r="U12" i="16"/>
  <c r="I12" i="16" s="1"/>
  <c r="F12" i="16"/>
  <c r="D12" i="16" s="1"/>
  <c r="V11" i="16"/>
  <c r="X11" i="16" s="1"/>
  <c r="H11" i="16"/>
  <c r="F11" i="16"/>
  <c r="D11" i="16" s="1"/>
  <c r="V10" i="16"/>
  <c r="X10" i="16" s="1"/>
  <c r="Z10" i="16" s="1"/>
  <c r="H10" i="16"/>
  <c r="F10" i="16"/>
  <c r="Z9" i="16"/>
  <c r="V9" i="16"/>
  <c r="H9" i="16"/>
  <c r="U9" i="16"/>
  <c r="F9" i="16"/>
  <c r="D9" i="16" s="1"/>
  <c r="Z8" i="16"/>
  <c r="V8" i="16"/>
  <c r="H8" i="16"/>
  <c r="U8" i="16"/>
  <c r="F8" i="16"/>
  <c r="D8" i="16" s="1"/>
  <c r="Z7" i="16"/>
  <c r="V7" i="16"/>
  <c r="T7" i="16" s="1"/>
  <c r="F7" i="16" s="1"/>
  <c r="D7" i="16" s="1"/>
  <c r="H7" i="16"/>
  <c r="U7" i="16"/>
  <c r="V6" i="16"/>
  <c r="X6" i="16" s="1"/>
  <c r="Z6" i="16" s="1"/>
  <c r="H6" i="16"/>
  <c r="F6" i="16"/>
  <c r="V5" i="16"/>
  <c r="X5" i="16" s="1"/>
  <c r="H5" i="16"/>
  <c r="F5" i="16"/>
  <c r="D5" i="16" s="1"/>
  <c r="V4" i="16"/>
  <c r="X4" i="16" s="1"/>
  <c r="Z4" i="16" s="1"/>
  <c r="F4" i="16"/>
  <c r="J4" i="18" l="1"/>
  <c r="D4" i="16"/>
  <c r="G4" i="16"/>
  <c r="G10" i="16"/>
  <c r="D10" i="16"/>
  <c r="G6" i="16"/>
  <c r="D6" i="16"/>
  <c r="G9" i="16"/>
  <c r="I9" i="16" s="1"/>
  <c r="J5" i="18"/>
  <c r="J10" i="18"/>
  <c r="J6" i="18"/>
  <c r="J11" i="18"/>
  <c r="G8" i="16"/>
  <c r="I8" i="16" s="1"/>
  <c r="Z11" i="16"/>
  <c r="U11" i="16"/>
  <c r="Z5" i="16"/>
  <c r="U5" i="16"/>
  <c r="U4" i="16"/>
  <c r="G5" i="16"/>
  <c r="U6" i="16"/>
  <c r="G7" i="16"/>
  <c r="I7" i="16" s="1"/>
  <c r="U10" i="16"/>
  <c r="G11" i="16"/>
  <c r="N17" i="15"/>
  <c r="I17" i="15"/>
  <c r="G17" i="15"/>
  <c r="E17" i="15"/>
  <c r="N16" i="15"/>
  <c r="I16" i="15"/>
  <c r="G16" i="15"/>
  <c r="E16" i="15"/>
  <c r="J15" i="15"/>
  <c r="H15" i="15"/>
  <c r="R14" i="15"/>
  <c r="N14" i="15"/>
  <c r="I14" i="15"/>
  <c r="G14" i="15"/>
  <c r="E14" i="15"/>
  <c r="H14" i="15" s="1"/>
  <c r="O13" i="15"/>
  <c r="J13" i="15"/>
  <c r="H13" i="15"/>
  <c r="R12" i="15"/>
  <c r="N12" i="15"/>
  <c r="I12" i="15"/>
  <c r="G12" i="15"/>
  <c r="E12" i="15"/>
  <c r="N11" i="15"/>
  <c r="P11" i="15" s="1"/>
  <c r="I11" i="15"/>
  <c r="E11" i="15"/>
  <c r="H11" i="15" s="1"/>
  <c r="N10" i="15"/>
  <c r="P10" i="15" s="1"/>
  <c r="I10" i="15"/>
  <c r="E10" i="15"/>
  <c r="H10" i="15" s="1"/>
  <c r="R9" i="15"/>
  <c r="N9" i="15"/>
  <c r="I9" i="15"/>
  <c r="G9" i="15"/>
  <c r="E9" i="15"/>
  <c r="H9" i="15" s="1"/>
  <c r="R8" i="15"/>
  <c r="N8" i="15"/>
  <c r="I8" i="15"/>
  <c r="G8" i="15"/>
  <c r="E8" i="15"/>
  <c r="H8" i="15" s="1"/>
  <c r="R7" i="15"/>
  <c r="N7" i="15"/>
  <c r="M7" i="15" s="1"/>
  <c r="E7" i="15" s="1"/>
  <c r="I7" i="15"/>
  <c r="G7" i="15"/>
  <c r="N6" i="15"/>
  <c r="P6" i="15" s="1"/>
  <c r="G6" i="15" s="1"/>
  <c r="I6" i="15"/>
  <c r="E6" i="15"/>
  <c r="N5" i="15"/>
  <c r="P5" i="15" s="1"/>
  <c r="I5" i="15"/>
  <c r="E5" i="15"/>
  <c r="H5" i="15" s="1"/>
  <c r="N4" i="15"/>
  <c r="I4" i="15"/>
  <c r="E4" i="15"/>
  <c r="H4" i="15" s="1"/>
  <c r="F6" i="15" l="1"/>
  <c r="J6" i="15" s="1"/>
  <c r="I10" i="16"/>
  <c r="I6" i="16"/>
  <c r="I4" i="16"/>
  <c r="F16" i="15"/>
  <c r="J16" i="15" s="1"/>
  <c r="F17" i="15"/>
  <c r="J17" i="15" s="1"/>
  <c r="I5" i="16"/>
  <c r="I11" i="16"/>
  <c r="F10" i="15"/>
  <c r="J10" i="15" s="1"/>
  <c r="F12" i="15"/>
  <c r="J12" i="15" s="1"/>
  <c r="H16" i="15"/>
  <c r="H17" i="15"/>
  <c r="F9" i="15"/>
  <c r="J9" i="15" s="1"/>
  <c r="F8" i="15"/>
  <c r="J8" i="15" s="1"/>
  <c r="H6" i="15"/>
  <c r="F4" i="15"/>
  <c r="J4" i="15" s="1"/>
  <c r="R10" i="15"/>
  <c r="G10" i="15"/>
  <c r="G5" i="15"/>
  <c r="R5" i="15"/>
  <c r="F7" i="15"/>
  <c r="J7" i="15" s="1"/>
  <c r="H7" i="15"/>
  <c r="G11" i="15"/>
  <c r="R11" i="15"/>
  <c r="P4" i="15"/>
  <c r="R6" i="15"/>
  <c r="F14" i="15"/>
  <c r="J14" i="15" s="1"/>
  <c r="F11" i="15"/>
  <c r="J11" i="15" s="1"/>
  <c r="H12" i="15"/>
  <c r="F5" i="15"/>
  <c r="J5" i="15" s="1"/>
  <c r="G17" i="2"/>
  <c r="G16" i="2"/>
  <c r="G14" i="2"/>
  <c r="G12" i="2"/>
  <c r="G9" i="2"/>
  <c r="G8" i="2"/>
  <c r="G7" i="2"/>
  <c r="J15" i="2"/>
  <c r="J13" i="2"/>
  <c r="G17" i="14"/>
  <c r="G16" i="14"/>
  <c r="G15" i="14"/>
  <c r="H15" i="14" s="1"/>
  <c r="G14" i="14"/>
  <c r="G13" i="14"/>
  <c r="H13" i="14" s="1"/>
  <c r="G12" i="14"/>
  <c r="G7" i="14"/>
  <c r="G8" i="14"/>
  <c r="G9" i="14"/>
  <c r="R4" i="15" l="1"/>
  <c r="G4" i="15"/>
  <c r="J13" i="14"/>
  <c r="J15" i="14"/>
  <c r="N17" i="14"/>
  <c r="I17" i="14"/>
  <c r="E17" i="14"/>
  <c r="N16" i="14"/>
  <c r="I16" i="14"/>
  <c r="E16" i="14"/>
  <c r="R14" i="14"/>
  <c r="N14" i="14"/>
  <c r="I14" i="14"/>
  <c r="E14" i="14"/>
  <c r="O13" i="14"/>
  <c r="R12" i="14"/>
  <c r="N12" i="14"/>
  <c r="I12" i="14"/>
  <c r="E12" i="14"/>
  <c r="N11" i="14"/>
  <c r="P11" i="14" s="1"/>
  <c r="I11" i="14"/>
  <c r="E11" i="14"/>
  <c r="N10" i="14"/>
  <c r="P10" i="14" s="1"/>
  <c r="I10" i="14"/>
  <c r="E10" i="14"/>
  <c r="R9" i="14"/>
  <c r="N9" i="14"/>
  <c r="I9" i="14"/>
  <c r="E9" i="14"/>
  <c r="R8" i="14"/>
  <c r="N8" i="14"/>
  <c r="I8" i="14"/>
  <c r="E8" i="14"/>
  <c r="R7" i="14"/>
  <c r="N7" i="14"/>
  <c r="M7" i="14" s="1"/>
  <c r="E7" i="14" s="1"/>
  <c r="I7" i="14"/>
  <c r="N6" i="14"/>
  <c r="P6" i="14" s="1"/>
  <c r="I6" i="14"/>
  <c r="E6" i="14"/>
  <c r="N5" i="14"/>
  <c r="P5" i="14" s="1"/>
  <c r="I5" i="14"/>
  <c r="E5" i="14"/>
  <c r="N4" i="14"/>
  <c r="P4" i="14" s="1"/>
  <c r="G4" i="14" s="1"/>
  <c r="I4" i="14"/>
  <c r="E4" i="14"/>
  <c r="H15" i="2"/>
  <c r="H13" i="2"/>
  <c r="R10" i="14" l="1"/>
  <c r="G10" i="14"/>
  <c r="R4" i="14"/>
  <c r="R11" i="14"/>
  <c r="G11" i="14"/>
  <c r="R5" i="14"/>
  <c r="G5" i="14"/>
  <c r="R6" i="14"/>
  <c r="G6" i="14"/>
  <c r="F10" i="14"/>
  <c r="F16" i="14"/>
  <c r="F12" i="14"/>
  <c r="F11" i="14"/>
  <c r="F7" i="14"/>
  <c r="F9" i="14"/>
  <c r="F17" i="14"/>
  <c r="F4" i="14"/>
  <c r="J4" i="14" s="1"/>
  <c r="F5" i="14"/>
  <c r="F6" i="14"/>
  <c r="F8" i="14"/>
  <c r="F14" i="14"/>
  <c r="H6" i="13"/>
  <c r="H17" i="13"/>
  <c r="H16" i="13"/>
  <c r="E17" i="13"/>
  <c r="F17" i="13" s="1"/>
  <c r="E16" i="13"/>
  <c r="F16" i="13" s="1"/>
  <c r="E17" i="2"/>
  <c r="E16" i="2"/>
  <c r="N17" i="2"/>
  <c r="N16" i="2"/>
  <c r="H11" i="14" l="1"/>
  <c r="H6" i="14"/>
  <c r="J5" i="14"/>
  <c r="F17" i="2"/>
  <c r="J17" i="2" s="1"/>
  <c r="H17" i="2"/>
  <c r="F16" i="2"/>
  <c r="J16" i="2" s="1"/>
  <c r="H16" i="2"/>
  <c r="H10" i="14"/>
  <c r="H9" i="14"/>
  <c r="J9" i="14"/>
  <c r="H7" i="14"/>
  <c r="J7" i="14"/>
  <c r="H14" i="14"/>
  <c r="J14" i="14"/>
  <c r="J11" i="14"/>
  <c r="H8" i="14"/>
  <c r="J8" i="14"/>
  <c r="H12" i="14"/>
  <c r="J12" i="14"/>
  <c r="H16" i="14"/>
  <c r="J16" i="14"/>
  <c r="H5" i="14"/>
  <c r="J10" i="14"/>
  <c r="H4" i="14"/>
  <c r="J6" i="14"/>
  <c r="H17" i="14"/>
  <c r="J17" i="14"/>
  <c r="I17" i="2"/>
  <c r="I16" i="2"/>
  <c r="P14" i="13" l="1"/>
  <c r="L14" i="13"/>
  <c r="H14" i="13"/>
  <c r="E14" i="13"/>
  <c r="F14" i="13" s="1"/>
  <c r="M13" i="13"/>
  <c r="P12" i="13"/>
  <c r="L12" i="13"/>
  <c r="H12" i="13"/>
  <c r="E12" i="13"/>
  <c r="L11" i="13"/>
  <c r="N11" i="13" s="1"/>
  <c r="P11" i="13" s="1"/>
  <c r="H11" i="13"/>
  <c r="E11" i="13"/>
  <c r="L10" i="13"/>
  <c r="N10" i="13" s="1"/>
  <c r="P10" i="13" s="1"/>
  <c r="H10" i="13"/>
  <c r="E10" i="13"/>
  <c r="P9" i="13"/>
  <c r="L9" i="13"/>
  <c r="H9" i="13"/>
  <c r="E9" i="13"/>
  <c r="P8" i="13"/>
  <c r="L8" i="13"/>
  <c r="H8" i="13"/>
  <c r="E8" i="13"/>
  <c r="P7" i="13"/>
  <c r="L7" i="13"/>
  <c r="K7" i="13" s="1"/>
  <c r="E7" i="13" s="1"/>
  <c r="F7" i="13" s="1"/>
  <c r="H7" i="13"/>
  <c r="L6" i="13"/>
  <c r="N6" i="13" s="1"/>
  <c r="P6" i="13" s="1"/>
  <c r="E6" i="13"/>
  <c r="L5" i="13"/>
  <c r="N5" i="13" s="1"/>
  <c r="P5" i="13" s="1"/>
  <c r="H5" i="13"/>
  <c r="E5" i="13"/>
  <c r="L4" i="13"/>
  <c r="N4" i="13" s="1"/>
  <c r="P4" i="13" s="1"/>
  <c r="H4" i="13"/>
  <c r="E4" i="13"/>
  <c r="F10" i="13" l="1"/>
  <c r="F12" i="13"/>
  <c r="F4" i="13"/>
  <c r="F8" i="13"/>
  <c r="F11" i="13"/>
  <c r="F6" i="13"/>
  <c r="F9" i="13"/>
  <c r="F5" i="13"/>
  <c r="E18" i="12"/>
  <c r="F18" i="12" s="1"/>
  <c r="E16" i="12"/>
  <c r="F16" i="12" s="1"/>
  <c r="P14" i="12"/>
  <c r="L14" i="12"/>
  <c r="H14" i="12"/>
  <c r="E14" i="12"/>
  <c r="M13" i="12"/>
  <c r="P12" i="12"/>
  <c r="L12" i="12"/>
  <c r="H12" i="12"/>
  <c r="E12" i="12"/>
  <c r="L11" i="12"/>
  <c r="N11" i="12" s="1"/>
  <c r="P11" i="12" s="1"/>
  <c r="H11" i="12"/>
  <c r="E11" i="12"/>
  <c r="L10" i="12"/>
  <c r="N10" i="12" s="1"/>
  <c r="P10" i="12" s="1"/>
  <c r="H10" i="12"/>
  <c r="E10" i="12"/>
  <c r="P9" i="12"/>
  <c r="L9" i="12"/>
  <c r="H9" i="12"/>
  <c r="E9" i="12"/>
  <c r="P8" i="12"/>
  <c r="L8" i="12"/>
  <c r="H8" i="12"/>
  <c r="E8" i="12"/>
  <c r="P7" i="12"/>
  <c r="L7" i="12"/>
  <c r="K7" i="12" s="1"/>
  <c r="E7" i="12" s="1"/>
  <c r="F7" i="12" s="1"/>
  <c r="H7" i="12"/>
  <c r="L6" i="12"/>
  <c r="N6" i="12" s="1"/>
  <c r="P6" i="12" s="1"/>
  <c r="H6" i="12"/>
  <c r="E6" i="12"/>
  <c r="L5" i="12"/>
  <c r="N5" i="12" s="1"/>
  <c r="P5" i="12" s="1"/>
  <c r="H5" i="12"/>
  <c r="E5" i="12"/>
  <c r="L4" i="12"/>
  <c r="N4" i="12" s="1"/>
  <c r="P4" i="12" s="1"/>
  <c r="H4" i="12"/>
  <c r="E4" i="12"/>
  <c r="F5" i="12" l="1"/>
  <c r="F10" i="12"/>
  <c r="F12" i="12"/>
  <c r="F4" i="12"/>
  <c r="F6" i="12"/>
  <c r="F8" i="12"/>
  <c r="F14" i="12"/>
  <c r="F9" i="12"/>
  <c r="F11" i="12"/>
  <c r="E16" i="11"/>
  <c r="F16" i="11" s="1"/>
  <c r="E18" i="11"/>
  <c r="F18" i="11" s="1"/>
  <c r="P14" i="11"/>
  <c r="L14" i="11"/>
  <c r="H14" i="11"/>
  <c r="E14" i="11"/>
  <c r="M13" i="11"/>
  <c r="P12" i="11"/>
  <c r="L12" i="11"/>
  <c r="H12" i="11"/>
  <c r="E12" i="11"/>
  <c r="L11" i="11"/>
  <c r="N11" i="11" s="1"/>
  <c r="P11" i="11" s="1"/>
  <c r="H11" i="11"/>
  <c r="E11" i="11"/>
  <c r="L10" i="11"/>
  <c r="N10" i="11" s="1"/>
  <c r="P10" i="11" s="1"/>
  <c r="H10" i="11"/>
  <c r="E10" i="11"/>
  <c r="P9" i="11"/>
  <c r="L9" i="11"/>
  <c r="H9" i="11"/>
  <c r="E9" i="11"/>
  <c r="F9" i="11" s="1"/>
  <c r="P8" i="11"/>
  <c r="L8" i="11"/>
  <c r="H8" i="11"/>
  <c r="E8" i="11"/>
  <c r="P7" i="11"/>
  <c r="L7" i="11"/>
  <c r="K7" i="11" s="1"/>
  <c r="E7" i="11" s="1"/>
  <c r="F7" i="11" s="1"/>
  <c r="H7" i="11"/>
  <c r="L6" i="11"/>
  <c r="N6" i="11" s="1"/>
  <c r="P6" i="11" s="1"/>
  <c r="H6" i="11"/>
  <c r="E6" i="11"/>
  <c r="L5" i="11"/>
  <c r="N5" i="11" s="1"/>
  <c r="P5" i="11" s="1"/>
  <c r="H5" i="11"/>
  <c r="E5" i="11"/>
  <c r="L4" i="11"/>
  <c r="N4" i="11" s="1"/>
  <c r="P4" i="11" s="1"/>
  <c r="H4" i="11"/>
  <c r="E4" i="11"/>
  <c r="F5" i="11" l="1"/>
  <c r="F14" i="11"/>
  <c r="F10" i="11"/>
  <c r="F12" i="11"/>
  <c r="F11" i="11"/>
  <c r="F4" i="11"/>
  <c r="F6" i="11"/>
  <c r="F8" i="11"/>
  <c r="P14" i="10"/>
  <c r="L14" i="10"/>
  <c r="H14" i="10"/>
  <c r="E14" i="10"/>
  <c r="M13" i="10"/>
  <c r="P12" i="10"/>
  <c r="L12" i="10"/>
  <c r="H12" i="10"/>
  <c r="E12" i="10"/>
  <c r="L11" i="10"/>
  <c r="N11" i="10" s="1"/>
  <c r="P11" i="10" s="1"/>
  <c r="H11" i="10"/>
  <c r="E11" i="10"/>
  <c r="L10" i="10"/>
  <c r="N10" i="10" s="1"/>
  <c r="P10" i="10" s="1"/>
  <c r="H10" i="10"/>
  <c r="E10" i="10"/>
  <c r="P9" i="10"/>
  <c r="L9" i="10"/>
  <c r="H9" i="10"/>
  <c r="E9" i="10"/>
  <c r="P8" i="10"/>
  <c r="L8" i="10"/>
  <c r="H8" i="10"/>
  <c r="E8" i="10"/>
  <c r="P7" i="10"/>
  <c r="L7" i="10"/>
  <c r="K7" i="10" s="1"/>
  <c r="E7" i="10" s="1"/>
  <c r="F7" i="10" s="1"/>
  <c r="H7" i="10"/>
  <c r="L6" i="10"/>
  <c r="N6" i="10" s="1"/>
  <c r="P6" i="10" s="1"/>
  <c r="H6" i="10"/>
  <c r="E6" i="10"/>
  <c r="L5" i="10"/>
  <c r="N5" i="10" s="1"/>
  <c r="P5" i="10" s="1"/>
  <c r="H5" i="10"/>
  <c r="E5" i="10"/>
  <c r="L4" i="10"/>
  <c r="N4" i="10" s="1"/>
  <c r="P4" i="10" s="1"/>
  <c r="H4" i="10"/>
  <c r="E4" i="10"/>
  <c r="F6" i="10" l="1"/>
  <c r="F8" i="10"/>
  <c r="F10" i="10"/>
  <c r="F4" i="10"/>
  <c r="F5" i="10"/>
  <c r="F9" i="10"/>
  <c r="F11" i="10"/>
  <c r="F14" i="10"/>
  <c r="F12" i="10"/>
  <c r="P14" i="9"/>
  <c r="L14" i="9"/>
  <c r="H14" i="9"/>
  <c r="E14" i="9"/>
  <c r="M13" i="9"/>
  <c r="P12" i="9"/>
  <c r="L12" i="9"/>
  <c r="H12" i="9"/>
  <c r="E12" i="9"/>
  <c r="L11" i="9"/>
  <c r="N11" i="9" s="1"/>
  <c r="P11" i="9" s="1"/>
  <c r="H11" i="9"/>
  <c r="E11" i="9"/>
  <c r="L10" i="9"/>
  <c r="N10" i="9" s="1"/>
  <c r="P10" i="9" s="1"/>
  <c r="H10" i="9"/>
  <c r="E10" i="9"/>
  <c r="P9" i="9"/>
  <c r="L9" i="9"/>
  <c r="H9" i="9"/>
  <c r="E9" i="9"/>
  <c r="P8" i="9"/>
  <c r="L8" i="9"/>
  <c r="H8" i="9"/>
  <c r="E8" i="9"/>
  <c r="P7" i="9"/>
  <c r="L7" i="9"/>
  <c r="K7" i="9" s="1"/>
  <c r="E7" i="9" s="1"/>
  <c r="F7" i="9" s="1"/>
  <c r="H7" i="9"/>
  <c r="L6" i="9"/>
  <c r="N6" i="9" s="1"/>
  <c r="P6" i="9" s="1"/>
  <c r="H6" i="9"/>
  <c r="E6" i="9"/>
  <c r="L5" i="9"/>
  <c r="N5" i="9" s="1"/>
  <c r="P5" i="9" s="1"/>
  <c r="H5" i="9"/>
  <c r="E5" i="9"/>
  <c r="L4" i="9"/>
  <c r="N4" i="9" s="1"/>
  <c r="P4" i="9" s="1"/>
  <c r="H4" i="9"/>
  <c r="E4" i="9"/>
  <c r="F12" i="9" l="1"/>
  <c r="F14" i="9"/>
  <c r="F10" i="9"/>
  <c r="F11" i="9"/>
  <c r="F4" i="9"/>
  <c r="F6" i="9"/>
  <c r="F8" i="9"/>
  <c r="F5" i="9"/>
  <c r="F9" i="9"/>
  <c r="P14" i="8"/>
  <c r="L14" i="8"/>
  <c r="H14" i="8"/>
  <c r="E14" i="8"/>
  <c r="M13" i="8"/>
  <c r="P12" i="8"/>
  <c r="L12" i="8"/>
  <c r="H12" i="8"/>
  <c r="E12" i="8"/>
  <c r="L11" i="8"/>
  <c r="N11" i="8" s="1"/>
  <c r="P11" i="8" s="1"/>
  <c r="H11" i="8"/>
  <c r="E11" i="8"/>
  <c r="L10" i="8"/>
  <c r="N10" i="8" s="1"/>
  <c r="P10" i="8" s="1"/>
  <c r="H10" i="8"/>
  <c r="E10" i="8"/>
  <c r="P9" i="8"/>
  <c r="L9" i="8"/>
  <c r="H9" i="8"/>
  <c r="E9" i="8"/>
  <c r="P8" i="8"/>
  <c r="L8" i="8"/>
  <c r="H8" i="8"/>
  <c r="E8" i="8"/>
  <c r="P7" i="8"/>
  <c r="L7" i="8"/>
  <c r="K7" i="8" s="1"/>
  <c r="E7" i="8" s="1"/>
  <c r="F7" i="8" s="1"/>
  <c r="H7" i="8"/>
  <c r="L6" i="8"/>
  <c r="N6" i="8" s="1"/>
  <c r="P6" i="8" s="1"/>
  <c r="H6" i="8"/>
  <c r="E6" i="8"/>
  <c r="L5" i="8"/>
  <c r="N5" i="8" s="1"/>
  <c r="P5" i="8" s="1"/>
  <c r="H5" i="8"/>
  <c r="E5" i="8"/>
  <c r="L4" i="8"/>
  <c r="N4" i="8" s="1"/>
  <c r="P4" i="8" s="1"/>
  <c r="H4" i="8"/>
  <c r="E4" i="8"/>
  <c r="F14" i="8" l="1"/>
  <c r="F10" i="8"/>
  <c r="F12" i="8"/>
  <c r="F11" i="8"/>
  <c r="F4" i="8"/>
  <c r="F6" i="8"/>
  <c r="F8" i="8"/>
  <c r="F5" i="8"/>
  <c r="F9" i="8"/>
  <c r="P14" i="6"/>
  <c r="L14" i="6"/>
  <c r="H14" i="6"/>
  <c r="E14" i="6"/>
  <c r="M13" i="6"/>
  <c r="P12" i="6"/>
  <c r="L12" i="6"/>
  <c r="H12" i="6"/>
  <c r="E12" i="6"/>
  <c r="L11" i="6"/>
  <c r="N11" i="6" s="1"/>
  <c r="P11" i="6" s="1"/>
  <c r="H11" i="6"/>
  <c r="E11" i="6"/>
  <c r="L10" i="6"/>
  <c r="N10" i="6" s="1"/>
  <c r="P10" i="6" s="1"/>
  <c r="H10" i="6"/>
  <c r="E10" i="6"/>
  <c r="P9" i="6"/>
  <c r="L9" i="6"/>
  <c r="H9" i="6"/>
  <c r="E9" i="6"/>
  <c r="P8" i="6"/>
  <c r="L8" i="6"/>
  <c r="H8" i="6"/>
  <c r="E8" i="6"/>
  <c r="P7" i="6"/>
  <c r="L7" i="6"/>
  <c r="K7" i="6" s="1"/>
  <c r="E7" i="6" s="1"/>
  <c r="F7" i="6" s="1"/>
  <c r="H7" i="6"/>
  <c r="L6" i="6"/>
  <c r="N6" i="6" s="1"/>
  <c r="P6" i="6" s="1"/>
  <c r="H6" i="6"/>
  <c r="E6" i="6"/>
  <c r="L5" i="6"/>
  <c r="N5" i="6" s="1"/>
  <c r="P5" i="6" s="1"/>
  <c r="H5" i="6"/>
  <c r="E5" i="6"/>
  <c r="L4" i="6"/>
  <c r="N4" i="6" s="1"/>
  <c r="P4" i="6" s="1"/>
  <c r="H4" i="6"/>
  <c r="E4" i="6"/>
  <c r="F14" i="6" l="1"/>
  <c r="F11" i="6"/>
  <c r="F4" i="6"/>
  <c r="F6" i="6"/>
  <c r="F9" i="6"/>
  <c r="F5" i="6"/>
  <c r="F8" i="6"/>
  <c r="F10" i="6"/>
  <c r="F12" i="6"/>
  <c r="P14" i="5"/>
  <c r="L14" i="5"/>
  <c r="H14" i="5"/>
  <c r="E14" i="5"/>
  <c r="M13" i="5"/>
  <c r="P12" i="5"/>
  <c r="L12" i="5"/>
  <c r="H12" i="5"/>
  <c r="E12" i="5"/>
  <c r="L11" i="5"/>
  <c r="N11" i="5" s="1"/>
  <c r="P11" i="5" s="1"/>
  <c r="H11" i="5"/>
  <c r="E11" i="5"/>
  <c r="L10" i="5"/>
  <c r="N10" i="5" s="1"/>
  <c r="P10" i="5" s="1"/>
  <c r="H10" i="5"/>
  <c r="E10" i="5"/>
  <c r="P9" i="5"/>
  <c r="L9" i="5"/>
  <c r="H9" i="5"/>
  <c r="E9" i="5"/>
  <c r="P8" i="5"/>
  <c r="L8" i="5"/>
  <c r="H8" i="5"/>
  <c r="E8" i="5"/>
  <c r="P7" i="5"/>
  <c r="L7" i="5"/>
  <c r="K7" i="5" s="1"/>
  <c r="E7" i="5" s="1"/>
  <c r="F7" i="5" s="1"/>
  <c r="H7" i="5"/>
  <c r="L6" i="5"/>
  <c r="N6" i="5" s="1"/>
  <c r="P6" i="5" s="1"/>
  <c r="H6" i="5"/>
  <c r="E6" i="5"/>
  <c r="L5" i="5"/>
  <c r="N5" i="5" s="1"/>
  <c r="P5" i="5" s="1"/>
  <c r="H5" i="5"/>
  <c r="E5" i="5"/>
  <c r="L4" i="5"/>
  <c r="N4" i="5" s="1"/>
  <c r="P4" i="5" s="1"/>
  <c r="H4" i="5"/>
  <c r="E4" i="5"/>
  <c r="F12" i="5" l="1"/>
  <c r="F14" i="5"/>
  <c r="F10" i="5"/>
  <c r="F11" i="5"/>
  <c r="F4" i="5"/>
  <c r="F6" i="5"/>
  <c r="F8" i="5"/>
  <c r="F5" i="5"/>
  <c r="F9" i="5"/>
  <c r="H7" i="4"/>
  <c r="P14" i="4"/>
  <c r="L14" i="4"/>
  <c r="H14" i="4"/>
  <c r="E14" i="4"/>
  <c r="M13" i="4"/>
  <c r="P12" i="4"/>
  <c r="L12" i="4"/>
  <c r="H12" i="4"/>
  <c r="E12" i="4"/>
  <c r="L11" i="4"/>
  <c r="N11" i="4" s="1"/>
  <c r="P11" i="4" s="1"/>
  <c r="H11" i="4"/>
  <c r="E11" i="4"/>
  <c r="L10" i="4"/>
  <c r="N10" i="4" s="1"/>
  <c r="P10" i="4" s="1"/>
  <c r="H10" i="4"/>
  <c r="E10" i="4"/>
  <c r="P9" i="4"/>
  <c r="L9" i="4"/>
  <c r="H9" i="4"/>
  <c r="E9" i="4"/>
  <c r="P8" i="4"/>
  <c r="L8" i="4"/>
  <c r="H8" i="4"/>
  <c r="E8" i="4"/>
  <c r="P7" i="4"/>
  <c r="L7" i="4"/>
  <c r="K7" i="4" s="1"/>
  <c r="E7" i="4" s="1"/>
  <c r="F7" i="4" s="1"/>
  <c r="L6" i="4"/>
  <c r="N6" i="4" s="1"/>
  <c r="P6" i="4" s="1"/>
  <c r="H6" i="4"/>
  <c r="E6" i="4"/>
  <c r="L5" i="4"/>
  <c r="N5" i="4" s="1"/>
  <c r="P5" i="4" s="1"/>
  <c r="H5" i="4"/>
  <c r="E5" i="4"/>
  <c r="L4" i="4"/>
  <c r="N4" i="4" s="1"/>
  <c r="P4" i="4" s="1"/>
  <c r="H4" i="4"/>
  <c r="E4" i="4"/>
  <c r="F10" i="4" l="1"/>
  <c r="F12" i="4"/>
  <c r="F8" i="4"/>
  <c r="F4" i="4"/>
  <c r="F6" i="4"/>
  <c r="F14" i="4"/>
  <c r="F9" i="4"/>
  <c r="F5" i="4"/>
  <c r="F11" i="4"/>
  <c r="P14" i="3"/>
  <c r="L14" i="3"/>
  <c r="H14" i="3"/>
  <c r="E14" i="3"/>
  <c r="M13" i="3"/>
  <c r="P12" i="3"/>
  <c r="L12" i="3"/>
  <c r="H12" i="3"/>
  <c r="E12" i="3"/>
  <c r="L11" i="3"/>
  <c r="N11" i="3" s="1"/>
  <c r="P11" i="3" s="1"/>
  <c r="H11" i="3"/>
  <c r="E11" i="3"/>
  <c r="L10" i="3"/>
  <c r="N10" i="3" s="1"/>
  <c r="P10" i="3" s="1"/>
  <c r="H10" i="3"/>
  <c r="E10" i="3"/>
  <c r="F10" i="3" s="1"/>
  <c r="P9" i="3"/>
  <c r="L9" i="3"/>
  <c r="H9" i="3"/>
  <c r="E9" i="3"/>
  <c r="P8" i="3"/>
  <c r="L8" i="3"/>
  <c r="H8" i="3"/>
  <c r="E8" i="3"/>
  <c r="P7" i="3"/>
  <c r="L7" i="3"/>
  <c r="K7" i="3" s="1"/>
  <c r="E7" i="3" s="1"/>
  <c r="F7" i="3" s="1"/>
  <c r="H7" i="3"/>
  <c r="L6" i="3"/>
  <c r="N6" i="3" s="1"/>
  <c r="P6" i="3" s="1"/>
  <c r="H6" i="3"/>
  <c r="E6" i="3"/>
  <c r="L5" i="3"/>
  <c r="N5" i="3" s="1"/>
  <c r="P5" i="3" s="1"/>
  <c r="H5" i="3"/>
  <c r="E5" i="3"/>
  <c r="L4" i="3"/>
  <c r="N4" i="3" s="1"/>
  <c r="P4" i="3" s="1"/>
  <c r="H4" i="3"/>
  <c r="E4" i="3"/>
  <c r="R14" i="2"/>
  <c r="R12" i="2"/>
  <c r="R9" i="2"/>
  <c r="R8" i="2"/>
  <c r="R7" i="2"/>
  <c r="F5" i="3" l="1"/>
  <c r="F12" i="3"/>
  <c r="F4" i="3"/>
  <c r="F6" i="3"/>
  <c r="F8" i="3"/>
  <c r="F14" i="3"/>
  <c r="F9" i="3"/>
  <c r="F11" i="3"/>
  <c r="N14" i="2"/>
  <c r="N5" i="2"/>
  <c r="P5" i="2" s="1"/>
  <c r="N6" i="2"/>
  <c r="P6" i="2" s="1"/>
  <c r="N7" i="2"/>
  <c r="M7" i="2" s="1"/>
  <c r="N8" i="2"/>
  <c r="N9" i="2"/>
  <c r="N10" i="2"/>
  <c r="P10" i="2" s="1"/>
  <c r="N11" i="2"/>
  <c r="P11" i="2" s="1"/>
  <c r="I14" i="2"/>
  <c r="I12" i="2"/>
  <c r="I5" i="2"/>
  <c r="I6" i="2"/>
  <c r="I7" i="2"/>
  <c r="I8" i="2"/>
  <c r="I9" i="2"/>
  <c r="I10" i="2"/>
  <c r="I11" i="2"/>
  <c r="I4" i="2"/>
  <c r="R11" i="2" l="1"/>
  <c r="G11" i="2"/>
  <c r="R5" i="2"/>
  <c r="G5" i="2"/>
  <c r="R10" i="2"/>
  <c r="G10" i="2"/>
  <c r="R6" i="2"/>
  <c r="G6" i="2"/>
  <c r="E12" i="2"/>
  <c r="H12" i="2" s="1"/>
  <c r="E14" i="2"/>
  <c r="H14" i="2" s="1"/>
  <c r="E5" i="2"/>
  <c r="E6" i="2"/>
  <c r="H6" i="2" s="1"/>
  <c r="E7" i="2"/>
  <c r="H7" i="2" s="1"/>
  <c r="E8" i="2"/>
  <c r="H8" i="2" s="1"/>
  <c r="E9" i="2"/>
  <c r="H9" i="2" s="1"/>
  <c r="E10" i="2"/>
  <c r="H10" i="2" s="1"/>
  <c r="E11" i="2"/>
  <c r="H11" i="2" s="1"/>
  <c r="E4" i="2"/>
  <c r="H4" i="2" s="1"/>
  <c r="F5" i="2" l="1"/>
  <c r="J5" i="2" s="1"/>
  <c r="H5" i="2"/>
  <c r="O13" i="2"/>
  <c r="F14" i="2"/>
  <c r="J14" i="2" s="1"/>
  <c r="F11" i="2"/>
  <c r="J11" i="2" s="1"/>
  <c r="F10" i="2"/>
  <c r="J10" i="2" s="1"/>
  <c r="F9" i="2"/>
  <c r="J9" i="2" s="1"/>
  <c r="F8" i="2"/>
  <c r="J8" i="2" s="1"/>
  <c r="F7" i="2"/>
  <c r="J7" i="2" s="1"/>
  <c r="F6" i="2"/>
  <c r="J6" i="2" s="1"/>
  <c r="N4" i="2"/>
  <c r="F4" i="2" l="1"/>
  <c r="J4" i="2" s="1"/>
  <c r="P4" i="2"/>
  <c r="R4" i="2" l="1"/>
  <c r="G4" i="2"/>
  <c r="N12" i="2"/>
  <c r="F12" i="2" s="1"/>
  <c r="J12" i="2" s="1"/>
  <c r="M9" i="117"/>
  <c r="K9" i="117" l="1"/>
  <c r="O9" i="117"/>
  <c r="AC9" i="117"/>
  <c r="AD9" i="117" s="1"/>
  <c r="W9" i="117" s="1"/>
  <c r="AC10" i="117"/>
  <c r="AD10" i="117" s="1"/>
  <c r="W10" i="117" s="1"/>
  <c r="AC19" i="117"/>
  <c r="AD19" i="117" s="1"/>
  <c r="W19" i="117" s="1"/>
  <c r="AC18" i="117"/>
  <c r="AD18" i="117" s="1"/>
  <c r="W18" i="117" s="1"/>
  <c r="AC14" i="117"/>
  <c r="AD14" i="117" s="1"/>
  <c r="W14" i="117" s="1"/>
  <c r="AC15" i="117"/>
  <c r="AD15" i="117" s="1"/>
  <c r="W15" i="117" s="1"/>
  <c r="AC13" i="117"/>
  <c r="AD13" i="117" s="1"/>
  <c r="W13" i="117" s="1"/>
  <c r="AC11" i="117"/>
  <c r="AD11" i="117" s="1"/>
  <c r="W11" i="117" s="1"/>
  <c r="AC7" i="117"/>
  <c r="AD7" i="117" s="1"/>
  <c r="W7" i="117" s="1"/>
  <c r="AC8" i="117"/>
  <c r="AD8" i="117" s="1"/>
  <c r="W8" i="117" s="1"/>
  <c r="AC22" i="117"/>
  <c r="AD22" i="117" s="1"/>
  <c r="W22" i="117" s="1"/>
  <c r="AC12" i="117"/>
  <c r="AD12" i="117" s="1"/>
  <c r="W12" i="117" s="1"/>
  <c r="AC20" i="117"/>
  <c r="AD20" i="117" s="1"/>
  <c r="W20" i="117" s="1"/>
  <c r="AC21" i="117"/>
  <c r="AD21" i="117" s="1"/>
  <c r="W21" i="117" s="1"/>
  <c r="AC16" i="117"/>
  <c r="AD16" i="117" s="1"/>
  <c r="W16" i="117" s="1"/>
  <c r="AC17" i="117"/>
  <c r="AD17" i="117" s="1"/>
  <c r="W17" i="11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40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Y12" authorId="0" shapeId="0" xr:uid="{00000000-0006-0000-41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42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Y12" authorId="0" shapeId="0" xr:uid="{00000000-0006-0000-43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44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9" authorId="0" shapeId="0" xr:uid="{00000000-0006-0000-45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46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9" authorId="0" shapeId="0" xr:uid="{00000000-0006-0000-47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48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8" authorId="0" shapeId="0" xr:uid="{00000000-0006-0000-49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4A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4B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4C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4D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4E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4F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W12" authorId="0" shapeId="0" xr:uid="{00000000-0006-0000-50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P12" authorId="0" shapeId="0" xr:uid="{00000000-0006-0000-51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P11" authorId="0" shapeId="0" xr:uid="{00000000-0006-0000-52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3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4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5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6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7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8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9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A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B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C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D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E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5F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60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61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62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63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64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65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66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67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68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69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O12" authorId="0" shapeId="0" xr:uid="{00000000-0006-0000-6A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M12" authorId="0" shapeId="0" xr:uid="{00000000-0006-0000-6B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M12" authorId="0" shapeId="0" xr:uid="{00000000-0006-0000-6C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M12" authorId="0" shapeId="0" xr:uid="{00000000-0006-0000-6D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M12" authorId="0" shapeId="0" xr:uid="{00000000-0006-0000-6E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M12" authorId="0" shapeId="0" xr:uid="{00000000-0006-0000-6F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M12" authorId="0" shapeId="0" xr:uid="{00000000-0006-0000-70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M12" authorId="0" shapeId="0" xr:uid="{00000000-0006-0000-71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M12" authorId="0" shapeId="0" xr:uid="{00000000-0006-0000-72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M12" authorId="0" shapeId="0" xr:uid="{00000000-0006-0000-73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Logistica1</author>
  </authors>
  <commentList>
    <comment ref="M12" authorId="0" shapeId="0" xr:uid="{00000000-0006-0000-7400-000001000000}">
      <text>
        <r>
          <rPr>
            <b/>
            <sz val="9"/>
            <color indexed="81"/>
            <rFont val="Tahoma"/>
            <family val="2"/>
          </rPr>
          <t xml:space="preserve">Logistica1: Pesar cuando lleguen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<sst xmlns="http://schemas.openxmlformats.org/spreadsheetml/2006/main" count="12807" uniqueCount="753">
  <si>
    <t>Relev GARAGE</t>
  </si>
  <si>
    <t xml:space="preserve">Fecha: </t>
  </si>
  <si>
    <t>Informacion</t>
  </si>
  <si>
    <t>Art</t>
  </si>
  <si>
    <t>Sector</t>
  </si>
  <si>
    <t>Descripcion</t>
  </si>
  <si>
    <t>Stock Actual Kg</t>
  </si>
  <si>
    <t>Stock Actual en Uni.</t>
  </si>
  <si>
    <t>Pedido</t>
  </si>
  <si>
    <t>Gr x uni</t>
  </si>
  <si>
    <t>KG x Uni</t>
  </si>
  <si>
    <t>Uni x Cajon</t>
  </si>
  <si>
    <t>Stock ideal Cajon 1.5 meses</t>
  </si>
  <si>
    <t>Max Entra</t>
  </si>
  <si>
    <t>Est Madre Uni</t>
  </si>
  <si>
    <t>GRJ 1</t>
  </si>
  <si>
    <t>Uña 500 LK</t>
  </si>
  <si>
    <t>GRJ 2</t>
  </si>
  <si>
    <t>Uña 706 CH</t>
  </si>
  <si>
    <t>112K</t>
  </si>
  <si>
    <t>GRJ 3</t>
  </si>
  <si>
    <t>Uña Krea CH</t>
  </si>
  <si>
    <t>GRJ 4</t>
  </si>
  <si>
    <t>Bomb Autolimp. 654</t>
  </si>
  <si>
    <t>GRJ 5</t>
  </si>
  <si>
    <t>Bomb. Tradicional 558</t>
  </si>
  <si>
    <t>GRJ 6</t>
  </si>
  <si>
    <t>Bomb. Tradicional 557</t>
  </si>
  <si>
    <t>GRJ7/8</t>
  </si>
  <si>
    <t>Uña LK 506</t>
  </si>
  <si>
    <t>GRJ9</t>
  </si>
  <si>
    <t>Uña Crom 510</t>
  </si>
  <si>
    <t>GRJ 10</t>
  </si>
  <si>
    <t>Colador 10 CH</t>
  </si>
  <si>
    <t>Colador 10 LK</t>
  </si>
  <si>
    <t>GRJ 11</t>
  </si>
  <si>
    <t>Colador 8 CH</t>
  </si>
  <si>
    <t>Colador 8 LK</t>
  </si>
  <si>
    <t>Kg x Cajon</t>
  </si>
  <si>
    <t>Stock Actual Cajon/Paq</t>
  </si>
  <si>
    <t>Colador 16</t>
  </si>
  <si>
    <t>Colador 20</t>
  </si>
  <si>
    <t>GRJ12</t>
  </si>
  <si>
    <t>GRJ13</t>
  </si>
  <si>
    <t>GR12</t>
  </si>
  <si>
    <t>GJ13</t>
  </si>
  <si>
    <t>Prov</t>
  </si>
  <si>
    <t>Martin C</t>
  </si>
  <si>
    <t>Ruben</t>
  </si>
  <si>
    <t>Camino</t>
  </si>
  <si>
    <t>Telametal</t>
  </si>
  <si>
    <t>Colador 16 LK</t>
  </si>
  <si>
    <t>Colador 20 LK</t>
  </si>
  <si>
    <t>Fabrica</t>
  </si>
  <si>
    <t>Pedido KG</t>
  </si>
  <si>
    <t xml:space="preserve">  </t>
  </si>
  <si>
    <t>Pedudo Uni</t>
  </si>
  <si>
    <t>Ocup %</t>
  </si>
  <si>
    <t>Max Uni</t>
  </si>
  <si>
    <t>Pedido Uni</t>
  </si>
  <si>
    <t>Colador 16 CH</t>
  </si>
  <si>
    <t>Colador 20 CH</t>
  </si>
  <si>
    <t>Stock Actual Uni.</t>
  </si>
  <si>
    <t>Max Entra Caj</t>
  </si>
  <si>
    <t>Stock Ideal Cajon 1.5 meses</t>
  </si>
  <si>
    <t>Gr x Uni</t>
  </si>
  <si>
    <t>Stock   1.5 meses</t>
  </si>
  <si>
    <t>Max 1.5 Meses</t>
  </si>
  <si>
    <t>Pedido Cajon</t>
  </si>
  <si>
    <t>Stock Tall Uni</t>
  </si>
  <si>
    <t>Stock CD Uni</t>
  </si>
  <si>
    <t>Max Tall Uni</t>
  </si>
  <si>
    <t>Max CD Uni</t>
  </si>
  <si>
    <t xml:space="preserve">INFORMACION </t>
  </si>
  <si>
    <t>Stock Total Uni</t>
  </si>
  <si>
    <t>% Ocup Total</t>
  </si>
  <si>
    <t xml:space="preserve">% Ocup </t>
  </si>
  <si>
    <t>Formato</t>
  </si>
  <si>
    <t/>
  </si>
  <si>
    <t>Pedido Damian</t>
  </si>
  <si>
    <t>Uni x Rollo</t>
  </si>
  <si>
    <t>Stock Rollo Tela</t>
  </si>
  <si>
    <t>30 Rollos</t>
  </si>
  <si>
    <t>Pedi KG</t>
  </si>
  <si>
    <t>Coladores</t>
  </si>
  <si>
    <t>Ocupacion Total</t>
  </si>
  <si>
    <t>Carlos</t>
  </si>
  <si>
    <t>Relevamiento GARAGE</t>
  </si>
  <si>
    <t xml:space="preserve">% Ocup Total </t>
  </si>
  <si>
    <t>Max Entra Caj/ Bolsa</t>
  </si>
  <si>
    <t>Stock Actual Cajon/Bolsa</t>
  </si>
  <si>
    <t>Kg x Cajon/Bolsa</t>
  </si>
  <si>
    <t>Fecha Pedido</t>
  </si>
  <si>
    <t>Bomb. Resorte Chata 557</t>
  </si>
  <si>
    <t>Bomb. Resorte Trad 558</t>
  </si>
  <si>
    <t xml:space="preserve">Relevamiento Garage </t>
  </si>
  <si>
    <t>Este pedido anula cualquier pedido anterior</t>
  </si>
  <si>
    <t>Martin</t>
  </si>
  <si>
    <t xml:space="preserve">Discontinuo </t>
  </si>
  <si>
    <t>Fecha: 26/9/2024</t>
  </si>
  <si>
    <t xml:space="preserve"> </t>
  </si>
  <si>
    <t>Cod Nuevo Isis</t>
  </si>
  <si>
    <t xml:space="preserve">Pelador Mgo Plastico     </t>
  </si>
  <si>
    <t xml:space="preserve">Abrelatas Uña            </t>
  </si>
  <si>
    <t xml:space="preserve">Pelador Mgo Metalico     </t>
  </si>
  <si>
    <t xml:space="preserve">Filtro De Cafe           </t>
  </si>
  <si>
    <t xml:space="preserve">Pelapapas Mgo Ergonomico </t>
  </si>
  <si>
    <t>Sacacorcho Tipo Mozo Color</t>
  </si>
  <si>
    <t xml:space="preserve">Corta Queso              </t>
  </si>
  <si>
    <t xml:space="preserve">Batidor Pera Alambre     </t>
  </si>
  <si>
    <t xml:space="preserve">Afila Cuchillos          </t>
  </si>
  <si>
    <t xml:space="preserve">Abrelatas A Manija       </t>
  </si>
  <si>
    <t xml:space="preserve">Abrelatas A Mariposa     </t>
  </si>
  <si>
    <t xml:space="preserve">Rallador Cilindrico  </t>
  </si>
  <si>
    <t>Abrelata Uña Cromado</t>
  </si>
  <si>
    <t xml:space="preserve">Colador N°10             </t>
  </si>
  <si>
    <t>Pelapapas Cuchilla Corte Laser</t>
  </si>
  <si>
    <t xml:space="preserve">Pisa Papas Acero Inox    </t>
  </si>
  <si>
    <t>Sacacorcho Tipo Mozo Crom</t>
  </si>
  <si>
    <t xml:space="preserve">Colador N°8              </t>
  </si>
  <si>
    <t xml:space="preserve">Espatula Repostera Plast </t>
  </si>
  <si>
    <t xml:space="preserve">Colador N°20             </t>
  </si>
  <si>
    <t>529E</t>
  </si>
  <si>
    <t xml:space="preserve">Sacacorcho Doble Impulso </t>
  </si>
  <si>
    <t>Cuchara Madera 30 Cm X 12</t>
  </si>
  <si>
    <t xml:space="preserve">Colador N°16             </t>
  </si>
  <si>
    <t>Bombilla Resorte Tradicio</t>
  </si>
  <si>
    <t xml:space="preserve">Sacacorcho Doble Aleta   </t>
  </si>
  <si>
    <t>Abrelata Mariposa Plastic</t>
  </si>
  <si>
    <t>Sacacorcho Combinado Crom</t>
  </si>
  <si>
    <t>Sacacorcho Cabo Plastico</t>
  </si>
  <si>
    <t>Sacacorcho Combinado Color</t>
  </si>
  <si>
    <t>Cuchara De Cocina 33 Cm X 12</t>
  </si>
  <si>
    <t xml:space="preserve">Cepillo Limpia Bombilla  </t>
  </si>
  <si>
    <t>Tapon De Vino/Cerv X1  Negro</t>
  </si>
  <si>
    <t>Abrelata Super Mariposa</t>
  </si>
  <si>
    <t>Cepillo Limpia Vaso Mamad</t>
  </si>
  <si>
    <t>Filtro De Cafe Gastronomi</t>
  </si>
  <si>
    <t>Cuchillo Untar Mgo Plast Inox</t>
  </si>
  <si>
    <t xml:space="preserve">Filtro Para Bombillas    </t>
  </si>
  <si>
    <t>Corta Pizza Mgo 6cm</t>
  </si>
  <si>
    <t>816E</t>
  </si>
  <si>
    <t xml:space="preserve">Pelador "V" Horizontal   </t>
  </si>
  <si>
    <t xml:space="preserve">Ñoquera Madera           </t>
  </si>
  <si>
    <t xml:space="preserve">Abrelata Uña Pie Color   </t>
  </si>
  <si>
    <t>Bombilla Autolimpiante In</t>
  </si>
  <si>
    <t xml:space="preserve">Corta Pizza Gastronomico </t>
  </si>
  <si>
    <t>Sacacorcho Cabo De Madera</t>
  </si>
  <si>
    <t xml:space="preserve">Pinza Chica              </t>
  </si>
  <si>
    <t>Cuchara Madera 35 Cm X 12</t>
  </si>
  <si>
    <t xml:space="preserve">Sacafuente Gastronomico  </t>
  </si>
  <si>
    <t>Batidor Mini</t>
  </si>
  <si>
    <t>Tapon De Vino/Cerveza Premium</t>
  </si>
  <si>
    <t>Manga Repostera + 4 Boqui</t>
  </si>
  <si>
    <t xml:space="preserve">Rompenueces              </t>
  </si>
  <si>
    <t>Cuchara Madera 40 Cm X 12</t>
  </si>
  <si>
    <t xml:space="preserve">Corta Ravioles           </t>
  </si>
  <si>
    <t>Cuchillo De Untar X 2 mad</t>
  </si>
  <si>
    <t>Cuchara Madera 45 Cm X 12</t>
  </si>
  <si>
    <t xml:space="preserve">Bombilla Resorte Chata   </t>
  </si>
  <si>
    <t>Destapa Corona X1 Cromado</t>
  </si>
  <si>
    <t>Ñoquera Mad. Mgo Redondo</t>
  </si>
  <si>
    <t xml:space="preserve">Pinza De Hielo           </t>
  </si>
  <si>
    <t xml:space="preserve">Bate Bife Madera         </t>
  </si>
  <si>
    <t>Pisa Papas Nylon Mgo Plas</t>
  </si>
  <si>
    <t>Bombilla Colores Metaliza</t>
  </si>
  <si>
    <t xml:space="preserve">Sacafuentes Articulado   </t>
  </si>
  <si>
    <t>Bombilla Coco Hexagonal</t>
  </si>
  <si>
    <t>Descorazonador De Manzana</t>
  </si>
  <si>
    <t>Pinza De Fideos Mgo Plast X 12</t>
  </si>
  <si>
    <t>Cuchara Madera 25 Cm X 12</t>
  </si>
  <si>
    <t>811E</t>
  </si>
  <si>
    <t>Corta Pizza C/Mgo Ergonom</t>
  </si>
  <si>
    <t xml:space="preserve">Ahueca Frutas            </t>
  </si>
  <si>
    <t xml:space="preserve">Pelanaranjas X 1 Display </t>
  </si>
  <si>
    <t xml:space="preserve">Cucharon Nylon 1 Pza     </t>
  </si>
  <si>
    <t>Pinza De Fiambre Mgo Plas X 12</t>
  </si>
  <si>
    <t xml:space="preserve">Pala De Torta Acero Inox </t>
  </si>
  <si>
    <t xml:space="preserve">Batidor Resorte          </t>
  </si>
  <si>
    <t>Tapon De Vino/Cerv X 1 Color</t>
  </si>
  <si>
    <t xml:space="preserve">Cuchara De Helado        </t>
  </si>
  <si>
    <t xml:space="preserve">3 En 1                   </t>
  </si>
  <si>
    <t>Espatula Lisa Nylon 1 Pza</t>
  </si>
  <si>
    <t xml:space="preserve">Ahueca Papas             </t>
  </si>
  <si>
    <t>Muñeco Silicona Antiderra</t>
  </si>
  <si>
    <t>Espatula Calada Nylon 1 P</t>
  </si>
  <si>
    <t>Cuchillito De Untar Plast</t>
  </si>
  <si>
    <t xml:space="preserve">Cuchara Salsera Inox     </t>
  </si>
  <si>
    <t xml:space="preserve">Cierra Bolsa X2          </t>
  </si>
  <si>
    <t>Rallador Cilindrico Chico</t>
  </si>
  <si>
    <t>Tabla Pino 22*40</t>
  </si>
  <si>
    <t xml:space="preserve">Pala De Canelones        </t>
  </si>
  <si>
    <t xml:space="preserve">Prensa Matambre          </t>
  </si>
  <si>
    <t xml:space="preserve">Enrulador De Manteca     </t>
  </si>
  <si>
    <t xml:space="preserve">Pincel Pastelero         </t>
  </si>
  <si>
    <t xml:space="preserve">Espumadera Ac.Inox.      </t>
  </si>
  <si>
    <t>Cuchara de Fideos Nylon Mgo GE</t>
  </si>
  <si>
    <t>Pinza De Ensalada Mgo Pla X 12</t>
  </si>
  <si>
    <t xml:space="preserve">Destapador Pie Color     </t>
  </si>
  <si>
    <t>Cuchara Pulpo Nylon 1 Pza</t>
  </si>
  <si>
    <t xml:space="preserve">Cucharon Ac.Inox.        </t>
  </si>
  <si>
    <t xml:space="preserve">Espatula Acero Inox.     </t>
  </si>
  <si>
    <t xml:space="preserve">Cuchillo Torta Acero Inox </t>
  </si>
  <si>
    <t xml:space="preserve">Cucharita 13cm Azucarera </t>
  </si>
  <si>
    <t xml:space="preserve">Pinza Grande Proximamente          </t>
  </si>
  <si>
    <t xml:space="preserve">Exprimidor De Citricos   </t>
  </si>
  <si>
    <t xml:space="preserve">Paleta Batidora          </t>
  </si>
  <si>
    <t>814E</t>
  </si>
  <si>
    <t>Mariposa Manopla Magnetic</t>
  </si>
  <si>
    <t>585E</t>
  </si>
  <si>
    <t>Sac.Doble Aleta Fundicion</t>
  </si>
  <si>
    <t>819E</t>
  </si>
  <si>
    <t xml:space="preserve">Sacacorcho "Fish" Grande </t>
  </si>
  <si>
    <t>580E</t>
  </si>
  <si>
    <t>503E</t>
  </si>
  <si>
    <t>Abrelatas Doble Engranaje</t>
  </si>
  <si>
    <t>809E</t>
  </si>
  <si>
    <t>Corta Pizza Familiar</t>
  </si>
  <si>
    <t xml:space="preserve">Destapacorona Suelto     </t>
  </si>
  <si>
    <t xml:space="preserve">Cucharita Matera         </t>
  </si>
  <si>
    <t>438E</t>
  </si>
  <si>
    <t xml:space="preserve">Colador Acero Inox 20 Cm </t>
  </si>
  <si>
    <t xml:space="preserve">Cuchara Calada Ac.Inox.  </t>
  </si>
  <si>
    <t>Cuchara Calada Nylon 1 Pz</t>
  </si>
  <si>
    <t>Espumadera Nylon c/ Mgo</t>
  </si>
  <si>
    <t>Cepillo Lava Vajilla</t>
  </si>
  <si>
    <t xml:space="preserve">Cuchara Spaghetti Ac Inox. </t>
  </si>
  <si>
    <t xml:space="preserve">Espatula Lisa Ac.Inox.   </t>
  </si>
  <si>
    <t>Destapador Pie Cromado</t>
  </si>
  <si>
    <t>Tenedor Ac Inox</t>
  </si>
  <si>
    <t xml:space="preserve">Corta Torta              </t>
  </si>
  <si>
    <t>435E</t>
  </si>
  <si>
    <t xml:space="preserve">Colador Acero Inox 10 Cm </t>
  </si>
  <si>
    <t>478E</t>
  </si>
  <si>
    <t>525E</t>
  </si>
  <si>
    <t>Sacacorcho Cabo Madera</t>
  </si>
  <si>
    <t xml:space="preserve">Corta Queso De Alambre   </t>
  </si>
  <si>
    <t xml:space="preserve">Colador N°13 Discontinuo        </t>
  </si>
  <si>
    <t xml:space="preserve">Mate Forrado             </t>
  </si>
  <si>
    <t xml:space="preserve">Mate Calabaza C/Virola   </t>
  </si>
  <si>
    <t xml:space="preserve">Mate Calabaza S/Virola   </t>
  </si>
  <si>
    <t>Descarozador De Aceitunas</t>
  </si>
  <si>
    <t>574E</t>
  </si>
  <si>
    <t>361E</t>
  </si>
  <si>
    <t>Rallador 4 Lados Ac Inox(</t>
  </si>
  <si>
    <t>R</t>
  </si>
  <si>
    <t xml:space="preserve">Cuchillo De Untar Suelto </t>
  </si>
  <si>
    <t>328E</t>
  </si>
  <si>
    <t xml:space="preserve">Rallador Plano 3 Usos Ac </t>
  </si>
  <si>
    <t>360E</t>
  </si>
  <si>
    <t xml:space="preserve">Rallador 4 Lados A/I Mgo </t>
  </si>
  <si>
    <t>363E</t>
  </si>
  <si>
    <t>Rallador Gurmet Grano Fin</t>
  </si>
  <si>
    <t>810E</t>
  </si>
  <si>
    <t>Corta Queso Semiduros A/I</t>
  </si>
  <si>
    <t>Palo Amasar 30cm</t>
  </si>
  <si>
    <t>Palo Amasar 50cm</t>
  </si>
  <si>
    <t>436E</t>
  </si>
  <si>
    <t xml:space="preserve">Colador Acero Inox 14 Cm </t>
  </si>
  <si>
    <t>812E</t>
  </si>
  <si>
    <t xml:space="preserve">Corta Huevo              </t>
  </si>
  <si>
    <t>437E</t>
  </si>
  <si>
    <t xml:space="preserve">Colador Acero Inox 16 Cm </t>
  </si>
  <si>
    <t>Palo Amasar 40cm</t>
  </si>
  <si>
    <t>Tenedor De Copetin X 6 Un</t>
  </si>
  <si>
    <t>Pinza Articulada Gastro Proximamente</t>
  </si>
  <si>
    <t>558D</t>
  </si>
  <si>
    <t xml:space="preserve">Tostador                 </t>
  </si>
  <si>
    <t xml:space="preserve">Tostador Enlozado        </t>
  </si>
  <si>
    <t>Bombilla Eco Plastica</t>
  </si>
  <si>
    <t>817E</t>
  </si>
  <si>
    <t>Rallador C/Mgo Ergonomico</t>
  </si>
  <si>
    <t xml:space="preserve">Espatula Plastica 3 Usos </t>
  </si>
  <si>
    <t>Pinza Reforzada</t>
  </si>
  <si>
    <t>364E</t>
  </si>
  <si>
    <t>Rallador Gourmet Grano Me</t>
  </si>
  <si>
    <t xml:space="preserve">Pinza Grande             </t>
  </si>
  <si>
    <t>Pinche De Choclo X 4 Unid</t>
  </si>
  <si>
    <t xml:space="preserve">Sacacorcho De Espumantes </t>
  </si>
  <si>
    <t>Sacayerba</t>
  </si>
  <si>
    <t>502T</t>
  </si>
  <si>
    <t>Abrelata Mariposa Tira Imp.</t>
  </si>
  <si>
    <t>365E</t>
  </si>
  <si>
    <t>Rallador Gourmet Grano Gr</t>
  </si>
  <si>
    <t>510T</t>
  </si>
  <si>
    <t>Abrelata Uña Crom Tira Imp</t>
  </si>
  <si>
    <t>388E</t>
  </si>
  <si>
    <t xml:space="preserve">Maquina Corta Papa       </t>
  </si>
  <si>
    <t>520T</t>
  </si>
  <si>
    <t>Sac. Tipo Mozo Cromado Tira Imp.</t>
  </si>
  <si>
    <t>Plato De Picada P.P 21 Cm</t>
  </si>
  <si>
    <t>581T</t>
  </si>
  <si>
    <t>Sac. Cabo Nylon Tira Imp</t>
  </si>
  <si>
    <t>587T</t>
  </si>
  <si>
    <t>Pelador Cuchilla Laser Tira Imp</t>
  </si>
  <si>
    <t>367E</t>
  </si>
  <si>
    <t>Rallador Hexagonal Ac Ino</t>
  </si>
  <si>
    <t>439E</t>
  </si>
  <si>
    <t>Colapasta Metal Perforado</t>
  </si>
  <si>
    <t>440E</t>
  </si>
  <si>
    <t>Colador Extensib. A/I 34X</t>
  </si>
  <si>
    <t>366E</t>
  </si>
  <si>
    <t>Rallador Conico A/I X 12</t>
  </si>
  <si>
    <t>Sacacorcho Doble Aleta Lu</t>
  </si>
  <si>
    <t>Bombilla Bolita</t>
  </si>
  <si>
    <t>Bombilla Basica Larga Rec</t>
  </si>
  <si>
    <t>Bombilla Basica Larga Cur</t>
  </si>
  <si>
    <t>502E</t>
  </si>
  <si>
    <t xml:space="preserve">Abrelata Mariposa        </t>
  </si>
  <si>
    <t>368E</t>
  </si>
  <si>
    <t>Rallador Hexagonal A/I Con Bas 25cm</t>
  </si>
  <si>
    <t>512E</t>
  </si>
  <si>
    <t>369E</t>
  </si>
  <si>
    <t>Rallador 4 Lados A/I Mgo C/Bas 25cm</t>
  </si>
  <si>
    <t>544E</t>
  </si>
  <si>
    <t xml:space="preserve">Batidor Pera Display     </t>
  </si>
  <si>
    <t>Colador N°7 Discontinuo</t>
  </si>
  <si>
    <t xml:space="preserve">Sacaf Alamb Proximamente    </t>
  </si>
  <si>
    <t xml:space="preserve">Pinza Hamburguesa       </t>
  </si>
  <si>
    <t>Bombilla Autolimpiante Ni</t>
  </si>
  <si>
    <t>813E</t>
  </si>
  <si>
    <t xml:space="preserve">Afila Cuchillo           </t>
  </si>
  <si>
    <t>815E</t>
  </si>
  <si>
    <t>Batidor Pera Con Mgo Ergo</t>
  </si>
  <si>
    <t>818E</t>
  </si>
  <si>
    <t>Corta Pizza Manual</t>
  </si>
  <si>
    <t>Mini Batidor Pera x1</t>
  </si>
  <si>
    <t>030E</t>
  </si>
  <si>
    <t>Colador 20 Cm Acero Inox</t>
  </si>
  <si>
    <t>Sacacorchos Tipo Mozo Suelto</t>
  </si>
  <si>
    <t>690E</t>
  </si>
  <si>
    <t>692E</t>
  </si>
  <si>
    <t>702E</t>
  </si>
  <si>
    <t>712E</t>
  </si>
  <si>
    <t>725E</t>
  </si>
  <si>
    <t>727E</t>
  </si>
  <si>
    <t>729E</t>
  </si>
  <si>
    <t>733E</t>
  </si>
  <si>
    <t>865E</t>
  </si>
  <si>
    <t>868E</t>
  </si>
  <si>
    <t>877E</t>
  </si>
  <si>
    <t xml:space="preserve">Tres En Uno              </t>
  </si>
  <si>
    <t xml:space="preserve">Lavavajilla C/Mgo.Arte   </t>
  </si>
  <si>
    <t>Pinza De Fiambre*Arte* X 12</t>
  </si>
  <si>
    <t xml:space="preserve">Pinza De Fideos*Arte*  </t>
  </si>
  <si>
    <t xml:space="preserve">Pinza De Ensalada*Arte*  </t>
  </si>
  <si>
    <t>Pinza Chica Detalles Bco Azul</t>
  </si>
  <si>
    <t>Afila Cuchillo Con Base V</t>
  </si>
  <si>
    <t>Pelapapas Mgo Plast Verde</t>
  </si>
  <si>
    <t xml:space="preserve">Limpia Mamadera A/I      </t>
  </si>
  <si>
    <t xml:space="preserve">Espumadera Nylon C/Mgo </t>
  </si>
  <si>
    <t>Cuchara Fideos Nylon C/Mgo</t>
  </si>
  <si>
    <t xml:space="preserve">Cucharon Nylon C/Mgo   </t>
  </si>
  <si>
    <t>Espatula Calada Nylon C/Mgo</t>
  </si>
  <si>
    <t>Espatula Lisa Nylon C/Mgo</t>
  </si>
  <si>
    <t xml:space="preserve">Pisa Papas               </t>
  </si>
  <si>
    <t>Cuchara Calada 1 Pieza Ac. Inox</t>
  </si>
  <si>
    <t>Pinza Del Chef</t>
  </si>
  <si>
    <t>Espat. Repost. Goma Gastr</t>
  </si>
  <si>
    <t>Espatula Repost. Goma Com</t>
  </si>
  <si>
    <t>Cucharon Ac Inox C/Mgo Ch</t>
  </si>
  <si>
    <t xml:space="preserve">Espumadera Ac Inox C/Mgo </t>
  </si>
  <si>
    <t>Pinche Ac Inox C/Mgo Chef</t>
  </si>
  <si>
    <t>Cuchara Salsera Ac Inox</t>
  </si>
  <si>
    <t>Cuchara Calada Ac Inox</t>
  </si>
  <si>
    <t>Espatula Lisa Ac Inox</t>
  </si>
  <si>
    <t>Espatula Calada Ac Inox</t>
  </si>
  <si>
    <t>Cuchara Spaghetti Ac. Inox</t>
  </si>
  <si>
    <t xml:space="preserve">Mariposa Magnetica            </t>
  </si>
  <si>
    <t xml:space="preserve">Destapaca Corona Pint. X </t>
  </si>
  <si>
    <t xml:space="preserve">Abrelatas Mariposa       </t>
  </si>
  <si>
    <t xml:space="preserve">Abrelatas Uñas           </t>
  </si>
  <si>
    <t>Sacafuentes Articulado</t>
  </si>
  <si>
    <t>Enrulador Manteca</t>
  </si>
  <si>
    <t xml:space="preserve">Pelapapas Metalico       </t>
  </si>
  <si>
    <t xml:space="preserve">Cierra Bolsa X 4         </t>
  </si>
  <si>
    <t>Cuchillo de Untar Acrilico Transp.</t>
  </si>
  <si>
    <t xml:space="preserve">Cuch. Untar Blanco X 4   </t>
  </si>
  <si>
    <t>Cuch Untar Mgo Madera X2</t>
  </si>
  <si>
    <t xml:space="preserve">Ahueca Papa              </t>
  </si>
  <si>
    <t>Espumante</t>
  </si>
  <si>
    <t>Sacacorcho Tipo Mozo Colo</t>
  </si>
  <si>
    <t>Sacacocrcho Combinado Col</t>
  </si>
  <si>
    <t xml:space="preserve">Cuchara Helado           </t>
  </si>
  <si>
    <t>Sacacorcho Ergonomico Plast</t>
  </si>
  <si>
    <t xml:space="preserve">Bombilla Coco Bolita </t>
  </si>
  <si>
    <t>Bomb. Resorte Color Metal</t>
  </si>
  <si>
    <t xml:space="preserve">Filtro Para Bombilla     </t>
  </si>
  <si>
    <t xml:space="preserve">Limpia Bombilla          </t>
  </si>
  <si>
    <t>Bomb. Autolimpiante Ac. I</t>
  </si>
  <si>
    <t xml:space="preserve">Pisa Papa Nylon          </t>
  </si>
  <si>
    <t xml:space="preserve">Pinza Chica Display      </t>
  </si>
  <si>
    <t xml:space="preserve">Tapon Gaseosa            </t>
  </si>
  <si>
    <t>Tapon De Gaseosa X 2 Negr</t>
  </si>
  <si>
    <t>Corta Torta Plast</t>
  </si>
  <si>
    <t xml:space="preserve">Colador 7 Cm             </t>
  </si>
  <si>
    <t xml:space="preserve">Colador 8 Cm             </t>
  </si>
  <si>
    <t xml:space="preserve">Colador 10 Cm            </t>
  </si>
  <si>
    <t xml:space="preserve">Filtro Para Cafe         </t>
  </si>
  <si>
    <t xml:space="preserve">Rallador Chico Chocolate </t>
  </si>
  <si>
    <t xml:space="preserve">Rallador Cilindrico      </t>
  </si>
  <si>
    <t xml:space="preserve">Espatula Lisa Plastica   </t>
  </si>
  <si>
    <t xml:space="preserve">Cuchara Calada Plastica  </t>
  </si>
  <si>
    <t xml:space="preserve">Cuchara Pulpo Plastica   </t>
  </si>
  <si>
    <t xml:space="preserve">Cucharon Plastico        </t>
  </si>
  <si>
    <t xml:space="preserve">Espatula Calada Plastica </t>
  </si>
  <si>
    <t>Espatula Repostera Plasti</t>
  </si>
  <si>
    <t xml:space="preserve">Pinza Hielo Display      </t>
  </si>
  <si>
    <t xml:space="preserve">Pala Torta               </t>
  </si>
  <si>
    <t>Cuchillo De Torta</t>
  </si>
  <si>
    <t xml:space="preserve">Tenedor Copetin X 6      </t>
  </si>
  <si>
    <t xml:space="preserve">Corta Pizza Mgo Chef 6cm              </t>
  </si>
  <si>
    <t xml:space="preserve">Corta Pizza Grande       </t>
  </si>
  <si>
    <t>Filtro De Tela Gastronomi</t>
  </si>
  <si>
    <t xml:space="preserve">Cuchillitos De Untar Mgo </t>
  </si>
  <si>
    <t>Set X 3 Espatulas Plastic</t>
  </si>
  <si>
    <t xml:space="preserve">Prensa Matambre Display  </t>
  </si>
  <si>
    <t>Cuchara Madera 35 Display X 12</t>
  </si>
  <si>
    <t>Cuchara Madera 45 Display X 12</t>
  </si>
  <si>
    <t>Cuchara De Cocina 33Cm X 12</t>
  </si>
  <si>
    <t xml:space="preserve">Ñoquera Display          </t>
  </si>
  <si>
    <t>Bate Bife Display</t>
  </si>
  <si>
    <t>Cuchara Madera 30 Display X 12</t>
  </si>
  <si>
    <t>Tenedor Madera 35cm</t>
  </si>
  <si>
    <t>Cuchara Madera 40 Display X 12</t>
  </si>
  <si>
    <t>Cuchara Madera 25 Display X 12</t>
  </si>
  <si>
    <t>Pelador Mgo Plastico Econ</t>
  </si>
  <si>
    <t>Sac Doble Aleta Fund Eco</t>
  </si>
  <si>
    <t>Corta Queso Blandos Mango Alambre</t>
  </si>
  <si>
    <t>Rallador Plano A/I 3 Usos</t>
  </si>
  <si>
    <t>Corta Pizza Con Mgo Chino</t>
  </si>
  <si>
    <t>Afila Cuchillo Mgo GE</t>
  </si>
  <si>
    <t>COLADOR 16 CM</t>
  </si>
  <si>
    <t>COLADOR 20 CM</t>
  </si>
  <si>
    <t xml:space="preserve">Pinza Grande Display     </t>
  </si>
  <si>
    <t>PLATOS INDIVIDUALES PIZZA X 6</t>
  </si>
  <si>
    <t>Stock Actual Cajon/pa</t>
  </si>
  <si>
    <t>Stock Actual Paq</t>
  </si>
  <si>
    <t>Stock Actual Cajon</t>
  </si>
  <si>
    <t>Pedido paq</t>
  </si>
  <si>
    <t>Pedido cajon</t>
  </si>
  <si>
    <t>Uni x paq</t>
  </si>
  <si>
    <t>Pedido Kg</t>
  </si>
  <si>
    <t>Pedido Caja</t>
  </si>
  <si>
    <t>GRJ15</t>
  </si>
  <si>
    <t>Pintura Azul Mate</t>
  </si>
  <si>
    <t>Distribuidora Libertad</t>
  </si>
  <si>
    <t>Stock Actual Caja</t>
  </si>
  <si>
    <t>Max Entra Caja</t>
  </si>
  <si>
    <t>Kg x Caja</t>
  </si>
  <si>
    <t>Max Entra Kg</t>
  </si>
  <si>
    <t>Est Madre Kg</t>
  </si>
  <si>
    <t>Est Madre Caja</t>
  </si>
  <si>
    <t>Stock Ideal Cajon 1.5 Mes</t>
  </si>
  <si>
    <t>Proveedor</t>
  </si>
  <si>
    <t>Max 1.5 Mes Kg</t>
  </si>
  <si>
    <t>Max 1.5 Mes Caja</t>
  </si>
  <si>
    <t>530-531-730-731-706-700</t>
  </si>
  <si>
    <t>Cod ISIS</t>
  </si>
  <si>
    <t>Descripción</t>
  </si>
  <si>
    <t>Cod Art</t>
  </si>
  <si>
    <t xml:space="preserve">Kg x Uni </t>
  </si>
  <si>
    <t>Articulos  Discontinuos</t>
  </si>
  <si>
    <t xml:space="preserve">Articulos Proximamente </t>
  </si>
  <si>
    <t>Pizzera 35 cm</t>
  </si>
  <si>
    <t>Espatula Calada Nylon Mgo GE</t>
  </si>
  <si>
    <t>Cucharon Nylon Mgo GE</t>
  </si>
  <si>
    <t>Abrelata Mariposa Mgo GE</t>
  </si>
  <si>
    <t>No tocar (Solo para estadistica)</t>
  </si>
  <si>
    <t>362E</t>
  </si>
  <si>
    <t>Pela y Pica ajo</t>
  </si>
  <si>
    <t>Stock Actual Bolsas</t>
  </si>
  <si>
    <t>Stock Actual Bolsa</t>
  </si>
  <si>
    <t>Pedido Bolsas</t>
  </si>
  <si>
    <t>Batidor Pera</t>
  </si>
  <si>
    <t>Stock Ideal Cajon 3 Mes</t>
  </si>
  <si>
    <t>E.Madre Sugerencia Uni x Mes</t>
  </si>
  <si>
    <t>Abr Manija Loke</t>
  </si>
  <si>
    <t>Abr Mariposa Loke</t>
  </si>
  <si>
    <t>Sac Doble Impluso Loke</t>
  </si>
  <si>
    <t>Pel Mgo Met Loke</t>
  </si>
  <si>
    <t>Colador N° 8 Loke</t>
  </si>
  <si>
    <t>Colador  N°10  Loke</t>
  </si>
  <si>
    <t>Afila  Cuch  Loke</t>
  </si>
  <si>
    <t>Batidor Pera Loke</t>
  </si>
  <si>
    <t>Pelador Plastico  Loke</t>
  </si>
  <si>
    <t>Cod.Art.</t>
  </si>
  <si>
    <t>Est Madre</t>
  </si>
  <si>
    <t>110K</t>
  </si>
  <si>
    <t xml:space="preserve">Abrelatas Manija Krea    </t>
  </si>
  <si>
    <t>111K</t>
  </si>
  <si>
    <t xml:space="preserve">Abrelatas Mariposa Krea  </t>
  </si>
  <si>
    <t xml:space="preserve">Abrelata Uña             </t>
  </si>
  <si>
    <t>114K</t>
  </si>
  <si>
    <t>Sacacorcho Combinado Pint</t>
  </si>
  <si>
    <t>115K</t>
  </si>
  <si>
    <t>Sacacorcho Tipo Mozo Pint</t>
  </si>
  <si>
    <t>118K</t>
  </si>
  <si>
    <t>121K</t>
  </si>
  <si>
    <t>126K</t>
  </si>
  <si>
    <t>128K</t>
  </si>
  <si>
    <t xml:space="preserve">Batidor Pera             </t>
  </si>
  <si>
    <t>129K</t>
  </si>
  <si>
    <t xml:space="preserve">Cuchillo De Untae X2     </t>
  </si>
  <si>
    <t>139K</t>
  </si>
  <si>
    <t>Pisa Papa</t>
  </si>
  <si>
    <t>150K</t>
  </si>
  <si>
    <t xml:space="preserve">Cuchara De Madera 35Cm   </t>
  </si>
  <si>
    <t>163K</t>
  </si>
  <si>
    <t>Cuchara De Madera De 30 C</t>
  </si>
  <si>
    <t>Pinche Brochette X4</t>
  </si>
  <si>
    <t>Bombilla Basica Corta Cur</t>
  </si>
  <si>
    <t>Bombilla Basica Corta Rec</t>
  </si>
  <si>
    <t>Bomb Super Niquelada Recta</t>
  </si>
  <si>
    <t>Bombilla Coco Curva  Entr</t>
  </si>
  <si>
    <t>Bomb.Super Niquel.Larg.Cu</t>
  </si>
  <si>
    <t>Mate Forrado</t>
  </si>
  <si>
    <t xml:space="preserve">Palo de Amasar 30Cm  </t>
  </si>
  <si>
    <t>Palo de Amasar 40Cm</t>
  </si>
  <si>
    <t xml:space="preserve">Palo de Amasar de 50Cm </t>
  </si>
  <si>
    <t>111E</t>
  </si>
  <si>
    <t xml:space="preserve">Abrelata Mariposa Blanco </t>
  </si>
  <si>
    <t>263KE</t>
  </si>
  <si>
    <t xml:space="preserve">Colador Acero Inox.10Cm  </t>
  </si>
  <si>
    <t xml:space="preserve">Colador Acero Inox.14 Cm </t>
  </si>
  <si>
    <t xml:space="preserve">Colador Acero Inox.16 Cm </t>
  </si>
  <si>
    <t xml:space="preserve">Colador Acero Inox.20 Cm </t>
  </si>
  <si>
    <t>Colador Metal Perforado A</t>
  </si>
  <si>
    <t>Colador Extensible 34X24X</t>
  </si>
  <si>
    <t>457E</t>
  </si>
  <si>
    <t>Sacacorcho Doble Impul Ve</t>
  </si>
  <si>
    <t>691E</t>
  </si>
  <si>
    <t>Batidor Pera C/Mgo Acero Inox</t>
  </si>
  <si>
    <t>701E</t>
  </si>
  <si>
    <t xml:space="preserve">Abrelata Manija Familiar </t>
  </si>
  <si>
    <t>703E</t>
  </si>
  <si>
    <t xml:space="preserve">Abrelata Doble Engranaje </t>
  </si>
  <si>
    <t>734E</t>
  </si>
  <si>
    <t>Sacacorcho "Fish" C/Corta</t>
  </si>
  <si>
    <t>802E</t>
  </si>
  <si>
    <t>808E</t>
  </si>
  <si>
    <t xml:space="preserve">Corta Huevo Ergonomico   </t>
  </si>
  <si>
    <t>Batidor Pera Mgo Ergonomi</t>
  </si>
  <si>
    <t>876E</t>
  </si>
  <si>
    <t xml:space="preserve">Rallador Mgo Ergonomico  </t>
  </si>
  <si>
    <t>Colador Mate/Cafe</t>
  </si>
  <si>
    <t>Sac. Cabo Nylon</t>
  </si>
  <si>
    <t xml:space="preserve">Pela Y Pica Ajo De Acero </t>
  </si>
  <si>
    <t xml:space="preserve">Colador 13               </t>
  </si>
  <si>
    <t>Pinche De Choclo X4</t>
  </si>
  <si>
    <t xml:space="preserve">Sacacorcho C/ Destapador </t>
  </si>
  <si>
    <t xml:space="preserve">Sacacorcho D/Aleta       </t>
  </si>
  <si>
    <t xml:space="preserve">Abrelata Comun           </t>
  </si>
  <si>
    <t xml:space="preserve">Destapador Comun         </t>
  </si>
  <si>
    <t xml:space="preserve">Pela Papa Comun Metal    </t>
  </si>
  <si>
    <t>Cortador De Piza (Redondo</t>
  </si>
  <si>
    <t xml:space="preserve">Colador N§8              </t>
  </si>
  <si>
    <t xml:space="preserve">Colador N§10             </t>
  </si>
  <si>
    <t xml:space="preserve">Colador N§16             </t>
  </si>
  <si>
    <t xml:space="preserve">Pinza De Spaguetti       </t>
  </si>
  <si>
    <t xml:space="preserve">Tostadora De Pan Metal   </t>
  </si>
  <si>
    <t xml:space="preserve">Batidor Manual           </t>
  </si>
  <si>
    <t xml:space="preserve">Espatula Nylon           </t>
  </si>
  <si>
    <t xml:space="preserve">Cuchara Calada Nylon </t>
  </si>
  <si>
    <t xml:space="preserve">Cuchara Fideos Nylon     </t>
  </si>
  <si>
    <t xml:space="preserve">Cucharon Nylon           </t>
  </si>
  <si>
    <t xml:space="preserve">Espatula Calada Nylon    </t>
  </si>
  <si>
    <t xml:space="preserve">Pisa Papas Nylon         </t>
  </si>
  <si>
    <t>640IN</t>
  </si>
  <si>
    <t xml:space="preserve">Cucharon Acero Inox.     </t>
  </si>
  <si>
    <t>643IN</t>
  </si>
  <si>
    <t xml:space="preserve">Cuchara Acero Inox.      </t>
  </si>
  <si>
    <t>645IN</t>
  </si>
  <si>
    <t xml:space="preserve">Espatula Lisa            </t>
  </si>
  <si>
    <t>646IN</t>
  </si>
  <si>
    <t xml:space="preserve">Tres En Uno Verde        </t>
  </si>
  <si>
    <t>Ahueca Papas</t>
  </si>
  <si>
    <t>Cuchara Salsera Ac Inox Mgo Alam</t>
  </si>
  <si>
    <t>Cuchara Calada Ac Inox Mgo Alam</t>
  </si>
  <si>
    <t xml:space="preserve">Corta Queso Verde        </t>
  </si>
  <si>
    <t xml:space="preserve">Batidor Cocktail         </t>
  </si>
  <si>
    <t>Pinza Hamburguesas</t>
  </si>
  <si>
    <t xml:space="preserve">Colador Pintado N* 10    </t>
  </si>
  <si>
    <t xml:space="preserve">Rallador 1/2 Ca¥A        </t>
  </si>
  <si>
    <t>Rallador Queso Marco Plas</t>
  </si>
  <si>
    <t>908f</t>
  </si>
  <si>
    <t xml:space="preserve">Cuchara De Cocina 33Cm   </t>
  </si>
  <si>
    <t>Tabla De Pino N§3 (39X22)</t>
  </si>
  <si>
    <t>113K</t>
  </si>
  <si>
    <t xml:space="preserve">Sacacorcho Cabo Mad.     </t>
  </si>
  <si>
    <t>113KE</t>
  </si>
  <si>
    <t xml:space="preserve">Sacacorcho Cabo Madera   </t>
  </si>
  <si>
    <t>116K</t>
  </si>
  <si>
    <t>120K</t>
  </si>
  <si>
    <t xml:space="preserve">Corta Pizza Acero Inox   </t>
  </si>
  <si>
    <t>178K</t>
  </si>
  <si>
    <t>178KE</t>
  </si>
  <si>
    <t>180K</t>
  </si>
  <si>
    <t>Colador 10 Cm Pintado Bco</t>
  </si>
  <si>
    <t>183K</t>
  </si>
  <si>
    <t>Colador 13 Cm Pintado Bco</t>
  </si>
  <si>
    <t>252K</t>
  </si>
  <si>
    <t>Pelador Mgo Plastico Krea</t>
  </si>
  <si>
    <t>909S</t>
  </si>
  <si>
    <t>Ñoquera Suelta</t>
  </si>
  <si>
    <t>109K</t>
  </si>
  <si>
    <t>119K</t>
  </si>
  <si>
    <t>138K</t>
  </si>
  <si>
    <t>141K</t>
  </si>
  <si>
    <t xml:space="preserve">Rallador Chico           </t>
  </si>
  <si>
    <t>142K</t>
  </si>
  <si>
    <t xml:space="preserve">Rallador Media Caña      </t>
  </si>
  <si>
    <t>143K</t>
  </si>
  <si>
    <t>145K</t>
  </si>
  <si>
    <t>Pinza Ensalada Acero Inox</t>
  </si>
  <si>
    <t>146K</t>
  </si>
  <si>
    <t>Pinza De Fiambre Acero In</t>
  </si>
  <si>
    <t>147K</t>
  </si>
  <si>
    <t>Pinza De Fideos Acero Ino</t>
  </si>
  <si>
    <t>148K</t>
  </si>
  <si>
    <t>149K</t>
  </si>
  <si>
    <t xml:space="preserve">Ñoquera De Madera        </t>
  </si>
  <si>
    <t>154K</t>
  </si>
  <si>
    <t xml:space="preserve">Bate Bife                </t>
  </si>
  <si>
    <t>159K</t>
  </si>
  <si>
    <t>169K</t>
  </si>
  <si>
    <t xml:space="preserve">Palo De Amasar De 40 Cm  </t>
  </si>
  <si>
    <t>179K</t>
  </si>
  <si>
    <t xml:space="preserve">Tapon De Gaseosa Krea X1 </t>
  </si>
  <si>
    <t>182K</t>
  </si>
  <si>
    <t>184K</t>
  </si>
  <si>
    <t xml:space="preserve">Rompenueces </t>
  </si>
  <si>
    <t>185K</t>
  </si>
  <si>
    <t xml:space="preserve">Pinza Del Chef           </t>
  </si>
  <si>
    <t>188K</t>
  </si>
  <si>
    <t xml:space="preserve">Pinza Gastronomica Acero </t>
  </si>
  <si>
    <t>195K</t>
  </si>
  <si>
    <t xml:space="preserve">Destapacorona Krea X1    </t>
  </si>
  <si>
    <t>196K</t>
  </si>
  <si>
    <t xml:space="preserve">Cuchara Calada Nylon1Pza </t>
  </si>
  <si>
    <t>197K</t>
  </si>
  <si>
    <t>Cuchara Fideos Nylon 1Pza</t>
  </si>
  <si>
    <t>198K</t>
  </si>
  <si>
    <t>199K</t>
  </si>
  <si>
    <t>Espatula Calada Nylon 1Pz</t>
  </si>
  <si>
    <t>716S</t>
  </si>
  <si>
    <t>Destapa Corona Suelto</t>
  </si>
  <si>
    <t>815D</t>
  </si>
  <si>
    <t>Pinza Hamburguesa Display</t>
  </si>
  <si>
    <t>820S</t>
  </si>
  <si>
    <t xml:space="preserve">Tapon Cebador P/Termo 1L </t>
  </si>
  <si>
    <t>821S</t>
  </si>
  <si>
    <t>Tapon Cebador P/Termo T/L</t>
  </si>
  <si>
    <t>822S</t>
  </si>
  <si>
    <t>Tapon Cebador P/Termo A/I</t>
  </si>
  <si>
    <t>181K</t>
  </si>
  <si>
    <t>Colador 20Cm Pintado Bco.</t>
  </si>
  <si>
    <t xml:space="preserve">Pelador Nueva Cocina     </t>
  </si>
  <si>
    <t>53f</t>
  </si>
  <si>
    <t xml:space="preserve">Pinza De Fiambre*Arte*   </t>
  </si>
  <si>
    <t>54f</t>
  </si>
  <si>
    <t xml:space="preserve">Pinza De Ensaladas*Arte* </t>
  </si>
  <si>
    <t>55f</t>
  </si>
  <si>
    <t xml:space="preserve">Pinza De Fideos*Arte*    </t>
  </si>
  <si>
    <t>Sacacorcho Doble Aleta Ve</t>
  </si>
  <si>
    <t>Cucharon Ac Inox Mgo Alam</t>
  </si>
  <si>
    <t xml:space="preserve">Mate Enlozado 2 Asas     </t>
  </si>
  <si>
    <t>Bomb.  Autolimpiante Niqu</t>
  </si>
  <si>
    <t>Pinza De Fideos Ac Inox V</t>
  </si>
  <si>
    <t>Pisa Papas Ac. Inox Verde</t>
  </si>
  <si>
    <t xml:space="preserve">Cucharon Ac.Inox.Verde   </t>
  </si>
  <si>
    <t>Espumadera Acero Inoxidab</t>
  </si>
  <si>
    <t>Cuchara Acero Inox Ve</t>
  </si>
  <si>
    <t>Cuchara Calada Ac.Inox.Ve</t>
  </si>
  <si>
    <t>Pinza Fiambrera Ac Inox</t>
  </si>
  <si>
    <t>Espatula Lisa Verde</t>
  </si>
  <si>
    <t xml:space="preserve">Destapacorona Verde X1   </t>
  </si>
  <si>
    <t>Espatula Acero Inox.Verde</t>
  </si>
  <si>
    <t xml:space="preserve">Abrelatas Mariposa Verde </t>
  </si>
  <si>
    <t>Pelapapas Mgo Metalico Ve</t>
  </si>
  <si>
    <t xml:space="preserve">Ahueca Papas Mgo Verde   </t>
  </si>
  <si>
    <t>Sacacorcho Comb Vde</t>
  </si>
  <si>
    <t xml:space="preserve">Pela Y Pica Ajo Verde    </t>
  </si>
  <si>
    <t>Tapon De Gaseosa Por 1 Ve</t>
  </si>
  <si>
    <t>Pincel Pastelero Vde</t>
  </si>
  <si>
    <t>Sacafuente Alambre Horno El</t>
  </si>
  <si>
    <t xml:space="preserve">Esp. Nylon Verde 1 Pza   </t>
  </si>
  <si>
    <t>Espumadera Mgo Alamb Crom</t>
  </si>
  <si>
    <t>Tenedor Ac Inox Mgo Alam</t>
  </si>
  <si>
    <t>Espatula Lisa Ac Inox Mgo Alam</t>
  </si>
  <si>
    <t>Espatula Calada Ac Ino Mgo Alam</t>
  </si>
  <si>
    <t xml:space="preserve">Cuch. Calada Verde Nylon </t>
  </si>
  <si>
    <t xml:space="preserve">Cuch Spaghetti Verde 1P  </t>
  </si>
  <si>
    <t xml:space="preserve">Cucharon Nylon Verde 1P  </t>
  </si>
  <si>
    <t>Esp Calada Nylon Verde 1P</t>
  </si>
  <si>
    <t>Pala Torta Inox Vde</t>
  </si>
  <si>
    <t xml:space="preserve">Pala De Canelones Verde  </t>
  </si>
  <si>
    <t>735EX</t>
  </si>
  <si>
    <t>Sacacorcho Ergonomico Plast Regalo</t>
  </si>
  <si>
    <t>748EX</t>
  </si>
  <si>
    <t>Bombilla Coco Bolita Regalo</t>
  </si>
  <si>
    <t>GRJ10</t>
  </si>
  <si>
    <t>GJR10</t>
  </si>
  <si>
    <t>INF</t>
  </si>
  <si>
    <t>Stock Act Kg</t>
  </si>
  <si>
    <t xml:space="preserve">                                                                                                                  </t>
  </si>
  <si>
    <t>.</t>
  </si>
  <si>
    <t>Jade</t>
  </si>
  <si>
    <t>Taller</t>
  </si>
  <si>
    <t>Tallerista</t>
  </si>
  <si>
    <t>Cod</t>
  </si>
  <si>
    <t>C10</t>
  </si>
  <si>
    <t>Uñas Zinc.</t>
  </si>
  <si>
    <t>Descrip</t>
  </si>
  <si>
    <t>C1</t>
  </si>
  <si>
    <t>Abrelata Pie Uña Serig</t>
  </si>
  <si>
    <t>A15</t>
  </si>
  <si>
    <t>Cpo Uña Crom. LK C/M</t>
  </si>
  <si>
    <t>A10</t>
  </si>
  <si>
    <t>Cpo Uña LK C/M Pint.</t>
  </si>
  <si>
    <t>LLF7B</t>
  </si>
  <si>
    <t>Arandela Batidor Pera</t>
  </si>
  <si>
    <t>LL9</t>
  </si>
  <si>
    <t>Resorte Batidor Pera</t>
  </si>
  <si>
    <t xml:space="preserve">Fleje Ø2 x 600 </t>
  </si>
  <si>
    <t>Fleje Ø2 x 665</t>
  </si>
  <si>
    <t>E4</t>
  </si>
  <si>
    <t>E5</t>
  </si>
  <si>
    <t>Sector Garage</t>
  </si>
  <si>
    <t>Sector Parte</t>
  </si>
  <si>
    <t>Cajones Pedido</t>
  </si>
  <si>
    <t>Kg x Uni</t>
  </si>
  <si>
    <t>Kg a Enviar</t>
  </si>
  <si>
    <t>Cajon/Paq a Enviar</t>
  </si>
  <si>
    <t>Conteo Garage</t>
  </si>
  <si>
    <t>Fecha</t>
  </si>
  <si>
    <t>Responsable</t>
  </si>
  <si>
    <t>Cajones a Preparar</t>
  </si>
  <si>
    <t>Stock Max Madre 3M</t>
  </si>
  <si>
    <t>Informacion Partes</t>
  </si>
  <si>
    <t>Informacion Cajones Garage</t>
  </si>
  <si>
    <t>Cajon/ Paq a Enviar</t>
  </si>
  <si>
    <t>Conteo GARAGE</t>
  </si>
  <si>
    <t>Garage</t>
  </si>
  <si>
    <t xml:space="preserve">Kg </t>
  </si>
  <si>
    <t>Bombilla Chata</t>
  </si>
  <si>
    <t>Bombilla Tradicional</t>
  </si>
  <si>
    <t>Bombilla autolimpiante</t>
  </si>
  <si>
    <t>KG</t>
  </si>
  <si>
    <t>Bomb. Pico de Loro</t>
  </si>
  <si>
    <t>Cimarron</t>
  </si>
  <si>
    <t>Cod Prov</t>
  </si>
  <si>
    <t>Taller/ Prov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</si>
</sst>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_-* #,##0_-;\-* #,##0_-;_-* &quot;-&quot;??_-;_-@_-"/>
    <numFmt numFmtId="167" formatCode="_ * #,##0.0_ ;_ * \-#,##0.0_ ;_ * &quot;-&quot;??_ ;_ @_ "/>
    <numFmt numFmtId="168" formatCode="_ * #,##0.0000_ ;_ * \-#,##0.0000_ ;_ * &quot;-&quot;??_ ;_ @_ "/>
    <numFmt numFmtId="169" formatCode="#,##0_ ;\-#,##0\ "/>
    <numFmt numFmtId="170" formatCode="dd/mm/yyyy;@"/>
    <numFmt numFmtId="171" formatCode="0.0000"/>
    <numFmt numFmtId="172" formatCode="_-* #,##0.0_-;\-* #,##0.0_-;_-* &quot;-&quot;??_-;_-@_-"/>
    <numFmt numFmtId="173" formatCode="dd/mm/yy"/>
    <numFmt numFmtId="174" formatCode="_ * #,##0.000_ ;_ * \-#,##0.000_ ;_ * &quot;-&quot;??_ ;_ @_ 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b/>
      <sz val="16"/>
      <color indexed="8"/>
      <name val="Calibri"/>
      <family val="2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4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</fills>
  <borders count="6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26">
    <xf numFmtId="0" fontId="0" fillId="0" borderId="0" xfId="0"/>
    <xf numFmtId="0" fontId="2" fillId="0" borderId="0" xfId="0" applyFont="1" applyAlignment="1">
      <alignment vertical="center"/>
    </xf>
    <xf numFmtId="16" fontId="4" fillId="0" borderId="4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8" xfId="0" applyFont="1" applyBorder="1"/>
    <xf numFmtId="0" fontId="6" fillId="0" borderId="11" xfId="0" applyFont="1" applyBorder="1" applyAlignment="1">
      <alignment horizontal="center"/>
    </xf>
    <xf numFmtId="0" fontId="6" fillId="0" borderId="11" xfId="0" applyFont="1" applyBorder="1"/>
    <xf numFmtId="0" fontId="6" fillId="0" borderId="15" xfId="0" applyFont="1" applyBorder="1" applyAlignment="1">
      <alignment horizontal="center"/>
    </xf>
    <xf numFmtId="0" fontId="6" fillId="0" borderId="15" xfId="0" applyFont="1" applyBorder="1"/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65" fontId="6" fillId="2" borderId="12" xfId="0" applyNumberFormat="1" applyFont="1" applyFill="1" applyBorder="1" applyAlignment="1">
      <alignment horizontal="center" vertical="center"/>
    </xf>
    <xf numFmtId="165" fontId="6" fillId="2" borderId="9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165" fontId="6" fillId="0" borderId="9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168" fontId="6" fillId="0" borderId="9" xfId="0" applyNumberFormat="1" applyFont="1" applyBorder="1" applyAlignment="1">
      <alignment horizontal="center" vertical="center"/>
    </xf>
    <xf numFmtId="168" fontId="6" fillId="0" borderId="12" xfId="0" applyNumberFormat="1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7" fontId="6" fillId="0" borderId="18" xfId="0" applyNumberFormat="1" applyFont="1" applyBorder="1" applyAlignment="1">
      <alignment horizontal="center" vertical="center"/>
    </xf>
    <xf numFmtId="167" fontId="6" fillId="0" borderId="5" xfId="0" applyNumberFormat="1" applyFont="1" applyBorder="1" applyAlignment="1">
      <alignment horizontal="center" vertical="center"/>
    </xf>
    <xf numFmtId="165" fontId="6" fillId="0" borderId="20" xfId="0" applyNumberFormat="1" applyFont="1" applyBorder="1" applyAlignment="1">
      <alignment vertical="center"/>
    </xf>
    <xf numFmtId="165" fontId="6" fillId="0" borderId="21" xfId="0" applyNumberFormat="1" applyFont="1" applyBorder="1" applyAlignment="1">
      <alignment vertical="center"/>
    </xf>
    <xf numFmtId="165" fontId="6" fillId="0" borderId="19" xfId="0" applyNumberFormat="1" applyFont="1" applyBorder="1" applyAlignment="1">
      <alignment vertical="center"/>
    </xf>
    <xf numFmtId="167" fontId="6" fillId="0" borderId="11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7" fontId="6" fillId="2" borderId="12" xfId="0" applyNumberFormat="1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5" fontId="6" fillId="0" borderId="25" xfId="0" applyNumberFormat="1" applyFont="1" applyBorder="1" applyAlignment="1">
      <alignment vertical="center"/>
    </xf>
    <xf numFmtId="166" fontId="6" fillId="0" borderId="21" xfId="0" applyNumberFormat="1" applyFont="1" applyBorder="1" applyAlignment="1">
      <alignment horizontal="center" vertical="center"/>
    </xf>
    <xf numFmtId="166" fontId="6" fillId="0" borderId="11" xfId="0" applyNumberFormat="1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6" fillId="0" borderId="21" xfId="0" applyFont="1" applyBorder="1"/>
    <xf numFmtId="0" fontId="6" fillId="0" borderId="25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165" fontId="6" fillId="2" borderId="8" xfId="0" applyNumberFormat="1" applyFont="1" applyFill="1" applyBorder="1" applyAlignment="1">
      <alignment horizontal="center" vertical="center"/>
    </xf>
    <xf numFmtId="165" fontId="6" fillId="2" borderId="29" xfId="0" applyNumberFormat="1" applyFont="1" applyFill="1" applyBorder="1" applyAlignment="1">
      <alignment vertical="center"/>
    </xf>
    <xf numFmtId="165" fontId="6" fillId="2" borderId="11" xfId="0" applyNumberFormat="1" applyFont="1" applyFill="1" applyBorder="1" applyAlignment="1">
      <alignment horizontal="center" vertical="center"/>
    </xf>
    <xf numFmtId="165" fontId="6" fillId="2" borderId="30" xfId="0" applyNumberFormat="1" applyFont="1" applyFill="1" applyBorder="1" applyAlignment="1">
      <alignment horizontal="center" vertical="center"/>
    </xf>
    <xf numFmtId="165" fontId="6" fillId="2" borderId="26" xfId="0" applyNumberFormat="1" applyFont="1" applyFill="1" applyBorder="1" applyAlignment="1">
      <alignment horizontal="center" vertical="center"/>
    </xf>
    <xf numFmtId="165" fontId="6" fillId="2" borderId="31" xfId="0" applyNumberFormat="1" applyFont="1" applyFill="1" applyBorder="1" applyAlignment="1">
      <alignment vertical="center"/>
    </xf>
    <xf numFmtId="165" fontId="7" fillId="0" borderId="25" xfId="0" applyNumberFormat="1" applyFont="1" applyBorder="1"/>
    <xf numFmtId="0" fontId="7" fillId="0" borderId="25" xfId="0" applyFont="1" applyBorder="1" applyAlignment="1">
      <alignment horizontal="center"/>
    </xf>
    <xf numFmtId="165" fontId="6" fillId="2" borderId="25" xfId="0" applyNumberFormat="1" applyFont="1" applyFill="1" applyBorder="1" applyAlignment="1">
      <alignment horizontal="center" vertical="center"/>
    </xf>
    <xf numFmtId="165" fontId="6" fillId="2" borderId="25" xfId="0" applyNumberFormat="1" applyFont="1" applyFill="1" applyBorder="1" applyAlignment="1">
      <alignment vertical="center"/>
    </xf>
    <xf numFmtId="1" fontId="7" fillId="0" borderId="25" xfId="0" applyNumberFormat="1" applyFont="1" applyBorder="1" applyAlignment="1">
      <alignment horizontal="center"/>
    </xf>
    <xf numFmtId="165" fontId="7" fillId="0" borderId="25" xfId="0" applyNumberFormat="1" applyFont="1" applyBorder="1" applyAlignment="1">
      <alignment horizontal="center"/>
    </xf>
    <xf numFmtId="166" fontId="6" fillId="2" borderId="25" xfId="0" applyNumberFormat="1" applyFont="1" applyFill="1" applyBorder="1" applyAlignment="1">
      <alignment horizontal="center" vertical="center"/>
    </xf>
    <xf numFmtId="166" fontId="6" fillId="2" borderId="18" xfId="0" applyNumberFormat="1" applyFont="1" applyFill="1" applyBorder="1" applyAlignment="1">
      <alignment horizontal="center" vertical="center"/>
    </xf>
    <xf numFmtId="0" fontId="6" fillId="0" borderId="18" xfId="0" applyFont="1" applyBorder="1"/>
    <xf numFmtId="166" fontId="6" fillId="0" borderId="0" xfId="0" applyNumberFormat="1" applyFont="1" applyAlignment="1">
      <alignment horizontal="center" vertical="center"/>
    </xf>
    <xf numFmtId="0" fontId="6" fillId="0" borderId="29" xfId="0" applyFont="1" applyBorder="1" applyAlignment="1">
      <alignment horizontal="center"/>
    </xf>
    <xf numFmtId="9" fontId="7" fillId="0" borderId="25" xfId="3" applyFont="1" applyBorder="1"/>
    <xf numFmtId="9" fontId="7" fillId="0" borderId="25" xfId="3" applyFont="1" applyBorder="1" applyAlignment="1">
      <alignment horizontal="center"/>
    </xf>
    <xf numFmtId="9" fontId="6" fillId="2" borderId="30" xfId="3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65" fontId="6" fillId="0" borderId="25" xfId="0" applyNumberFormat="1" applyFont="1" applyBorder="1" applyAlignment="1">
      <alignment horizontal="center" vertical="center"/>
    </xf>
    <xf numFmtId="9" fontId="7" fillId="0" borderId="25" xfId="3" applyFont="1" applyFill="1" applyBorder="1" applyAlignment="1">
      <alignment horizontal="center"/>
    </xf>
    <xf numFmtId="0" fontId="6" fillId="0" borderId="25" xfId="0" applyFont="1" applyBorder="1"/>
    <xf numFmtId="0" fontId="6" fillId="0" borderId="39" xfId="0" applyFont="1" applyBorder="1" applyAlignment="1">
      <alignment horizontal="center"/>
    </xf>
    <xf numFmtId="0" fontId="6" fillId="0" borderId="40" xfId="0" applyFont="1" applyBorder="1"/>
    <xf numFmtId="165" fontId="6" fillId="0" borderId="40" xfId="0" applyNumberFormat="1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9" fontId="7" fillId="0" borderId="40" xfId="3" applyFont="1" applyFill="1" applyBorder="1" applyAlignment="1">
      <alignment horizontal="center"/>
    </xf>
    <xf numFmtId="165" fontId="6" fillId="0" borderId="41" xfId="0" applyNumberFormat="1" applyFont="1" applyBorder="1" applyAlignment="1">
      <alignment horizontal="center" vertical="center"/>
    </xf>
    <xf numFmtId="0" fontId="6" fillId="0" borderId="42" xfId="0" applyFont="1" applyBorder="1" applyAlignment="1">
      <alignment horizontal="center"/>
    </xf>
    <xf numFmtId="165" fontId="6" fillId="0" borderId="43" xfId="0" applyNumberFormat="1" applyFont="1" applyBorder="1" applyAlignment="1">
      <alignment horizontal="center" vertical="center"/>
    </xf>
    <xf numFmtId="0" fontId="6" fillId="0" borderId="44" xfId="0" applyFont="1" applyBorder="1" applyAlignment="1">
      <alignment horizontal="center"/>
    </xf>
    <xf numFmtId="0" fontId="6" fillId="0" borderId="45" xfId="0" applyFont="1" applyBorder="1"/>
    <xf numFmtId="0" fontId="6" fillId="0" borderId="28" xfId="0" applyFont="1" applyBorder="1" applyAlignment="1">
      <alignment horizontal="center" vertical="center" wrapText="1"/>
    </xf>
    <xf numFmtId="0" fontId="6" fillId="0" borderId="47" xfId="0" applyFont="1" applyBorder="1"/>
    <xf numFmtId="0" fontId="6" fillId="0" borderId="48" xfId="0" applyFont="1" applyBorder="1"/>
    <xf numFmtId="0" fontId="6" fillId="0" borderId="49" xfId="0" applyFont="1" applyBorder="1"/>
    <xf numFmtId="0" fontId="11" fillId="0" borderId="6" xfId="0" applyFont="1" applyBorder="1" applyAlignment="1">
      <alignment horizontal="center" vertical="center" wrapText="1"/>
    </xf>
    <xf numFmtId="165" fontId="6" fillId="0" borderId="39" xfId="0" applyNumberFormat="1" applyFont="1" applyBorder="1" applyAlignment="1">
      <alignment horizontal="center" vertical="center"/>
    </xf>
    <xf numFmtId="165" fontId="6" fillId="0" borderId="42" xfId="0" applyNumberFormat="1" applyFont="1" applyBorder="1" applyAlignment="1">
      <alignment horizontal="center" vertical="center"/>
    </xf>
    <xf numFmtId="165" fontId="6" fillId="0" borderId="40" xfId="0" applyNumberFormat="1" applyFont="1" applyBorder="1" applyAlignment="1">
      <alignment vertical="center"/>
    </xf>
    <xf numFmtId="2" fontId="0" fillId="0" borderId="0" xfId="0" applyNumberFormat="1"/>
    <xf numFmtId="165" fontId="6" fillId="0" borderId="30" xfId="0" applyNumberFormat="1" applyFont="1" applyBorder="1" applyAlignment="1">
      <alignment horizontal="center" vertical="center"/>
    </xf>
    <xf numFmtId="165" fontId="6" fillId="0" borderId="26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2" fillId="0" borderId="0" xfId="0" applyFont="1" applyAlignment="1">
      <alignment horizontal="center" vertical="center"/>
    </xf>
    <xf numFmtId="168" fontId="6" fillId="0" borderId="25" xfId="0" applyNumberFormat="1" applyFont="1" applyBorder="1" applyAlignment="1">
      <alignment horizontal="center" vertical="center"/>
    </xf>
    <xf numFmtId="167" fontId="6" fillId="0" borderId="25" xfId="0" applyNumberFormat="1" applyFont="1" applyBorder="1" applyAlignment="1">
      <alignment horizontal="center" vertical="center"/>
    </xf>
    <xf numFmtId="165" fontId="6" fillId="0" borderId="42" xfId="0" applyNumberFormat="1" applyFont="1" applyBorder="1" applyAlignment="1">
      <alignment vertical="center"/>
    </xf>
    <xf numFmtId="166" fontId="6" fillId="0" borderId="43" xfId="0" applyNumberFormat="1" applyFont="1" applyBorder="1" applyAlignment="1">
      <alignment horizontal="center" vertical="center"/>
    </xf>
    <xf numFmtId="165" fontId="6" fillId="0" borderId="44" xfId="0" applyNumberFormat="1" applyFont="1" applyBorder="1" applyAlignment="1">
      <alignment vertical="center"/>
    </xf>
    <xf numFmtId="168" fontId="6" fillId="0" borderId="45" xfId="0" applyNumberFormat="1" applyFont="1" applyBorder="1" applyAlignment="1">
      <alignment horizontal="center" vertical="center"/>
    </xf>
    <xf numFmtId="167" fontId="6" fillId="0" borderId="45" xfId="0" applyNumberFormat="1" applyFont="1" applyBorder="1" applyAlignment="1">
      <alignment horizontal="center" vertical="center"/>
    </xf>
    <xf numFmtId="166" fontId="6" fillId="0" borderId="46" xfId="0" applyNumberFormat="1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16" fontId="4" fillId="0" borderId="6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0" fontId="6" fillId="0" borderId="41" xfId="0" applyFont="1" applyBorder="1"/>
    <xf numFmtId="0" fontId="6" fillId="0" borderId="43" xfId="0" applyFont="1" applyBorder="1"/>
    <xf numFmtId="0" fontId="6" fillId="0" borderId="46" xfId="0" applyFont="1" applyBorder="1"/>
    <xf numFmtId="0" fontId="0" fillId="0" borderId="0" xfId="0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45" xfId="0" applyFont="1" applyBorder="1" applyAlignment="1">
      <alignment horizontal="center"/>
    </xf>
    <xf numFmtId="166" fontId="6" fillId="0" borderId="25" xfId="0" applyNumberFormat="1" applyFont="1" applyBorder="1" applyAlignment="1">
      <alignment horizontal="center" vertical="center"/>
    </xf>
    <xf numFmtId="165" fontId="6" fillId="0" borderId="20" xfId="0" applyNumberFormat="1" applyFont="1" applyBorder="1" applyAlignment="1">
      <alignment horizontal="center" vertical="center"/>
    </xf>
    <xf numFmtId="165" fontId="6" fillId="0" borderId="19" xfId="0" applyNumberFormat="1" applyFont="1" applyBorder="1" applyAlignment="1">
      <alignment horizontal="center" vertical="center"/>
    </xf>
    <xf numFmtId="165" fontId="6" fillId="0" borderId="21" xfId="0" applyNumberFormat="1" applyFont="1" applyBorder="1" applyAlignment="1">
      <alignment horizontal="center" vertical="center"/>
    </xf>
    <xf numFmtId="165" fontId="6" fillId="0" borderId="45" xfId="0" applyNumberFormat="1" applyFont="1" applyBorder="1" applyAlignment="1">
      <alignment horizontal="center" vertical="center"/>
    </xf>
    <xf numFmtId="166" fontId="6" fillId="0" borderId="45" xfId="0" applyNumberFormat="1" applyFont="1" applyBorder="1" applyAlignment="1">
      <alignment horizontal="center" vertical="center"/>
    </xf>
    <xf numFmtId="165" fontId="6" fillId="0" borderId="45" xfId="0" applyNumberFormat="1" applyFont="1" applyBorder="1" applyAlignment="1">
      <alignment vertical="center"/>
    </xf>
    <xf numFmtId="168" fontId="6" fillId="0" borderId="25" xfId="0" applyNumberFormat="1" applyFont="1" applyBorder="1" applyAlignment="1">
      <alignment vertical="center"/>
    </xf>
    <xf numFmtId="167" fontId="6" fillId="0" borderId="25" xfId="0" applyNumberFormat="1" applyFont="1" applyBorder="1" applyAlignment="1">
      <alignment vertical="center"/>
    </xf>
    <xf numFmtId="166" fontId="6" fillId="0" borderId="43" xfId="0" applyNumberFormat="1" applyFont="1" applyBorder="1" applyAlignment="1">
      <alignment vertical="center"/>
    </xf>
    <xf numFmtId="166" fontId="6" fillId="0" borderId="25" xfId="0" applyNumberFormat="1" applyFont="1" applyBorder="1" applyAlignment="1">
      <alignment vertical="center"/>
    </xf>
    <xf numFmtId="168" fontId="6" fillId="0" borderId="45" xfId="0" applyNumberFormat="1" applyFont="1" applyBorder="1" applyAlignment="1">
      <alignment vertical="center"/>
    </xf>
    <xf numFmtId="167" fontId="6" fillId="0" borderId="45" xfId="0" applyNumberFormat="1" applyFont="1" applyBorder="1" applyAlignment="1">
      <alignment vertical="center"/>
    </xf>
    <xf numFmtId="166" fontId="6" fillId="0" borderId="45" xfId="0" applyNumberFormat="1" applyFont="1" applyBorder="1" applyAlignment="1">
      <alignment vertical="center"/>
    </xf>
    <xf numFmtId="166" fontId="6" fillId="0" borderId="46" xfId="0" applyNumberFormat="1" applyFont="1" applyBorder="1" applyAlignment="1">
      <alignment vertical="center"/>
    </xf>
    <xf numFmtId="165" fontId="6" fillId="0" borderId="43" xfId="0" applyNumberFormat="1" applyFont="1" applyBorder="1" applyAlignment="1">
      <alignment vertical="center"/>
    </xf>
    <xf numFmtId="167" fontId="6" fillId="0" borderId="43" xfId="0" applyNumberFormat="1" applyFont="1" applyBorder="1" applyAlignment="1">
      <alignment vertical="center"/>
    </xf>
    <xf numFmtId="165" fontId="6" fillId="0" borderId="46" xfId="0" applyNumberFormat="1" applyFont="1" applyBorder="1" applyAlignment="1">
      <alignment vertical="center"/>
    </xf>
    <xf numFmtId="165" fontId="6" fillId="0" borderId="37" xfId="0" applyNumberFormat="1" applyFont="1" applyBorder="1" applyAlignment="1">
      <alignment vertical="center"/>
    </xf>
    <xf numFmtId="165" fontId="6" fillId="0" borderId="50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2" xfId="0" applyFont="1" applyBorder="1"/>
    <xf numFmtId="0" fontId="6" fillId="0" borderId="44" xfId="0" applyFont="1" applyBorder="1"/>
    <xf numFmtId="0" fontId="6" fillId="0" borderId="37" xfId="0" applyFont="1" applyBorder="1"/>
    <xf numFmtId="165" fontId="6" fillId="0" borderId="34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9" fontId="6" fillId="0" borderId="42" xfId="3" applyFont="1" applyBorder="1"/>
    <xf numFmtId="0" fontId="6" fillId="0" borderId="35" xfId="0" applyFont="1" applyBorder="1" applyAlignment="1">
      <alignment horizontal="center" vertical="center" wrapText="1"/>
    </xf>
    <xf numFmtId="166" fontId="6" fillId="0" borderId="50" xfId="0" applyNumberFormat="1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9" fontId="6" fillId="0" borderId="40" xfId="0" applyNumberFormat="1" applyFont="1" applyBorder="1" applyAlignment="1">
      <alignment horizontal="center" vertical="center"/>
    </xf>
    <xf numFmtId="170" fontId="4" fillId="0" borderId="6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14" fontId="4" fillId="0" borderId="6" xfId="0" applyNumberFormat="1" applyFont="1" applyBorder="1" applyAlignment="1">
      <alignment horizontal="center" vertical="center"/>
    </xf>
    <xf numFmtId="165" fontId="6" fillId="0" borderId="34" xfId="0" applyNumberFormat="1" applyFont="1" applyBorder="1" applyAlignment="1">
      <alignment horizontal="center" vertical="center"/>
    </xf>
    <xf numFmtId="9" fontId="7" fillId="0" borderId="34" xfId="3" applyFont="1" applyFill="1" applyBorder="1" applyAlignment="1">
      <alignment horizontal="center"/>
    </xf>
    <xf numFmtId="0" fontId="6" fillId="0" borderId="34" xfId="0" applyFont="1" applyBorder="1"/>
    <xf numFmtId="0" fontId="5" fillId="0" borderId="4" xfId="0" applyFont="1" applyBorder="1" applyAlignment="1">
      <alignment horizontal="center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50" xfId="0" applyFont="1" applyBorder="1"/>
    <xf numFmtId="0" fontId="10" fillId="0" borderId="28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3" fontId="6" fillId="0" borderId="40" xfId="0" applyNumberFormat="1" applyFont="1" applyBorder="1" applyAlignment="1">
      <alignment horizontal="center" vertical="center"/>
    </xf>
    <xf numFmtId="16" fontId="13" fillId="0" borderId="4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5" fillId="0" borderId="0" xfId="0" applyFont="1"/>
    <xf numFmtId="0" fontId="14" fillId="0" borderId="4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8" fillId="0" borderId="0" xfId="0" applyFont="1"/>
    <xf numFmtId="43" fontId="6" fillId="0" borderId="0" xfId="0" applyNumberFormat="1" applyFont="1"/>
    <xf numFmtId="1" fontId="7" fillId="0" borderId="25" xfId="3" applyNumberFormat="1" applyFont="1" applyFill="1" applyBorder="1" applyAlignment="1">
      <alignment horizontal="center"/>
    </xf>
    <xf numFmtId="2" fontId="7" fillId="0" borderId="40" xfId="3" applyNumberFormat="1" applyFont="1" applyFill="1" applyBorder="1" applyAlignment="1">
      <alignment horizontal="center"/>
    </xf>
    <xf numFmtId="2" fontId="7" fillId="0" borderId="25" xfId="3" applyNumberFormat="1" applyFont="1" applyFill="1" applyBorder="1" applyAlignment="1">
      <alignment horizontal="center"/>
    </xf>
    <xf numFmtId="43" fontId="0" fillId="0" borderId="0" xfId="0" applyNumberFormat="1"/>
    <xf numFmtId="165" fontId="6" fillId="0" borderId="0" xfId="0" applyNumberFormat="1" applyFont="1" applyAlignment="1">
      <alignment vertical="center"/>
    </xf>
    <xf numFmtId="0" fontId="17" fillId="0" borderId="4" xfId="0" applyFont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/>
    </xf>
    <xf numFmtId="0" fontId="19" fillId="3" borderId="2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19" fillId="3" borderId="5" xfId="0" quotePrefix="1" applyFont="1" applyFill="1" applyBorder="1" applyAlignment="1">
      <alignment horizontal="center"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2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3" fillId="0" borderId="5" xfId="0" quotePrefix="1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9" fillId="0" borderId="5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0" fontId="20" fillId="0" borderId="12" xfId="0" applyFont="1" applyBorder="1" applyAlignment="1">
      <alignment horizontal="left"/>
    </xf>
    <xf numFmtId="0" fontId="20" fillId="0" borderId="12" xfId="0" applyFont="1" applyBorder="1" applyAlignment="1">
      <alignment horizontal="left" vertical="center"/>
    </xf>
    <xf numFmtId="0" fontId="20" fillId="0" borderId="1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/>
    <xf numFmtId="0" fontId="21" fillId="0" borderId="11" xfId="0" applyFont="1" applyBorder="1" applyAlignment="1">
      <alignment horizontal="left"/>
    </xf>
    <xf numFmtId="0" fontId="21" fillId="0" borderId="12" xfId="0" applyFont="1" applyBorder="1"/>
    <xf numFmtId="0" fontId="17" fillId="0" borderId="4" xfId="0" applyFont="1" applyBorder="1" applyAlignment="1">
      <alignment vertical="center"/>
    </xf>
    <xf numFmtId="168" fontId="6" fillId="0" borderId="34" xfId="0" applyNumberFormat="1" applyFont="1" applyBorder="1" applyAlignment="1">
      <alignment vertical="center"/>
    </xf>
    <xf numFmtId="167" fontId="6" fillId="0" borderId="34" xfId="0" applyNumberFormat="1" applyFont="1" applyBorder="1" applyAlignment="1">
      <alignment vertical="center"/>
    </xf>
    <xf numFmtId="0" fontId="6" fillId="0" borderId="51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14" fontId="14" fillId="0" borderId="4" xfId="0" applyNumberFormat="1" applyFont="1" applyBorder="1" applyAlignment="1">
      <alignment horizontal="left" vertical="center"/>
    </xf>
    <xf numFmtId="1" fontId="6" fillId="0" borderId="25" xfId="3" applyNumberFormat="1" applyFont="1" applyFill="1" applyBorder="1" applyAlignment="1">
      <alignment horizontal="center"/>
    </xf>
    <xf numFmtId="165" fontId="6" fillId="0" borderId="25" xfId="3" applyNumberFormat="1" applyFont="1" applyFill="1" applyBorder="1" applyAlignment="1">
      <alignment horizontal="center"/>
    </xf>
    <xf numFmtId="0" fontId="25" fillId="0" borderId="0" xfId="0" applyFont="1"/>
    <xf numFmtId="16" fontId="17" fillId="0" borderId="4" xfId="0" applyNumberFormat="1" applyFont="1" applyBorder="1" applyAlignment="1">
      <alignment horizontal="center"/>
    </xf>
    <xf numFmtId="16" fontId="14" fillId="0" borderId="4" xfId="0" applyNumberFormat="1" applyFont="1" applyBorder="1" applyAlignment="1">
      <alignment horizontal="left" vertical="center"/>
    </xf>
    <xf numFmtId="0" fontId="10" fillId="0" borderId="0" xfId="0" applyFont="1"/>
    <xf numFmtId="0" fontId="19" fillId="0" borderId="1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/>
    </xf>
    <xf numFmtId="0" fontId="0" fillId="0" borderId="0" xfId="0" applyAlignment="1">
      <alignment vertical="center"/>
    </xf>
    <xf numFmtId="0" fontId="7" fillId="0" borderId="48" xfId="0" applyFont="1" applyBorder="1" applyAlignment="1">
      <alignment horizontal="center"/>
    </xf>
    <xf numFmtId="171" fontId="7" fillId="0" borderId="25" xfId="0" applyNumberFormat="1" applyFont="1" applyBorder="1" applyAlignment="1">
      <alignment horizontal="center"/>
    </xf>
    <xf numFmtId="0" fontId="7" fillId="0" borderId="42" xfId="0" applyFont="1" applyBorder="1"/>
    <xf numFmtId="2" fontId="7" fillId="0" borderId="43" xfId="0" applyNumberFormat="1" applyFont="1" applyBorder="1" applyAlignment="1">
      <alignment horizontal="center"/>
    </xf>
    <xf numFmtId="0" fontId="7" fillId="0" borderId="44" xfId="0" applyFont="1" applyBorder="1"/>
    <xf numFmtId="2" fontId="7" fillId="0" borderId="46" xfId="0" applyNumberFormat="1" applyFont="1" applyBorder="1" applyAlignment="1">
      <alignment horizontal="center"/>
    </xf>
    <xf numFmtId="0" fontId="7" fillId="0" borderId="37" xfId="0" applyFont="1" applyBorder="1"/>
    <xf numFmtId="0" fontId="7" fillId="0" borderId="34" xfId="0" applyFont="1" applyBorder="1" applyAlignment="1">
      <alignment horizontal="center"/>
    </xf>
    <xf numFmtId="171" fontId="7" fillId="0" borderId="34" xfId="0" applyNumberFormat="1" applyFont="1" applyBorder="1" applyAlignment="1">
      <alignment horizontal="center"/>
    </xf>
    <xf numFmtId="2" fontId="7" fillId="0" borderId="50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/>
    </xf>
    <xf numFmtId="0" fontId="6" fillId="0" borderId="52" xfId="0" applyFont="1" applyBorder="1" applyAlignment="1">
      <alignment horizontal="center"/>
    </xf>
    <xf numFmtId="0" fontId="6" fillId="0" borderId="52" xfId="0" applyFont="1" applyBorder="1"/>
    <xf numFmtId="9" fontId="7" fillId="0" borderId="52" xfId="3" applyFont="1" applyFill="1" applyBorder="1" applyAlignment="1">
      <alignment horizontal="center"/>
    </xf>
    <xf numFmtId="0" fontId="7" fillId="0" borderId="52" xfId="0" applyFont="1" applyBorder="1" applyAlignment="1">
      <alignment horizontal="center" vertical="center"/>
    </xf>
    <xf numFmtId="165" fontId="6" fillId="0" borderId="52" xfId="0" applyNumberFormat="1" applyFont="1" applyBorder="1" applyAlignment="1">
      <alignment horizontal="center" vertical="center"/>
    </xf>
    <xf numFmtId="165" fontId="6" fillId="0" borderId="53" xfId="0" applyNumberFormat="1" applyFont="1" applyBorder="1" applyAlignment="1">
      <alignment horizontal="center" vertical="center"/>
    </xf>
    <xf numFmtId="165" fontId="6" fillId="0" borderId="51" xfId="0" applyNumberFormat="1" applyFont="1" applyBorder="1" applyAlignment="1">
      <alignment vertical="center"/>
    </xf>
    <xf numFmtId="167" fontId="6" fillId="0" borderId="52" xfId="0" applyNumberFormat="1" applyFont="1" applyBorder="1" applyAlignment="1">
      <alignment horizontal="center" vertical="center"/>
    </xf>
    <xf numFmtId="167" fontId="6" fillId="0" borderId="52" xfId="0" applyNumberFormat="1" applyFont="1" applyBorder="1" applyAlignment="1">
      <alignment vertical="center"/>
    </xf>
    <xf numFmtId="165" fontId="6" fillId="0" borderId="52" xfId="0" applyNumberFormat="1" applyFont="1" applyBorder="1" applyAlignment="1">
      <alignment vertical="center"/>
    </xf>
    <xf numFmtId="166" fontId="6" fillId="0" borderId="53" xfId="0" applyNumberFormat="1" applyFont="1" applyBorder="1" applyAlignment="1">
      <alignment vertical="center"/>
    </xf>
    <xf numFmtId="0" fontId="26" fillId="0" borderId="53" xfId="0" applyFont="1" applyBorder="1" applyAlignment="1">
      <alignment horizontal="center"/>
    </xf>
    <xf numFmtId="165" fontId="6" fillId="0" borderId="53" xfId="0" applyNumberFormat="1" applyFont="1" applyBorder="1" applyAlignment="1">
      <alignment vertical="center"/>
    </xf>
    <xf numFmtId="0" fontId="6" fillId="0" borderId="51" xfId="0" applyFont="1" applyBorder="1"/>
    <xf numFmtId="168" fontId="6" fillId="0" borderId="34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166" fontId="27" fillId="0" borderId="10" xfId="4" applyNumberFormat="1" applyFont="1" applyFill="1" applyBorder="1" applyAlignment="1">
      <alignment horizontal="center" vertical="center"/>
    </xf>
    <xf numFmtId="166" fontId="28" fillId="0" borderId="10" xfId="4" applyNumberFormat="1" applyFont="1" applyFill="1" applyBorder="1" applyAlignment="1">
      <alignment horizontal="center" vertical="center"/>
    </xf>
    <xf numFmtId="166" fontId="29" fillId="0" borderId="10" xfId="4" applyNumberFormat="1" applyFont="1" applyFill="1" applyBorder="1" applyAlignment="1">
      <alignment horizontal="center" vertical="center"/>
    </xf>
    <xf numFmtId="166" fontId="28" fillId="4" borderId="10" xfId="4" applyNumberFormat="1" applyFont="1" applyFill="1" applyBorder="1" applyAlignment="1">
      <alignment horizontal="center" vertical="center"/>
    </xf>
    <xf numFmtId="166" fontId="29" fillId="4" borderId="10" xfId="4" applyNumberFormat="1" applyFont="1" applyFill="1" applyBorder="1" applyAlignment="1">
      <alignment horizontal="center" vertical="center"/>
    </xf>
    <xf numFmtId="0" fontId="30" fillId="0" borderId="12" xfId="0" applyFont="1" applyBorder="1" applyAlignment="1">
      <alignment horizontal="left"/>
    </xf>
    <xf numFmtId="166" fontId="16" fillId="0" borderId="10" xfId="4" applyNumberFormat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left"/>
    </xf>
    <xf numFmtId="0" fontId="7" fillId="0" borderId="12" xfId="0" applyFont="1" applyBorder="1" applyAlignment="1">
      <alignment horizontal="left"/>
    </xf>
    <xf numFmtId="166" fontId="29" fillId="5" borderId="10" xfId="4" applyNumberFormat="1" applyFont="1" applyFill="1" applyBorder="1" applyAlignment="1">
      <alignment horizontal="center" vertical="center"/>
    </xf>
    <xf numFmtId="166" fontId="16" fillId="4" borderId="10" xfId="4" applyNumberFormat="1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1" fillId="0" borderId="12" xfId="0" applyFont="1" applyBorder="1" applyAlignment="1">
      <alignment horizontal="left"/>
    </xf>
    <xf numFmtId="166" fontId="16" fillId="5" borderId="10" xfId="4" applyNumberFormat="1" applyFont="1" applyFill="1" applyBorder="1" applyAlignment="1">
      <alignment horizontal="center" vertical="center"/>
    </xf>
    <xf numFmtId="166" fontId="16" fillId="5" borderId="0" xfId="4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/>
    </xf>
    <xf numFmtId="0" fontId="22" fillId="0" borderId="12" xfId="0" applyFont="1" applyBorder="1" applyAlignment="1">
      <alignment horizontal="left"/>
    </xf>
    <xf numFmtId="0" fontId="3" fillId="0" borderId="26" xfId="0" applyFont="1" applyBorder="1" applyAlignment="1">
      <alignment horizontal="center" vertical="center"/>
    </xf>
    <xf numFmtId="0" fontId="7" fillId="0" borderId="11" xfId="0" applyFont="1" applyBorder="1" applyAlignment="1">
      <alignment horizontal="left"/>
    </xf>
    <xf numFmtId="166" fontId="17" fillId="0" borderId="10" xfId="4" applyNumberFormat="1" applyFont="1" applyFill="1" applyBorder="1" applyAlignment="1">
      <alignment horizontal="center" vertical="center"/>
    </xf>
    <xf numFmtId="0" fontId="20" fillId="6" borderId="11" xfId="0" applyFont="1" applyFill="1" applyBorder="1" applyAlignment="1">
      <alignment horizontal="left"/>
    </xf>
    <xf numFmtId="0" fontId="19" fillId="0" borderId="0" xfId="0" applyFont="1" applyAlignment="1">
      <alignment horizontal="center" vertical="center"/>
    </xf>
    <xf numFmtId="0" fontId="20" fillId="6" borderId="0" xfId="0" applyFont="1" applyFill="1" applyAlignment="1">
      <alignment horizontal="left"/>
    </xf>
    <xf numFmtId="166" fontId="16" fillId="0" borderId="0" xfId="4" applyNumberFormat="1" applyFont="1" applyFill="1" applyBorder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21" fillId="6" borderId="12" xfId="0" applyFont="1" applyFill="1" applyBorder="1"/>
    <xf numFmtId="0" fontId="22" fillId="6" borderId="12" xfId="0" applyFont="1" applyFill="1" applyBorder="1" applyAlignment="1">
      <alignment horizontal="left"/>
    </xf>
    <xf numFmtId="0" fontId="22" fillId="6" borderId="25" xfId="0" applyFont="1" applyFill="1" applyBorder="1" applyAlignment="1">
      <alignment horizontal="left"/>
    </xf>
    <xf numFmtId="166" fontId="16" fillId="5" borderId="25" xfId="4" applyNumberFormat="1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left"/>
    </xf>
    <xf numFmtId="166" fontId="16" fillId="7" borderId="10" xfId="4" applyNumberFormat="1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left"/>
    </xf>
    <xf numFmtId="0" fontId="3" fillId="0" borderId="11" xfId="0" applyFont="1" applyBorder="1" applyAlignment="1">
      <alignment horizontal="center" vertical="center"/>
    </xf>
    <xf numFmtId="0" fontId="31" fillId="6" borderId="10" xfId="0" applyFont="1" applyFill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1" fillId="6" borderId="0" xfId="0" applyFont="1" applyFill="1" applyAlignment="1">
      <alignment horizontal="left"/>
    </xf>
    <xf numFmtId="0" fontId="0" fillId="0" borderId="0" xfId="0" applyAlignment="1">
      <alignment horizontal="center" vertical="center"/>
    </xf>
    <xf numFmtId="0" fontId="22" fillId="6" borderId="0" xfId="0" applyFont="1" applyFill="1" applyAlignment="1">
      <alignment horizontal="left"/>
    </xf>
    <xf numFmtId="0" fontId="7" fillId="6" borderId="34" xfId="0" applyFont="1" applyFill="1" applyBorder="1" applyAlignment="1">
      <alignment horizontal="left"/>
    </xf>
    <xf numFmtId="166" fontId="16" fillId="0" borderId="34" xfId="4" applyNumberFormat="1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2" fillId="6" borderId="9" xfId="0" applyFont="1" applyFill="1" applyBorder="1" applyAlignment="1">
      <alignment horizontal="left"/>
    </xf>
    <xf numFmtId="166" fontId="16" fillId="5" borderId="9" xfId="4" applyNumberFormat="1" applyFont="1" applyFill="1" applyBorder="1" applyAlignment="1">
      <alignment horizontal="center" vertical="center"/>
    </xf>
    <xf numFmtId="0" fontId="31" fillId="6" borderId="12" xfId="0" applyFont="1" applyFill="1" applyBorder="1" applyAlignment="1">
      <alignment horizontal="left"/>
    </xf>
    <xf numFmtId="0" fontId="32" fillId="6" borderId="12" xfId="0" applyFont="1" applyFill="1" applyBorder="1" applyAlignment="1">
      <alignment horizontal="left"/>
    </xf>
    <xf numFmtId="0" fontId="10" fillId="0" borderId="10" xfId="0" applyFont="1" applyBorder="1" applyAlignment="1">
      <alignment horizontal="center" vertical="center"/>
    </xf>
    <xf numFmtId="0" fontId="7" fillId="6" borderId="11" xfId="0" applyFont="1" applyFill="1" applyBorder="1" applyAlignment="1">
      <alignment horizontal="left"/>
    </xf>
    <xf numFmtId="0" fontId="20" fillId="6" borderId="12" xfId="0" applyFont="1" applyFill="1" applyBorder="1" applyAlignment="1">
      <alignment horizontal="left"/>
    </xf>
    <xf numFmtId="0" fontId="3" fillId="0" borderId="42" xfId="0" applyFont="1" applyBorder="1" applyAlignment="1">
      <alignment horizontal="center" vertical="center"/>
    </xf>
    <xf numFmtId="0" fontId="19" fillId="3" borderId="22" xfId="0" applyFont="1" applyFill="1" applyBorder="1" applyAlignment="1">
      <alignment horizontal="center" vertical="center"/>
    </xf>
    <xf numFmtId="0" fontId="22" fillId="0" borderId="20" xfId="0" applyFont="1" applyBorder="1" applyAlignment="1">
      <alignment horizontal="left"/>
    </xf>
    <xf numFmtId="166" fontId="16" fillId="5" borderId="24" xfId="4" applyNumberFormat="1" applyFont="1" applyFill="1" applyBorder="1" applyAlignment="1">
      <alignment horizontal="center" vertical="center"/>
    </xf>
    <xf numFmtId="0" fontId="6" fillId="6" borderId="11" xfId="0" applyFont="1" applyFill="1" applyBorder="1" applyAlignment="1">
      <alignment horizontal="left"/>
    </xf>
    <xf numFmtId="0" fontId="7" fillId="6" borderId="15" xfId="0" applyFont="1" applyFill="1" applyBorder="1" applyAlignment="1">
      <alignment horizontal="left"/>
    </xf>
    <xf numFmtId="166" fontId="16" fillId="4" borderId="24" xfId="4" applyNumberFormat="1" applyFont="1" applyFill="1" applyBorder="1" applyAlignment="1">
      <alignment horizontal="center" vertical="center"/>
    </xf>
    <xf numFmtId="166" fontId="16" fillId="5" borderId="12" xfId="4" applyNumberFormat="1" applyFont="1" applyFill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166" fontId="16" fillId="0" borderId="12" xfId="4" applyNumberFormat="1" applyFont="1" applyFill="1" applyBorder="1" applyAlignment="1">
      <alignment horizontal="center" vertical="center"/>
    </xf>
    <xf numFmtId="0" fontId="0" fillId="0" borderId="12" xfId="0" applyBorder="1"/>
    <xf numFmtId="166" fontId="16" fillId="4" borderId="0" xfId="4" applyNumberFormat="1" applyFont="1" applyFill="1" applyBorder="1" applyAlignment="1">
      <alignment horizontal="center" vertical="center"/>
    </xf>
    <xf numFmtId="0" fontId="32" fillId="0" borderId="11" xfId="0" applyFont="1" applyBorder="1"/>
    <xf numFmtId="0" fontId="22" fillId="6" borderId="10" xfId="0" applyFont="1" applyFill="1" applyBorder="1" applyAlignment="1">
      <alignment horizontal="left"/>
    </xf>
    <xf numFmtId="0" fontId="21" fillId="6" borderId="12" xfId="0" applyFont="1" applyFill="1" applyBorder="1" applyAlignment="1">
      <alignment horizontal="left"/>
    </xf>
    <xf numFmtId="166" fontId="19" fillId="0" borderId="10" xfId="4" applyNumberFormat="1" applyFont="1" applyFill="1" applyBorder="1" applyAlignment="1">
      <alignment horizontal="center" vertical="center"/>
    </xf>
    <xf numFmtId="166" fontId="16" fillId="8" borderId="10" xfId="4" applyNumberFormat="1" applyFont="1" applyFill="1" applyBorder="1" applyAlignment="1">
      <alignment horizontal="center" vertical="center"/>
    </xf>
    <xf numFmtId="0" fontId="33" fillId="0" borderId="5" xfId="0" applyFont="1" applyBorder="1" applyAlignment="1">
      <alignment vertical="center"/>
    </xf>
    <xf numFmtId="0" fontId="32" fillId="0" borderId="12" xfId="0" applyFont="1" applyBorder="1"/>
    <xf numFmtId="0" fontId="33" fillId="0" borderId="12" xfId="0" applyFont="1" applyBorder="1"/>
    <xf numFmtId="166" fontId="33" fillId="0" borderId="10" xfId="4" applyNumberFormat="1" applyFont="1" applyFill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2" fillId="0" borderId="0" xfId="0" applyFont="1" applyAlignment="1">
      <alignment horizontal="left"/>
    </xf>
    <xf numFmtId="14" fontId="6" fillId="0" borderId="55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Continuous" vertical="center"/>
    </xf>
    <xf numFmtId="0" fontId="12" fillId="0" borderId="3" xfId="0" applyFont="1" applyBorder="1" applyAlignment="1">
      <alignment horizontal="centerContinuous" vertical="center"/>
    </xf>
    <xf numFmtId="0" fontId="12" fillId="0" borderId="1" xfId="0" applyFont="1" applyBorder="1" applyAlignment="1">
      <alignment horizontal="centerContinuous" vertical="center"/>
    </xf>
    <xf numFmtId="0" fontId="3" fillId="0" borderId="4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Continuous" vertical="center" wrapText="1"/>
    </xf>
    <xf numFmtId="0" fontId="10" fillId="0" borderId="3" xfId="0" applyFont="1" applyBorder="1" applyAlignment="1">
      <alignment horizontal="centerContinuous" vertical="center" wrapText="1"/>
    </xf>
    <xf numFmtId="0" fontId="7" fillId="0" borderId="45" xfId="0" applyFont="1" applyBorder="1" applyAlignment="1">
      <alignment horizontal="center" vertical="center"/>
    </xf>
    <xf numFmtId="165" fontId="6" fillId="0" borderId="46" xfId="0" applyNumberFormat="1" applyFont="1" applyBorder="1" applyAlignment="1">
      <alignment horizontal="center" vertical="center"/>
    </xf>
    <xf numFmtId="9" fontId="7" fillId="0" borderId="45" xfId="3" applyFont="1" applyFill="1" applyBorder="1" applyAlignment="1">
      <alignment horizontal="center"/>
    </xf>
    <xf numFmtId="0" fontId="6" fillId="0" borderId="39" xfId="0" applyFont="1" applyBorder="1"/>
    <xf numFmtId="165" fontId="6" fillId="0" borderId="41" xfId="0" applyNumberFormat="1" applyFont="1" applyBorder="1" applyAlignment="1">
      <alignment vertical="center"/>
    </xf>
    <xf numFmtId="165" fontId="6" fillId="0" borderId="39" xfId="0" applyNumberFormat="1" applyFont="1" applyBorder="1" applyAlignment="1">
      <alignment vertical="center"/>
    </xf>
    <xf numFmtId="0" fontId="6" fillId="0" borderId="36" xfId="0" applyFont="1" applyBorder="1" applyAlignment="1">
      <alignment horizontal="center" vertical="center" wrapText="1"/>
    </xf>
    <xf numFmtId="0" fontId="6" fillId="0" borderId="56" xfId="0" applyFont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168" fontId="6" fillId="0" borderId="40" xfId="0" applyNumberFormat="1" applyFont="1" applyBorder="1" applyAlignment="1">
      <alignment horizontal="center" vertical="center"/>
    </xf>
    <xf numFmtId="167" fontId="6" fillId="0" borderId="40" xfId="0" applyNumberFormat="1" applyFont="1" applyBorder="1" applyAlignment="1">
      <alignment vertical="center"/>
    </xf>
    <xf numFmtId="166" fontId="6" fillId="0" borderId="40" xfId="0" applyNumberFormat="1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4" fontId="6" fillId="0" borderId="28" xfId="0" applyNumberFormat="1" applyFont="1" applyBorder="1" applyAlignment="1">
      <alignment horizontal="center"/>
    </xf>
    <xf numFmtId="0" fontId="15" fillId="9" borderId="0" xfId="0" applyFont="1" applyFill="1"/>
    <xf numFmtId="0" fontId="5" fillId="9" borderId="0" xfId="0" applyFont="1" applyFill="1" applyAlignment="1">
      <alignment horizontal="center"/>
    </xf>
    <xf numFmtId="0" fontId="0" fillId="9" borderId="0" xfId="0" applyFill="1"/>
    <xf numFmtId="0" fontId="10" fillId="0" borderId="1" xfId="0" applyFont="1" applyBorder="1" applyAlignment="1">
      <alignment horizontal="centerContinuous" vertical="center" wrapText="1"/>
    </xf>
    <xf numFmtId="0" fontId="2" fillId="9" borderId="0" xfId="0" applyFont="1" applyFill="1" applyAlignment="1">
      <alignment vertical="center"/>
    </xf>
    <xf numFmtId="0" fontId="0" fillId="10" borderId="0" xfId="0" applyFill="1"/>
    <xf numFmtId="0" fontId="15" fillId="0" borderId="1" xfId="0" applyFont="1" applyBorder="1" applyAlignment="1">
      <alignment horizontal="centerContinuous" vertical="center" wrapText="1"/>
    </xf>
    <xf numFmtId="166" fontId="6" fillId="0" borderId="34" xfId="0" applyNumberFormat="1" applyFont="1" applyBorder="1" applyAlignment="1">
      <alignment vertical="center"/>
    </xf>
    <xf numFmtId="167" fontId="6" fillId="0" borderId="41" xfId="0" applyNumberFormat="1" applyFont="1" applyBorder="1" applyAlignment="1">
      <alignment vertical="center"/>
    </xf>
    <xf numFmtId="167" fontId="6" fillId="0" borderId="46" xfId="0" applyNumberFormat="1" applyFont="1" applyBorder="1" applyAlignment="1">
      <alignment vertical="center"/>
    </xf>
    <xf numFmtId="0" fontId="6" fillId="0" borderId="58" xfId="0" applyFont="1" applyBorder="1" applyAlignment="1">
      <alignment horizontal="center" vertical="center" wrapText="1"/>
    </xf>
    <xf numFmtId="0" fontId="6" fillId="0" borderId="59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 vertical="center" wrapText="1"/>
    </xf>
    <xf numFmtId="166" fontId="6" fillId="0" borderId="41" xfId="0" applyNumberFormat="1" applyFont="1" applyBorder="1" applyAlignment="1">
      <alignment vertical="center"/>
    </xf>
    <xf numFmtId="0" fontId="12" fillId="9" borderId="2" xfId="0" applyFont="1" applyFill="1" applyBorder="1" applyAlignment="1">
      <alignment horizontal="centerContinuous" vertical="center"/>
    </xf>
    <xf numFmtId="0" fontId="19" fillId="0" borderId="1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2" fontId="7" fillId="0" borderId="25" xfId="0" applyNumberFormat="1" applyFont="1" applyBorder="1" applyAlignment="1">
      <alignment horizontal="center" vertical="center"/>
    </xf>
    <xf numFmtId="2" fontId="7" fillId="0" borderId="45" xfId="0" applyNumberFormat="1" applyFont="1" applyBorder="1" applyAlignment="1">
      <alignment horizontal="center" vertical="center"/>
    </xf>
    <xf numFmtId="0" fontId="0" fillId="0" borderId="0" xfId="0" applyAlignment="1">
      <alignment horizontal="centerContinuous"/>
    </xf>
    <xf numFmtId="16" fontId="5" fillId="0" borderId="4" xfId="0" applyNumberFormat="1" applyFont="1" applyBorder="1" applyAlignment="1">
      <alignment horizontal="center"/>
    </xf>
    <xf numFmtId="16" fontId="3" fillId="0" borderId="0" xfId="0" applyNumberFormat="1" applyFont="1"/>
    <xf numFmtId="16" fontId="6" fillId="0" borderId="28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Continuous" vertical="center"/>
    </xf>
    <xf numFmtId="165" fontId="10" fillId="0" borderId="25" xfId="0" applyNumberFormat="1" applyFont="1" applyBorder="1" applyAlignment="1">
      <alignment horizontal="center" vertical="center"/>
    </xf>
    <xf numFmtId="165" fontId="10" fillId="0" borderId="45" xfId="0" applyNumberFormat="1" applyFont="1" applyBorder="1" applyAlignment="1">
      <alignment horizontal="center" vertical="center"/>
    </xf>
    <xf numFmtId="165" fontId="10" fillId="0" borderId="40" xfId="0" applyNumberFormat="1" applyFont="1" applyBorder="1" applyAlignment="1">
      <alignment horizontal="center" vertical="center"/>
    </xf>
    <xf numFmtId="0" fontId="34" fillId="0" borderId="0" xfId="0" applyFont="1"/>
    <xf numFmtId="0" fontId="10" fillId="0" borderId="2" xfId="0" applyFont="1" applyBorder="1" applyAlignment="1">
      <alignment horizontal="center" wrapText="1"/>
    </xf>
    <xf numFmtId="0" fontId="6" fillId="0" borderId="60" xfId="0" applyFont="1" applyBorder="1" applyAlignment="1">
      <alignment horizontal="center" wrapText="1"/>
    </xf>
    <xf numFmtId="166" fontId="6" fillId="0" borderId="41" xfId="0" applyNumberFormat="1" applyFont="1" applyBorder="1" applyAlignment="1">
      <alignment horizontal="center"/>
    </xf>
    <xf numFmtId="166" fontId="6" fillId="0" borderId="43" xfId="0" applyNumberFormat="1" applyFont="1" applyBorder="1" applyAlignment="1">
      <alignment horizontal="center"/>
    </xf>
    <xf numFmtId="166" fontId="6" fillId="0" borderId="46" xfId="0" applyNumberFormat="1" applyFont="1" applyBorder="1" applyAlignment="1">
      <alignment horizontal="center"/>
    </xf>
    <xf numFmtId="0" fontId="6" fillId="0" borderId="52" xfId="0" applyFont="1" applyBorder="1" applyAlignment="1">
      <alignment horizontal="center" wrapText="1"/>
    </xf>
    <xf numFmtId="166" fontId="6" fillId="0" borderId="34" xfId="0" applyNumberFormat="1" applyFont="1" applyBorder="1" applyAlignment="1">
      <alignment horizontal="center"/>
    </xf>
    <xf numFmtId="166" fontId="6" fillId="0" borderId="25" xfId="0" applyNumberFormat="1" applyFont="1" applyBorder="1" applyAlignment="1">
      <alignment horizontal="center"/>
    </xf>
    <xf numFmtId="166" fontId="6" fillId="0" borderId="45" xfId="0" applyNumberFormat="1" applyFont="1" applyBorder="1" applyAlignment="1">
      <alignment horizontal="center"/>
    </xf>
    <xf numFmtId="0" fontId="6" fillId="0" borderId="57" xfId="0" applyFont="1" applyBorder="1" applyAlignment="1">
      <alignment horizontal="center" wrapText="1"/>
    </xf>
    <xf numFmtId="166" fontId="6" fillId="0" borderId="40" xfId="0" applyNumberFormat="1" applyFont="1" applyBorder="1" applyAlignment="1">
      <alignment horizontal="center"/>
    </xf>
    <xf numFmtId="166" fontId="6" fillId="0" borderId="53" xfId="0" applyNumberFormat="1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9" fontId="7" fillId="0" borderId="59" xfId="3" applyFont="1" applyFill="1" applyBorder="1" applyAlignment="1">
      <alignment horizontal="center"/>
    </xf>
    <xf numFmtId="0" fontId="7" fillId="0" borderId="59" xfId="0" applyFont="1" applyBorder="1" applyAlignment="1">
      <alignment horizontal="center" vertical="center"/>
    </xf>
    <xf numFmtId="165" fontId="6" fillId="0" borderId="59" xfId="0" applyNumberFormat="1" applyFont="1" applyBorder="1" applyAlignment="1">
      <alignment horizontal="center" vertical="center"/>
    </xf>
    <xf numFmtId="165" fontId="6" fillId="0" borderId="60" xfId="0" applyNumberFormat="1" applyFont="1" applyBorder="1" applyAlignment="1">
      <alignment horizontal="center" vertical="center"/>
    </xf>
    <xf numFmtId="0" fontId="6" fillId="0" borderId="58" xfId="0" applyFont="1" applyBorder="1"/>
    <xf numFmtId="165" fontId="6" fillId="0" borderId="59" xfId="0" applyNumberFormat="1" applyFont="1" applyBorder="1" applyAlignment="1">
      <alignment vertical="center"/>
    </xf>
    <xf numFmtId="165" fontId="6" fillId="0" borderId="60" xfId="0" applyNumberFormat="1" applyFont="1" applyBorder="1" applyAlignment="1">
      <alignment vertical="center"/>
    </xf>
    <xf numFmtId="165" fontId="6" fillId="0" borderId="58" xfId="0" applyNumberFormat="1" applyFont="1" applyBorder="1" applyAlignment="1">
      <alignment vertical="center"/>
    </xf>
    <xf numFmtId="168" fontId="6" fillId="0" borderId="59" xfId="0" applyNumberFormat="1" applyFont="1" applyBorder="1" applyAlignment="1">
      <alignment horizontal="center" vertical="center"/>
    </xf>
    <xf numFmtId="167" fontId="6" fillId="0" borderId="59" xfId="0" applyNumberFormat="1" applyFont="1" applyBorder="1" applyAlignment="1">
      <alignment vertical="center"/>
    </xf>
    <xf numFmtId="166" fontId="6" fillId="0" borderId="59" xfId="0" applyNumberFormat="1" applyFont="1" applyBorder="1" applyAlignment="1">
      <alignment vertical="center"/>
    </xf>
    <xf numFmtId="0" fontId="6" fillId="0" borderId="60" xfId="0" applyFont="1" applyBorder="1"/>
    <xf numFmtId="165" fontId="6" fillId="0" borderId="61" xfId="0" applyNumberFormat="1" applyFont="1" applyBorder="1" applyAlignment="1">
      <alignment vertical="center"/>
    </xf>
    <xf numFmtId="165" fontId="6" fillId="0" borderId="62" xfId="0" applyNumberFormat="1" applyFont="1" applyBorder="1" applyAlignment="1">
      <alignment vertical="center"/>
    </xf>
    <xf numFmtId="165" fontId="6" fillId="0" borderId="9" xfId="0" applyNumberFormat="1" applyFont="1" applyBorder="1" applyAlignment="1">
      <alignment vertical="center"/>
    </xf>
    <xf numFmtId="165" fontId="6" fillId="0" borderId="12" xfId="0" applyNumberFormat="1" applyFont="1" applyBorder="1" applyAlignment="1">
      <alignment vertical="center"/>
    </xf>
    <xf numFmtId="165" fontId="6" fillId="0" borderId="16" xfId="0" applyNumberFormat="1" applyFont="1" applyBorder="1" applyAlignment="1">
      <alignment vertical="center"/>
    </xf>
    <xf numFmtId="16" fontId="6" fillId="0" borderId="0" xfId="0" applyNumberFormat="1" applyFont="1" applyAlignment="1">
      <alignment horizontal="center" vertical="center"/>
    </xf>
    <xf numFmtId="1" fontId="12" fillId="9" borderId="2" xfId="0" applyNumberFormat="1" applyFont="1" applyFill="1" applyBorder="1" applyAlignment="1">
      <alignment horizontal="centerContinuous" vertical="center"/>
    </xf>
    <xf numFmtId="1" fontId="0" fillId="0" borderId="0" xfId="0" applyNumberFormat="1"/>
    <xf numFmtId="1" fontId="15" fillId="0" borderId="0" xfId="0" applyNumberFormat="1" applyFont="1"/>
    <xf numFmtId="1" fontId="17" fillId="0" borderId="4" xfId="0" applyNumberFormat="1" applyFont="1" applyBorder="1" applyAlignment="1">
      <alignment horizontal="center"/>
    </xf>
    <xf numFmtId="1" fontId="6" fillId="0" borderId="6" xfId="0" applyNumberFormat="1" applyFont="1" applyBorder="1" applyAlignment="1">
      <alignment horizontal="center" vertical="center" wrapText="1"/>
    </xf>
    <xf numFmtId="1" fontId="7" fillId="0" borderId="40" xfId="3" applyNumberFormat="1" applyFont="1" applyFill="1" applyBorder="1" applyAlignment="1">
      <alignment horizontal="center"/>
    </xf>
    <xf numFmtId="1" fontId="7" fillId="0" borderId="45" xfId="3" applyNumberFormat="1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 wrapText="1"/>
    </xf>
    <xf numFmtId="1" fontId="7" fillId="0" borderId="52" xfId="3" applyNumberFormat="1" applyFont="1" applyFill="1" applyBorder="1" applyAlignment="1">
      <alignment horizontal="center"/>
    </xf>
    <xf numFmtId="1" fontId="6" fillId="0" borderId="55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1" fontId="35" fillId="9" borderId="2" xfId="0" applyNumberFormat="1" applyFont="1" applyFill="1" applyBorder="1" applyAlignment="1">
      <alignment horizontal="centerContinuous" vertical="center"/>
    </xf>
    <xf numFmtId="1" fontId="7" fillId="0" borderId="55" xfId="0" applyNumberFormat="1" applyFont="1" applyBorder="1" applyAlignment="1">
      <alignment horizontal="center"/>
    </xf>
    <xf numFmtId="1" fontId="36" fillId="0" borderId="0" xfId="0" applyNumberFormat="1" applyFont="1"/>
    <xf numFmtId="1" fontId="20" fillId="0" borderId="4" xfId="0" applyNumberFormat="1" applyFont="1" applyBorder="1" applyAlignment="1">
      <alignment horizontal="center"/>
    </xf>
    <xf numFmtId="1" fontId="7" fillId="0" borderId="6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/>
    </xf>
    <xf numFmtId="1" fontId="3" fillId="0" borderId="40" xfId="3" applyNumberFormat="1" applyFont="1" applyFill="1" applyBorder="1" applyAlignment="1">
      <alignment horizontal="center"/>
    </xf>
    <xf numFmtId="1" fontId="3" fillId="0" borderId="25" xfId="3" applyNumberFormat="1" applyFont="1" applyFill="1" applyBorder="1" applyAlignment="1">
      <alignment horizontal="center"/>
    </xf>
    <xf numFmtId="1" fontId="3" fillId="0" borderId="45" xfId="3" applyNumberFormat="1" applyFont="1" applyFill="1" applyBorder="1" applyAlignment="1">
      <alignment horizontal="center"/>
    </xf>
    <xf numFmtId="0" fontId="0" fillId="0" borderId="25" xfId="0" applyBorder="1"/>
    <xf numFmtId="0" fontId="6" fillId="0" borderId="63" xfId="0" applyFont="1" applyBorder="1" applyAlignment="1">
      <alignment horizontal="center" vertical="center" wrapText="1"/>
    </xf>
    <xf numFmtId="0" fontId="0" fillId="0" borderId="25" xfId="0" applyBorder="1" applyAlignment="1">
      <alignment wrapText="1"/>
    </xf>
    <xf numFmtId="0" fontId="6" fillId="0" borderId="39" xfId="0" applyFont="1" applyBorder="1" applyAlignment="1">
      <alignment horizontal="center" wrapText="1"/>
    </xf>
    <xf numFmtId="0" fontId="6" fillId="0" borderId="40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7" fillId="0" borderId="25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/>
    </xf>
    <xf numFmtId="166" fontId="0" fillId="0" borderId="25" xfId="4" applyNumberFormat="1" applyFont="1" applyBorder="1"/>
    <xf numFmtId="172" fontId="0" fillId="0" borderId="25" xfId="4" applyNumberFormat="1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 wrapText="1"/>
    </xf>
    <xf numFmtId="0" fontId="26" fillId="0" borderId="0" xfId="0" applyFont="1"/>
    <xf numFmtId="0" fontId="7" fillId="0" borderId="25" xfId="0" applyFont="1" applyBorder="1"/>
    <xf numFmtId="171" fontId="7" fillId="0" borderId="25" xfId="0" applyNumberFormat="1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0" fillId="0" borderId="63" xfId="0" applyBorder="1"/>
    <xf numFmtId="0" fontId="20" fillId="0" borderId="63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/>
    </xf>
    <xf numFmtId="0" fontId="7" fillId="0" borderId="45" xfId="0" applyFont="1" applyBorder="1"/>
    <xf numFmtId="0" fontId="7" fillId="0" borderId="46" xfId="0" applyFont="1" applyBorder="1" applyAlignment="1">
      <alignment horizontal="center"/>
    </xf>
    <xf numFmtId="3" fontId="0" fillId="0" borderId="0" xfId="0" applyNumberFormat="1"/>
    <xf numFmtId="3" fontId="6" fillId="0" borderId="6" xfId="0" applyNumberFormat="1" applyFont="1" applyBorder="1" applyAlignment="1">
      <alignment horizontal="center" vertical="center" wrapText="1"/>
    </xf>
    <xf numFmtId="3" fontId="5" fillId="0" borderId="6" xfId="0" applyNumberFormat="1" applyFont="1" applyBorder="1" applyAlignment="1">
      <alignment horizontal="center" vertical="center" wrapText="1"/>
    </xf>
    <xf numFmtId="3" fontId="7" fillId="0" borderId="25" xfId="0" applyNumberFormat="1" applyFont="1" applyBorder="1" applyAlignment="1">
      <alignment horizontal="center" vertical="center"/>
    </xf>
    <xf numFmtId="3" fontId="6" fillId="0" borderId="25" xfId="0" applyNumberFormat="1" applyFont="1" applyBorder="1" applyAlignment="1">
      <alignment horizontal="center" vertical="center"/>
    </xf>
    <xf numFmtId="3" fontId="6" fillId="0" borderId="25" xfId="0" applyNumberFormat="1" applyFont="1" applyBorder="1" applyAlignment="1">
      <alignment horizontal="center"/>
    </xf>
    <xf numFmtId="164" fontId="6" fillId="0" borderId="34" xfId="0" applyNumberFormat="1" applyFont="1" applyBorder="1" applyAlignment="1">
      <alignment horizontal="center" vertical="center"/>
    </xf>
    <xf numFmtId="164" fontId="6" fillId="0" borderId="25" xfId="0" applyNumberFormat="1" applyFont="1" applyBorder="1" applyAlignment="1">
      <alignment horizontal="center" vertical="center"/>
    </xf>
    <xf numFmtId="164" fontId="6" fillId="0" borderId="45" xfId="0" applyNumberFormat="1" applyFont="1" applyBorder="1" applyAlignment="1">
      <alignment horizontal="center" vertical="center"/>
    </xf>
    <xf numFmtId="173" fontId="3" fillId="0" borderId="6" xfId="0" applyNumberFormat="1" applyFont="1" applyBorder="1" applyAlignment="1">
      <alignment horizontal="left"/>
    </xf>
    <xf numFmtId="173" fontId="3" fillId="0" borderId="4" xfId="0" applyNumberFormat="1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66" fontId="0" fillId="0" borderId="25" xfId="4" applyNumberFormat="1" applyFont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165" fontId="25" fillId="0" borderId="25" xfId="0" applyNumberFormat="1" applyFont="1" applyBorder="1" applyAlignment="1">
      <alignment vertical="center"/>
    </xf>
    <xf numFmtId="0" fontId="6" fillId="0" borderId="25" xfId="0" applyFont="1" applyBorder="1" applyAlignment="1">
      <alignment horizontal="center" vertical="center"/>
    </xf>
    <xf numFmtId="173" fontId="4" fillId="0" borderId="6" xfId="0" applyNumberFormat="1" applyFont="1" applyBorder="1" applyAlignment="1">
      <alignment horizontal="center" vertical="center"/>
    </xf>
    <xf numFmtId="173" fontId="37" fillId="0" borderId="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vertical="center"/>
    </xf>
    <xf numFmtId="0" fontId="26" fillId="0" borderId="65" xfId="0" applyFont="1" applyBorder="1" applyAlignment="1">
      <alignment horizontal="center" vertical="center" wrapText="1"/>
    </xf>
    <xf numFmtId="172" fontId="0" fillId="0" borderId="48" xfId="4" applyNumberFormat="1" applyFont="1" applyBorder="1" applyAlignment="1">
      <alignment horizontal="center" vertical="center"/>
    </xf>
    <xf numFmtId="0" fontId="26" fillId="0" borderId="25" xfId="0" applyFont="1" applyBorder="1"/>
    <xf numFmtId="4" fontId="7" fillId="0" borderId="25" xfId="0" applyNumberFormat="1" applyFont="1" applyBorder="1" applyAlignment="1">
      <alignment horizontal="center" vertical="center"/>
    </xf>
    <xf numFmtId="174" fontId="7" fillId="0" borderId="25" xfId="0" applyNumberFormat="1" applyFont="1" applyBorder="1" applyAlignment="1">
      <alignment horizontal="center" vertical="center"/>
    </xf>
    <xf numFmtId="167" fontId="7" fillId="0" borderId="25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3" fontId="6" fillId="0" borderId="40" xfId="0" applyNumberFormat="1" applyFont="1" applyBorder="1" applyAlignment="1">
      <alignment horizontal="center"/>
    </xf>
    <xf numFmtId="3" fontId="7" fillId="0" borderId="40" xfId="0" applyNumberFormat="1" applyFont="1" applyBorder="1" applyAlignment="1">
      <alignment horizontal="center" vertical="center"/>
    </xf>
    <xf numFmtId="9" fontId="7" fillId="0" borderId="41" xfId="3" applyFont="1" applyFill="1" applyBorder="1" applyAlignment="1">
      <alignment horizontal="center"/>
    </xf>
    <xf numFmtId="9" fontId="7" fillId="0" borderId="43" xfId="3" applyFont="1" applyFill="1" applyBorder="1" applyAlignment="1">
      <alignment horizontal="center"/>
    </xf>
    <xf numFmtId="0" fontId="26" fillId="0" borderId="42" xfId="0" applyFont="1" applyBorder="1"/>
    <xf numFmtId="0" fontId="0" fillId="0" borderId="39" xfId="0" applyBorder="1"/>
    <xf numFmtId="0" fontId="0" fillId="0" borderId="42" xfId="0" applyBorder="1"/>
    <xf numFmtId="3" fontId="0" fillId="0" borderId="25" xfId="0" applyNumberFormat="1" applyBorder="1"/>
    <xf numFmtId="0" fontId="0" fillId="0" borderId="44" xfId="0" applyBorder="1"/>
    <xf numFmtId="0" fontId="0" fillId="0" borderId="45" xfId="0" applyBorder="1"/>
    <xf numFmtId="3" fontId="0" fillId="0" borderId="45" xfId="0" applyNumberFormat="1" applyBorder="1"/>
    <xf numFmtId="0" fontId="7" fillId="0" borderId="40" xfId="0" applyFont="1" applyBorder="1" applyAlignment="1">
      <alignment horizontal="center"/>
    </xf>
    <xf numFmtId="0" fontId="7" fillId="0" borderId="40" xfId="0" applyFont="1" applyBorder="1"/>
    <xf numFmtId="9" fontId="0" fillId="0" borderId="46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5" fontId="6" fillId="0" borderId="25" xfId="0" applyNumberFormat="1" applyFont="1" applyBorder="1" applyAlignment="1">
      <alignment vertical="center"/>
    </xf>
    <xf numFmtId="165" fontId="6" fillId="0" borderId="45" xfId="0" applyNumberFormat="1" applyFont="1" applyBorder="1" applyAlignment="1">
      <alignment horizontal="center" vertical="center"/>
    </xf>
    <xf numFmtId="165" fontId="6" fillId="0" borderId="45" xfId="0" applyNumberFormat="1" applyFont="1" applyBorder="1" applyAlignment="1">
      <alignment vertical="center"/>
    </xf>
    <xf numFmtId="0" fontId="7" fillId="0" borderId="25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166" fontId="0" fillId="0" borderId="0" xfId="0" applyNumberFormat="1"/>
    <xf numFmtId="0" fontId="37" fillId="0" borderId="1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7" fillId="0" borderId="28" xfId="0" applyFont="1" applyBorder="1" applyAlignment="1">
      <alignment horizontal="center"/>
    </xf>
    <xf numFmtId="0" fontId="37" fillId="0" borderId="55" xfId="0" applyFont="1" applyBorder="1" applyAlignment="1">
      <alignment horizontal="center"/>
    </xf>
    <xf numFmtId="0" fontId="37" fillId="0" borderId="7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14" fontId="6" fillId="0" borderId="28" xfId="0" applyNumberFormat="1" applyFont="1" applyBorder="1" applyAlignment="1">
      <alignment horizontal="center"/>
    </xf>
    <xf numFmtId="14" fontId="6" fillId="0" borderId="55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4" fillId="0" borderId="28" xfId="0" applyNumberFormat="1" applyFont="1" applyBorder="1" applyAlignment="1">
      <alignment horizontal="center" vertical="center"/>
    </xf>
    <xf numFmtId="14" fontId="4" fillId="0" borderId="55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9" fontId="7" fillId="0" borderId="25" xfId="3" applyFont="1" applyFill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165" fontId="6" fillId="0" borderId="25" xfId="0" applyNumberFormat="1" applyFont="1" applyBorder="1" applyAlignment="1">
      <alignment horizontal="center" vertical="center"/>
    </xf>
    <xf numFmtId="165" fontId="6" fillId="0" borderId="25" xfId="0" applyNumberFormat="1" applyFont="1" applyBorder="1" applyAlignment="1">
      <alignment vertical="center"/>
    </xf>
    <xf numFmtId="9" fontId="7" fillId="0" borderId="45" xfId="3" applyFont="1" applyFill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165" fontId="6" fillId="0" borderId="45" xfId="0" applyNumberFormat="1" applyFont="1" applyBorder="1" applyAlignment="1">
      <alignment horizontal="center" vertical="center"/>
    </xf>
    <xf numFmtId="166" fontId="6" fillId="0" borderId="25" xfId="0" applyNumberFormat="1" applyFont="1" applyBorder="1" applyAlignment="1">
      <alignment horizontal="center" vertical="center"/>
    </xf>
    <xf numFmtId="166" fontId="6" fillId="0" borderId="45" xfId="0" applyNumberFormat="1" applyFont="1" applyBorder="1" applyAlignment="1">
      <alignment horizontal="center" vertical="center"/>
    </xf>
    <xf numFmtId="165" fontId="6" fillId="0" borderId="45" xfId="0" applyNumberFormat="1" applyFont="1" applyBorder="1" applyAlignment="1">
      <alignment vertical="center"/>
    </xf>
    <xf numFmtId="165" fontId="6" fillId="0" borderId="33" xfId="0" applyNumberFormat="1" applyFont="1" applyBorder="1" applyAlignment="1">
      <alignment horizontal="center" vertical="center"/>
    </xf>
    <xf numFmtId="165" fontId="6" fillId="0" borderId="34" xfId="0" applyNumberFormat="1" applyFont="1" applyBorder="1" applyAlignment="1">
      <alignment horizontal="center" vertical="center"/>
    </xf>
    <xf numFmtId="165" fontId="6" fillId="0" borderId="5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10" fillId="0" borderId="51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53" xfId="0" applyFont="1" applyBorder="1" applyAlignment="1">
      <alignment horizontal="center" vertical="center" wrapText="1"/>
    </xf>
    <xf numFmtId="165" fontId="6" fillId="0" borderId="31" xfId="0" applyNumberFormat="1" applyFont="1" applyBorder="1" applyAlignment="1">
      <alignment horizontal="center" vertical="center"/>
    </xf>
    <xf numFmtId="165" fontId="6" fillId="0" borderId="32" xfId="0" applyNumberFormat="1" applyFont="1" applyBorder="1" applyAlignment="1">
      <alignment horizontal="center" vertical="center"/>
    </xf>
    <xf numFmtId="165" fontId="6" fillId="0" borderId="14" xfId="0" applyNumberFormat="1" applyFont="1" applyBorder="1" applyAlignment="1">
      <alignment horizontal="center" vertical="center"/>
    </xf>
    <xf numFmtId="165" fontId="6" fillId="0" borderId="10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165" fontId="6" fillId="0" borderId="38" xfId="0" applyNumberFormat="1" applyFont="1" applyBorder="1" applyAlignment="1">
      <alignment horizontal="center" vertical="center"/>
    </xf>
    <xf numFmtId="165" fontId="6" fillId="0" borderId="37" xfId="0" applyNumberFormat="1" applyFont="1" applyBorder="1" applyAlignment="1">
      <alignment horizontal="center" vertical="center"/>
    </xf>
    <xf numFmtId="166" fontId="6" fillId="0" borderId="33" xfId="0" applyNumberFormat="1" applyFont="1" applyBorder="1" applyAlignment="1">
      <alignment horizontal="center" vertical="center"/>
    </xf>
    <xf numFmtId="166" fontId="6" fillId="0" borderId="34" xfId="0" applyNumberFormat="1" applyFont="1" applyBorder="1" applyAlignment="1">
      <alignment horizontal="center" vertical="center"/>
    </xf>
    <xf numFmtId="165" fontId="6" fillId="0" borderId="36" xfId="0" applyNumberFormat="1" applyFont="1" applyBorder="1" applyAlignment="1">
      <alignment horizontal="center" vertical="center"/>
    </xf>
    <xf numFmtId="167" fontId="6" fillId="0" borderId="20" xfId="0" applyNumberFormat="1" applyFont="1" applyBorder="1" applyAlignment="1">
      <alignment horizontal="center" vertical="center"/>
    </xf>
    <xf numFmtId="167" fontId="6" fillId="0" borderId="19" xfId="0" applyNumberFormat="1" applyFont="1" applyBorder="1" applyAlignment="1">
      <alignment horizontal="center" vertical="center"/>
    </xf>
    <xf numFmtId="168" fontId="6" fillId="0" borderId="12" xfId="0" applyNumberFormat="1" applyFont="1" applyBorder="1" applyAlignment="1">
      <alignment horizontal="center" vertical="center"/>
    </xf>
    <xf numFmtId="168" fontId="6" fillId="0" borderId="16" xfId="0" applyNumberFormat="1" applyFont="1" applyBorder="1" applyAlignment="1">
      <alignment horizontal="center" vertical="center"/>
    </xf>
    <xf numFmtId="167" fontId="6" fillId="0" borderId="22" xfId="0" applyNumberFormat="1" applyFont="1" applyBorder="1" applyAlignment="1">
      <alignment horizontal="center" vertical="center"/>
    </xf>
    <xf numFmtId="167" fontId="6" fillId="0" borderId="17" xfId="0" applyNumberFormat="1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center" vertical="center"/>
    </xf>
    <xf numFmtId="165" fontId="6" fillId="0" borderId="15" xfId="0" applyNumberFormat="1" applyFont="1" applyBorder="1" applyAlignment="1">
      <alignment horizontal="center" vertical="center"/>
    </xf>
    <xf numFmtId="166" fontId="6" fillId="0" borderId="26" xfId="0" applyNumberFormat="1" applyFont="1" applyBorder="1" applyAlignment="1">
      <alignment horizontal="center" vertical="center"/>
    </xf>
    <xf numFmtId="166" fontId="6" fillId="0" borderId="27" xfId="0" applyNumberFormat="1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6" fillId="0" borderId="20" xfId="0" applyNumberFormat="1" applyFont="1" applyBorder="1" applyAlignment="1">
      <alignment horizontal="center" vertical="center"/>
    </xf>
    <xf numFmtId="165" fontId="6" fillId="0" borderId="1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0" borderId="12" xfId="0" quotePrefix="1" applyFont="1" applyBorder="1" applyAlignment="1">
      <alignment horizontal="center" vertical="center"/>
    </xf>
    <xf numFmtId="165" fontId="6" fillId="0" borderId="21" xfId="0" applyNumberFormat="1" applyFont="1" applyBorder="1" applyAlignment="1">
      <alignment horizontal="center" vertical="center"/>
    </xf>
    <xf numFmtId="167" fontId="6" fillId="0" borderId="21" xfId="0" applyNumberFormat="1" applyFont="1" applyBorder="1" applyAlignment="1">
      <alignment horizontal="center" vertical="center"/>
    </xf>
    <xf numFmtId="167" fontId="6" fillId="0" borderId="23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5" fontId="6" fillId="2" borderId="31" xfId="0" applyNumberFormat="1" applyFont="1" applyFill="1" applyBorder="1" applyAlignment="1">
      <alignment horizontal="center" vertical="center"/>
    </xf>
    <xf numFmtId="165" fontId="6" fillId="2" borderId="32" xfId="0" applyNumberFormat="1" applyFont="1" applyFill="1" applyBorder="1" applyAlignment="1">
      <alignment horizontal="center" vertical="center"/>
    </xf>
    <xf numFmtId="165" fontId="6" fillId="2" borderId="1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5" fontId="6" fillId="2" borderId="38" xfId="0" applyNumberFormat="1" applyFont="1" applyFill="1" applyBorder="1" applyAlignment="1">
      <alignment horizontal="center" vertical="center"/>
    </xf>
    <xf numFmtId="165" fontId="6" fillId="2" borderId="37" xfId="0" applyNumberFormat="1" applyFont="1" applyFill="1" applyBorder="1" applyAlignment="1">
      <alignment horizontal="center" vertical="center"/>
    </xf>
    <xf numFmtId="166" fontId="6" fillId="2" borderId="33" xfId="0" applyNumberFormat="1" applyFont="1" applyFill="1" applyBorder="1" applyAlignment="1">
      <alignment horizontal="center" vertical="center"/>
    </xf>
    <xf numFmtId="166" fontId="6" fillId="2" borderId="34" xfId="0" applyNumberFormat="1" applyFont="1" applyFill="1" applyBorder="1" applyAlignment="1">
      <alignment horizontal="center" vertical="center"/>
    </xf>
    <xf numFmtId="165" fontId="6" fillId="2" borderId="33" xfId="0" applyNumberFormat="1" applyFont="1" applyFill="1" applyBorder="1" applyAlignment="1">
      <alignment horizontal="center" vertical="center"/>
    </xf>
    <xf numFmtId="165" fontId="6" fillId="2" borderId="34" xfId="0" applyNumberFormat="1" applyFont="1" applyFill="1" applyBorder="1" applyAlignment="1">
      <alignment horizontal="center" vertical="center"/>
    </xf>
    <xf numFmtId="9" fontId="7" fillId="0" borderId="25" xfId="3" applyFont="1" applyBorder="1" applyAlignment="1">
      <alignment horizontal="center" vertical="center"/>
    </xf>
    <xf numFmtId="165" fontId="6" fillId="2" borderId="36" xfId="0" applyNumberFormat="1" applyFont="1" applyFill="1" applyBorder="1" applyAlignment="1">
      <alignment horizontal="center" vertical="center"/>
    </xf>
    <xf numFmtId="165" fontId="6" fillId="2" borderId="20" xfId="0" applyNumberFormat="1" applyFont="1" applyFill="1" applyBorder="1" applyAlignment="1">
      <alignment horizontal="center" vertical="center"/>
    </xf>
    <xf numFmtId="165" fontId="6" fillId="2" borderId="19" xfId="0" applyNumberFormat="1" applyFont="1" applyFill="1" applyBorder="1" applyAlignment="1">
      <alignment horizontal="center" vertical="center"/>
    </xf>
    <xf numFmtId="165" fontId="6" fillId="2" borderId="25" xfId="0" applyNumberFormat="1" applyFont="1" applyFill="1" applyBorder="1" applyAlignment="1">
      <alignment horizontal="center" vertical="center"/>
    </xf>
    <xf numFmtId="165" fontId="6" fillId="2" borderId="21" xfId="0" applyNumberFormat="1" applyFont="1" applyFill="1" applyBorder="1" applyAlignment="1">
      <alignment horizontal="center" vertical="center"/>
    </xf>
    <xf numFmtId="165" fontId="6" fillId="0" borderId="42" xfId="0" applyNumberFormat="1" applyFont="1" applyBorder="1" applyAlignment="1">
      <alignment horizontal="center" vertical="center"/>
    </xf>
    <xf numFmtId="165" fontId="6" fillId="0" borderId="43" xfId="0" applyNumberFormat="1" applyFont="1" applyBorder="1" applyAlignment="1">
      <alignment horizontal="center" vertical="center"/>
    </xf>
    <xf numFmtId="165" fontId="6" fillId="0" borderId="44" xfId="0" applyNumberFormat="1" applyFont="1" applyBorder="1" applyAlignment="1">
      <alignment horizontal="center" vertical="center"/>
    </xf>
    <xf numFmtId="165" fontId="6" fillId="0" borderId="46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165" fontId="6" fillId="2" borderId="13" xfId="0" applyNumberFormat="1" applyFont="1" applyFill="1" applyBorder="1" applyAlignment="1">
      <alignment horizontal="center" vertical="center"/>
    </xf>
    <xf numFmtId="1" fontId="7" fillId="0" borderId="25" xfId="0" applyNumberFormat="1" applyFont="1" applyBorder="1" applyAlignment="1">
      <alignment horizontal="center" vertical="center"/>
    </xf>
    <xf numFmtId="165" fontId="6" fillId="0" borderId="12" xfId="0" applyNumberFormat="1" applyFont="1" applyBorder="1" applyAlignment="1">
      <alignment horizontal="center" vertical="center"/>
    </xf>
    <xf numFmtId="165" fontId="6" fillId="0" borderId="16" xfId="0" applyNumberFormat="1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center" vertical="center"/>
    </xf>
    <xf numFmtId="166" fontId="6" fillId="0" borderId="16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1" xfId="0" quotePrefix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</cellXfs>
  <cellStyles count="5">
    <cellStyle name="Millares" xfId="4" builtinId="3"/>
    <cellStyle name="Millares 2" xfId="1" xr:uid="{00000000-0005-0000-0000-000001000000}"/>
    <cellStyle name="Normal" xfId="0" builtinId="0"/>
    <cellStyle name="Normal 2 2" xfId="2" xr:uid="{00000000-0005-0000-0000-000003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sharedStrings" Target="sharedString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0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1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2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3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5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6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7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8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9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70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1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72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3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74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75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76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77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78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79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80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81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82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83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84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85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86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87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88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89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90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91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92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93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94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95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96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97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98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99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100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101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102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103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104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105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106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107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108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109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110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111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112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E36"/>
  <sheetViews>
    <sheetView topLeftCell="C6" zoomScale="70" zoomScaleNormal="70" workbookViewId="0">
      <selection activeCell="H7" sqref="H7"/>
    </sheetView>
  </sheetViews>
  <sheetFormatPr baseColWidth="10" defaultRowHeight="15" x14ac:dyDescent="0.25"/>
  <cols>
    <col min="1" max="1" width="9" customWidth="1"/>
    <col min="2" max="2" width="12.7109375" style="283" customWidth="1"/>
    <col min="3" max="3" width="10.7109375" customWidth="1"/>
    <col min="4" max="4" width="6" hidden="1" customWidth="1"/>
    <col min="5" max="5" width="9.85546875" hidden="1" customWidth="1"/>
    <col min="6" max="6" width="27.42578125" customWidth="1"/>
    <col min="7" max="7" width="8.42578125" style="444" customWidth="1"/>
    <col min="8" max="8" width="9.42578125" style="444" customWidth="1"/>
    <col min="9" max="9" width="8.85546875" style="444" customWidth="1"/>
    <col min="10" max="10" width="1.140625" customWidth="1"/>
    <col min="11" max="11" width="8.140625" customWidth="1"/>
    <col min="12" max="12" width="8" customWidth="1"/>
    <col min="13" max="13" width="9.85546875" customWidth="1"/>
    <col min="14" max="14" width="8.28515625" style="110" customWidth="1"/>
    <col min="15" max="15" width="8.42578125" customWidth="1"/>
    <col min="16" max="16" width="9.5703125" customWidth="1"/>
    <col min="17" max="17" width="8.28515625" customWidth="1"/>
    <col min="18" max="18" width="8.85546875" bestFit="1" customWidth="1"/>
    <col min="19" max="19" width="8.7109375" style="283" bestFit="1" customWidth="1"/>
    <col min="20" max="20" width="7.28515625" style="283" customWidth="1"/>
    <col min="21" max="21" width="24.85546875" style="283" customWidth="1"/>
    <col min="22" max="22" width="9.7109375" style="283" customWidth="1"/>
    <col min="23" max="23" width="24.85546875" style="283" bestFit="1" customWidth="1"/>
    <col min="24" max="24" width="9.5703125" style="283" customWidth="1"/>
  </cols>
  <sheetData>
    <row r="1" spans="1:31" ht="27.6" customHeight="1" x14ac:dyDescent="0.25">
      <c r="N1"/>
    </row>
    <row r="2" spans="1:31" ht="24.75" customHeight="1" thickBot="1" x14ac:dyDescent="0.3">
      <c r="N2"/>
    </row>
    <row r="3" spans="1:31" ht="24.75" customHeight="1" thickBot="1" x14ac:dyDescent="0.45">
      <c r="C3" s="505"/>
      <c r="D3" s="505"/>
      <c r="E3" s="505"/>
      <c r="F3" s="505"/>
      <c r="G3" s="505"/>
      <c r="H3" s="506"/>
      <c r="N3"/>
    </row>
    <row r="4" spans="1:31" ht="24.75" customHeight="1" thickBot="1" x14ac:dyDescent="0.4">
      <c r="C4" s="507"/>
      <c r="D4" s="508"/>
      <c r="E4" s="477"/>
      <c r="F4" s="454">
        <f ca="1">+TODAY()</f>
        <v>46101</v>
      </c>
    </row>
    <row r="5" spans="1:31" ht="42.6" customHeight="1" thickBot="1" x14ac:dyDescent="0.45">
      <c r="C5" s="507"/>
      <c r="D5" s="508"/>
      <c r="E5" s="495"/>
      <c r="F5" s="453"/>
      <c r="K5" s="509" t="s">
        <v>740</v>
      </c>
      <c r="L5" s="510"/>
      <c r="M5" s="510"/>
      <c r="N5" s="510"/>
      <c r="O5" s="510"/>
      <c r="P5" s="510"/>
      <c r="Q5" s="511"/>
      <c r="S5" s="478" t="s">
        <v>737</v>
      </c>
      <c r="T5" s="479"/>
      <c r="U5" s="479"/>
      <c r="V5" s="479"/>
      <c r="W5" s="479"/>
      <c r="X5" s="480"/>
      <c r="AA5" s="502" t="s">
        <v>739</v>
      </c>
      <c r="AB5" s="503"/>
      <c r="AC5" s="503"/>
      <c r="AD5" s="503"/>
      <c r="AE5" s="504"/>
    </row>
    <row r="6" spans="1:31" ht="58.9" customHeight="1" thickBot="1" x14ac:dyDescent="0.3">
      <c r="A6" s="4" t="s">
        <v>751</v>
      </c>
      <c r="B6" s="4" t="s">
        <v>752</v>
      </c>
      <c r="C6" s="445" t="s">
        <v>4</v>
      </c>
      <c r="D6" s="15" t="s">
        <v>460</v>
      </c>
      <c r="E6" s="15" t="s">
        <v>458</v>
      </c>
      <c r="F6" s="4" t="s">
        <v>5</v>
      </c>
      <c r="G6" s="445" t="s">
        <v>438</v>
      </c>
      <c r="H6" s="446" t="s">
        <v>68</v>
      </c>
      <c r="I6" s="445" t="s">
        <v>76</v>
      </c>
      <c r="J6" s="91"/>
      <c r="K6" s="207" t="s">
        <v>63</v>
      </c>
      <c r="L6" s="154" t="s">
        <v>38</v>
      </c>
      <c r="M6" s="154" t="s">
        <v>58</v>
      </c>
      <c r="N6" s="154" t="s">
        <v>10</v>
      </c>
      <c r="O6" s="154" t="s">
        <v>11</v>
      </c>
      <c r="P6" s="154" t="s">
        <v>14</v>
      </c>
      <c r="Q6" s="208" t="s">
        <v>738</v>
      </c>
      <c r="S6" s="104" t="s">
        <v>728</v>
      </c>
      <c r="T6" s="103" t="s">
        <v>710</v>
      </c>
      <c r="U6" s="103" t="s">
        <v>5</v>
      </c>
      <c r="V6" s="464" t="s">
        <v>729</v>
      </c>
      <c r="W6" s="103" t="s">
        <v>713</v>
      </c>
      <c r="X6" s="465" t="s">
        <v>741</v>
      </c>
      <c r="AA6" s="103" t="s">
        <v>731</v>
      </c>
      <c r="AB6" s="103" t="s">
        <v>38</v>
      </c>
      <c r="AC6" s="103" t="s">
        <v>730</v>
      </c>
      <c r="AD6" s="103" t="s">
        <v>11</v>
      </c>
      <c r="AE6" s="103" t="s">
        <v>732</v>
      </c>
    </row>
    <row r="7" spans="1:31" ht="37.5" x14ac:dyDescent="0.3">
      <c r="A7" s="486"/>
      <c r="B7" s="73" t="s">
        <v>97</v>
      </c>
      <c r="C7" s="481" t="s">
        <v>15</v>
      </c>
      <c r="D7" s="492">
        <v>500</v>
      </c>
      <c r="E7" s="492"/>
      <c r="F7" s="493" t="s">
        <v>16</v>
      </c>
      <c r="G7" s="482"/>
      <c r="H7" s="448" t="str">
        <f>+IF(G7="","",IF(G7-Q7&gt;0,0,Q7-G7))</f>
        <v/>
      </c>
      <c r="I7" s="483">
        <f>+IFERROR(G7/K7,)</f>
        <v>0</v>
      </c>
      <c r="J7" s="92"/>
      <c r="K7" s="131">
        <v>5</v>
      </c>
      <c r="L7" s="137">
        <v>30</v>
      </c>
      <c r="M7" s="137">
        <f t="shared" ref="M7:M15" si="0">+K7*O7</f>
        <v>4552.3520485584222</v>
      </c>
      <c r="N7" s="450">
        <v>3.295E-2</v>
      </c>
      <c r="O7" s="39">
        <f t="shared" ref="O7:O15" si="1">+L7/N7</f>
        <v>910.4704097116844</v>
      </c>
      <c r="P7" s="137">
        <f>IFERROR(VLOOKUP(D7,'Estadistica Madre CH 23-01'!A:C,3,0),+VLOOKUP(D7,'Estadistica Madre LK 23-01 '!A:C,3,0))</f>
        <v>1440</v>
      </c>
      <c r="Q7" s="141">
        <f>3*P7/O7</f>
        <v>4.7447999999999997</v>
      </c>
      <c r="S7" s="456" t="s">
        <v>15</v>
      </c>
      <c r="T7" s="66">
        <v>500</v>
      </c>
      <c r="U7" s="66" t="s">
        <v>16</v>
      </c>
      <c r="V7" s="438" t="s">
        <v>714</v>
      </c>
      <c r="W7" s="429" t="s">
        <v>715</v>
      </c>
      <c r="X7" s="432">
        <f>+AE7/AB7</f>
        <v>0</v>
      </c>
      <c r="AA7" s="436">
        <v>2.9343333333333332E-2</v>
      </c>
      <c r="AB7" s="457">
        <v>30</v>
      </c>
      <c r="AC7" s="457">
        <f>+SUMIFS(H:H,D:$D,T7)</f>
        <v>0</v>
      </c>
      <c r="AD7" s="458">
        <f>+SUMIFS(O:O,D:D,T7)</f>
        <v>910.4704097116844</v>
      </c>
      <c r="AE7" s="458">
        <f t="shared" ref="AE7:AE23" si="2">+(AD7*AC7)*AA7</f>
        <v>0</v>
      </c>
    </row>
    <row r="8" spans="1:31" ht="21.2" customHeight="1" x14ac:dyDescent="0.3">
      <c r="A8" s="487"/>
      <c r="B8" s="66" t="s">
        <v>97</v>
      </c>
      <c r="C8" s="449" t="s">
        <v>28</v>
      </c>
      <c r="D8" s="53">
        <v>506</v>
      </c>
      <c r="E8" s="53"/>
      <c r="F8" s="435" t="s">
        <v>29</v>
      </c>
      <c r="G8" s="447"/>
      <c r="H8" s="448" t="str">
        <f t="shared" ref="H8:H16" si="3">+IF(G8="","",IF(G8-Q8&gt;0,0,Q8-G8))</f>
        <v/>
      </c>
      <c r="I8" s="484">
        <f t="shared" ref="I8:I23" si="4">+IFERROR(G8/K8,)</f>
        <v>0</v>
      </c>
      <c r="J8" s="92"/>
      <c r="K8" s="96">
        <v>36</v>
      </c>
      <c r="L8" s="39">
        <v>30</v>
      </c>
      <c r="M8" s="39">
        <f t="shared" si="0"/>
        <v>49202.733485193625</v>
      </c>
      <c r="N8" s="451">
        <v>2.1950000000000001E-2</v>
      </c>
      <c r="O8" s="39">
        <f t="shared" si="1"/>
        <v>1366.7425968109339</v>
      </c>
      <c r="P8" s="39">
        <f>IFERROR(VLOOKUP(D8,'Estadistica Madre CH 23-01'!A:C,3,0),+VLOOKUP(D8,'Estadistica Madre LK 23-01 '!A:C,3,0))</f>
        <v>18840</v>
      </c>
      <c r="Q8" s="122">
        <f t="shared" ref="Q8:Q15" si="5">3*P8/O8</f>
        <v>41.3538</v>
      </c>
      <c r="S8" s="456" t="s">
        <v>15</v>
      </c>
      <c r="T8" s="66">
        <v>500</v>
      </c>
      <c r="U8" s="66" t="s">
        <v>16</v>
      </c>
      <c r="V8" s="438" t="s">
        <v>711</v>
      </c>
      <c r="W8" s="429" t="s">
        <v>712</v>
      </c>
      <c r="X8" s="432">
        <f>+AE8/AB8</f>
        <v>0</v>
      </c>
      <c r="AA8" s="436">
        <v>3.5299999999999997E-3</v>
      </c>
      <c r="AB8" s="457">
        <v>30</v>
      </c>
      <c r="AC8" s="457">
        <f>+SUMIFS(H:H,D:$D,T8)</f>
        <v>0</v>
      </c>
      <c r="AD8" s="458">
        <f>+SUMIFS(O:O,D:D,T8)</f>
        <v>910.4704097116844</v>
      </c>
      <c r="AE8" s="458">
        <f>+(AD8*AC8)*AA8</f>
        <v>0</v>
      </c>
    </row>
    <row r="9" spans="1:31" ht="18.75" customHeight="1" x14ac:dyDescent="0.3">
      <c r="A9" s="487"/>
      <c r="B9" s="66" t="s">
        <v>97</v>
      </c>
      <c r="C9" s="449" t="s">
        <v>22</v>
      </c>
      <c r="D9" s="53">
        <v>654</v>
      </c>
      <c r="E9" s="53"/>
      <c r="F9" s="435" t="s">
        <v>23</v>
      </c>
      <c r="G9" s="447"/>
      <c r="H9" s="448" t="str">
        <f t="shared" si="3"/>
        <v/>
      </c>
      <c r="I9" s="484">
        <f t="shared" si="4"/>
        <v>0</v>
      </c>
      <c r="J9" s="92"/>
      <c r="K9" s="96">
        <v>5</v>
      </c>
      <c r="L9" s="121">
        <v>15</v>
      </c>
      <c r="M9" s="39">
        <f t="shared" si="0"/>
        <v>3488.3720930232562</v>
      </c>
      <c r="N9" s="451">
        <v>2.1499999999999998E-2</v>
      </c>
      <c r="O9" s="39">
        <f t="shared" si="1"/>
        <v>697.67441860465124</v>
      </c>
      <c r="P9" s="39">
        <f>IFERROR(VLOOKUP(D9,'Estadistica Madre CH 23-01'!A:C,3,0),+VLOOKUP(D9,'Estadistica Madre LK 23-01 '!A:C,3,0))</f>
        <v>912</v>
      </c>
      <c r="Q9" s="122">
        <f t="shared" si="5"/>
        <v>3.9215999999999998</v>
      </c>
      <c r="S9" s="456" t="s">
        <v>28</v>
      </c>
      <c r="T9" s="66">
        <v>506</v>
      </c>
      <c r="U9" s="66" t="s">
        <v>29</v>
      </c>
      <c r="V9" s="438" t="s">
        <v>718</v>
      </c>
      <c r="W9" s="429" t="s">
        <v>719</v>
      </c>
      <c r="X9" s="432">
        <f t="shared" ref="X9:X23" si="6">+AE9/AB9</f>
        <v>0</v>
      </c>
      <c r="AA9" s="436">
        <v>1.7959999999999997E-2</v>
      </c>
      <c r="AB9" s="457">
        <v>30</v>
      </c>
      <c r="AC9" s="457">
        <f>+SUMIFS(H:H,D:$D,T9)*1/4</f>
        <v>0</v>
      </c>
      <c r="AD9" s="458">
        <f>+SUMIFS(O:O,D:D,T9)</f>
        <v>2733.4851936218679</v>
      </c>
      <c r="AE9" s="458">
        <f t="shared" si="2"/>
        <v>0</v>
      </c>
    </row>
    <row r="10" spans="1:31" ht="18.75" x14ac:dyDescent="0.3">
      <c r="A10" s="487"/>
      <c r="B10" s="66" t="s">
        <v>97</v>
      </c>
      <c r="C10" s="449" t="s">
        <v>24</v>
      </c>
      <c r="D10" s="53">
        <v>558</v>
      </c>
      <c r="E10" s="53"/>
      <c r="F10" s="435" t="s">
        <v>25</v>
      </c>
      <c r="G10" s="447"/>
      <c r="H10" s="448" t="str">
        <f t="shared" si="3"/>
        <v/>
      </c>
      <c r="I10" s="484">
        <f t="shared" si="4"/>
        <v>0</v>
      </c>
      <c r="J10" s="92"/>
      <c r="K10" s="96">
        <v>10</v>
      </c>
      <c r="L10" s="121">
        <v>1.8</v>
      </c>
      <c r="M10" s="39">
        <f t="shared" si="0"/>
        <v>1161.2903225806454</v>
      </c>
      <c r="N10" s="451">
        <v>1.55E-2</v>
      </c>
      <c r="O10" s="39">
        <f t="shared" si="1"/>
        <v>116.12903225806453</v>
      </c>
      <c r="P10" s="39">
        <f>IFERROR(VLOOKUP(D10,'Estadistica Madre CH 23-01'!A:C,3,0),+VLOOKUP(D10,'Estadistica Madre LK 23-01 '!A:C,3,0))</f>
        <v>2124</v>
      </c>
      <c r="Q10" s="122">
        <f t="shared" si="5"/>
        <v>54.87</v>
      </c>
      <c r="S10" s="456" t="s">
        <v>28</v>
      </c>
      <c r="T10" s="66">
        <v>506</v>
      </c>
      <c r="U10" s="66" t="s">
        <v>29</v>
      </c>
      <c r="V10" s="438" t="s">
        <v>711</v>
      </c>
      <c r="W10" s="429" t="s">
        <v>712</v>
      </c>
      <c r="X10" s="432">
        <f t="shared" si="6"/>
        <v>0</v>
      </c>
      <c r="AA10" s="436">
        <v>3.5299999999999997E-3</v>
      </c>
      <c r="AB10" s="457">
        <v>30</v>
      </c>
      <c r="AC10" s="457">
        <f>+SUMIFS(H:H,D:$D,T10)*1/4</f>
        <v>0</v>
      </c>
      <c r="AD10" s="458">
        <f>+SUMIFS(O:O,D:D,T10)</f>
        <v>2733.4851936218679</v>
      </c>
      <c r="AE10" s="458">
        <f t="shared" si="2"/>
        <v>0</v>
      </c>
    </row>
    <row r="11" spans="1:31" ht="21.2" customHeight="1" x14ac:dyDescent="0.3">
      <c r="A11" s="487"/>
      <c r="B11" s="66" t="s">
        <v>53</v>
      </c>
      <c r="C11" s="449" t="s">
        <v>26</v>
      </c>
      <c r="D11" s="53">
        <v>557</v>
      </c>
      <c r="E11" s="53"/>
      <c r="F11" s="435" t="s">
        <v>27</v>
      </c>
      <c r="G11" s="447"/>
      <c r="H11" s="448" t="str">
        <f>+IF(G11="","",IF(G11-Q11&gt;0,0,Q11-G11))</f>
        <v/>
      </c>
      <c r="I11" s="484">
        <f t="shared" si="4"/>
        <v>0</v>
      </c>
      <c r="J11" s="92"/>
      <c r="K11" s="96">
        <v>1</v>
      </c>
      <c r="L11" s="121">
        <v>1.8</v>
      </c>
      <c r="M11" s="39">
        <f t="shared" si="0"/>
        <v>113.20754716981132</v>
      </c>
      <c r="N11" s="451">
        <v>1.5900000000000001E-2</v>
      </c>
      <c r="O11" s="39">
        <f t="shared" si="1"/>
        <v>113.20754716981132</v>
      </c>
      <c r="P11" s="39">
        <f>IFERROR(VLOOKUP(D11,'Estadistica Madre CH 23-01'!A:C,3,0),+VLOOKUP(D11,'Estadistica Madre LK 23-01 '!A:C,3,0))</f>
        <v>1400</v>
      </c>
      <c r="Q11" s="122">
        <f t="shared" si="5"/>
        <v>37.1</v>
      </c>
      <c r="S11" s="456" t="s">
        <v>22</v>
      </c>
      <c r="T11" s="66">
        <v>654</v>
      </c>
      <c r="U11" s="66" t="s">
        <v>23</v>
      </c>
      <c r="V11" s="459"/>
      <c r="W11" s="460"/>
      <c r="X11" s="432" t="e">
        <f t="shared" si="6"/>
        <v>#DIV/0!</v>
      </c>
      <c r="AA11" s="461"/>
      <c r="AB11" s="457"/>
      <c r="AC11" s="457">
        <f>+SUMIFS(H:H,D:$D,T11)</f>
        <v>0</v>
      </c>
      <c r="AD11" s="458">
        <f>+SUMIFS(O:O,D:D,T11)</f>
        <v>697.67441860465124</v>
      </c>
      <c r="AE11" s="458">
        <f t="shared" si="2"/>
        <v>0</v>
      </c>
    </row>
    <row r="12" spans="1:31" ht="21.2" customHeight="1" x14ac:dyDescent="0.3">
      <c r="A12" s="487"/>
      <c r="B12" s="66" t="s">
        <v>750</v>
      </c>
      <c r="C12" s="449"/>
      <c r="D12" s="53"/>
      <c r="E12" s="53"/>
      <c r="F12" s="435" t="s">
        <v>749</v>
      </c>
      <c r="G12" s="447"/>
      <c r="H12" s="448" t="str">
        <f t="shared" si="3"/>
        <v/>
      </c>
      <c r="I12" s="484">
        <f t="shared" si="4"/>
        <v>0</v>
      </c>
      <c r="J12" s="92"/>
      <c r="K12" s="96"/>
      <c r="L12" s="121"/>
      <c r="M12" s="39"/>
      <c r="N12" s="451"/>
      <c r="O12" s="39"/>
      <c r="P12" s="39"/>
      <c r="Q12" s="122"/>
      <c r="S12" s="456"/>
      <c r="T12" s="66"/>
      <c r="U12" s="66"/>
      <c r="V12" s="459"/>
      <c r="W12" s="460"/>
      <c r="X12" s="432"/>
      <c r="AA12" s="461"/>
      <c r="AB12" s="457"/>
      <c r="AC12" s="457"/>
      <c r="AD12" s="458"/>
      <c r="AE12" s="458"/>
    </row>
    <row r="13" spans="1:31" ht="18.75" x14ac:dyDescent="0.3">
      <c r="A13" s="487"/>
      <c r="B13" s="66" t="s">
        <v>53</v>
      </c>
      <c r="C13" s="449" t="s">
        <v>30</v>
      </c>
      <c r="D13" s="53">
        <v>510</v>
      </c>
      <c r="E13" s="53"/>
      <c r="F13" s="435" t="s">
        <v>31</v>
      </c>
      <c r="G13" s="447"/>
      <c r="H13" s="448" t="str">
        <f t="shared" si="3"/>
        <v/>
      </c>
      <c r="I13" s="484">
        <f t="shared" si="4"/>
        <v>0</v>
      </c>
      <c r="J13" s="92"/>
      <c r="K13" s="96">
        <v>8</v>
      </c>
      <c r="L13" s="39">
        <v>30</v>
      </c>
      <c r="M13" s="39">
        <f t="shared" si="0"/>
        <v>10909.09090909091</v>
      </c>
      <c r="N13" s="451">
        <v>2.1999999999999999E-2</v>
      </c>
      <c r="O13" s="39">
        <f t="shared" si="1"/>
        <v>1363.6363636363637</v>
      </c>
      <c r="P13" s="39">
        <f>IFERROR(VLOOKUP(D13,'Estadistica Madre CH 23-01'!A:C,3,0),+VLOOKUP(D13,'Estadistica Madre LK 23-01 '!A:C,3,0))</f>
        <v>6456</v>
      </c>
      <c r="Q13" s="122">
        <f t="shared" si="5"/>
        <v>14.203199999999999</v>
      </c>
      <c r="S13" s="456" t="s">
        <v>24</v>
      </c>
      <c r="T13" s="66">
        <v>558</v>
      </c>
      <c r="U13" s="66" t="s">
        <v>25</v>
      </c>
      <c r="V13" s="459"/>
      <c r="W13" s="460"/>
      <c r="X13" s="432" t="e">
        <f t="shared" si="6"/>
        <v>#DIV/0!</v>
      </c>
      <c r="AA13" s="461"/>
      <c r="AB13" s="457"/>
      <c r="AC13" s="457">
        <f>+SUMIFS(H:H,D:$D,T13)</f>
        <v>0</v>
      </c>
      <c r="AD13" s="458">
        <f t="shared" ref="AD13:AD23" si="7">+SUMIFS(O:O,D:D,T13)</f>
        <v>116.12903225806453</v>
      </c>
      <c r="AE13" s="458">
        <f t="shared" si="2"/>
        <v>0</v>
      </c>
    </row>
    <row r="14" spans="1:31" ht="18.75" x14ac:dyDescent="0.3">
      <c r="A14" s="487"/>
      <c r="B14" s="66" t="s">
        <v>53</v>
      </c>
      <c r="C14" s="449" t="s">
        <v>702</v>
      </c>
      <c r="D14" s="53">
        <v>544</v>
      </c>
      <c r="E14" s="53"/>
      <c r="F14" s="435" t="s">
        <v>474</v>
      </c>
      <c r="G14" s="447"/>
      <c r="H14" s="448" t="str">
        <f t="shared" si="3"/>
        <v/>
      </c>
      <c r="I14" s="484">
        <f t="shared" si="4"/>
        <v>0</v>
      </c>
      <c r="J14" s="92"/>
      <c r="K14" s="96">
        <v>54</v>
      </c>
      <c r="L14" s="39">
        <v>15.68</v>
      </c>
      <c r="M14" s="39">
        <f t="shared" si="0"/>
        <v>8640</v>
      </c>
      <c r="N14" s="451">
        <v>9.8000000000000004E-2</v>
      </c>
      <c r="O14" s="39">
        <f t="shared" si="1"/>
        <v>160</v>
      </c>
      <c r="P14" s="39">
        <f>IFERROR(VLOOKUP(D14,'Estadistica Madre CH 23-01'!A:C,3,0),+VLOOKUP(D14,'Estadistica Madre LK 23-01 '!A:C,3,0))</f>
        <v>7464</v>
      </c>
      <c r="Q14" s="122">
        <f t="shared" si="5"/>
        <v>139.94999999999999</v>
      </c>
      <c r="S14" s="456" t="s">
        <v>26</v>
      </c>
      <c r="T14" s="66">
        <v>557</v>
      </c>
      <c r="U14" s="66" t="s">
        <v>27</v>
      </c>
      <c r="V14" s="459"/>
      <c r="W14" s="460"/>
      <c r="X14" s="432" t="e">
        <f t="shared" si="6"/>
        <v>#DIV/0!</v>
      </c>
      <c r="AA14" s="461"/>
      <c r="AB14" s="457"/>
      <c r="AC14" s="457">
        <f>+SUMIFS(H:H,D:$D,T14)</f>
        <v>0</v>
      </c>
      <c r="AD14" s="458">
        <f t="shared" si="7"/>
        <v>113.20754716981132</v>
      </c>
      <c r="AE14" s="458">
        <f t="shared" si="2"/>
        <v>0</v>
      </c>
    </row>
    <row r="15" spans="1:31" ht="21.2" customHeight="1" x14ac:dyDescent="0.3">
      <c r="A15" s="487"/>
      <c r="B15" s="66" t="s">
        <v>86</v>
      </c>
      <c r="C15" s="449" t="s">
        <v>28</v>
      </c>
      <c r="D15" s="53">
        <v>506</v>
      </c>
      <c r="E15" s="53"/>
      <c r="F15" s="435" t="s">
        <v>29</v>
      </c>
      <c r="G15" s="447"/>
      <c r="H15" s="448" t="str">
        <f t="shared" si="3"/>
        <v/>
      </c>
      <c r="I15" s="484">
        <f t="shared" si="4"/>
        <v>0</v>
      </c>
      <c r="J15" s="92"/>
      <c r="K15" s="96">
        <v>36</v>
      </c>
      <c r="L15" s="39">
        <v>30</v>
      </c>
      <c r="M15" s="39">
        <f t="shared" si="0"/>
        <v>49202.733485193625</v>
      </c>
      <c r="N15" s="451">
        <v>2.1950000000000001E-2</v>
      </c>
      <c r="O15" s="39">
        <f t="shared" si="1"/>
        <v>1366.7425968109339</v>
      </c>
      <c r="P15" s="39">
        <f>IFERROR(VLOOKUP(D15,'Estadistica Madre CH 23-01'!A:C,3,0),+VLOOKUP(D15,'Estadistica Madre LK 23-01 '!A:C,3,0))</f>
        <v>18840</v>
      </c>
      <c r="Q15" s="122">
        <f t="shared" si="5"/>
        <v>41.3538</v>
      </c>
      <c r="S15" s="456" t="s">
        <v>30</v>
      </c>
      <c r="T15" s="66">
        <v>510</v>
      </c>
      <c r="U15" s="66" t="s">
        <v>31</v>
      </c>
      <c r="V15" s="438" t="s">
        <v>716</v>
      </c>
      <c r="W15" s="66" t="s">
        <v>717</v>
      </c>
      <c r="X15" s="432">
        <f t="shared" si="6"/>
        <v>0</v>
      </c>
      <c r="AA15" s="436">
        <v>1.8013333333333333E-2</v>
      </c>
      <c r="AB15" s="457">
        <v>30</v>
      </c>
      <c r="AC15" s="457">
        <f>+SUMIFS(H:H,D:$D,T15)</f>
        <v>0</v>
      </c>
      <c r="AD15" s="458">
        <f t="shared" si="7"/>
        <v>1363.6363636363637</v>
      </c>
      <c r="AE15" s="458">
        <f t="shared" si="2"/>
        <v>0</v>
      </c>
    </row>
    <row r="16" spans="1:31" ht="19.5" thickBot="1" x14ac:dyDescent="0.35">
      <c r="A16" s="487"/>
      <c r="B16" s="66" t="s">
        <v>707</v>
      </c>
      <c r="C16" s="449" t="s">
        <v>444</v>
      </c>
      <c r="D16" s="53" t="s">
        <v>457</v>
      </c>
      <c r="E16" s="53"/>
      <c r="F16" s="435" t="s">
        <v>445</v>
      </c>
      <c r="G16" s="447"/>
      <c r="H16" s="448" t="str">
        <f t="shared" si="3"/>
        <v/>
      </c>
      <c r="I16" s="484">
        <f t="shared" si="4"/>
        <v>0</v>
      </c>
      <c r="J16" s="92"/>
      <c r="K16" s="98">
        <v>20</v>
      </c>
      <c r="L16" s="117">
        <f>+K16*M16</f>
        <v>400</v>
      </c>
      <c r="M16" s="117">
        <v>20</v>
      </c>
      <c r="N16" s="452">
        <v>12.867567567567571</v>
      </c>
      <c r="O16" s="119">
        <f>+SUMIFS('Consumo '!E:E,'Consumo '!A:A,'Garage Vacio 2026'!C16)</f>
        <v>9224</v>
      </c>
      <c r="P16" s="119">
        <f>+N16*1.5</f>
        <v>19.301351351351357</v>
      </c>
      <c r="Q16" s="127">
        <f>3*P16/O16</f>
        <v>6.2775427205175706E-3</v>
      </c>
      <c r="S16" s="456" t="s">
        <v>30</v>
      </c>
      <c r="T16" s="66">
        <v>510</v>
      </c>
      <c r="U16" s="66" t="s">
        <v>31</v>
      </c>
      <c r="V16" s="438" t="s">
        <v>711</v>
      </c>
      <c r="W16" s="429" t="s">
        <v>712</v>
      </c>
      <c r="X16" s="432">
        <f t="shared" si="6"/>
        <v>0</v>
      </c>
      <c r="AA16" s="436">
        <v>3.5299999999999997E-3</v>
      </c>
      <c r="AB16" s="457">
        <v>30</v>
      </c>
      <c r="AC16" s="457">
        <f>+SUMIFS(H:H,D:$D,T16)</f>
        <v>0</v>
      </c>
      <c r="AD16" s="458">
        <f t="shared" si="7"/>
        <v>1363.6363636363637</v>
      </c>
      <c r="AE16" s="458">
        <f t="shared" si="2"/>
        <v>0</v>
      </c>
    </row>
    <row r="17" spans="1:31" ht="18.75" x14ac:dyDescent="0.3">
      <c r="A17" s="487"/>
      <c r="B17" s="66" t="s">
        <v>86</v>
      </c>
      <c r="C17" s="423"/>
      <c r="D17" s="423"/>
      <c r="E17" s="423"/>
      <c r="F17" s="423"/>
      <c r="G17" s="488"/>
      <c r="H17" s="488"/>
      <c r="I17" s="484">
        <f t="shared" si="4"/>
        <v>0</v>
      </c>
      <c r="S17" s="456" t="s">
        <v>702</v>
      </c>
      <c r="T17" s="66">
        <v>544</v>
      </c>
      <c r="U17" s="66" t="s">
        <v>474</v>
      </c>
      <c r="V17" s="438" t="s">
        <v>722</v>
      </c>
      <c r="W17" s="66" t="s">
        <v>723</v>
      </c>
      <c r="X17" s="432">
        <f t="shared" si="6"/>
        <v>0</v>
      </c>
      <c r="AA17" s="436">
        <v>3.5499999999999997E-2</v>
      </c>
      <c r="AB17" s="457">
        <v>18</v>
      </c>
      <c r="AC17" s="457">
        <f>+SUMIFS(H:H,D:$D,T17)</f>
        <v>0</v>
      </c>
      <c r="AD17" s="458">
        <f t="shared" si="7"/>
        <v>160</v>
      </c>
      <c r="AE17" s="458">
        <f t="shared" si="2"/>
        <v>0</v>
      </c>
    </row>
    <row r="18" spans="1:31" ht="18.75" x14ac:dyDescent="0.3">
      <c r="A18" s="487"/>
      <c r="B18" s="66" t="s">
        <v>86</v>
      </c>
      <c r="C18" s="423"/>
      <c r="D18" s="423"/>
      <c r="E18" s="423"/>
      <c r="F18" s="423"/>
      <c r="G18" s="488"/>
      <c r="H18" s="488"/>
      <c r="I18" s="484">
        <f t="shared" si="4"/>
        <v>0</v>
      </c>
      <c r="S18" s="456" t="s">
        <v>702</v>
      </c>
      <c r="T18" s="66">
        <v>544</v>
      </c>
      <c r="U18" s="66" t="s">
        <v>474</v>
      </c>
      <c r="V18" s="440" t="s">
        <v>720</v>
      </c>
      <c r="W18" s="437" t="s">
        <v>721</v>
      </c>
      <c r="X18" s="432">
        <f t="shared" si="6"/>
        <v>0</v>
      </c>
      <c r="AA18" s="436">
        <v>1.5900000000000001E-3</v>
      </c>
      <c r="AB18" s="457">
        <v>32</v>
      </c>
      <c r="AC18" s="457">
        <f>+SUMIFS(H:H,D:$D,T18)</f>
        <v>0</v>
      </c>
      <c r="AD18" s="458">
        <f t="shared" si="7"/>
        <v>160</v>
      </c>
      <c r="AE18" s="458">
        <f t="shared" si="2"/>
        <v>0</v>
      </c>
    </row>
    <row r="19" spans="1:31" ht="18.75" x14ac:dyDescent="0.3">
      <c r="A19" s="487"/>
      <c r="B19" s="66" t="s">
        <v>86</v>
      </c>
      <c r="C19" s="423"/>
      <c r="D19" s="423"/>
      <c r="E19" s="423"/>
      <c r="F19" s="423"/>
      <c r="G19" s="488"/>
      <c r="H19" s="488"/>
      <c r="I19" s="484">
        <f t="shared" si="4"/>
        <v>0</v>
      </c>
      <c r="S19" s="456" t="s">
        <v>702</v>
      </c>
      <c r="T19" s="66">
        <v>544</v>
      </c>
      <c r="U19" s="66" t="s">
        <v>474</v>
      </c>
      <c r="V19" s="440" t="s">
        <v>726</v>
      </c>
      <c r="W19" s="437" t="s">
        <v>724</v>
      </c>
      <c r="X19" s="432">
        <f t="shared" si="6"/>
        <v>0</v>
      </c>
      <c r="AA19" s="436">
        <v>4.6484374999999967E-2</v>
      </c>
      <c r="AB19" s="457">
        <v>14</v>
      </c>
      <c r="AC19" s="457">
        <f>+SUMIFS(H:H,D:$D,T19)</f>
        <v>0</v>
      </c>
      <c r="AD19" s="458">
        <f t="shared" si="7"/>
        <v>160</v>
      </c>
      <c r="AE19" s="458">
        <f t="shared" si="2"/>
        <v>0</v>
      </c>
    </row>
    <row r="20" spans="1:31" s="434" customFormat="1" ht="18.75" x14ac:dyDescent="0.3">
      <c r="A20" s="485"/>
      <c r="B20" s="66" t="s">
        <v>86</v>
      </c>
      <c r="C20" s="473"/>
      <c r="D20" s="473"/>
      <c r="E20" s="473"/>
      <c r="F20" s="473"/>
      <c r="G20" s="473"/>
      <c r="H20" s="473"/>
      <c r="I20" s="484">
        <f t="shared" si="4"/>
        <v>0</v>
      </c>
      <c r="S20" s="456" t="s">
        <v>702</v>
      </c>
      <c r="T20" s="66">
        <v>544</v>
      </c>
      <c r="U20" s="66" t="s">
        <v>474</v>
      </c>
      <c r="V20" s="440" t="s">
        <v>727</v>
      </c>
      <c r="W20" s="437" t="s">
        <v>725</v>
      </c>
      <c r="X20" s="432">
        <f t="shared" si="6"/>
        <v>0</v>
      </c>
      <c r="AA20" s="436">
        <v>1.5624999999999993E-2</v>
      </c>
      <c r="AB20" s="457">
        <v>10</v>
      </c>
      <c r="AC20" s="457">
        <f>+SUMIFS(H:H,D:$D,T20)</f>
        <v>0</v>
      </c>
      <c r="AD20" s="458">
        <f t="shared" si="7"/>
        <v>160</v>
      </c>
      <c r="AE20" s="458">
        <f t="shared" si="2"/>
        <v>0</v>
      </c>
    </row>
    <row r="21" spans="1:31" ht="18.600000000000001" customHeight="1" x14ac:dyDescent="0.3">
      <c r="A21" s="487"/>
      <c r="B21" s="66" t="s">
        <v>86</v>
      </c>
      <c r="C21" s="423"/>
      <c r="D21" s="423"/>
      <c r="E21" s="423"/>
      <c r="F21" s="423"/>
      <c r="G21" s="488"/>
      <c r="H21" s="488"/>
      <c r="I21" s="484">
        <f t="shared" si="4"/>
        <v>0</v>
      </c>
      <c r="S21" s="456" t="s">
        <v>28</v>
      </c>
      <c r="T21" s="66">
        <v>506</v>
      </c>
      <c r="U21" s="66" t="s">
        <v>29</v>
      </c>
      <c r="V21" s="438" t="s">
        <v>718</v>
      </c>
      <c r="W21" s="429" t="s">
        <v>719</v>
      </c>
      <c r="X21" s="432">
        <f t="shared" si="6"/>
        <v>0</v>
      </c>
      <c r="AA21" s="436">
        <v>1.7959999999999997E-2</v>
      </c>
      <c r="AB21" s="457">
        <v>30</v>
      </c>
      <c r="AC21" s="457">
        <f>+SUMIFS(H:H,D:$D,T21)*3/4</f>
        <v>0</v>
      </c>
      <c r="AD21" s="458">
        <f t="shared" si="7"/>
        <v>2733.4851936218679</v>
      </c>
      <c r="AE21" s="458">
        <f t="shared" si="2"/>
        <v>0</v>
      </c>
    </row>
    <row r="22" spans="1:31" ht="18.600000000000001" customHeight="1" x14ac:dyDescent="0.3">
      <c r="A22" s="487"/>
      <c r="B22" s="66" t="s">
        <v>86</v>
      </c>
      <c r="C22" s="423"/>
      <c r="D22" s="423"/>
      <c r="E22" s="423"/>
      <c r="F22" s="423"/>
      <c r="G22" s="488"/>
      <c r="H22" s="488"/>
      <c r="I22" s="484">
        <f t="shared" si="4"/>
        <v>0</v>
      </c>
      <c r="S22" s="456" t="s">
        <v>28</v>
      </c>
      <c r="T22" s="66">
        <v>506</v>
      </c>
      <c r="U22" s="66" t="s">
        <v>29</v>
      </c>
      <c r="V22" s="438" t="s">
        <v>711</v>
      </c>
      <c r="W22" s="429" t="s">
        <v>712</v>
      </c>
      <c r="X22" s="432">
        <f t="shared" si="6"/>
        <v>0</v>
      </c>
      <c r="AA22" s="436">
        <v>3.5299999999999997E-3</v>
      </c>
      <c r="AB22" s="457">
        <v>30</v>
      </c>
      <c r="AC22" s="457">
        <f>+SUMIFS(H:H,D:$D,T22)*3/4</f>
        <v>0</v>
      </c>
      <c r="AD22" s="458">
        <f t="shared" si="7"/>
        <v>2733.4851936218679</v>
      </c>
      <c r="AE22" s="458">
        <f t="shared" si="2"/>
        <v>0</v>
      </c>
    </row>
    <row r="23" spans="1:31" ht="18.600000000000001" customHeight="1" thickBot="1" x14ac:dyDescent="0.3">
      <c r="A23" s="489"/>
      <c r="B23" s="327" t="s">
        <v>86</v>
      </c>
      <c r="C23" s="490"/>
      <c r="D23" s="490"/>
      <c r="E23" s="490"/>
      <c r="F23" s="490"/>
      <c r="G23" s="491"/>
      <c r="H23" s="491"/>
      <c r="I23" s="494">
        <f t="shared" si="4"/>
        <v>0</v>
      </c>
      <c r="S23" s="463" t="s">
        <v>444</v>
      </c>
      <c r="T23" s="327" t="s">
        <v>457</v>
      </c>
      <c r="U23" s="327" t="s">
        <v>445</v>
      </c>
      <c r="V23" s="459"/>
      <c r="W23" s="460"/>
      <c r="X23" s="432" t="e">
        <f t="shared" si="6"/>
        <v>#DIV/0!</v>
      </c>
      <c r="AA23" s="461"/>
      <c r="AB23" s="461"/>
      <c r="AC23" s="457">
        <f>+SUMIFS(H:H,D:$D,T23)</f>
        <v>0</v>
      </c>
      <c r="AD23" s="458">
        <f t="shared" si="7"/>
        <v>9224</v>
      </c>
      <c r="AE23" s="458">
        <f t="shared" si="2"/>
        <v>0</v>
      </c>
    </row>
    <row r="24" spans="1:31" ht="18.600000000000001" customHeight="1" x14ac:dyDescent="0.25"/>
    <row r="25" spans="1:31" ht="18.600000000000001" customHeight="1" x14ac:dyDescent="0.25"/>
    <row r="26" spans="1:31" ht="18.600000000000001" customHeight="1" x14ac:dyDescent="0.25"/>
    <row r="27" spans="1:31" ht="18.600000000000001" customHeight="1" x14ac:dyDescent="0.25"/>
    <row r="28" spans="1:31" ht="18.600000000000001" customHeight="1" x14ac:dyDescent="0.25"/>
    <row r="29" spans="1:31" ht="18.600000000000001" customHeight="1" x14ac:dyDescent="0.25"/>
    <row r="30" spans="1:31" ht="18.600000000000001" customHeight="1" x14ac:dyDescent="0.25"/>
    <row r="31" spans="1:31" ht="18.600000000000001" customHeight="1" x14ac:dyDescent="0.25"/>
    <row r="32" spans="1:31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  <row r="36" ht="18.600000000000001" customHeight="1" x14ac:dyDescent="0.25"/>
  </sheetData>
  <autoFilter ref="C6:Q16" xr:uid="{00000000-0009-0000-0000-000000000000}"/>
  <mergeCells count="5">
    <mergeCell ref="AA5:AE5"/>
    <mergeCell ref="C3:H3"/>
    <mergeCell ref="C4:D4"/>
    <mergeCell ref="C5:D5"/>
    <mergeCell ref="K5:Q5"/>
  </mergeCells>
  <printOptions horizontalCentered="1" verticalCentered="1"/>
  <pageMargins left="0.23622047244094491" right="0.23622047244094491" top="0.15748031496062992" bottom="7.874015748031496E-2" header="0" footer="0"/>
  <pageSetup paperSize="9" scale="13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37E6-32D9-4AA5-9B35-EE81FF687D47}">
  <sheetPr>
    <tabColor rgb="FFFFFF00"/>
    <pageSetUpPr fitToPage="1"/>
  </sheetPr>
  <dimension ref="A1:AC36"/>
  <sheetViews>
    <sheetView tabSelected="1" topLeftCell="A6" zoomScale="70" zoomScaleNormal="70" workbookViewId="0">
      <selection activeCell="D10" sqref="D10"/>
    </sheetView>
  </sheetViews>
  <sheetFormatPr baseColWidth="10" defaultRowHeight="15" x14ac:dyDescent="0.25"/>
  <cols>
    <col min="1" max="1" width="11.85546875" style="283" customWidth="1"/>
    <col min="2" max="2" width="10.7109375" customWidth="1"/>
    <col min="3" max="3" width="8" customWidth="1"/>
    <col min="4" max="4" width="28.85546875" customWidth="1"/>
    <col min="5" max="5" width="8.42578125" style="444" customWidth="1"/>
    <col min="6" max="6" width="9.42578125" style="444" customWidth="1"/>
    <col min="7" max="7" width="8.85546875" style="444" customWidth="1"/>
    <col min="8" max="8" width="1.140625" customWidth="1"/>
    <col min="9" max="9" width="8.140625" customWidth="1"/>
    <col min="10" max="10" width="8" customWidth="1"/>
    <col min="11" max="11" width="10.7109375" customWidth="1"/>
    <col min="12" max="12" width="9.7109375" style="110" customWidth="1"/>
    <col min="13" max="13" width="9.85546875" customWidth="1"/>
    <col min="14" max="14" width="10.5703125" customWidth="1"/>
    <col min="15" max="15" width="8.28515625" customWidth="1"/>
    <col min="16" max="16" width="8.85546875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L1"/>
    </row>
    <row r="2" spans="1:29" ht="24.75" customHeight="1" thickBot="1" x14ac:dyDescent="0.3">
      <c r="L2"/>
    </row>
    <row r="3" spans="1:29" ht="24.75" customHeight="1" thickBot="1" x14ac:dyDescent="0.45">
      <c r="B3" s="505"/>
      <c r="C3" s="505"/>
      <c r="D3" s="505"/>
      <c r="E3" s="505"/>
      <c r="F3" s="506"/>
      <c r="L3"/>
    </row>
    <row r="4" spans="1:29" ht="24.75" customHeight="1" thickBot="1" x14ac:dyDescent="0.4">
      <c r="B4" s="507"/>
      <c r="C4" s="508"/>
      <c r="D4" s="454">
        <f ca="1">+TODAY()</f>
        <v>46101</v>
      </c>
    </row>
    <row r="5" spans="1:29" ht="42.6" customHeight="1" thickBot="1" x14ac:dyDescent="0.45">
      <c r="B5" s="507"/>
      <c r="C5" s="508"/>
      <c r="D5" s="453"/>
      <c r="I5" s="509" t="s">
        <v>740</v>
      </c>
      <c r="J5" s="510"/>
      <c r="K5" s="510"/>
      <c r="L5" s="510"/>
      <c r="M5" s="510"/>
      <c r="N5" s="510"/>
      <c r="O5" s="511"/>
      <c r="Q5" s="478" t="s">
        <v>737</v>
      </c>
      <c r="R5" s="479"/>
      <c r="S5" s="479"/>
      <c r="T5" s="479"/>
      <c r="U5" s="479"/>
      <c r="V5" s="480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708</v>
      </c>
      <c r="B6" s="445" t="s">
        <v>4</v>
      </c>
      <c r="C6" s="15" t="s">
        <v>3</v>
      </c>
      <c r="D6" s="4" t="s">
        <v>5</v>
      </c>
      <c r="E6" s="445" t="s">
        <v>438</v>
      </c>
      <c r="F6" s="446" t="s">
        <v>68</v>
      </c>
      <c r="G6" s="445" t="s">
        <v>76</v>
      </c>
      <c r="H6" s="91"/>
      <c r="I6" s="207" t="s">
        <v>63</v>
      </c>
      <c r="J6" s="154" t="s">
        <v>38</v>
      </c>
      <c r="K6" s="154" t="s">
        <v>58</v>
      </c>
      <c r="L6" s="154" t="s">
        <v>10</v>
      </c>
      <c r="M6" s="154" t="s">
        <v>11</v>
      </c>
      <c r="N6" s="154" t="s">
        <v>14</v>
      </c>
      <c r="O6" s="208" t="s">
        <v>738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55" t="s">
        <v>97</v>
      </c>
      <c r="B7" s="449" t="s">
        <v>15</v>
      </c>
      <c r="C7" s="106">
        <v>500</v>
      </c>
      <c r="D7" s="69" t="s">
        <v>16</v>
      </c>
      <c r="E7" s="447">
        <v>0</v>
      </c>
      <c r="F7" s="448">
        <f>+IF(E7="","",IF(E7-O7&gt;0,0,O7-E7))</f>
        <v>5</v>
      </c>
      <c r="G7" s="68">
        <f>+IFERROR(E7/I7,)</f>
        <v>0</v>
      </c>
      <c r="H7" s="92"/>
      <c r="I7" s="131">
        <v>5</v>
      </c>
      <c r="J7" s="137">
        <v>30</v>
      </c>
      <c r="K7" s="137">
        <f t="shared" ref="K7:K15" si="0">+I7*M7</f>
        <v>4552.3520485584222</v>
      </c>
      <c r="L7" s="450">
        <v>3.295E-2</v>
      </c>
      <c r="M7" s="496">
        <f t="shared" ref="M7:M15" si="1">+J7/L7</f>
        <v>910.4704097116844</v>
      </c>
      <c r="N7" s="137">
        <f>IFERROR(VLOOKUP(C7,'Estadistica Madre CH 23-01'!A:C,3,0),+VLOOKUP(C7,'Estadistica Madre LK 23-01 '!A:C,3,0))</f>
        <v>1440</v>
      </c>
      <c r="O7" s="131">
        <v>5</v>
      </c>
      <c r="Q7" s="456" t="s">
        <v>15</v>
      </c>
      <c r="R7" s="499">
        <v>500</v>
      </c>
      <c r="S7" s="499" t="s">
        <v>16</v>
      </c>
      <c r="T7" s="438" t="s">
        <v>714</v>
      </c>
      <c r="U7" s="429" t="s">
        <v>715</v>
      </c>
      <c r="V7" s="432">
        <f>+AC7/Z7</f>
        <v>4.4527061203844207</v>
      </c>
      <c r="Y7" s="436">
        <v>2.9343333333333332E-2</v>
      </c>
      <c r="Z7" s="457">
        <v>30</v>
      </c>
      <c r="AA7" s="457">
        <f>+SUMIFS(F:F,C:$C,R7)</f>
        <v>5</v>
      </c>
      <c r="AB7" s="458">
        <f>+SUMIFS(M:M,C:C,R7)</f>
        <v>910.4704097116844</v>
      </c>
      <c r="AC7" s="458">
        <f t="shared" ref="AC7:AC23" si="2">+(AB7*AA7)*Y7</f>
        <v>133.58118361153262</v>
      </c>
    </row>
    <row r="8" spans="1:29" ht="21.2" customHeight="1" x14ac:dyDescent="0.3">
      <c r="A8" s="455" t="s">
        <v>97</v>
      </c>
      <c r="B8" s="449" t="s">
        <v>28</v>
      </c>
      <c r="C8" s="106">
        <v>506</v>
      </c>
      <c r="D8" s="69" t="s">
        <v>29</v>
      </c>
      <c r="E8" s="447">
        <v>0</v>
      </c>
      <c r="F8" s="448">
        <f t="shared" ref="F8:F16" si="3">+IF(E8="","",IF(E8-O8&gt;0,0,O8-E8))</f>
        <v>36</v>
      </c>
      <c r="G8" s="68">
        <f t="shared" ref="G8:G16" si="4">+IFERROR(E8/I8,)</f>
        <v>0</v>
      </c>
      <c r="H8" s="92"/>
      <c r="I8" s="96">
        <v>36</v>
      </c>
      <c r="J8" s="496">
        <v>30</v>
      </c>
      <c r="K8" s="496">
        <f t="shared" si="0"/>
        <v>49202.733485193625</v>
      </c>
      <c r="L8" s="451">
        <v>2.1950000000000001E-2</v>
      </c>
      <c r="M8" s="496">
        <f t="shared" si="1"/>
        <v>1366.7425968109339</v>
      </c>
      <c r="N8" s="496">
        <f>IFERROR(VLOOKUP(C8,'Estadistica Madre CH 23-01'!A:C,3,0),+VLOOKUP(C8,'Estadistica Madre LK 23-01 '!A:C,3,0))</f>
        <v>18840</v>
      </c>
      <c r="O8" s="96">
        <v>36</v>
      </c>
      <c r="Q8" s="456" t="s">
        <v>15</v>
      </c>
      <c r="R8" s="499">
        <v>500</v>
      </c>
      <c r="S8" s="499" t="s">
        <v>16</v>
      </c>
      <c r="T8" s="438" t="s">
        <v>711</v>
      </c>
      <c r="U8" s="429" t="s">
        <v>712</v>
      </c>
      <c r="V8" s="432">
        <f>+AC8/Z8</f>
        <v>0.53566009104704093</v>
      </c>
      <c r="Y8" s="436">
        <v>3.5299999999999997E-3</v>
      </c>
      <c r="Z8" s="457">
        <v>30</v>
      </c>
      <c r="AA8" s="457">
        <f>+SUMIFS(F:F,C:$C,R8)</f>
        <v>5</v>
      </c>
      <c r="AB8" s="458">
        <f>+SUMIFS(M:M,C:C,R8)</f>
        <v>910.4704097116844</v>
      </c>
      <c r="AC8" s="458">
        <f>+(AB8*AA8)*Y8</f>
        <v>16.06980273141123</v>
      </c>
    </row>
    <row r="9" spans="1:29" ht="18.75" x14ac:dyDescent="0.3">
      <c r="A9" s="455" t="s">
        <v>97</v>
      </c>
      <c r="B9" s="449" t="s">
        <v>22</v>
      </c>
      <c r="C9" s="106">
        <v>654</v>
      </c>
      <c r="D9" s="69" t="s">
        <v>23</v>
      </c>
      <c r="E9" s="447">
        <v>0</v>
      </c>
      <c r="F9" s="448">
        <f t="shared" si="3"/>
        <v>5</v>
      </c>
      <c r="G9" s="68">
        <f t="shared" si="4"/>
        <v>0</v>
      </c>
      <c r="H9" s="92"/>
      <c r="I9" s="96">
        <v>5</v>
      </c>
      <c r="J9" s="121">
        <v>15</v>
      </c>
      <c r="K9" s="496">
        <f t="shared" si="0"/>
        <v>3488.3720930232562</v>
      </c>
      <c r="L9" s="451">
        <v>2.1499999999999998E-2</v>
      </c>
      <c r="M9" s="496">
        <f t="shared" si="1"/>
        <v>697.67441860465124</v>
      </c>
      <c r="N9" s="496">
        <f>IFERROR(VLOOKUP(C9,'Estadistica Madre CH 23-01'!A:C,3,0),+VLOOKUP(C9,'Estadistica Madre LK 23-01 '!A:C,3,0))</f>
        <v>912</v>
      </c>
      <c r="O9" s="96">
        <v>5</v>
      </c>
      <c r="Q9" s="456" t="s">
        <v>28</v>
      </c>
      <c r="R9" s="499">
        <v>506</v>
      </c>
      <c r="S9" s="499" t="s">
        <v>29</v>
      </c>
      <c r="T9" s="438" t="s">
        <v>718</v>
      </c>
      <c r="U9" s="429" t="s">
        <v>719</v>
      </c>
      <c r="V9" s="432">
        <f t="shared" ref="V9:V23" si="5">+AC9/Z9</f>
        <v>29.456036446469245</v>
      </c>
      <c r="Y9" s="436">
        <v>1.7959999999999997E-2</v>
      </c>
      <c r="Z9" s="457">
        <v>30</v>
      </c>
      <c r="AA9" s="457">
        <f>+SUMIFS(F:F,C:$C,R9)*1/4</f>
        <v>18</v>
      </c>
      <c r="AB9" s="458">
        <f>+SUMIFS(M:M,C:C,R9)</f>
        <v>2733.4851936218679</v>
      </c>
      <c r="AC9" s="458">
        <f>+(AB9*AA9)*Y9</f>
        <v>883.68109339407738</v>
      </c>
    </row>
    <row r="10" spans="1:29" ht="18.75" x14ac:dyDescent="0.3">
      <c r="A10" s="455" t="s">
        <v>97</v>
      </c>
      <c r="B10" s="449" t="s">
        <v>24</v>
      </c>
      <c r="C10" s="106">
        <v>558</v>
      </c>
      <c r="D10" s="69" t="s">
        <v>25</v>
      </c>
      <c r="E10" s="447">
        <v>2</v>
      </c>
      <c r="F10" s="448">
        <f t="shared" si="3"/>
        <v>8</v>
      </c>
      <c r="G10" s="68">
        <f t="shared" si="4"/>
        <v>0.2</v>
      </c>
      <c r="H10" s="92"/>
      <c r="I10" s="96">
        <v>10</v>
      </c>
      <c r="J10" s="121">
        <v>1.8</v>
      </c>
      <c r="K10" s="496">
        <f t="shared" si="0"/>
        <v>1161.2903225806454</v>
      </c>
      <c r="L10" s="451">
        <v>1.55E-2</v>
      </c>
      <c r="M10" s="496">
        <f t="shared" si="1"/>
        <v>116.12903225806453</v>
      </c>
      <c r="N10" s="496">
        <f>IFERROR(VLOOKUP(C10,'Estadistica Madre CH 23-01'!A:C,3,0),+VLOOKUP(C10,'Estadistica Madre LK 23-01 '!A:C,3,0))</f>
        <v>2124</v>
      </c>
      <c r="O10" s="96">
        <v>10</v>
      </c>
      <c r="Q10" s="456" t="s">
        <v>28</v>
      </c>
      <c r="R10" s="499">
        <v>506</v>
      </c>
      <c r="S10" s="499" t="s">
        <v>29</v>
      </c>
      <c r="T10" s="438" t="s">
        <v>711</v>
      </c>
      <c r="U10" s="429" t="s">
        <v>712</v>
      </c>
      <c r="V10" s="432">
        <f t="shared" si="5"/>
        <v>5.7895216400911158</v>
      </c>
      <c r="Y10" s="436">
        <v>3.5299999999999997E-3</v>
      </c>
      <c r="Z10" s="457">
        <v>30</v>
      </c>
      <c r="AA10" s="457">
        <f>+SUMIFS(F:F,C:$C,R10)*1/4</f>
        <v>18</v>
      </c>
      <c r="AB10" s="458">
        <f>+SUMIFS(M:M,C:C,R10)</f>
        <v>2733.4851936218679</v>
      </c>
      <c r="AC10" s="458">
        <f t="shared" si="2"/>
        <v>173.68564920273349</v>
      </c>
    </row>
    <row r="11" spans="1:29" ht="21.2" customHeight="1" x14ac:dyDescent="0.3">
      <c r="A11" s="455" t="s">
        <v>53</v>
      </c>
      <c r="B11" s="449" t="s">
        <v>26</v>
      </c>
      <c r="C11" s="106">
        <v>557</v>
      </c>
      <c r="D11" s="69" t="s">
        <v>27</v>
      </c>
      <c r="E11" s="447">
        <v>0</v>
      </c>
      <c r="F11" s="448">
        <f>+IF(E11="","",IF(E11-O11&gt;0,0,O11-E11))</f>
        <v>8</v>
      </c>
      <c r="G11" s="68">
        <f t="shared" si="4"/>
        <v>0</v>
      </c>
      <c r="H11" s="92"/>
      <c r="I11" s="96">
        <v>8</v>
      </c>
      <c r="J11" s="121">
        <v>1.8</v>
      </c>
      <c r="K11" s="496">
        <f t="shared" si="0"/>
        <v>905.66037735849056</v>
      </c>
      <c r="L11" s="451">
        <v>1.5900000000000001E-2</v>
      </c>
      <c r="M11" s="496">
        <f t="shared" si="1"/>
        <v>113.20754716981132</v>
      </c>
      <c r="N11" s="496">
        <f>IFERROR(VLOOKUP(C11,'Estadistica Madre CH 23-01'!A:C,3,0),+VLOOKUP(C11,'Estadistica Madre LK 23-01 '!A:C,3,0))</f>
        <v>1400</v>
      </c>
      <c r="O11" s="96">
        <v>8</v>
      </c>
      <c r="Q11" s="456" t="s">
        <v>22</v>
      </c>
      <c r="R11" s="499">
        <v>654</v>
      </c>
      <c r="S11" s="499" t="s">
        <v>23</v>
      </c>
      <c r="T11" s="459"/>
      <c r="U11" s="460"/>
      <c r="V11" s="432" t="e">
        <f t="shared" si="5"/>
        <v>#DIV/0!</v>
      </c>
      <c r="Y11" s="461"/>
      <c r="Z11" s="457"/>
      <c r="AA11" s="457">
        <f>+SUMIFS(F:F,C:$C,R11)</f>
        <v>5</v>
      </c>
      <c r="AB11" s="458">
        <f>+SUMIFS(M:M,C:C,R11)</f>
        <v>697.67441860465124</v>
      </c>
      <c r="AC11" s="458">
        <f t="shared" si="2"/>
        <v>0</v>
      </c>
    </row>
    <row r="12" spans="1:29" ht="21.2" customHeight="1" x14ac:dyDescent="0.3">
      <c r="A12" s="455" t="s">
        <v>750</v>
      </c>
      <c r="B12" s="449"/>
      <c r="C12" s="106"/>
      <c r="D12" s="69" t="s">
        <v>749</v>
      </c>
      <c r="E12" s="447">
        <v>0</v>
      </c>
      <c r="F12" s="448">
        <f t="shared" si="3"/>
        <v>0</v>
      </c>
      <c r="G12" s="68">
        <f t="shared" si="4"/>
        <v>0</v>
      </c>
      <c r="H12" s="92"/>
      <c r="I12" s="96"/>
      <c r="J12" s="121"/>
      <c r="K12" s="496"/>
      <c r="L12" s="451"/>
      <c r="M12" s="496"/>
      <c r="N12" s="496"/>
      <c r="O12" s="96"/>
      <c r="Q12" s="456"/>
      <c r="R12" s="499"/>
      <c r="S12" s="499"/>
      <c r="T12" s="459"/>
      <c r="U12" s="460"/>
      <c r="V12" s="432"/>
      <c r="Y12" s="461"/>
      <c r="Z12" s="457"/>
      <c r="AA12" s="457"/>
      <c r="AB12" s="458"/>
      <c r="AC12" s="458"/>
    </row>
    <row r="13" spans="1:29" ht="18.75" x14ac:dyDescent="0.3">
      <c r="A13" s="455" t="s">
        <v>53</v>
      </c>
      <c r="B13" s="449" t="s">
        <v>30</v>
      </c>
      <c r="C13" s="106">
        <v>510</v>
      </c>
      <c r="D13" s="69" t="s">
        <v>31</v>
      </c>
      <c r="E13" s="447">
        <v>10</v>
      </c>
      <c r="F13" s="448">
        <f t="shared" si="3"/>
        <v>0</v>
      </c>
      <c r="G13" s="68">
        <f t="shared" si="4"/>
        <v>1.25</v>
      </c>
      <c r="H13" s="92"/>
      <c r="I13" s="96">
        <v>8</v>
      </c>
      <c r="J13" s="496">
        <v>30</v>
      </c>
      <c r="K13" s="496">
        <f t="shared" si="0"/>
        <v>10909.09090909091</v>
      </c>
      <c r="L13" s="451">
        <v>2.1999999999999999E-2</v>
      </c>
      <c r="M13" s="496">
        <f t="shared" si="1"/>
        <v>1363.6363636363637</v>
      </c>
      <c r="N13" s="496">
        <f>IFERROR(VLOOKUP(C13,'Estadistica Madre CH 23-01'!A:C,3,0),+VLOOKUP(C13,'Estadistica Madre LK 23-01 '!A:C,3,0))</f>
        <v>6456</v>
      </c>
      <c r="O13" s="96">
        <v>8</v>
      </c>
      <c r="Q13" s="456" t="s">
        <v>24</v>
      </c>
      <c r="R13" s="499">
        <v>558</v>
      </c>
      <c r="S13" s="499" t="s">
        <v>25</v>
      </c>
      <c r="T13" s="459"/>
      <c r="U13" s="460"/>
      <c r="V13" s="432">
        <f t="shared" si="5"/>
        <v>8</v>
      </c>
      <c r="Y13" s="475">
        <v>1.55E-2</v>
      </c>
      <c r="Z13" s="476">
        <v>1.8</v>
      </c>
      <c r="AA13" s="457">
        <f>+SUMIFS(F:F,C:$C,R13)</f>
        <v>8</v>
      </c>
      <c r="AB13" s="458">
        <f t="shared" ref="AB13:AB23" si="6">+SUMIFS(M:M,C:C,R13)</f>
        <v>116.12903225806453</v>
      </c>
      <c r="AC13" s="458">
        <f t="shared" si="2"/>
        <v>14.4</v>
      </c>
    </row>
    <row r="14" spans="1:29" ht="18.75" x14ac:dyDescent="0.3">
      <c r="A14" s="455" t="s">
        <v>53</v>
      </c>
      <c r="B14" s="449" t="s">
        <v>702</v>
      </c>
      <c r="C14" s="106">
        <v>544</v>
      </c>
      <c r="D14" s="69" t="s">
        <v>474</v>
      </c>
      <c r="E14" s="447">
        <v>31</v>
      </c>
      <c r="F14" s="448">
        <f t="shared" si="3"/>
        <v>23</v>
      </c>
      <c r="G14" s="68">
        <f t="shared" si="4"/>
        <v>0.57407407407407407</v>
      </c>
      <c r="H14" s="92"/>
      <c r="I14" s="96">
        <v>54</v>
      </c>
      <c r="J14" s="496">
        <v>15.68</v>
      </c>
      <c r="K14" s="496">
        <f t="shared" si="0"/>
        <v>8640</v>
      </c>
      <c r="L14" s="451">
        <v>9.8000000000000004E-2</v>
      </c>
      <c r="M14" s="496">
        <f t="shared" si="1"/>
        <v>160</v>
      </c>
      <c r="N14" s="496">
        <f>IFERROR(VLOOKUP(C14,'Estadistica Madre CH 23-01'!A:C,3,0),+VLOOKUP(C14,'Estadistica Madre LK 23-01 '!A:C,3,0))</f>
        <v>7464</v>
      </c>
      <c r="O14" s="96">
        <v>54</v>
      </c>
      <c r="Q14" s="456" t="s">
        <v>26</v>
      </c>
      <c r="R14" s="499">
        <v>557</v>
      </c>
      <c r="S14" s="499" t="s">
        <v>27</v>
      </c>
      <c r="T14" s="459" t="s">
        <v>26</v>
      </c>
      <c r="U14" s="460"/>
      <c r="V14" s="432">
        <f t="shared" si="5"/>
        <v>8</v>
      </c>
      <c r="Y14" s="475">
        <v>1.5900000000000001E-2</v>
      </c>
      <c r="Z14" s="476">
        <v>1.8</v>
      </c>
      <c r="AA14" s="457">
        <f>+SUMIFS(F:F,C:$C,R14)</f>
        <v>8</v>
      </c>
      <c r="AB14" s="458">
        <f t="shared" si="6"/>
        <v>113.20754716981132</v>
      </c>
      <c r="AC14" s="458">
        <f t="shared" si="2"/>
        <v>14.4</v>
      </c>
    </row>
    <row r="15" spans="1:29" ht="21.2" customHeight="1" x14ac:dyDescent="0.3">
      <c r="A15" s="455" t="s">
        <v>86</v>
      </c>
      <c r="B15" s="449" t="s">
        <v>28</v>
      </c>
      <c r="C15" s="106">
        <v>506</v>
      </c>
      <c r="D15" s="69" t="s">
        <v>29</v>
      </c>
      <c r="E15" s="447">
        <v>0</v>
      </c>
      <c r="F15" s="448">
        <f t="shared" si="3"/>
        <v>36</v>
      </c>
      <c r="G15" s="68">
        <f t="shared" si="4"/>
        <v>0</v>
      </c>
      <c r="H15" s="92"/>
      <c r="I15" s="96">
        <v>36</v>
      </c>
      <c r="J15" s="496">
        <v>30</v>
      </c>
      <c r="K15" s="496">
        <f t="shared" si="0"/>
        <v>49202.733485193625</v>
      </c>
      <c r="L15" s="451">
        <v>2.1950000000000001E-2</v>
      </c>
      <c r="M15" s="496">
        <f t="shared" si="1"/>
        <v>1366.7425968109339</v>
      </c>
      <c r="N15" s="496">
        <f>IFERROR(VLOOKUP(C15,'Estadistica Madre CH 23-01'!A:C,3,0),+VLOOKUP(C15,'Estadistica Madre LK 23-01 '!A:C,3,0))</f>
        <v>18840</v>
      </c>
      <c r="O15" s="96">
        <v>36</v>
      </c>
      <c r="Q15" s="456" t="s">
        <v>30</v>
      </c>
      <c r="R15" s="499">
        <v>510</v>
      </c>
      <c r="S15" s="499" t="s">
        <v>31</v>
      </c>
      <c r="T15" s="438" t="s">
        <v>716</v>
      </c>
      <c r="U15" s="499" t="s">
        <v>717</v>
      </c>
      <c r="V15" s="432">
        <f t="shared" si="5"/>
        <v>0</v>
      </c>
      <c r="Y15" s="436">
        <v>1.8013333333333333E-2</v>
      </c>
      <c r="Z15" s="457">
        <v>30</v>
      </c>
      <c r="AA15" s="457">
        <f>+SUMIFS(F:F,C:$C,R15)</f>
        <v>0</v>
      </c>
      <c r="AB15" s="458">
        <f t="shared" si="6"/>
        <v>1363.6363636363637</v>
      </c>
      <c r="AC15" s="458">
        <f t="shared" si="2"/>
        <v>0</v>
      </c>
    </row>
    <row r="16" spans="1:29" ht="19.5" thickBot="1" x14ac:dyDescent="0.35">
      <c r="A16" s="455" t="s">
        <v>86</v>
      </c>
      <c r="B16" s="449" t="s">
        <v>444</v>
      </c>
      <c r="C16" s="106" t="s">
        <v>457</v>
      </c>
      <c r="D16" s="69" t="s">
        <v>445</v>
      </c>
      <c r="E16" s="447">
        <v>3</v>
      </c>
      <c r="F16" s="448">
        <f t="shared" si="3"/>
        <v>17</v>
      </c>
      <c r="G16" s="68">
        <f t="shared" si="4"/>
        <v>0.15</v>
      </c>
      <c r="H16" s="92"/>
      <c r="I16" s="98">
        <v>20</v>
      </c>
      <c r="J16" s="497">
        <f>+I16*K16</f>
        <v>400</v>
      </c>
      <c r="K16" s="497">
        <v>20</v>
      </c>
      <c r="L16" s="452">
        <v>12.867567567567571</v>
      </c>
      <c r="M16" s="498">
        <f>+SUMIFS('Consumo '!E:E,'Consumo '!A:A,'Garage Vacio 20-03'!B16)</f>
        <v>9224</v>
      </c>
      <c r="N16" s="498">
        <f>+L16*1.5</f>
        <v>19.301351351351357</v>
      </c>
      <c r="O16" s="98">
        <v>20</v>
      </c>
      <c r="Q16" s="456" t="s">
        <v>30</v>
      </c>
      <c r="R16" s="499">
        <v>510</v>
      </c>
      <c r="S16" s="499" t="s">
        <v>31</v>
      </c>
      <c r="T16" s="438" t="s">
        <v>711</v>
      </c>
      <c r="U16" s="429" t="s">
        <v>712</v>
      </c>
      <c r="V16" s="432">
        <f t="shared" si="5"/>
        <v>0</v>
      </c>
      <c r="Y16" s="436">
        <v>3.5299999999999997E-3</v>
      </c>
      <c r="Z16" s="457">
        <v>30</v>
      </c>
      <c r="AA16" s="457">
        <f>+SUMIFS(F:F,C:$C,R16)</f>
        <v>0</v>
      </c>
      <c r="AB16" s="458">
        <f t="shared" si="6"/>
        <v>1363.6363636363637</v>
      </c>
      <c r="AC16" s="458">
        <f t="shared" si="2"/>
        <v>0</v>
      </c>
    </row>
    <row r="17" spans="1:29" ht="18.75" x14ac:dyDescent="0.25">
      <c r="A17" s="455" t="s">
        <v>86</v>
      </c>
      <c r="Q17" s="456" t="s">
        <v>702</v>
      </c>
      <c r="R17" s="499">
        <v>544</v>
      </c>
      <c r="S17" s="499" t="s">
        <v>474</v>
      </c>
      <c r="T17" s="438" t="s">
        <v>722</v>
      </c>
      <c r="U17" s="499" t="s">
        <v>723</v>
      </c>
      <c r="V17" s="432">
        <f t="shared" si="5"/>
        <v>7.2577777777777772</v>
      </c>
      <c r="Y17" s="436">
        <v>3.5499999999999997E-2</v>
      </c>
      <c r="Z17" s="457">
        <v>18</v>
      </c>
      <c r="AA17" s="457">
        <f>+SUMIFS(F:F,C:$C,R17)</f>
        <v>23</v>
      </c>
      <c r="AB17" s="458">
        <f t="shared" si="6"/>
        <v>160</v>
      </c>
      <c r="AC17" s="458">
        <f t="shared" si="2"/>
        <v>130.63999999999999</v>
      </c>
    </row>
    <row r="18" spans="1:29" ht="18.75" x14ac:dyDescent="0.25">
      <c r="A18" s="455" t="s">
        <v>86</v>
      </c>
      <c r="Q18" s="456" t="s">
        <v>702</v>
      </c>
      <c r="R18" s="499">
        <v>544</v>
      </c>
      <c r="S18" s="499" t="s">
        <v>474</v>
      </c>
      <c r="T18" s="440" t="s">
        <v>720</v>
      </c>
      <c r="U18" s="437" t="s">
        <v>721</v>
      </c>
      <c r="V18" s="432">
        <f t="shared" si="5"/>
        <v>0.18285000000000001</v>
      </c>
      <c r="Y18" s="436">
        <v>1.5900000000000001E-3</v>
      </c>
      <c r="Z18" s="457">
        <v>32</v>
      </c>
      <c r="AA18" s="457">
        <f>+SUMIFS(F:F,C:$C,R18)</f>
        <v>23</v>
      </c>
      <c r="AB18" s="458">
        <f t="shared" si="6"/>
        <v>160</v>
      </c>
      <c r="AC18" s="458">
        <f t="shared" si="2"/>
        <v>5.8512000000000004</v>
      </c>
    </row>
    <row r="19" spans="1:29" ht="18.75" x14ac:dyDescent="0.25">
      <c r="A19" s="455" t="s">
        <v>86</v>
      </c>
      <c r="Q19" s="456" t="s">
        <v>702</v>
      </c>
      <c r="R19" s="499">
        <v>544</v>
      </c>
      <c r="S19" s="499" t="s">
        <v>474</v>
      </c>
      <c r="T19" s="440" t="s">
        <v>726</v>
      </c>
      <c r="U19" s="437" t="s">
        <v>724</v>
      </c>
      <c r="V19" s="432">
        <f t="shared" si="5"/>
        <v>12.218749999999991</v>
      </c>
      <c r="Y19" s="436">
        <v>4.6484374999999967E-2</v>
      </c>
      <c r="Z19" s="457">
        <v>14</v>
      </c>
      <c r="AA19" s="457">
        <f>+SUMIFS(F:F,C:$C,R19)</f>
        <v>23</v>
      </c>
      <c r="AB19" s="458">
        <f t="shared" si="6"/>
        <v>160</v>
      </c>
      <c r="AC19" s="458">
        <f t="shared" si="2"/>
        <v>171.06249999999989</v>
      </c>
    </row>
    <row r="20" spans="1:29" s="434" customFormat="1" ht="18.75" x14ac:dyDescent="0.25">
      <c r="A20" s="455" t="s">
        <v>86</v>
      </c>
      <c r="Q20" s="456" t="s">
        <v>702</v>
      </c>
      <c r="R20" s="499">
        <v>544</v>
      </c>
      <c r="S20" s="499" t="s">
        <v>474</v>
      </c>
      <c r="T20" s="440" t="s">
        <v>727</v>
      </c>
      <c r="U20" s="437" t="s">
        <v>725</v>
      </c>
      <c r="V20" s="432">
        <f t="shared" si="5"/>
        <v>5.7499999999999973</v>
      </c>
      <c r="Y20" s="436">
        <v>1.5624999999999993E-2</v>
      </c>
      <c r="Z20" s="457">
        <v>10</v>
      </c>
      <c r="AA20" s="457">
        <f>+SUMIFS(F:F,C:$C,R20)</f>
        <v>23</v>
      </c>
      <c r="AB20" s="458">
        <f t="shared" si="6"/>
        <v>160</v>
      </c>
      <c r="AC20" s="458">
        <f t="shared" si="2"/>
        <v>57.499999999999972</v>
      </c>
    </row>
    <row r="21" spans="1:29" ht="18.600000000000001" customHeight="1" x14ac:dyDescent="0.25">
      <c r="A21" s="455" t="s">
        <v>86</v>
      </c>
      <c r="Q21" s="456" t="s">
        <v>28</v>
      </c>
      <c r="R21" s="499">
        <v>506</v>
      </c>
      <c r="S21" s="499" t="s">
        <v>29</v>
      </c>
      <c r="T21" s="438" t="s">
        <v>718</v>
      </c>
      <c r="U21" s="429" t="s">
        <v>719</v>
      </c>
      <c r="V21" s="432">
        <f>+AC21/Z21</f>
        <v>88.368109339407724</v>
      </c>
      <c r="Y21" s="436">
        <v>1.7959999999999997E-2</v>
      </c>
      <c r="Z21" s="457">
        <v>30</v>
      </c>
      <c r="AA21" s="457">
        <f>+SUMIFS(F:F,C:$C,R21)*3/4</f>
        <v>54</v>
      </c>
      <c r="AB21" s="458">
        <f t="shared" si="6"/>
        <v>2733.4851936218679</v>
      </c>
      <c r="AC21" s="458">
        <f t="shared" si="2"/>
        <v>2651.0432801822317</v>
      </c>
    </row>
    <row r="22" spans="1:29" ht="18.600000000000001" customHeight="1" x14ac:dyDescent="0.25">
      <c r="A22" s="455" t="s">
        <v>86</v>
      </c>
      <c r="Q22" s="456" t="s">
        <v>28</v>
      </c>
      <c r="R22" s="499">
        <v>506</v>
      </c>
      <c r="S22" s="499" t="s">
        <v>29</v>
      </c>
      <c r="T22" s="438" t="s">
        <v>711</v>
      </c>
      <c r="U22" s="429" t="s">
        <v>712</v>
      </c>
      <c r="V22" s="432">
        <f t="shared" si="5"/>
        <v>17.368564920273347</v>
      </c>
      <c r="Y22" s="436">
        <v>3.5299999999999997E-3</v>
      </c>
      <c r="Z22" s="457">
        <v>30</v>
      </c>
      <c r="AA22" s="457">
        <f>+SUMIFS(F:F,C:$C,R22)*3/4</f>
        <v>54</v>
      </c>
      <c r="AB22" s="458">
        <f t="shared" si="6"/>
        <v>2733.4851936218679</v>
      </c>
      <c r="AC22" s="458">
        <f t="shared" si="2"/>
        <v>521.0569476082004</v>
      </c>
    </row>
    <row r="23" spans="1:29" ht="18.600000000000001" customHeight="1" thickBot="1" x14ac:dyDescent="0.3">
      <c r="A23" s="462" t="s">
        <v>707</v>
      </c>
      <c r="Q23" s="463" t="s">
        <v>444</v>
      </c>
      <c r="R23" s="500" t="s">
        <v>457</v>
      </c>
      <c r="S23" s="500" t="s">
        <v>445</v>
      </c>
      <c r="T23" s="459"/>
      <c r="U23" s="460"/>
      <c r="V23" s="432" t="e">
        <f t="shared" si="5"/>
        <v>#DIV/0!</v>
      </c>
      <c r="Y23" s="461"/>
      <c r="Z23" s="461"/>
      <c r="AA23" s="457">
        <f>+SUMIFS(F:F,C:$C,R23)</f>
        <v>17</v>
      </c>
      <c r="AB23" s="458">
        <f t="shared" si="6"/>
        <v>9224</v>
      </c>
      <c r="AC23" s="458">
        <f t="shared" si="2"/>
        <v>0</v>
      </c>
    </row>
    <row r="24" spans="1:29" ht="18.600000000000001" customHeight="1" x14ac:dyDescent="0.25"/>
    <row r="25" spans="1:29" ht="18.600000000000001" customHeight="1" x14ac:dyDescent="0.25"/>
    <row r="26" spans="1:29" ht="18.600000000000001" customHeight="1" x14ac:dyDescent="0.25"/>
    <row r="27" spans="1:29" ht="18.600000000000001" customHeight="1" x14ac:dyDescent="0.25"/>
    <row r="28" spans="1:29" ht="18.600000000000001" customHeight="1" x14ac:dyDescent="0.25"/>
    <row r="29" spans="1:29" ht="18.600000000000001" customHeight="1" x14ac:dyDescent="0.25"/>
    <row r="30" spans="1:29" ht="18.600000000000001" customHeight="1" x14ac:dyDescent="0.25"/>
    <row r="31" spans="1:29" ht="18.600000000000001" customHeight="1" x14ac:dyDescent="0.25"/>
    <row r="32" spans="1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  <row r="36" ht="18.600000000000001" customHeight="1" x14ac:dyDescent="0.25"/>
  </sheetData>
  <autoFilter ref="B6:AC23" xr:uid="{00000000-0009-0000-0000-000001000000}"/>
  <mergeCells count="5">
    <mergeCell ref="B3:F3"/>
    <mergeCell ref="B4:C4"/>
    <mergeCell ref="B5:C5"/>
    <mergeCell ref="I5:O5"/>
    <mergeCell ref="Y5:AC5"/>
  </mergeCells>
  <printOptions horizontalCentered="1" verticalCentered="1"/>
  <pageMargins left="0.23622047244094491" right="0.23622047244094491" top="0.15748031496062992" bottom="7.874015748031496E-2" header="0" footer="0"/>
  <pageSetup paperSize="9" scale="4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AC36"/>
  <sheetViews>
    <sheetView topLeftCell="A7" zoomScale="70" zoomScaleNormal="70" workbookViewId="0">
      <selection activeCell="E7" sqref="E7:E15"/>
    </sheetView>
  </sheetViews>
  <sheetFormatPr baseColWidth="10" defaultRowHeight="15" x14ac:dyDescent="0.25"/>
  <cols>
    <col min="1" max="1" width="11.85546875" style="283" customWidth="1"/>
    <col min="2" max="2" width="10.7109375" customWidth="1"/>
    <col min="3" max="3" width="8" customWidth="1"/>
    <col min="4" max="4" width="28.85546875" customWidth="1"/>
    <col min="5" max="5" width="8.42578125" style="444" customWidth="1"/>
    <col min="6" max="6" width="9.42578125" style="444" customWidth="1"/>
    <col min="7" max="7" width="8.85546875" style="444" customWidth="1"/>
    <col min="8" max="8" width="1.140625" customWidth="1"/>
    <col min="9" max="9" width="8.140625" customWidth="1"/>
    <col min="10" max="10" width="8" customWidth="1"/>
    <col min="11" max="11" width="10.7109375" customWidth="1"/>
    <col min="12" max="12" width="9.7109375" style="110" customWidth="1"/>
    <col min="13" max="13" width="9.85546875" customWidth="1"/>
    <col min="14" max="14" width="10.5703125" customWidth="1"/>
    <col min="15" max="15" width="8.28515625" customWidth="1"/>
    <col min="16" max="16" width="8.85546875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L1"/>
    </row>
    <row r="2" spans="1:29" ht="24.75" customHeight="1" thickBot="1" x14ac:dyDescent="0.3">
      <c r="L2"/>
    </row>
    <row r="3" spans="1:29" ht="24.75" customHeight="1" thickBot="1" x14ac:dyDescent="0.45">
      <c r="B3" s="505"/>
      <c r="C3" s="505"/>
      <c r="D3" s="505"/>
      <c r="E3" s="505"/>
      <c r="F3" s="506"/>
      <c r="L3"/>
    </row>
    <row r="4" spans="1:29" ht="24.75" customHeight="1" thickBot="1" x14ac:dyDescent="0.4">
      <c r="B4" s="507"/>
      <c r="C4" s="508"/>
      <c r="D4" s="454">
        <f ca="1">+TODAY()</f>
        <v>46101</v>
      </c>
    </row>
    <row r="5" spans="1:29" ht="42.6" customHeight="1" thickBot="1" x14ac:dyDescent="0.45">
      <c r="B5" s="507"/>
      <c r="C5" s="508"/>
      <c r="D5" s="453"/>
      <c r="I5" s="509" t="s">
        <v>740</v>
      </c>
      <c r="J5" s="510"/>
      <c r="K5" s="510"/>
      <c r="L5" s="510"/>
      <c r="M5" s="510"/>
      <c r="N5" s="510"/>
      <c r="O5" s="511"/>
      <c r="Q5" s="478" t="s">
        <v>737</v>
      </c>
      <c r="R5" s="479"/>
      <c r="S5" s="479"/>
      <c r="T5" s="479"/>
      <c r="U5" s="479"/>
      <c r="V5" s="480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708</v>
      </c>
      <c r="B6" s="445" t="s">
        <v>4</v>
      </c>
      <c r="C6" s="15" t="s">
        <v>3</v>
      </c>
      <c r="D6" s="4" t="s">
        <v>5</v>
      </c>
      <c r="E6" s="445" t="s">
        <v>438</v>
      </c>
      <c r="F6" s="446" t="s">
        <v>68</v>
      </c>
      <c r="G6" s="445" t="s">
        <v>76</v>
      </c>
      <c r="H6" s="91"/>
      <c r="I6" s="207" t="s">
        <v>63</v>
      </c>
      <c r="J6" s="154" t="s">
        <v>38</v>
      </c>
      <c r="K6" s="154" t="s">
        <v>58</v>
      </c>
      <c r="L6" s="154" t="s">
        <v>10</v>
      </c>
      <c r="M6" s="154" t="s">
        <v>11</v>
      </c>
      <c r="N6" s="154" t="s">
        <v>14</v>
      </c>
      <c r="O6" s="208" t="s">
        <v>738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55" t="s">
        <v>97</v>
      </c>
      <c r="B7" s="449" t="s">
        <v>15</v>
      </c>
      <c r="C7" s="106">
        <v>500</v>
      </c>
      <c r="D7" s="69" t="s">
        <v>16</v>
      </c>
      <c r="E7" s="447">
        <v>0</v>
      </c>
      <c r="F7" s="448">
        <f>+IF(E7="","",IF(E7-O7&gt;0,0,O7-E7))</f>
        <v>4.7447999999999997</v>
      </c>
      <c r="G7" s="68">
        <f>+IFERROR(E7/I7,)</f>
        <v>0</v>
      </c>
      <c r="H7" s="92"/>
      <c r="I7" s="131">
        <v>5</v>
      </c>
      <c r="J7" s="137">
        <v>30</v>
      </c>
      <c r="K7" s="137">
        <f t="shared" ref="K7:K15" si="0">+I7*M7</f>
        <v>4552.3520485584222</v>
      </c>
      <c r="L7" s="450">
        <v>3.295E-2</v>
      </c>
      <c r="M7" s="39">
        <f t="shared" ref="M7:M15" si="1">+J7/L7</f>
        <v>910.4704097116844</v>
      </c>
      <c r="N7" s="137">
        <f>IFERROR(VLOOKUP(C7,'Estadistica Madre CH 23-01'!A:C,3,0),+VLOOKUP(C7,'Estadistica Madre LK 23-01 '!A:C,3,0))</f>
        <v>1440</v>
      </c>
      <c r="O7" s="141">
        <f>3*N7/M7</f>
        <v>4.7447999999999997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4.2254399999999999</v>
      </c>
      <c r="Y7" s="436">
        <v>2.9343333333333332E-2</v>
      </c>
      <c r="Z7" s="457">
        <v>30</v>
      </c>
      <c r="AA7" s="457">
        <f>+SUMIFS(F:F,C:$C,R7)</f>
        <v>4.7447999999999997</v>
      </c>
      <c r="AB7" s="458">
        <f>+SUMIFS(M:M,C:C,R7)</f>
        <v>910.4704097116844</v>
      </c>
      <c r="AC7" s="458">
        <f t="shared" ref="AC7:AC23" si="2">+(AB7*AA7)*Y7</f>
        <v>126.7632</v>
      </c>
    </row>
    <row r="8" spans="1:29" ht="21.2" customHeight="1" x14ac:dyDescent="0.3">
      <c r="A8" s="455" t="s">
        <v>97</v>
      </c>
      <c r="B8" s="449" t="s">
        <v>28</v>
      </c>
      <c r="C8" s="106">
        <v>506</v>
      </c>
      <c r="D8" s="69" t="s">
        <v>29</v>
      </c>
      <c r="E8" s="447">
        <v>12</v>
      </c>
      <c r="F8" s="448">
        <f t="shared" ref="F8:F16" si="3">+IF(E8="","",IF(E8-O8&gt;0,0,O8-E8))</f>
        <v>29.3538</v>
      </c>
      <c r="G8" s="68">
        <f t="shared" ref="G8:G16" si="4">+IFERROR(E8/I8,)</f>
        <v>0.33333333333333331</v>
      </c>
      <c r="H8" s="92"/>
      <c r="I8" s="96">
        <v>36</v>
      </c>
      <c r="J8" s="39">
        <v>30</v>
      </c>
      <c r="K8" s="39">
        <f t="shared" si="0"/>
        <v>49202.733485193625</v>
      </c>
      <c r="L8" s="451">
        <v>2.1950000000000001E-2</v>
      </c>
      <c r="M8" s="39">
        <f t="shared" si="1"/>
        <v>1366.7425968109339</v>
      </c>
      <c r="N8" s="39">
        <f>IFERROR(VLOOKUP(C8,'Estadistica Madre CH 23-01'!A:C,3,0),+VLOOKUP(C8,'Estadistica Madre LK 23-01 '!A:C,3,0))</f>
        <v>18840</v>
      </c>
      <c r="O8" s="122">
        <f t="shared" ref="O8:O15" si="5">3*N8/M8</f>
        <v>41.3538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0.50831999999999999</v>
      </c>
      <c r="Y8" s="436">
        <v>3.5299999999999997E-3</v>
      </c>
      <c r="Z8" s="457">
        <v>30</v>
      </c>
      <c r="AA8" s="457">
        <f>+SUMIFS(F:F,C:$C,R8)</f>
        <v>4.7447999999999997</v>
      </c>
      <c r="AB8" s="458">
        <f>+SUMIFS(M:M,C:C,R8)</f>
        <v>910.4704097116844</v>
      </c>
      <c r="AC8" s="458">
        <f>+(AB8*AA8)*Y8</f>
        <v>15.249599999999999</v>
      </c>
    </row>
    <row r="9" spans="1:29" ht="18.75" x14ac:dyDescent="0.3">
      <c r="A9" s="455" t="s">
        <v>97</v>
      </c>
      <c r="B9" s="449" t="s">
        <v>22</v>
      </c>
      <c r="C9" s="106">
        <v>654</v>
      </c>
      <c r="D9" s="69" t="s">
        <v>23</v>
      </c>
      <c r="E9" s="447">
        <v>0</v>
      </c>
      <c r="F9" s="448">
        <f t="shared" si="3"/>
        <v>3.9215999999999998</v>
      </c>
      <c r="G9" s="68">
        <f t="shared" si="4"/>
        <v>0</v>
      </c>
      <c r="H9" s="92"/>
      <c r="I9" s="96">
        <v>5</v>
      </c>
      <c r="J9" s="121">
        <v>15</v>
      </c>
      <c r="K9" s="39">
        <f t="shared" si="0"/>
        <v>3488.3720930232562</v>
      </c>
      <c r="L9" s="451">
        <v>2.1499999999999998E-2</v>
      </c>
      <c r="M9" s="39">
        <f t="shared" si="1"/>
        <v>697.67441860465124</v>
      </c>
      <c r="N9" s="39">
        <f>IFERROR(VLOOKUP(C9,'Estadistica Madre CH 23-01'!A:C,3,0),+VLOOKUP(C9,'Estadistica Madre LK 23-01 '!A:C,3,0))</f>
        <v>912</v>
      </c>
      <c r="O9" s="122">
        <f t="shared" si="5"/>
        <v>3.9215999999999998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3" si="6">+AC9/Z9</f>
        <v>24.017961184510245</v>
      </c>
      <c r="Y9" s="436">
        <v>1.7959999999999997E-2</v>
      </c>
      <c r="Z9" s="457">
        <v>30</v>
      </c>
      <c r="AA9" s="457">
        <f>+SUMIFS(F:F,C:$C,R9)*1/4</f>
        <v>14.6769</v>
      </c>
      <c r="AB9" s="458">
        <f>+SUMIFS(M:M,C:C,R9)</f>
        <v>2733.4851936218679</v>
      </c>
      <c r="AC9" s="458">
        <f>+(AB9*AA9)*Y9</f>
        <v>720.53883553530738</v>
      </c>
    </row>
    <row r="10" spans="1:29" ht="18.75" x14ac:dyDescent="0.3">
      <c r="A10" s="455" t="s">
        <v>97</v>
      </c>
      <c r="B10" s="449" t="s">
        <v>24</v>
      </c>
      <c r="C10" s="106">
        <v>558</v>
      </c>
      <c r="D10" s="69" t="s">
        <v>25</v>
      </c>
      <c r="E10" s="447">
        <v>0</v>
      </c>
      <c r="F10" s="448">
        <f t="shared" si="3"/>
        <v>54.87</v>
      </c>
      <c r="G10" s="68">
        <f t="shared" si="4"/>
        <v>0</v>
      </c>
      <c r="H10" s="92"/>
      <c r="I10" s="96">
        <v>10</v>
      </c>
      <c r="J10" s="121">
        <v>1.8</v>
      </c>
      <c r="K10" s="39">
        <f t="shared" si="0"/>
        <v>1161.2903225806454</v>
      </c>
      <c r="L10" s="451">
        <v>1.55E-2</v>
      </c>
      <c r="M10" s="39">
        <f t="shared" si="1"/>
        <v>116.12903225806453</v>
      </c>
      <c r="N10" s="39">
        <f>IFERROR(VLOOKUP(C10,'Estadistica Madre CH 23-01'!A:C,3,0),+VLOOKUP(C10,'Estadistica Madre LK 23-01 '!A:C,3,0))</f>
        <v>2124</v>
      </c>
      <c r="O10" s="122">
        <f t="shared" si="5"/>
        <v>54.87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6"/>
        <v>4.720679453302961</v>
      </c>
      <c r="Y10" s="436">
        <v>3.5299999999999997E-3</v>
      </c>
      <c r="Z10" s="457">
        <v>30</v>
      </c>
      <c r="AA10" s="457">
        <f>+SUMIFS(F:F,C:$C,R10)*1/4</f>
        <v>14.6769</v>
      </c>
      <c r="AB10" s="458">
        <f>+SUMIFS(M:M,C:C,R10)</f>
        <v>2733.4851936218679</v>
      </c>
      <c r="AC10" s="458">
        <f t="shared" si="2"/>
        <v>141.62038359908883</v>
      </c>
    </row>
    <row r="11" spans="1:29" ht="21.2" customHeight="1" x14ac:dyDescent="0.3">
      <c r="A11" s="455" t="s">
        <v>53</v>
      </c>
      <c r="B11" s="449" t="s">
        <v>26</v>
      </c>
      <c r="C11" s="106">
        <v>557</v>
      </c>
      <c r="D11" s="69" t="s">
        <v>27</v>
      </c>
      <c r="E11" s="447">
        <v>2</v>
      </c>
      <c r="F11" s="448">
        <f>+IF(E11="","",IF(E11-O11&gt;0,0,O11-E11))</f>
        <v>35.1</v>
      </c>
      <c r="G11" s="68">
        <f t="shared" si="4"/>
        <v>0.25</v>
      </c>
      <c r="H11" s="92"/>
      <c r="I11" s="96">
        <v>8</v>
      </c>
      <c r="J11" s="121">
        <v>1.8</v>
      </c>
      <c r="K11" s="39">
        <f t="shared" si="0"/>
        <v>905.66037735849056</v>
      </c>
      <c r="L11" s="451">
        <v>1.5900000000000001E-2</v>
      </c>
      <c r="M11" s="39">
        <f t="shared" si="1"/>
        <v>113.20754716981132</v>
      </c>
      <c r="N11" s="39">
        <f>IFERROR(VLOOKUP(C11,'Estadistica Madre CH 23-01'!A:C,3,0),+VLOOKUP(C11,'Estadistica Madre LK 23-01 '!A:C,3,0))</f>
        <v>1400</v>
      </c>
      <c r="O11" s="122">
        <f t="shared" si="5"/>
        <v>37.1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6"/>
        <v>#DIV/0!</v>
      </c>
      <c r="Y11" s="461"/>
      <c r="Z11" s="457"/>
      <c r="AA11" s="457">
        <f>+SUMIFS(F:F,C:$C,R11)</f>
        <v>3.9215999999999998</v>
      </c>
      <c r="AB11" s="458">
        <f>+SUMIFS(M:M,C:C,R11)</f>
        <v>697.67441860465124</v>
      </c>
      <c r="AC11" s="458">
        <f t="shared" si="2"/>
        <v>0</v>
      </c>
    </row>
    <row r="12" spans="1:29" ht="21.2" customHeight="1" x14ac:dyDescent="0.3">
      <c r="A12" s="455" t="s">
        <v>750</v>
      </c>
      <c r="B12" s="449"/>
      <c r="C12" s="106"/>
      <c r="D12" s="69" t="s">
        <v>749</v>
      </c>
      <c r="E12" s="447">
        <v>0</v>
      </c>
      <c r="F12" s="448">
        <f t="shared" si="3"/>
        <v>0</v>
      </c>
      <c r="G12" s="68">
        <f t="shared" si="4"/>
        <v>0</v>
      </c>
      <c r="H12" s="92"/>
      <c r="I12" s="96"/>
      <c r="J12" s="121"/>
      <c r="K12" s="39"/>
      <c r="L12" s="451"/>
      <c r="M12" s="39"/>
      <c r="N12" s="39"/>
      <c r="O12" s="122"/>
      <c r="Q12" s="456"/>
      <c r="R12" s="66"/>
      <c r="S12" s="66"/>
      <c r="T12" s="459"/>
      <c r="U12" s="460"/>
      <c r="V12" s="432"/>
      <c r="Y12" s="461"/>
      <c r="Z12" s="457"/>
      <c r="AA12" s="457"/>
      <c r="AB12" s="458"/>
      <c r="AC12" s="458"/>
    </row>
    <row r="13" spans="1:29" ht="18.75" x14ac:dyDescent="0.3">
      <c r="A13" s="455" t="s">
        <v>53</v>
      </c>
      <c r="B13" s="449" t="s">
        <v>30</v>
      </c>
      <c r="C13" s="106">
        <v>510</v>
      </c>
      <c r="D13" s="69" t="s">
        <v>31</v>
      </c>
      <c r="E13" s="447">
        <v>10</v>
      </c>
      <c r="F13" s="448">
        <f t="shared" si="3"/>
        <v>4.2031999999999989</v>
      </c>
      <c r="G13" s="68">
        <f t="shared" si="4"/>
        <v>1.25</v>
      </c>
      <c r="H13" s="92"/>
      <c r="I13" s="96">
        <v>8</v>
      </c>
      <c r="J13" s="39">
        <v>30</v>
      </c>
      <c r="K13" s="39">
        <f t="shared" si="0"/>
        <v>10909.09090909091</v>
      </c>
      <c r="L13" s="451">
        <v>2.1999999999999999E-2</v>
      </c>
      <c r="M13" s="39">
        <f t="shared" si="1"/>
        <v>1363.6363636363637</v>
      </c>
      <c r="N13" s="39">
        <f>IFERROR(VLOOKUP(C13,'Estadistica Madre CH 23-01'!A:C,3,0),+VLOOKUP(C13,'Estadistica Madre LK 23-01 '!A:C,3,0))</f>
        <v>6456</v>
      </c>
      <c r="O13" s="122">
        <f t="shared" si="5"/>
        <v>14.203199999999999</v>
      </c>
      <c r="Q13" s="456" t="s">
        <v>24</v>
      </c>
      <c r="R13" s="66">
        <v>558</v>
      </c>
      <c r="S13" s="66" t="s">
        <v>25</v>
      </c>
      <c r="T13" s="459"/>
      <c r="U13" s="460"/>
      <c r="V13" s="432">
        <f t="shared" si="6"/>
        <v>54.870000000000005</v>
      </c>
      <c r="Y13" s="475">
        <v>1.55E-2</v>
      </c>
      <c r="Z13" s="476">
        <v>1.8</v>
      </c>
      <c r="AA13" s="457">
        <f>+SUMIFS(F:F,C:$C,R13)</f>
        <v>54.87</v>
      </c>
      <c r="AB13" s="458">
        <f t="shared" ref="AB13:AB23" si="7">+SUMIFS(M:M,C:C,R13)</f>
        <v>116.12903225806453</v>
      </c>
      <c r="AC13" s="458">
        <f t="shared" si="2"/>
        <v>98.766000000000005</v>
      </c>
    </row>
    <row r="14" spans="1:29" ht="18.75" x14ac:dyDescent="0.3">
      <c r="A14" s="455" t="s">
        <v>53</v>
      </c>
      <c r="B14" s="449" t="s">
        <v>702</v>
      </c>
      <c r="C14" s="106">
        <v>544</v>
      </c>
      <c r="D14" s="69" t="s">
        <v>474</v>
      </c>
      <c r="E14" s="447">
        <v>31</v>
      </c>
      <c r="F14" s="448">
        <f t="shared" si="3"/>
        <v>62.3</v>
      </c>
      <c r="G14" s="68">
        <f t="shared" si="4"/>
        <v>0.57407407407407407</v>
      </c>
      <c r="H14" s="92"/>
      <c r="I14" s="96">
        <v>54</v>
      </c>
      <c r="J14" s="39">
        <v>15.68</v>
      </c>
      <c r="K14" s="39">
        <f t="shared" si="0"/>
        <v>8640</v>
      </c>
      <c r="L14" s="451">
        <v>9.8000000000000004E-2</v>
      </c>
      <c r="M14" s="39">
        <f t="shared" si="1"/>
        <v>160</v>
      </c>
      <c r="N14" s="39">
        <f>IFERROR(VLOOKUP(C14,'Estadistica Madre CH 23-01'!A:C,3,0),+VLOOKUP(C14,'Estadistica Madre LK 23-01 '!A:C,3,0))</f>
        <v>7464</v>
      </c>
      <c r="O14" s="122">
        <f>2*N14/M14</f>
        <v>93.3</v>
      </c>
      <c r="Q14" s="456" t="s">
        <v>26</v>
      </c>
      <c r="R14" s="66">
        <v>557</v>
      </c>
      <c r="S14" s="66" t="s">
        <v>27</v>
      </c>
      <c r="T14" s="459" t="s">
        <v>26</v>
      </c>
      <c r="U14" s="460"/>
      <c r="V14" s="432">
        <f t="shared" si="6"/>
        <v>35.1</v>
      </c>
      <c r="Y14" s="475">
        <v>1.5900000000000001E-2</v>
      </c>
      <c r="Z14" s="476">
        <v>1.8</v>
      </c>
      <c r="AA14" s="457">
        <f>+SUMIFS(F:F,C:$C,R14)</f>
        <v>35.1</v>
      </c>
      <c r="AB14" s="458">
        <f t="shared" si="7"/>
        <v>113.20754716981132</v>
      </c>
      <c r="AC14" s="458">
        <f t="shared" si="2"/>
        <v>63.180000000000007</v>
      </c>
    </row>
    <row r="15" spans="1:29" ht="21.2" customHeight="1" x14ac:dyDescent="0.3">
      <c r="A15" s="455" t="s">
        <v>86</v>
      </c>
      <c r="B15" s="449" t="s">
        <v>28</v>
      </c>
      <c r="C15" s="106">
        <v>506</v>
      </c>
      <c r="D15" s="69" t="s">
        <v>29</v>
      </c>
      <c r="E15" s="447">
        <v>12</v>
      </c>
      <c r="F15" s="448">
        <f t="shared" si="3"/>
        <v>29.3538</v>
      </c>
      <c r="G15" s="68">
        <f t="shared" si="4"/>
        <v>0.33333333333333331</v>
      </c>
      <c r="H15" s="92"/>
      <c r="I15" s="96">
        <v>36</v>
      </c>
      <c r="J15" s="39">
        <v>30</v>
      </c>
      <c r="K15" s="39">
        <f t="shared" si="0"/>
        <v>49202.733485193625</v>
      </c>
      <c r="L15" s="451">
        <v>2.1950000000000001E-2</v>
      </c>
      <c r="M15" s="39">
        <f t="shared" si="1"/>
        <v>1366.7425968109339</v>
      </c>
      <c r="N15" s="39">
        <f>IFERROR(VLOOKUP(C15,'Estadistica Madre CH 23-01'!A:C,3,0),+VLOOKUP(C15,'Estadistica Madre LK 23-01 '!A:C,3,0))</f>
        <v>18840</v>
      </c>
      <c r="O15" s="122">
        <f t="shared" si="5"/>
        <v>41.3538</v>
      </c>
      <c r="Q15" s="456" t="s">
        <v>30</v>
      </c>
      <c r="R15" s="66">
        <v>510</v>
      </c>
      <c r="S15" s="66" t="s">
        <v>31</v>
      </c>
      <c r="T15" s="438" t="s">
        <v>716</v>
      </c>
      <c r="U15" s="66" t="s">
        <v>717</v>
      </c>
      <c r="V15" s="432">
        <f t="shared" si="6"/>
        <v>3.4415292121212118</v>
      </c>
      <c r="Y15" s="436">
        <v>1.8013333333333333E-2</v>
      </c>
      <c r="Z15" s="457">
        <v>30</v>
      </c>
      <c r="AA15" s="457">
        <f>+SUMIFS(F:F,C:$C,R15)</f>
        <v>4.2031999999999989</v>
      </c>
      <c r="AB15" s="458">
        <f t="shared" si="7"/>
        <v>1363.6363636363637</v>
      </c>
      <c r="AC15" s="458">
        <f t="shared" si="2"/>
        <v>103.24587636363636</v>
      </c>
    </row>
    <row r="16" spans="1:29" ht="19.5" thickBot="1" x14ac:dyDescent="0.35">
      <c r="A16" s="455" t="s">
        <v>86</v>
      </c>
      <c r="B16" s="449" t="s">
        <v>444</v>
      </c>
      <c r="C16" s="106" t="s">
        <v>457</v>
      </c>
      <c r="D16" s="69" t="s">
        <v>445</v>
      </c>
      <c r="E16" s="447">
        <v>3</v>
      </c>
      <c r="F16" s="448">
        <f t="shared" si="3"/>
        <v>0</v>
      </c>
      <c r="G16" s="68">
        <f t="shared" si="4"/>
        <v>0.15</v>
      </c>
      <c r="H16" s="92"/>
      <c r="I16" s="98">
        <v>20</v>
      </c>
      <c r="J16" s="117">
        <f>+I16*K16</f>
        <v>400</v>
      </c>
      <c r="K16" s="117">
        <v>20</v>
      </c>
      <c r="L16" s="452">
        <v>12.867567567567571</v>
      </c>
      <c r="M16" s="119">
        <f>+SUMIFS('Consumo '!E:E,'Consumo '!A:A,'Garage Vacio 13-03'!B16)</f>
        <v>9224</v>
      </c>
      <c r="N16" s="119">
        <f>+L16*1.5</f>
        <v>19.301351351351357</v>
      </c>
      <c r="O16" s="127">
        <f>3*N16/M16</f>
        <v>6.2775427205175706E-3</v>
      </c>
      <c r="Q16" s="456" t="s">
        <v>30</v>
      </c>
      <c r="R16" s="66">
        <v>510</v>
      </c>
      <c r="S16" s="66" t="s">
        <v>31</v>
      </c>
      <c r="T16" s="438" t="s">
        <v>711</v>
      </c>
      <c r="U16" s="429" t="s">
        <v>712</v>
      </c>
      <c r="V16" s="432">
        <f t="shared" si="6"/>
        <v>0.67442254545454539</v>
      </c>
      <c r="Y16" s="436">
        <v>3.5299999999999997E-3</v>
      </c>
      <c r="Z16" s="457">
        <v>30</v>
      </c>
      <c r="AA16" s="457">
        <f>+SUMIFS(F:F,C:$C,R16)</f>
        <v>4.2031999999999989</v>
      </c>
      <c r="AB16" s="458">
        <f t="shared" si="7"/>
        <v>1363.6363636363637</v>
      </c>
      <c r="AC16" s="458">
        <f t="shared" si="2"/>
        <v>20.232676363636362</v>
      </c>
    </row>
    <row r="17" spans="1:29" ht="18.75" x14ac:dyDescent="0.25">
      <c r="A17" s="455" t="s">
        <v>86</v>
      </c>
      <c r="Q17" s="456" t="s">
        <v>702</v>
      </c>
      <c r="R17" s="66">
        <v>544</v>
      </c>
      <c r="S17" s="66" t="s">
        <v>474</v>
      </c>
      <c r="T17" s="438" t="s">
        <v>722</v>
      </c>
      <c r="U17" s="66" t="s">
        <v>723</v>
      </c>
      <c r="V17" s="432">
        <f t="shared" si="6"/>
        <v>19.659111111111109</v>
      </c>
      <c r="Y17" s="436">
        <v>3.5499999999999997E-2</v>
      </c>
      <c r="Z17" s="457">
        <v>18</v>
      </c>
      <c r="AA17" s="457">
        <f>+SUMIFS(F:F,C:$C,R17)</f>
        <v>62.3</v>
      </c>
      <c r="AB17" s="458">
        <f t="shared" si="7"/>
        <v>160</v>
      </c>
      <c r="AC17" s="458">
        <f t="shared" si="2"/>
        <v>353.86399999999998</v>
      </c>
    </row>
    <row r="18" spans="1:29" ht="18.75" x14ac:dyDescent="0.25">
      <c r="A18" s="455" t="s">
        <v>86</v>
      </c>
      <c r="Q18" s="456" t="s">
        <v>702</v>
      </c>
      <c r="R18" s="66">
        <v>544</v>
      </c>
      <c r="S18" s="66" t="s">
        <v>474</v>
      </c>
      <c r="T18" s="440" t="s">
        <v>720</v>
      </c>
      <c r="U18" s="437" t="s">
        <v>721</v>
      </c>
      <c r="V18" s="432">
        <f t="shared" si="6"/>
        <v>0.49528500000000003</v>
      </c>
      <c r="Y18" s="436">
        <v>1.5900000000000001E-3</v>
      </c>
      <c r="Z18" s="457">
        <v>32</v>
      </c>
      <c r="AA18" s="457">
        <f>+SUMIFS(F:F,C:$C,R18)</f>
        <v>62.3</v>
      </c>
      <c r="AB18" s="458">
        <f t="shared" si="7"/>
        <v>160</v>
      </c>
      <c r="AC18" s="458">
        <f t="shared" si="2"/>
        <v>15.849120000000001</v>
      </c>
    </row>
    <row r="19" spans="1:29" ht="18.75" x14ac:dyDescent="0.25">
      <c r="A19" s="455" t="s">
        <v>86</v>
      </c>
      <c r="Q19" s="456" t="s">
        <v>702</v>
      </c>
      <c r="R19" s="66">
        <v>544</v>
      </c>
      <c r="S19" s="66" t="s">
        <v>474</v>
      </c>
      <c r="T19" s="440" t="s">
        <v>726</v>
      </c>
      <c r="U19" s="437" t="s">
        <v>724</v>
      </c>
      <c r="V19" s="432">
        <f t="shared" si="6"/>
        <v>33.096874999999976</v>
      </c>
      <c r="Y19" s="436">
        <v>4.6484374999999967E-2</v>
      </c>
      <c r="Z19" s="457">
        <v>14</v>
      </c>
      <c r="AA19" s="457">
        <f>+SUMIFS(F:F,C:$C,R19)</f>
        <v>62.3</v>
      </c>
      <c r="AB19" s="458">
        <f t="shared" si="7"/>
        <v>160</v>
      </c>
      <c r="AC19" s="458">
        <f t="shared" si="2"/>
        <v>463.35624999999965</v>
      </c>
    </row>
    <row r="20" spans="1:29" s="434" customFormat="1" ht="18.75" x14ac:dyDescent="0.25">
      <c r="A20" s="455" t="s">
        <v>86</v>
      </c>
      <c r="Q20" s="456" t="s">
        <v>702</v>
      </c>
      <c r="R20" s="66">
        <v>544</v>
      </c>
      <c r="S20" s="66" t="s">
        <v>474</v>
      </c>
      <c r="T20" s="440" t="s">
        <v>727</v>
      </c>
      <c r="U20" s="437" t="s">
        <v>725</v>
      </c>
      <c r="V20" s="432">
        <f t="shared" si="6"/>
        <v>15.574999999999994</v>
      </c>
      <c r="Y20" s="436">
        <v>1.5624999999999993E-2</v>
      </c>
      <c r="Z20" s="457">
        <v>10</v>
      </c>
      <c r="AA20" s="457">
        <f>+SUMIFS(F:F,C:$C,R20)</f>
        <v>62.3</v>
      </c>
      <c r="AB20" s="458">
        <f t="shared" si="7"/>
        <v>160</v>
      </c>
      <c r="AC20" s="458">
        <f t="shared" si="2"/>
        <v>155.74999999999994</v>
      </c>
    </row>
    <row r="21" spans="1:29" ht="18.600000000000001" customHeight="1" x14ac:dyDescent="0.25">
      <c r="A21" s="455" t="s">
        <v>86</v>
      </c>
      <c r="Q21" s="456" t="s">
        <v>28</v>
      </c>
      <c r="R21" s="66">
        <v>506</v>
      </c>
      <c r="S21" s="66" t="s">
        <v>29</v>
      </c>
      <c r="T21" s="438" t="s">
        <v>718</v>
      </c>
      <c r="U21" s="429" t="s">
        <v>719</v>
      </c>
      <c r="V21" s="432">
        <f>+AC21/Z21</f>
        <v>72.053883553530738</v>
      </c>
      <c r="Y21" s="436">
        <v>1.7959999999999997E-2</v>
      </c>
      <c r="Z21" s="457">
        <v>30</v>
      </c>
      <c r="AA21" s="457">
        <f>+SUMIFS(F:F,C:$C,R21)*3/4</f>
        <v>44.030699999999996</v>
      </c>
      <c r="AB21" s="458">
        <f t="shared" si="7"/>
        <v>2733.4851936218679</v>
      </c>
      <c r="AC21" s="458">
        <f t="shared" si="2"/>
        <v>2161.616506605922</v>
      </c>
    </row>
    <row r="22" spans="1:29" ht="18.600000000000001" customHeight="1" x14ac:dyDescent="0.25">
      <c r="A22" s="455" t="s">
        <v>86</v>
      </c>
      <c r="Q22" s="456" t="s">
        <v>28</v>
      </c>
      <c r="R22" s="66">
        <v>506</v>
      </c>
      <c r="S22" s="66" t="s">
        <v>29</v>
      </c>
      <c r="T22" s="438" t="s">
        <v>711</v>
      </c>
      <c r="U22" s="429" t="s">
        <v>712</v>
      </c>
      <c r="V22" s="432">
        <f t="shared" si="6"/>
        <v>14.16203835990888</v>
      </c>
      <c r="Y22" s="436">
        <v>3.5299999999999997E-3</v>
      </c>
      <c r="Z22" s="457">
        <v>30</v>
      </c>
      <c r="AA22" s="457">
        <f>+SUMIFS(F:F,C:$C,R22)*3/4</f>
        <v>44.030699999999996</v>
      </c>
      <c r="AB22" s="458">
        <f t="shared" si="7"/>
        <v>2733.4851936218679</v>
      </c>
      <c r="AC22" s="458">
        <f t="shared" si="2"/>
        <v>424.86115079726642</v>
      </c>
    </row>
    <row r="23" spans="1:29" ht="18.600000000000001" customHeight="1" thickBot="1" x14ac:dyDescent="0.3">
      <c r="A23" s="462" t="s">
        <v>707</v>
      </c>
      <c r="Q23" s="463" t="s">
        <v>444</v>
      </c>
      <c r="R23" s="327" t="s">
        <v>457</v>
      </c>
      <c r="S23" s="327" t="s">
        <v>445</v>
      </c>
      <c r="T23" s="459"/>
      <c r="U23" s="460"/>
      <c r="V23" s="432" t="e">
        <f t="shared" si="6"/>
        <v>#DIV/0!</v>
      </c>
      <c r="Y23" s="461"/>
      <c r="Z23" s="461"/>
      <c r="AA23" s="457">
        <f>+SUMIFS(F:F,C:$C,R23)</f>
        <v>0</v>
      </c>
      <c r="AB23" s="458">
        <f t="shared" si="7"/>
        <v>9224</v>
      </c>
      <c r="AC23" s="458">
        <f t="shared" si="2"/>
        <v>0</v>
      </c>
    </row>
    <row r="24" spans="1:29" ht="18.600000000000001" customHeight="1" x14ac:dyDescent="0.25"/>
    <row r="25" spans="1:29" ht="18.600000000000001" customHeight="1" x14ac:dyDescent="0.25"/>
    <row r="26" spans="1:29" ht="18.600000000000001" customHeight="1" x14ac:dyDescent="0.25"/>
    <row r="27" spans="1:29" ht="18.600000000000001" customHeight="1" x14ac:dyDescent="0.25"/>
    <row r="28" spans="1:29" ht="18.600000000000001" customHeight="1" x14ac:dyDescent="0.25"/>
    <row r="29" spans="1:29" ht="18.600000000000001" customHeight="1" x14ac:dyDescent="0.25"/>
    <row r="30" spans="1:29" ht="18.600000000000001" customHeight="1" x14ac:dyDescent="0.25"/>
    <row r="31" spans="1:29" ht="18.600000000000001" customHeight="1" x14ac:dyDescent="0.25"/>
    <row r="32" spans="1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  <row r="36" ht="18.600000000000001" customHeight="1" x14ac:dyDescent="0.25"/>
  </sheetData>
  <autoFilter ref="B6:AC23" xr:uid="{00000000-0009-0000-0000-000001000000}"/>
  <mergeCells count="5">
    <mergeCell ref="B3:F3"/>
    <mergeCell ref="B4:C4"/>
    <mergeCell ref="B5:C5"/>
    <mergeCell ref="I5:O5"/>
    <mergeCell ref="Y5:AC5"/>
  </mergeCells>
  <printOptions horizontalCentered="1" verticalCentered="1"/>
  <pageMargins left="0.23622047244094491" right="0.23622047244094491" top="0.15748031496062992" bottom="7.874015748031496E-2" header="0" footer="0"/>
  <pageSetup paperSize="9" scale="4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AC36"/>
  <sheetViews>
    <sheetView topLeftCell="D4" zoomScale="70" zoomScaleNormal="70" workbookViewId="0">
      <selection activeCell="G22" sqref="G22"/>
    </sheetView>
  </sheetViews>
  <sheetFormatPr baseColWidth="10" defaultRowHeight="15" x14ac:dyDescent="0.25"/>
  <cols>
    <col min="1" max="1" width="11.85546875" style="283" customWidth="1"/>
    <col min="2" max="2" width="10.7109375" customWidth="1"/>
    <col min="3" max="3" width="8" customWidth="1"/>
    <col min="4" max="4" width="28.85546875" customWidth="1"/>
    <col min="5" max="5" width="8.42578125" style="444" customWidth="1"/>
    <col min="6" max="6" width="9.42578125" style="444" customWidth="1"/>
    <col min="7" max="7" width="8.85546875" style="444" customWidth="1"/>
    <col min="8" max="8" width="1.140625" customWidth="1"/>
    <col min="9" max="9" width="8.140625" customWidth="1"/>
    <col min="10" max="10" width="8" customWidth="1"/>
    <col min="11" max="11" width="10.7109375" customWidth="1"/>
    <col min="12" max="12" width="9.7109375" style="110" customWidth="1"/>
    <col min="13" max="13" width="9.85546875" customWidth="1"/>
    <col min="14" max="14" width="10.5703125" customWidth="1"/>
    <col min="15" max="15" width="8.28515625" customWidth="1"/>
    <col min="16" max="16" width="8.85546875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L1"/>
    </row>
    <row r="2" spans="1:29" ht="24.75" customHeight="1" thickBot="1" x14ac:dyDescent="0.3">
      <c r="L2"/>
    </row>
    <row r="3" spans="1:29" ht="24.75" customHeight="1" thickBot="1" x14ac:dyDescent="0.45">
      <c r="B3" s="505"/>
      <c r="C3" s="505"/>
      <c r="D3" s="505"/>
      <c r="E3" s="505"/>
      <c r="F3" s="506"/>
      <c r="L3"/>
    </row>
    <row r="4" spans="1:29" ht="24.75" customHeight="1" thickBot="1" x14ac:dyDescent="0.4">
      <c r="B4" s="507"/>
      <c r="C4" s="508"/>
      <c r="D4" s="454">
        <f ca="1">+TODAY()</f>
        <v>46101</v>
      </c>
    </row>
    <row r="5" spans="1:29" ht="42.6" customHeight="1" thickBot="1" x14ac:dyDescent="0.45">
      <c r="B5" s="507"/>
      <c r="C5" s="508"/>
      <c r="D5" s="453"/>
      <c r="I5" s="509" t="s">
        <v>740</v>
      </c>
      <c r="J5" s="510"/>
      <c r="K5" s="510"/>
      <c r="L5" s="510"/>
      <c r="M5" s="510"/>
      <c r="N5" s="510"/>
      <c r="O5" s="511"/>
      <c r="Q5" s="478" t="s">
        <v>737</v>
      </c>
      <c r="R5" s="479"/>
      <c r="S5" s="479"/>
      <c r="T5" s="479"/>
      <c r="U5" s="479"/>
      <c r="V5" s="480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708</v>
      </c>
      <c r="B6" s="445" t="s">
        <v>4</v>
      </c>
      <c r="C6" s="15" t="s">
        <v>3</v>
      </c>
      <c r="D6" s="4" t="s">
        <v>5</v>
      </c>
      <c r="E6" s="445" t="s">
        <v>438</v>
      </c>
      <c r="F6" s="446" t="s">
        <v>68</v>
      </c>
      <c r="G6" s="445" t="s">
        <v>76</v>
      </c>
      <c r="H6" s="91"/>
      <c r="I6" s="207" t="s">
        <v>63</v>
      </c>
      <c r="J6" s="154" t="s">
        <v>38</v>
      </c>
      <c r="K6" s="154" t="s">
        <v>58</v>
      </c>
      <c r="L6" s="154" t="s">
        <v>10</v>
      </c>
      <c r="M6" s="154" t="s">
        <v>11</v>
      </c>
      <c r="N6" s="154" t="s">
        <v>14</v>
      </c>
      <c r="O6" s="208" t="s">
        <v>738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55" t="s">
        <v>97</v>
      </c>
      <c r="B7" s="449" t="s">
        <v>15</v>
      </c>
      <c r="C7" s="106">
        <v>500</v>
      </c>
      <c r="D7" s="69" t="s">
        <v>16</v>
      </c>
      <c r="E7" s="447">
        <v>2</v>
      </c>
      <c r="F7" s="448">
        <f>+IF(E7="","",IF(E7-O7&gt;0,0,O7-E7))</f>
        <v>2.7447999999999997</v>
      </c>
      <c r="G7" s="68">
        <f>+IFERROR(E7/I7,)</f>
        <v>0.4</v>
      </c>
      <c r="H7" s="92"/>
      <c r="I7" s="131">
        <v>5</v>
      </c>
      <c r="J7" s="137">
        <v>30</v>
      </c>
      <c r="K7" s="137">
        <f t="shared" ref="K7:K15" si="0">+I7*M7</f>
        <v>4552.3520485584222</v>
      </c>
      <c r="L7" s="450">
        <v>3.295E-2</v>
      </c>
      <c r="M7" s="39">
        <f t="shared" ref="M7:M15" si="1">+J7/L7</f>
        <v>910.4704097116844</v>
      </c>
      <c r="N7" s="137">
        <f>IFERROR(VLOOKUP(C7,'Estadistica Madre CH 23-01'!A:C,3,0),+VLOOKUP(C7,'Estadistica Madre LK 23-01 '!A:C,3,0))</f>
        <v>1440</v>
      </c>
      <c r="O7" s="141">
        <f>3*N7/M7</f>
        <v>4.7447999999999997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2.4443575518462315</v>
      </c>
      <c r="Y7" s="436">
        <v>2.9343333333333332E-2</v>
      </c>
      <c r="Z7" s="457">
        <v>30</v>
      </c>
      <c r="AA7" s="457">
        <f>+SUMIFS(F:F,C:$C,R7)</f>
        <v>2.7447999999999997</v>
      </c>
      <c r="AB7" s="458">
        <f>+SUMIFS(M:M,C:C,R7)</f>
        <v>910.4704097116844</v>
      </c>
      <c r="AC7" s="458">
        <f t="shared" ref="AC7:AC23" si="2">+(AB7*AA7)*Y7</f>
        <v>73.330726555386946</v>
      </c>
    </row>
    <row r="8" spans="1:29" ht="21.2" customHeight="1" x14ac:dyDescent="0.3">
      <c r="A8" s="455" t="s">
        <v>97</v>
      </c>
      <c r="B8" s="449" t="s">
        <v>28</v>
      </c>
      <c r="C8" s="106">
        <v>506</v>
      </c>
      <c r="D8" s="69" t="s">
        <v>29</v>
      </c>
      <c r="E8" s="447">
        <v>12</v>
      </c>
      <c r="F8" s="448">
        <f t="shared" ref="F8:F16" si="3">+IF(E8="","",IF(E8-O8&gt;0,0,O8-E8))</f>
        <v>29.3538</v>
      </c>
      <c r="G8" s="68">
        <f t="shared" ref="G8:G16" si="4">+IFERROR(E8/I8,)</f>
        <v>0.33333333333333331</v>
      </c>
      <c r="H8" s="92"/>
      <c r="I8" s="96">
        <v>36</v>
      </c>
      <c r="J8" s="39">
        <v>30</v>
      </c>
      <c r="K8" s="39">
        <f t="shared" si="0"/>
        <v>49202.733485193625</v>
      </c>
      <c r="L8" s="451">
        <v>2.1950000000000001E-2</v>
      </c>
      <c r="M8" s="39">
        <f t="shared" si="1"/>
        <v>1366.7425968109339</v>
      </c>
      <c r="N8" s="39">
        <f>IFERROR(VLOOKUP(C8,'Estadistica Madre CH 23-01'!A:C,3,0),+VLOOKUP(C8,'Estadistica Madre LK 23-01 '!A:C,3,0))</f>
        <v>18840</v>
      </c>
      <c r="O8" s="122">
        <f t="shared" ref="O8:O15" si="5">3*N8/M8</f>
        <v>41.3538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0.29405596358118358</v>
      </c>
      <c r="Y8" s="436">
        <v>3.5299999999999997E-3</v>
      </c>
      <c r="Z8" s="457">
        <v>30</v>
      </c>
      <c r="AA8" s="457">
        <f>+SUMIFS(F:F,C:$C,R8)</f>
        <v>2.7447999999999997</v>
      </c>
      <c r="AB8" s="458">
        <f>+SUMIFS(M:M,C:C,R8)</f>
        <v>910.4704097116844</v>
      </c>
      <c r="AC8" s="458">
        <f>+(AB8*AA8)*Y8</f>
        <v>8.8216789074355066</v>
      </c>
    </row>
    <row r="9" spans="1:29" ht="18.75" x14ac:dyDescent="0.3">
      <c r="A9" s="455" t="s">
        <v>97</v>
      </c>
      <c r="B9" s="449" t="s">
        <v>22</v>
      </c>
      <c r="C9" s="106">
        <v>654</v>
      </c>
      <c r="D9" s="69" t="s">
        <v>23</v>
      </c>
      <c r="E9" s="447">
        <v>0</v>
      </c>
      <c r="F9" s="448">
        <f t="shared" si="3"/>
        <v>3.9215999999999998</v>
      </c>
      <c r="G9" s="68">
        <f t="shared" si="4"/>
        <v>0</v>
      </c>
      <c r="H9" s="92"/>
      <c r="I9" s="96">
        <v>5</v>
      </c>
      <c r="J9" s="121">
        <v>15</v>
      </c>
      <c r="K9" s="39">
        <f t="shared" si="0"/>
        <v>3488.3720930232562</v>
      </c>
      <c r="L9" s="451">
        <v>2.1499999999999998E-2</v>
      </c>
      <c r="M9" s="39">
        <f t="shared" si="1"/>
        <v>697.67441860465124</v>
      </c>
      <c r="N9" s="39">
        <f>IFERROR(VLOOKUP(C9,'Estadistica Madre CH 23-01'!A:C,3,0),+VLOOKUP(C9,'Estadistica Madre LK 23-01 '!A:C,3,0))</f>
        <v>912</v>
      </c>
      <c r="O9" s="122">
        <f t="shared" si="5"/>
        <v>3.9215999999999998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3" si="6">+AC9/Z9</f>
        <v>24.017961184510245</v>
      </c>
      <c r="Y9" s="436">
        <v>1.7959999999999997E-2</v>
      </c>
      <c r="Z9" s="457">
        <v>30</v>
      </c>
      <c r="AA9" s="457">
        <f>+SUMIFS(F:F,C:$C,R9)*1/4</f>
        <v>14.6769</v>
      </c>
      <c r="AB9" s="458">
        <f>+SUMIFS(M:M,C:C,R9)</f>
        <v>2733.4851936218679</v>
      </c>
      <c r="AC9" s="458">
        <f t="shared" si="2"/>
        <v>720.53883553530738</v>
      </c>
    </row>
    <row r="10" spans="1:29" ht="18.75" x14ac:dyDescent="0.3">
      <c r="A10" s="455" t="s">
        <v>97</v>
      </c>
      <c r="B10" s="449" t="s">
        <v>24</v>
      </c>
      <c r="C10" s="106">
        <v>558</v>
      </c>
      <c r="D10" s="69" t="s">
        <v>25</v>
      </c>
      <c r="E10" s="447">
        <v>0</v>
      </c>
      <c r="F10" s="448">
        <f t="shared" si="3"/>
        <v>54.87</v>
      </c>
      <c r="G10" s="68">
        <f t="shared" si="4"/>
        <v>0</v>
      </c>
      <c r="H10" s="92"/>
      <c r="I10" s="96">
        <v>10</v>
      </c>
      <c r="J10" s="121">
        <v>1.8</v>
      </c>
      <c r="K10" s="39">
        <f t="shared" si="0"/>
        <v>1161.2903225806454</v>
      </c>
      <c r="L10" s="451">
        <v>1.55E-2</v>
      </c>
      <c r="M10" s="39">
        <f t="shared" si="1"/>
        <v>116.12903225806453</v>
      </c>
      <c r="N10" s="39">
        <f>IFERROR(VLOOKUP(C10,'Estadistica Madre CH 23-01'!A:C,3,0),+VLOOKUP(C10,'Estadistica Madre LK 23-01 '!A:C,3,0))</f>
        <v>2124</v>
      </c>
      <c r="O10" s="122">
        <f t="shared" si="5"/>
        <v>54.87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6"/>
        <v>4.720679453302961</v>
      </c>
      <c r="Y10" s="436">
        <v>3.5299999999999997E-3</v>
      </c>
      <c r="Z10" s="457">
        <v>30</v>
      </c>
      <c r="AA10" s="457">
        <f>+SUMIFS(F:F,C:$C,R10)*1/4</f>
        <v>14.6769</v>
      </c>
      <c r="AB10" s="458">
        <f>+SUMIFS(M:M,C:C,R10)</f>
        <v>2733.4851936218679</v>
      </c>
      <c r="AC10" s="458">
        <f t="shared" si="2"/>
        <v>141.62038359908883</v>
      </c>
    </row>
    <row r="11" spans="1:29" ht="21.2" customHeight="1" x14ac:dyDescent="0.3">
      <c r="A11" s="455" t="s">
        <v>53</v>
      </c>
      <c r="B11" s="449" t="s">
        <v>26</v>
      </c>
      <c r="C11" s="106">
        <v>557</v>
      </c>
      <c r="D11" s="69" t="s">
        <v>27</v>
      </c>
      <c r="E11" s="447">
        <v>0</v>
      </c>
      <c r="F11" s="448">
        <f t="shared" si="3"/>
        <v>37.1</v>
      </c>
      <c r="G11" s="68">
        <f t="shared" si="4"/>
        <v>0</v>
      </c>
      <c r="H11" s="92"/>
      <c r="I11" s="96">
        <v>8</v>
      </c>
      <c r="J11" s="121">
        <v>1.8</v>
      </c>
      <c r="K11" s="39">
        <f t="shared" si="0"/>
        <v>905.66037735849056</v>
      </c>
      <c r="L11" s="451">
        <v>1.5900000000000001E-2</v>
      </c>
      <c r="M11" s="39">
        <f t="shared" si="1"/>
        <v>113.20754716981132</v>
      </c>
      <c r="N11" s="39">
        <f>IFERROR(VLOOKUP(C11,'Estadistica Madre CH 23-01'!A:C,3,0),+VLOOKUP(C11,'Estadistica Madre LK 23-01 '!A:C,3,0))</f>
        <v>1400</v>
      </c>
      <c r="O11" s="122">
        <f t="shared" si="5"/>
        <v>37.1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6"/>
        <v>#DIV/0!</v>
      </c>
      <c r="Y11" s="461"/>
      <c r="Z11" s="457"/>
      <c r="AA11" s="457">
        <f>+SUMIFS(F:F,C:$C,R11)</f>
        <v>3.9215999999999998</v>
      </c>
      <c r="AB11" s="458">
        <f>+SUMIFS(M:M,C:C,R11)</f>
        <v>697.67441860465124</v>
      </c>
      <c r="AC11" s="458">
        <f t="shared" si="2"/>
        <v>0</v>
      </c>
    </row>
    <row r="12" spans="1:29" ht="21.2" customHeight="1" x14ac:dyDescent="0.3">
      <c r="A12" s="455" t="s">
        <v>750</v>
      </c>
      <c r="B12" s="449"/>
      <c r="C12" s="106"/>
      <c r="D12" s="69" t="s">
        <v>749</v>
      </c>
      <c r="E12" s="447">
        <v>0</v>
      </c>
      <c r="F12" s="448">
        <f t="shared" si="3"/>
        <v>0</v>
      </c>
      <c r="G12" s="68">
        <f t="shared" si="4"/>
        <v>0</v>
      </c>
      <c r="H12" s="92"/>
      <c r="I12" s="96"/>
      <c r="J12" s="121"/>
      <c r="K12" s="39"/>
      <c r="L12" s="451"/>
      <c r="M12" s="39"/>
      <c r="N12" s="39"/>
      <c r="O12" s="122"/>
      <c r="Q12" s="456"/>
      <c r="R12" s="66"/>
      <c r="S12" s="66"/>
      <c r="T12" s="459"/>
      <c r="U12" s="460"/>
      <c r="V12" s="432"/>
      <c r="Y12" s="461"/>
      <c r="Z12" s="457"/>
      <c r="AA12" s="457"/>
      <c r="AB12" s="458"/>
      <c r="AC12" s="458"/>
    </row>
    <row r="13" spans="1:29" ht="18.75" x14ac:dyDescent="0.3">
      <c r="A13" s="455" t="s">
        <v>53</v>
      </c>
      <c r="B13" s="449" t="s">
        <v>30</v>
      </c>
      <c r="C13" s="106">
        <v>510</v>
      </c>
      <c r="D13" s="69" t="s">
        <v>31</v>
      </c>
      <c r="E13" s="447">
        <v>10</v>
      </c>
      <c r="F13" s="448">
        <f t="shared" si="3"/>
        <v>4.2031999999999989</v>
      </c>
      <c r="G13" s="68">
        <f t="shared" si="4"/>
        <v>1.25</v>
      </c>
      <c r="H13" s="92"/>
      <c r="I13" s="96">
        <v>8</v>
      </c>
      <c r="J13" s="39">
        <v>30</v>
      </c>
      <c r="K13" s="39">
        <f t="shared" si="0"/>
        <v>10909.09090909091</v>
      </c>
      <c r="L13" s="451">
        <v>2.1999999999999999E-2</v>
      </c>
      <c r="M13" s="39">
        <f t="shared" si="1"/>
        <v>1363.6363636363637</v>
      </c>
      <c r="N13" s="39">
        <f>IFERROR(VLOOKUP(C13,'Estadistica Madre CH 23-01'!A:C,3,0),+VLOOKUP(C13,'Estadistica Madre LK 23-01 '!A:C,3,0))</f>
        <v>6456</v>
      </c>
      <c r="O13" s="122">
        <f t="shared" si="5"/>
        <v>14.203199999999999</v>
      </c>
      <c r="Q13" s="456" t="s">
        <v>24</v>
      </c>
      <c r="R13" s="66">
        <v>558</v>
      </c>
      <c r="S13" s="66" t="s">
        <v>25</v>
      </c>
      <c r="T13" s="459"/>
      <c r="U13" s="460"/>
      <c r="V13" s="432">
        <f t="shared" si="6"/>
        <v>54.870000000000005</v>
      </c>
      <c r="Y13" s="475">
        <v>1.55E-2</v>
      </c>
      <c r="Z13" s="476">
        <v>1.8</v>
      </c>
      <c r="AA13" s="457">
        <f>+SUMIFS(F:F,C:$C,R13)</f>
        <v>54.87</v>
      </c>
      <c r="AB13" s="458">
        <f t="shared" ref="AB13:AB23" si="7">+SUMIFS(M:M,C:C,R13)</f>
        <v>116.12903225806453</v>
      </c>
      <c r="AC13" s="458">
        <f t="shared" si="2"/>
        <v>98.766000000000005</v>
      </c>
    </row>
    <row r="14" spans="1:29" ht="18.75" x14ac:dyDescent="0.3">
      <c r="A14" s="455" t="s">
        <v>53</v>
      </c>
      <c r="B14" s="449" t="s">
        <v>702</v>
      </c>
      <c r="C14" s="106">
        <v>544</v>
      </c>
      <c r="D14" s="69" t="s">
        <v>474</v>
      </c>
      <c r="E14" s="447">
        <v>30</v>
      </c>
      <c r="F14" s="448">
        <f t="shared" si="3"/>
        <v>63.3</v>
      </c>
      <c r="G14" s="68">
        <f t="shared" si="4"/>
        <v>0.55555555555555558</v>
      </c>
      <c r="H14" s="92"/>
      <c r="I14" s="96">
        <v>54</v>
      </c>
      <c r="J14" s="39">
        <v>15.68</v>
      </c>
      <c r="K14" s="39">
        <f t="shared" si="0"/>
        <v>8640</v>
      </c>
      <c r="L14" s="451">
        <v>9.8000000000000004E-2</v>
      </c>
      <c r="M14" s="39">
        <f t="shared" si="1"/>
        <v>160</v>
      </c>
      <c r="N14" s="39">
        <f>IFERROR(VLOOKUP(C14,'Estadistica Madre CH 23-01'!A:C,3,0),+VLOOKUP(C14,'Estadistica Madre LK 23-01 '!A:C,3,0))</f>
        <v>7464</v>
      </c>
      <c r="O14" s="122">
        <f>2*N14/M14</f>
        <v>93.3</v>
      </c>
      <c r="Q14" s="456" t="s">
        <v>26</v>
      </c>
      <c r="R14" s="66">
        <v>557</v>
      </c>
      <c r="S14" s="66" t="s">
        <v>27</v>
      </c>
      <c r="T14" s="459" t="s">
        <v>26</v>
      </c>
      <c r="U14" s="460"/>
      <c r="V14" s="432">
        <f t="shared" si="6"/>
        <v>37.1</v>
      </c>
      <c r="Y14" s="475">
        <v>1.5900000000000001E-2</v>
      </c>
      <c r="Z14" s="476">
        <v>1.8</v>
      </c>
      <c r="AA14" s="457">
        <f>+SUMIFS(F:F,C:$C,R14)</f>
        <v>37.1</v>
      </c>
      <c r="AB14" s="458">
        <f t="shared" si="7"/>
        <v>113.20754716981132</v>
      </c>
      <c r="AC14" s="458">
        <f t="shared" si="2"/>
        <v>66.78</v>
      </c>
    </row>
    <row r="15" spans="1:29" ht="21.2" customHeight="1" x14ac:dyDescent="0.3">
      <c r="A15" s="455" t="s">
        <v>86</v>
      </c>
      <c r="B15" s="449" t="s">
        <v>28</v>
      </c>
      <c r="C15" s="106">
        <v>506</v>
      </c>
      <c r="D15" s="69" t="s">
        <v>29</v>
      </c>
      <c r="E15" s="447">
        <v>12</v>
      </c>
      <c r="F15" s="448">
        <f t="shared" si="3"/>
        <v>29.3538</v>
      </c>
      <c r="G15" s="68">
        <f t="shared" si="4"/>
        <v>0.33333333333333331</v>
      </c>
      <c r="H15" s="92"/>
      <c r="I15" s="96">
        <v>36</v>
      </c>
      <c r="J15" s="39">
        <v>30</v>
      </c>
      <c r="K15" s="39">
        <f t="shared" si="0"/>
        <v>49202.733485193625</v>
      </c>
      <c r="L15" s="451">
        <v>2.1950000000000001E-2</v>
      </c>
      <c r="M15" s="39">
        <f t="shared" si="1"/>
        <v>1366.7425968109339</v>
      </c>
      <c r="N15" s="39">
        <f>IFERROR(VLOOKUP(C15,'Estadistica Madre CH 23-01'!A:C,3,0),+VLOOKUP(C15,'Estadistica Madre LK 23-01 '!A:C,3,0))</f>
        <v>18840</v>
      </c>
      <c r="O15" s="122">
        <f t="shared" si="5"/>
        <v>41.3538</v>
      </c>
      <c r="Q15" s="456" t="s">
        <v>30</v>
      </c>
      <c r="R15" s="66">
        <v>510</v>
      </c>
      <c r="S15" s="66" t="s">
        <v>31</v>
      </c>
      <c r="T15" s="438" t="s">
        <v>716</v>
      </c>
      <c r="U15" s="66" t="s">
        <v>717</v>
      </c>
      <c r="V15" s="432">
        <f t="shared" si="6"/>
        <v>3.4415292121212118</v>
      </c>
      <c r="Y15" s="436">
        <v>1.8013333333333333E-2</v>
      </c>
      <c r="Z15" s="457">
        <v>30</v>
      </c>
      <c r="AA15" s="457">
        <f>+SUMIFS(F:F,C:$C,R15)</f>
        <v>4.2031999999999989</v>
      </c>
      <c r="AB15" s="458">
        <f t="shared" si="7"/>
        <v>1363.6363636363637</v>
      </c>
      <c r="AC15" s="458">
        <f t="shared" si="2"/>
        <v>103.24587636363636</v>
      </c>
    </row>
    <row r="16" spans="1:29" ht="19.5" thickBot="1" x14ac:dyDescent="0.35">
      <c r="A16" s="455" t="s">
        <v>86</v>
      </c>
      <c r="B16" s="449" t="s">
        <v>444</v>
      </c>
      <c r="C16" s="106" t="s">
        <v>457</v>
      </c>
      <c r="D16" s="69" t="s">
        <v>445</v>
      </c>
      <c r="E16" s="447">
        <v>3</v>
      </c>
      <c r="F16" s="448">
        <f t="shared" si="3"/>
        <v>0</v>
      </c>
      <c r="G16" s="68">
        <f t="shared" si="4"/>
        <v>0.15</v>
      </c>
      <c r="H16" s="92"/>
      <c r="I16" s="98">
        <v>20</v>
      </c>
      <c r="J16" s="117">
        <f>+I16*K16</f>
        <v>400</v>
      </c>
      <c r="K16" s="117">
        <v>20</v>
      </c>
      <c r="L16" s="452">
        <v>12.867567567567571</v>
      </c>
      <c r="M16" s="119">
        <f>+SUMIFS('Consumo '!E:E,'Consumo '!A:A,'Garage Vacio 06-03'!B16)</f>
        <v>9224</v>
      </c>
      <c r="N16" s="119">
        <f>+L16*1.5</f>
        <v>19.301351351351357</v>
      </c>
      <c r="O16" s="127">
        <f>3*N16/M16</f>
        <v>6.2775427205175706E-3</v>
      </c>
      <c r="Q16" s="456" t="s">
        <v>30</v>
      </c>
      <c r="R16" s="66">
        <v>510</v>
      </c>
      <c r="S16" s="66" t="s">
        <v>31</v>
      </c>
      <c r="T16" s="438" t="s">
        <v>711</v>
      </c>
      <c r="U16" s="429" t="s">
        <v>712</v>
      </c>
      <c r="V16" s="432">
        <f t="shared" si="6"/>
        <v>0.67442254545454539</v>
      </c>
      <c r="Y16" s="436">
        <v>3.5299999999999997E-3</v>
      </c>
      <c r="Z16" s="457">
        <v>30</v>
      </c>
      <c r="AA16" s="457">
        <f>+SUMIFS(F:F,C:$C,R16)</f>
        <v>4.2031999999999989</v>
      </c>
      <c r="AB16" s="458">
        <f t="shared" si="7"/>
        <v>1363.6363636363637</v>
      </c>
      <c r="AC16" s="458">
        <f t="shared" si="2"/>
        <v>20.232676363636362</v>
      </c>
    </row>
    <row r="17" spans="1:29" ht="18.75" x14ac:dyDescent="0.25">
      <c r="A17" s="455" t="s">
        <v>86</v>
      </c>
      <c r="Q17" s="456" t="s">
        <v>702</v>
      </c>
      <c r="R17" s="66">
        <v>544</v>
      </c>
      <c r="S17" s="66" t="s">
        <v>474</v>
      </c>
      <c r="T17" s="438" t="s">
        <v>722</v>
      </c>
      <c r="U17" s="66" t="s">
        <v>723</v>
      </c>
      <c r="V17" s="432">
        <f t="shared" si="6"/>
        <v>19.974666666666664</v>
      </c>
      <c r="Y17" s="436">
        <v>3.5499999999999997E-2</v>
      </c>
      <c r="Z17" s="457">
        <v>18</v>
      </c>
      <c r="AA17" s="457">
        <f>+SUMIFS(F:F,C:$C,R17)</f>
        <v>63.3</v>
      </c>
      <c r="AB17" s="458">
        <f t="shared" si="7"/>
        <v>160</v>
      </c>
      <c r="AC17" s="458">
        <f t="shared" si="2"/>
        <v>359.54399999999998</v>
      </c>
    </row>
    <row r="18" spans="1:29" ht="18.75" x14ac:dyDescent="0.25">
      <c r="A18" s="455" t="s">
        <v>86</v>
      </c>
      <c r="Q18" s="456" t="s">
        <v>702</v>
      </c>
      <c r="R18" s="66">
        <v>544</v>
      </c>
      <c r="S18" s="66" t="s">
        <v>474</v>
      </c>
      <c r="T18" s="440" t="s">
        <v>720</v>
      </c>
      <c r="U18" s="437" t="s">
        <v>721</v>
      </c>
      <c r="V18" s="432">
        <f t="shared" si="6"/>
        <v>0.50323499999999999</v>
      </c>
      <c r="Y18" s="436">
        <v>1.5900000000000001E-3</v>
      </c>
      <c r="Z18" s="457">
        <v>32</v>
      </c>
      <c r="AA18" s="457">
        <f>+SUMIFS(F:F,C:$C,R18)</f>
        <v>63.3</v>
      </c>
      <c r="AB18" s="458">
        <f t="shared" si="7"/>
        <v>160</v>
      </c>
      <c r="AC18" s="458">
        <f t="shared" si="2"/>
        <v>16.10352</v>
      </c>
    </row>
    <row r="19" spans="1:29" ht="18.75" x14ac:dyDescent="0.25">
      <c r="A19" s="455" t="s">
        <v>86</v>
      </c>
      <c r="Q19" s="456" t="s">
        <v>702</v>
      </c>
      <c r="R19" s="66">
        <v>544</v>
      </c>
      <c r="S19" s="66" t="s">
        <v>474</v>
      </c>
      <c r="T19" s="440" t="s">
        <v>726</v>
      </c>
      <c r="U19" s="437" t="s">
        <v>724</v>
      </c>
      <c r="V19" s="432">
        <f t="shared" si="6"/>
        <v>33.628124999999976</v>
      </c>
      <c r="Y19" s="436">
        <v>4.6484374999999967E-2</v>
      </c>
      <c r="Z19" s="457">
        <v>14</v>
      </c>
      <c r="AA19" s="457">
        <f>+SUMIFS(F:F,C:$C,R19)</f>
        <v>63.3</v>
      </c>
      <c r="AB19" s="458">
        <f t="shared" si="7"/>
        <v>160</v>
      </c>
      <c r="AC19" s="458">
        <f t="shared" si="2"/>
        <v>470.79374999999965</v>
      </c>
    </row>
    <row r="20" spans="1:29" s="434" customFormat="1" ht="18.75" x14ac:dyDescent="0.25">
      <c r="A20" s="455" t="s">
        <v>86</v>
      </c>
      <c r="Q20" s="456" t="s">
        <v>702</v>
      </c>
      <c r="R20" s="66">
        <v>544</v>
      </c>
      <c r="S20" s="66" t="s">
        <v>474</v>
      </c>
      <c r="T20" s="440" t="s">
        <v>727</v>
      </c>
      <c r="U20" s="437" t="s">
        <v>725</v>
      </c>
      <c r="V20" s="432">
        <f t="shared" si="6"/>
        <v>15.824999999999994</v>
      </c>
      <c r="Y20" s="436">
        <v>1.5624999999999993E-2</v>
      </c>
      <c r="Z20" s="457">
        <v>10</v>
      </c>
      <c r="AA20" s="457">
        <f>+SUMIFS(F:F,C:$C,R20)</f>
        <v>63.3</v>
      </c>
      <c r="AB20" s="458">
        <f t="shared" si="7"/>
        <v>160</v>
      </c>
      <c r="AC20" s="458">
        <f t="shared" si="2"/>
        <v>158.24999999999994</v>
      </c>
    </row>
    <row r="21" spans="1:29" ht="18.600000000000001" customHeight="1" x14ac:dyDescent="0.25">
      <c r="A21" s="455" t="s">
        <v>86</v>
      </c>
      <c r="Q21" s="456" t="s">
        <v>28</v>
      </c>
      <c r="R21" s="66">
        <v>506</v>
      </c>
      <c r="S21" s="66" t="s">
        <v>29</v>
      </c>
      <c r="T21" s="438" t="s">
        <v>718</v>
      </c>
      <c r="U21" s="429" t="s">
        <v>719</v>
      </c>
      <c r="V21" s="432">
        <f t="shared" si="6"/>
        <v>72.053883553530738</v>
      </c>
      <c r="Y21" s="436">
        <v>1.7959999999999997E-2</v>
      </c>
      <c r="Z21" s="457">
        <v>30</v>
      </c>
      <c r="AA21" s="457">
        <f>+SUMIFS(F:F,C:$C,R21)*3/4</f>
        <v>44.030699999999996</v>
      </c>
      <c r="AB21" s="458">
        <f t="shared" si="7"/>
        <v>2733.4851936218679</v>
      </c>
      <c r="AC21" s="458">
        <f t="shared" si="2"/>
        <v>2161.616506605922</v>
      </c>
    </row>
    <row r="22" spans="1:29" ht="18.600000000000001" customHeight="1" x14ac:dyDescent="0.25">
      <c r="A22" s="455" t="s">
        <v>86</v>
      </c>
      <c r="Q22" s="456" t="s">
        <v>28</v>
      </c>
      <c r="R22" s="66">
        <v>506</v>
      </c>
      <c r="S22" s="66" t="s">
        <v>29</v>
      </c>
      <c r="T22" s="438" t="s">
        <v>711</v>
      </c>
      <c r="U22" s="429" t="s">
        <v>712</v>
      </c>
      <c r="V22" s="432">
        <f t="shared" si="6"/>
        <v>14.16203835990888</v>
      </c>
      <c r="Y22" s="436">
        <v>3.5299999999999997E-3</v>
      </c>
      <c r="Z22" s="457">
        <v>30</v>
      </c>
      <c r="AA22" s="457">
        <f>+SUMIFS(F:F,C:$C,R22)*3/4</f>
        <v>44.030699999999996</v>
      </c>
      <c r="AB22" s="458">
        <f t="shared" si="7"/>
        <v>2733.4851936218679</v>
      </c>
      <c r="AC22" s="458">
        <f t="shared" si="2"/>
        <v>424.86115079726642</v>
      </c>
    </row>
    <row r="23" spans="1:29" ht="18.600000000000001" customHeight="1" thickBot="1" x14ac:dyDescent="0.3">
      <c r="A23" s="462" t="s">
        <v>707</v>
      </c>
      <c r="Q23" s="463" t="s">
        <v>444</v>
      </c>
      <c r="R23" s="327" t="s">
        <v>457</v>
      </c>
      <c r="S23" s="327" t="s">
        <v>445</v>
      </c>
      <c r="T23" s="459"/>
      <c r="U23" s="460"/>
      <c r="V23" s="432" t="e">
        <f t="shared" si="6"/>
        <v>#DIV/0!</v>
      </c>
      <c r="Y23" s="461"/>
      <c r="Z23" s="461"/>
      <c r="AA23" s="457">
        <f>+SUMIFS(F:F,C:$C,R23)</f>
        <v>0</v>
      </c>
      <c r="AB23" s="458">
        <f t="shared" si="7"/>
        <v>9224</v>
      </c>
      <c r="AC23" s="458">
        <f t="shared" si="2"/>
        <v>0</v>
      </c>
    </row>
    <row r="24" spans="1:29" ht="18.600000000000001" customHeight="1" x14ac:dyDescent="0.25"/>
    <row r="25" spans="1:29" ht="18.600000000000001" customHeight="1" x14ac:dyDescent="0.25"/>
    <row r="26" spans="1:29" ht="18.600000000000001" customHeight="1" x14ac:dyDescent="0.25"/>
    <row r="27" spans="1:29" ht="18.600000000000001" customHeight="1" x14ac:dyDescent="0.25"/>
    <row r="28" spans="1:29" ht="18.600000000000001" customHeight="1" x14ac:dyDescent="0.25"/>
    <row r="29" spans="1:29" ht="18.600000000000001" customHeight="1" x14ac:dyDescent="0.25"/>
    <row r="30" spans="1:29" ht="18.600000000000001" customHeight="1" x14ac:dyDescent="0.25"/>
    <row r="31" spans="1:29" ht="18.600000000000001" customHeight="1" x14ac:dyDescent="0.25"/>
    <row r="32" spans="1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  <row r="36" ht="18.600000000000001" customHeight="1" x14ac:dyDescent="0.25"/>
  </sheetData>
  <autoFilter ref="B6:AC23" xr:uid="{00000000-0009-0000-0000-000002000000}"/>
  <mergeCells count="5">
    <mergeCell ref="Y5:AC5"/>
    <mergeCell ref="B3:F3"/>
    <mergeCell ref="B4:C4"/>
    <mergeCell ref="B5:C5"/>
    <mergeCell ref="I5:O5"/>
  </mergeCells>
  <printOptions horizontalCentered="1" verticalCentered="1"/>
  <pageMargins left="0.23622047244094491" right="0.23622047244094491" top="0.15748031496062992" bottom="7.874015748031496E-2" header="0" footer="0"/>
  <pageSetup paperSize="9" scale="4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C36"/>
  <sheetViews>
    <sheetView zoomScale="85" zoomScaleNormal="85" workbookViewId="0">
      <selection activeCell="D19" sqref="D19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2</v>
      </c>
      <c r="E7" s="448">
        <f>+IF(D7="","",IF(D7-N7&gt;0,0,N7-D7))</f>
        <v>2.7447999999999997</v>
      </c>
      <c r="F7" s="68">
        <f>+IFERROR(D7/H7,)</f>
        <v>0.4</v>
      </c>
      <c r="G7" s="92"/>
      <c r="H7" s="131">
        <v>5</v>
      </c>
      <c r="I7" s="137">
        <v>30</v>
      </c>
      <c r="J7" s="137">
        <f t="shared" ref="J7:J15" si="0">+H7*L7</f>
        <v>4552.3520485584222</v>
      </c>
      <c r="K7" s="450">
        <v>3.295E-2</v>
      </c>
      <c r="L7" s="39">
        <f t="shared" ref="L7:L15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2.4443575518462315</v>
      </c>
      <c r="Y7" s="436">
        <v>2.9343333333333332E-2</v>
      </c>
      <c r="Z7" s="457">
        <v>30</v>
      </c>
      <c r="AA7" s="457">
        <f>+SUMIFS(E:E,B:$B,R7)</f>
        <v>2.7447999999999997</v>
      </c>
      <c r="AB7" s="458">
        <f>+SUMIFS(L:L,B:B,R7)</f>
        <v>910.4704097116844</v>
      </c>
      <c r="AC7" s="458">
        <f t="shared" ref="AC7:AC23" si="2">+(AB7*AA7)*Y7</f>
        <v>73.330726555386946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21</v>
      </c>
      <c r="E8" s="448">
        <f t="shared" ref="E8:E16" si="3">+IF(D8="","",IF(D8-N8&gt;0,0,N8-D8))</f>
        <v>20.3538</v>
      </c>
      <c r="F8" s="68">
        <f t="shared" ref="F8:F16" si="4">+IFERROR(D8/H8,)</f>
        <v>0.58333333333333337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5" si="5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0.29405596358118358</v>
      </c>
      <c r="Y8" s="436">
        <v>3.5299999999999997E-3</v>
      </c>
      <c r="Z8" s="457">
        <v>30</v>
      </c>
      <c r="AA8" s="457">
        <f>+SUMIFS(E:E,B:$B,R8)</f>
        <v>2.7447999999999997</v>
      </c>
      <c r="AB8" s="458">
        <f>+SUMIFS(L:L,B:B,R8)</f>
        <v>910.4704097116844</v>
      </c>
      <c r="AC8" s="458">
        <f>+(AB8*AA8)*Y8</f>
        <v>8.8216789074355066</v>
      </c>
    </row>
    <row r="9" spans="1:29" ht="37.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3"/>
        <v>3.9215999999999998</v>
      </c>
      <c r="F9" s="68">
        <f t="shared" si="4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5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3" si="6">+AC9/Z9</f>
        <v>16.653952072892935</v>
      </c>
      <c r="Y9" s="436">
        <v>1.7959999999999997E-2</v>
      </c>
      <c r="Z9" s="457">
        <v>30</v>
      </c>
      <c r="AA9" s="457">
        <f>+SUMIFS(E:E,B:$B,R9)*1/4</f>
        <v>10.1769</v>
      </c>
      <c r="AB9" s="458">
        <f>+SUMIFS(L:L,B:B,R9)</f>
        <v>2733.4851936218679</v>
      </c>
      <c r="AC9" s="458">
        <f t="shared" si="2"/>
        <v>499.61856218678804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0</v>
      </c>
      <c r="E10" s="448">
        <f t="shared" si="3"/>
        <v>54.87</v>
      </c>
      <c r="F10" s="68">
        <f t="shared" si="4"/>
        <v>0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5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6"/>
        <v>3.2732990432801818</v>
      </c>
      <c r="Y10" s="436">
        <v>3.5299999999999997E-3</v>
      </c>
      <c r="Z10" s="457">
        <v>30</v>
      </c>
      <c r="AA10" s="457">
        <f>+SUMIFS(E:E,B:$B,R10)*1/4</f>
        <v>10.1769</v>
      </c>
      <c r="AB10" s="458">
        <f>+SUMIFS(L:L,B:B,R10)</f>
        <v>2733.4851936218679</v>
      </c>
      <c r="AC10" s="458">
        <f t="shared" si="2"/>
        <v>98.198971298405453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1</v>
      </c>
      <c r="E11" s="448">
        <f t="shared" si="3"/>
        <v>36.1</v>
      </c>
      <c r="F11" s="68">
        <f t="shared" si="4"/>
        <v>0.125</v>
      </c>
      <c r="G11" s="92"/>
      <c r="H11" s="96">
        <v>8</v>
      </c>
      <c r="I11" s="121">
        <v>1.8</v>
      </c>
      <c r="J11" s="39">
        <f t="shared" si="0"/>
        <v>905.66037735849056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5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6"/>
        <v>#DIV/0!</v>
      </c>
      <c r="Y11" s="461"/>
      <c r="Z11" s="457"/>
      <c r="AA11" s="457">
        <f>+SUMIFS(E:E,B:$B,R11)</f>
        <v>3.9215999999999998</v>
      </c>
      <c r="AB11" s="458">
        <f>+SUMIFS(L:L,B:B,R11)</f>
        <v>697.67441860465124</v>
      </c>
      <c r="AC11" s="458">
        <f t="shared" si="2"/>
        <v>0</v>
      </c>
    </row>
    <row r="12" spans="1:29" ht="21.2" customHeight="1" x14ac:dyDescent="0.3">
      <c r="A12" s="449"/>
      <c r="B12" s="106"/>
      <c r="C12" s="69" t="s">
        <v>749</v>
      </c>
      <c r="D12" s="447">
        <v>0</v>
      </c>
      <c r="E12" s="448"/>
      <c r="F12" s="68">
        <f t="shared" si="4"/>
        <v>0</v>
      </c>
      <c r="G12" s="92"/>
      <c r="H12" s="96"/>
      <c r="I12" s="121"/>
      <c r="J12" s="39"/>
      <c r="K12" s="451"/>
      <c r="L12" s="39"/>
      <c r="M12" s="39"/>
      <c r="N12" s="122"/>
      <c r="P12" s="455"/>
      <c r="Q12" s="456"/>
      <c r="R12" s="66"/>
      <c r="S12" s="66"/>
      <c r="T12" s="459"/>
      <c r="U12" s="460"/>
      <c r="V12" s="432"/>
      <c r="Y12" s="461"/>
      <c r="Z12" s="457"/>
      <c r="AA12" s="457"/>
      <c r="AB12" s="458"/>
      <c r="AC12" s="458"/>
    </row>
    <row r="13" spans="1:29" ht="18.75" x14ac:dyDescent="0.3">
      <c r="A13" s="449" t="s">
        <v>30</v>
      </c>
      <c r="B13" s="106">
        <v>510</v>
      </c>
      <c r="C13" s="69" t="s">
        <v>31</v>
      </c>
      <c r="D13" s="447">
        <v>8</v>
      </c>
      <c r="E13" s="448">
        <f t="shared" si="3"/>
        <v>6.2031999999999989</v>
      </c>
      <c r="F13" s="68">
        <f t="shared" si="4"/>
        <v>1</v>
      </c>
      <c r="G13" s="92"/>
      <c r="H13" s="96">
        <v>8</v>
      </c>
      <c r="I13" s="39">
        <v>30</v>
      </c>
      <c r="J13" s="39">
        <f t="shared" si="0"/>
        <v>10909.09090909091</v>
      </c>
      <c r="K13" s="451">
        <v>2.1999999999999999E-2</v>
      </c>
      <c r="L13" s="39">
        <f t="shared" si="1"/>
        <v>1363.6363636363637</v>
      </c>
      <c r="M13" s="39">
        <f>IFERROR(VLOOKUP(B13,'Estadistica Madre CH 23-01'!A:C,3,0),+VLOOKUP(B13,'Estadistica Madre LK 23-01 '!A:C,3,0))</f>
        <v>6456</v>
      </c>
      <c r="N13" s="122">
        <f t="shared" si="5"/>
        <v>14.203199999999999</v>
      </c>
      <c r="P13" s="455" t="s">
        <v>53</v>
      </c>
      <c r="Q13" s="456" t="s">
        <v>24</v>
      </c>
      <c r="R13" s="66">
        <v>558</v>
      </c>
      <c r="S13" s="66" t="s">
        <v>25</v>
      </c>
      <c r="T13" s="459"/>
      <c r="U13" s="460"/>
      <c r="V13" s="432">
        <f t="shared" si="6"/>
        <v>54.870000000000005</v>
      </c>
      <c r="Y13" s="475">
        <v>1.55E-2</v>
      </c>
      <c r="Z13" s="476">
        <v>1.8</v>
      </c>
      <c r="AA13" s="457">
        <f>+SUMIFS(E:E,B:$B,R13)</f>
        <v>54.87</v>
      </c>
      <c r="AB13" s="458">
        <f t="shared" ref="AB13:AB23" si="7">+SUMIFS(L:L,B:B,R13)</f>
        <v>116.12903225806453</v>
      </c>
      <c r="AC13" s="458">
        <f t="shared" si="2"/>
        <v>98.766000000000005</v>
      </c>
    </row>
    <row r="14" spans="1:29" ht="18.75" x14ac:dyDescent="0.3">
      <c r="A14" s="449" t="s">
        <v>702</v>
      </c>
      <c r="B14" s="106">
        <v>544</v>
      </c>
      <c r="C14" s="69" t="s">
        <v>474</v>
      </c>
      <c r="D14" s="447">
        <v>31</v>
      </c>
      <c r="E14" s="448">
        <f t="shared" si="3"/>
        <v>108.94999999999999</v>
      </c>
      <c r="F14" s="68">
        <f t="shared" si="4"/>
        <v>0.57407407407407407</v>
      </c>
      <c r="G14" s="92"/>
      <c r="H14" s="96">
        <v>54</v>
      </c>
      <c r="I14" s="39">
        <v>15.68</v>
      </c>
      <c r="J14" s="39">
        <f t="shared" si="0"/>
        <v>8640</v>
      </c>
      <c r="K14" s="451">
        <v>9.8000000000000004E-2</v>
      </c>
      <c r="L14" s="39">
        <f t="shared" si="1"/>
        <v>160</v>
      </c>
      <c r="M14" s="39">
        <f>IFERROR(VLOOKUP(B14,'Estadistica Madre CH 23-01'!A:C,3,0),+VLOOKUP(B14,'Estadistica Madre LK 23-01 '!A:C,3,0))</f>
        <v>7464</v>
      </c>
      <c r="N14" s="122">
        <f t="shared" si="5"/>
        <v>139.94999999999999</v>
      </c>
      <c r="P14" s="455" t="s">
        <v>53</v>
      </c>
      <c r="Q14" s="456" t="s">
        <v>26</v>
      </c>
      <c r="R14" s="66">
        <v>557</v>
      </c>
      <c r="S14" s="66" t="s">
        <v>27</v>
      </c>
      <c r="T14" s="459" t="s">
        <v>26</v>
      </c>
      <c r="U14" s="460"/>
      <c r="V14" s="432">
        <f t="shared" si="6"/>
        <v>36.1</v>
      </c>
      <c r="Y14" s="475">
        <v>1.5900000000000001E-2</v>
      </c>
      <c r="Z14" s="476">
        <v>1.8</v>
      </c>
      <c r="AA14" s="457">
        <f>+SUMIFS(E:E,B:$B,R14)</f>
        <v>36.1</v>
      </c>
      <c r="AB14" s="458">
        <f t="shared" si="7"/>
        <v>113.20754716981132</v>
      </c>
      <c r="AC14" s="458">
        <f t="shared" si="2"/>
        <v>64.98</v>
      </c>
    </row>
    <row r="15" spans="1:29" ht="21.2" customHeight="1" x14ac:dyDescent="0.3">
      <c r="A15" s="449" t="s">
        <v>28</v>
      </c>
      <c r="B15" s="106">
        <v>506</v>
      </c>
      <c r="C15" s="69" t="s">
        <v>29</v>
      </c>
      <c r="D15" s="447">
        <v>21</v>
      </c>
      <c r="E15" s="448">
        <f t="shared" si="3"/>
        <v>20.3538</v>
      </c>
      <c r="F15" s="68">
        <f t="shared" si="4"/>
        <v>0.58333333333333337</v>
      </c>
      <c r="G15" s="92"/>
      <c r="H15" s="96">
        <v>36</v>
      </c>
      <c r="I15" s="39">
        <v>30</v>
      </c>
      <c r="J15" s="39">
        <f t="shared" si="0"/>
        <v>49202.733485193625</v>
      </c>
      <c r="K15" s="451">
        <v>2.1950000000000001E-2</v>
      </c>
      <c r="L15" s="39">
        <f t="shared" si="1"/>
        <v>1366.7425968109339</v>
      </c>
      <c r="M15" s="39">
        <f>IFERROR(VLOOKUP(B15,'Estadistica Madre CH 23-01'!A:C,3,0),+VLOOKUP(B15,'Estadistica Madre LK 23-01 '!A:C,3,0))</f>
        <v>18840</v>
      </c>
      <c r="N15" s="122">
        <f t="shared" si="5"/>
        <v>41.3538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716</v>
      </c>
      <c r="U15" s="66" t="s">
        <v>717</v>
      </c>
      <c r="V15" s="432">
        <f t="shared" si="6"/>
        <v>5.079104969696969</v>
      </c>
      <c r="Y15" s="436">
        <v>1.8013333333333333E-2</v>
      </c>
      <c r="Z15" s="457">
        <v>30</v>
      </c>
      <c r="AA15" s="457">
        <f>+SUMIFS(E:E,B:$B,R15)</f>
        <v>6.2031999999999989</v>
      </c>
      <c r="AB15" s="458">
        <f t="shared" si="7"/>
        <v>1363.6363636363637</v>
      </c>
      <c r="AC15" s="458">
        <f t="shared" si="2"/>
        <v>152.37314909090907</v>
      </c>
    </row>
    <row r="16" spans="1:29" ht="19.5" thickBot="1" x14ac:dyDescent="0.35">
      <c r="A16" s="449" t="s">
        <v>444</v>
      </c>
      <c r="B16" s="106" t="s">
        <v>457</v>
      </c>
      <c r="C16" s="69" t="s">
        <v>445</v>
      </c>
      <c r="D16" s="447">
        <v>0</v>
      </c>
      <c r="E16" s="448">
        <f t="shared" si="3"/>
        <v>6.2775427205175706E-3</v>
      </c>
      <c r="F16" s="68">
        <f t="shared" si="4"/>
        <v>0</v>
      </c>
      <c r="G16" s="92"/>
      <c r="H16" s="98">
        <v>20</v>
      </c>
      <c r="I16" s="117">
        <f>+H16*J16</f>
        <v>400</v>
      </c>
      <c r="J16" s="117">
        <v>20</v>
      </c>
      <c r="K16" s="452">
        <v>12.867567567567571</v>
      </c>
      <c r="L16" s="119">
        <f>+SUMIFS('Consumo '!E:E,'Consumo '!A:A,'Garage Vacio 27-02'!A16)</f>
        <v>9224</v>
      </c>
      <c r="M16" s="119">
        <f>+K16*1.5</f>
        <v>19.301351351351357</v>
      </c>
      <c r="N16" s="127">
        <f>3*M16/L16</f>
        <v>6.2775427205175706E-3</v>
      </c>
      <c r="P16" s="455" t="s">
        <v>86</v>
      </c>
      <c r="Q16" s="456" t="s">
        <v>30</v>
      </c>
      <c r="R16" s="66">
        <v>510</v>
      </c>
      <c r="S16" s="66" t="s">
        <v>31</v>
      </c>
      <c r="T16" s="438" t="s">
        <v>711</v>
      </c>
      <c r="U16" s="429" t="s">
        <v>712</v>
      </c>
      <c r="V16" s="432">
        <f t="shared" si="6"/>
        <v>0.9953316363636362</v>
      </c>
      <c r="Y16" s="436">
        <v>3.5299999999999997E-3</v>
      </c>
      <c r="Z16" s="457">
        <v>30</v>
      </c>
      <c r="AA16" s="457">
        <f>+SUMIFS(E:E,B:$B,R16)</f>
        <v>6.2031999999999989</v>
      </c>
      <c r="AB16" s="458">
        <f t="shared" si="7"/>
        <v>1363.6363636363637</v>
      </c>
      <c r="AC16" s="458">
        <f t="shared" si="2"/>
        <v>29.859949090909087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38" t="s">
        <v>722</v>
      </c>
      <c r="U17" s="66" t="s">
        <v>723</v>
      </c>
      <c r="V17" s="432">
        <f t="shared" si="6"/>
        <v>34.379777777777775</v>
      </c>
      <c r="Y17" s="436">
        <v>3.5499999999999997E-2</v>
      </c>
      <c r="Z17" s="457">
        <v>18</v>
      </c>
      <c r="AA17" s="457">
        <f>+SUMIFS(E:E,B:$B,R17)</f>
        <v>108.94999999999999</v>
      </c>
      <c r="AB17" s="458">
        <f t="shared" si="7"/>
        <v>160</v>
      </c>
      <c r="AC17" s="458">
        <f t="shared" si="2"/>
        <v>618.8359999999999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720</v>
      </c>
      <c r="U18" s="437" t="s">
        <v>721</v>
      </c>
      <c r="V18" s="432">
        <f t="shared" si="6"/>
        <v>0.86615249999999999</v>
      </c>
      <c r="Y18" s="436">
        <v>1.5900000000000001E-3</v>
      </c>
      <c r="Z18" s="457">
        <v>32</v>
      </c>
      <c r="AA18" s="457">
        <f>+SUMIFS(E:E,B:$B,R18)</f>
        <v>108.94999999999999</v>
      </c>
      <c r="AB18" s="458">
        <f t="shared" si="7"/>
        <v>160</v>
      </c>
      <c r="AC18" s="458">
        <f t="shared" si="2"/>
        <v>27.71688</v>
      </c>
    </row>
    <row r="19" spans="16:29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726</v>
      </c>
      <c r="U19" s="437" t="s">
        <v>724</v>
      </c>
      <c r="V19" s="432">
        <f t="shared" si="6"/>
        <v>57.879687499999953</v>
      </c>
      <c r="Y19" s="436">
        <v>4.6484374999999967E-2</v>
      </c>
      <c r="Z19" s="457">
        <v>14</v>
      </c>
      <c r="AA19" s="457">
        <f>+SUMIFS(E:E,B:$B,R19)</f>
        <v>108.94999999999999</v>
      </c>
      <c r="AB19" s="458">
        <f t="shared" si="7"/>
        <v>160</v>
      </c>
      <c r="AC19" s="458">
        <f t="shared" si="2"/>
        <v>810.31562499999939</v>
      </c>
    </row>
    <row r="20" spans="16:29" s="434" customFormat="1" ht="18.75" x14ac:dyDescent="0.25">
      <c r="P20" s="455" t="s">
        <v>86</v>
      </c>
      <c r="Q20" s="456" t="s">
        <v>702</v>
      </c>
      <c r="R20" s="66">
        <v>544</v>
      </c>
      <c r="S20" s="66" t="s">
        <v>474</v>
      </c>
      <c r="T20" s="440" t="s">
        <v>727</v>
      </c>
      <c r="U20" s="437" t="s">
        <v>725</v>
      </c>
      <c r="V20" s="432">
        <f t="shared" si="6"/>
        <v>27.23749999999999</v>
      </c>
      <c r="Y20" s="436">
        <v>1.5624999999999993E-2</v>
      </c>
      <c r="Z20" s="457">
        <v>10</v>
      </c>
      <c r="AA20" s="457">
        <f>+SUMIFS(E:E,B:$B,R20)</f>
        <v>108.94999999999999</v>
      </c>
      <c r="AB20" s="458">
        <f t="shared" si="7"/>
        <v>160</v>
      </c>
      <c r="AC20" s="458">
        <f t="shared" si="2"/>
        <v>272.37499999999989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718</v>
      </c>
      <c r="U21" s="429" t="s">
        <v>719</v>
      </c>
      <c r="V21" s="432">
        <f t="shared" si="6"/>
        <v>49.961856218678804</v>
      </c>
      <c r="Y21" s="436">
        <v>1.7959999999999997E-2</v>
      </c>
      <c r="Z21" s="457">
        <v>30</v>
      </c>
      <c r="AA21" s="457">
        <f>+SUMIFS(E:E,B:$B,R21)*3/4</f>
        <v>30.5307</v>
      </c>
      <c r="AB21" s="458">
        <f t="shared" si="7"/>
        <v>2733.4851936218679</v>
      </c>
      <c r="AC21" s="458">
        <f t="shared" si="2"/>
        <v>1498.8556865603641</v>
      </c>
    </row>
    <row r="22" spans="16:29" ht="18.600000000000001" customHeight="1" x14ac:dyDescent="0.25">
      <c r="P22" s="455" t="s">
        <v>86</v>
      </c>
      <c r="Q22" s="456" t="s">
        <v>28</v>
      </c>
      <c r="R22" s="66">
        <v>506</v>
      </c>
      <c r="S22" s="66" t="s">
        <v>29</v>
      </c>
      <c r="T22" s="438" t="s">
        <v>711</v>
      </c>
      <c r="U22" s="429" t="s">
        <v>712</v>
      </c>
      <c r="V22" s="432">
        <f t="shared" si="6"/>
        <v>9.8198971298405446</v>
      </c>
      <c r="Y22" s="436">
        <v>3.5299999999999997E-3</v>
      </c>
      <c r="Z22" s="457">
        <v>30</v>
      </c>
      <c r="AA22" s="457">
        <f>+SUMIFS(E:E,B:$B,R22)*3/4</f>
        <v>30.5307</v>
      </c>
      <c r="AB22" s="458">
        <f t="shared" si="7"/>
        <v>2733.4851936218679</v>
      </c>
      <c r="AC22" s="458">
        <f t="shared" si="2"/>
        <v>294.59691389521635</v>
      </c>
    </row>
    <row r="23" spans="16:29" ht="18.600000000000001" customHeight="1" thickBot="1" x14ac:dyDescent="0.3">
      <c r="P23" s="462" t="s">
        <v>707</v>
      </c>
      <c r="Q23" s="463" t="s">
        <v>444</v>
      </c>
      <c r="R23" s="327" t="s">
        <v>457</v>
      </c>
      <c r="S23" s="327" t="s">
        <v>445</v>
      </c>
      <c r="T23" s="459"/>
      <c r="U23" s="460"/>
      <c r="V23" s="432" t="e">
        <f t="shared" si="6"/>
        <v>#DIV/0!</v>
      </c>
      <c r="Y23" s="461"/>
      <c r="Z23" s="461"/>
      <c r="AA23" s="457">
        <f>+SUMIFS(E:E,B:$B,R23)</f>
        <v>6.2775427205175706E-3</v>
      </c>
      <c r="AB23" s="458">
        <f t="shared" si="7"/>
        <v>9224</v>
      </c>
      <c r="AC23" s="458">
        <f t="shared" si="2"/>
        <v>0</v>
      </c>
    </row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  <row r="36" ht="18.600000000000001" customHeight="1" x14ac:dyDescent="0.25"/>
  </sheetData>
  <autoFilter ref="A6:AC16" xr:uid="{00000000-0009-0000-0000-000003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4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C36"/>
  <sheetViews>
    <sheetView topLeftCell="A4" zoomScale="85" zoomScaleNormal="85" workbookViewId="0">
      <selection activeCell="D10" sqref="D10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0</v>
      </c>
      <c r="E7" s="448">
        <f>+IF(D7="","",IF(D7-N7&gt;0,0,N7-D7))</f>
        <v>4.7447999999999997</v>
      </c>
      <c r="F7" s="68">
        <f>+IFERROR(D7/H7,)</f>
        <v>0</v>
      </c>
      <c r="G7" s="92"/>
      <c r="H7" s="131">
        <v>5</v>
      </c>
      <c r="I7" s="137">
        <v>30</v>
      </c>
      <c r="J7" s="137">
        <f t="shared" ref="J7:J15" si="0">+H7*L7</f>
        <v>4552.3520485584222</v>
      </c>
      <c r="K7" s="450">
        <v>3.295E-2</v>
      </c>
      <c r="L7" s="39">
        <f t="shared" ref="L7:L15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4.2254399999999999</v>
      </c>
      <c r="Y7" s="436">
        <v>2.9343333333333332E-2</v>
      </c>
      <c r="Z7" s="457">
        <v>30</v>
      </c>
      <c r="AA7" s="457">
        <f>+SUMIFS(E:E,B:$B,R7)</f>
        <v>4.7447999999999997</v>
      </c>
      <c r="AB7" s="458">
        <f>+SUMIFS(L:L,B:B,R7)</f>
        <v>910.4704097116844</v>
      </c>
      <c r="AC7" s="458">
        <f t="shared" ref="AC7:AC23" si="2">+(AB7*AA7)*Y7</f>
        <v>126.7632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0</v>
      </c>
      <c r="E8" s="448">
        <f t="shared" ref="E8:E16" si="3">+IF(D8="","",IF(D8-N8&gt;0,0,N8-D8))</f>
        <v>41.3538</v>
      </c>
      <c r="F8" s="68">
        <f t="shared" ref="F8:F16" si="4">+IFERROR(D8/H8,)</f>
        <v>0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5" si="5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0.50831999999999999</v>
      </c>
      <c r="Y8" s="436">
        <v>3.5299999999999997E-3</v>
      </c>
      <c r="Z8" s="457">
        <v>30</v>
      </c>
      <c r="AA8" s="457">
        <f>+SUMIFS(E:E,B:$B,R8)</f>
        <v>4.7447999999999997</v>
      </c>
      <c r="AB8" s="458">
        <f>+SUMIFS(L:L,B:B,R8)</f>
        <v>910.4704097116844</v>
      </c>
      <c r="AC8" s="458">
        <f>+(AB8*AA8)*Y8</f>
        <v>15.249599999999999</v>
      </c>
    </row>
    <row r="9" spans="1:29" ht="18.7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3"/>
        <v>3.9215999999999998</v>
      </c>
      <c r="F9" s="68">
        <f t="shared" si="4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5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3" si="6">+AC9/Z9</f>
        <v>33.836639999999996</v>
      </c>
      <c r="Y9" s="436">
        <v>1.7959999999999997E-2</v>
      </c>
      <c r="Z9" s="457">
        <v>30</v>
      </c>
      <c r="AA9" s="457">
        <f>+SUMIFS(E:E,B:$B,R9)*1/4</f>
        <v>20.6769</v>
      </c>
      <c r="AB9" s="458">
        <f>+SUMIFS(L:L,B:B,R9)</f>
        <v>2733.4851936218679</v>
      </c>
      <c r="AC9" s="458">
        <f t="shared" si="2"/>
        <v>1015.0991999999998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0</v>
      </c>
      <c r="E10" s="448">
        <f t="shared" si="3"/>
        <v>54.87</v>
      </c>
      <c r="F10" s="68">
        <f t="shared" si="4"/>
        <v>0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5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6"/>
        <v>6.6505199999999993</v>
      </c>
      <c r="Y10" s="436">
        <v>3.5299999999999997E-3</v>
      </c>
      <c r="Z10" s="457">
        <v>30</v>
      </c>
      <c r="AA10" s="457">
        <f>+SUMIFS(E:E,B:$B,R10)*1/4</f>
        <v>20.6769</v>
      </c>
      <c r="AB10" s="458">
        <f>+SUMIFS(L:L,B:B,R10)</f>
        <v>2733.4851936218679</v>
      </c>
      <c r="AC10" s="458">
        <f t="shared" si="2"/>
        <v>199.51559999999998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1</v>
      </c>
      <c r="E11" s="448">
        <f t="shared" si="3"/>
        <v>36.1</v>
      </c>
      <c r="F11" s="68">
        <f t="shared" si="4"/>
        <v>0.125</v>
      </c>
      <c r="G11" s="92"/>
      <c r="H11" s="96">
        <v>8</v>
      </c>
      <c r="I11" s="121">
        <v>1.8</v>
      </c>
      <c r="J11" s="39">
        <f t="shared" si="0"/>
        <v>905.66037735849056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5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6"/>
        <v>#DIV/0!</v>
      </c>
      <c r="Y11" s="461"/>
      <c r="Z11" s="457"/>
      <c r="AA11" s="457">
        <f>+SUMIFS(E:E,B:$B,R11)</f>
        <v>3.9215999999999998</v>
      </c>
      <c r="AB11" s="458">
        <f>+SUMIFS(L:L,B:B,R11)</f>
        <v>697.67441860465124</v>
      </c>
      <c r="AC11" s="458">
        <f t="shared" si="2"/>
        <v>0</v>
      </c>
    </row>
    <row r="12" spans="1:29" ht="21.2" customHeight="1" x14ac:dyDescent="0.3">
      <c r="A12" s="449"/>
      <c r="B12" s="106"/>
      <c r="C12" s="69" t="s">
        <v>749</v>
      </c>
      <c r="D12" s="447">
        <v>0</v>
      </c>
      <c r="E12" s="448"/>
      <c r="F12" s="68">
        <f t="shared" si="4"/>
        <v>0</v>
      </c>
      <c r="G12" s="92"/>
      <c r="H12" s="96"/>
      <c r="I12" s="121"/>
      <c r="J12" s="39"/>
      <c r="K12" s="451"/>
      <c r="L12" s="39"/>
      <c r="M12" s="39"/>
      <c r="N12" s="122"/>
      <c r="P12" s="455"/>
      <c r="Q12" s="456"/>
      <c r="R12" s="66"/>
      <c r="S12" s="66"/>
      <c r="T12" s="459"/>
      <c r="U12" s="460"/>
      <c r="V12" s="432"/>
      <c r="Y12" s="461"/>
      <c r="Z12" s="457"/>
      <c r="AA12" s="457"/>
      <c r="AB12" s="458"/>
      <c r="AC12" s="458"/>
    </row>
    <row r="13" spans="1:29" ht="18.75" x14ac:dyDescent="0.3">
      <c r="A13" s="449" t="s">
        <v>30</v>
      </c>
      <c r="B13" s="106">
        <v>510</v>
      </c>
      <c r="C13" s="69" t="s">
        <v>31</v>
      </c>
      <c r="D13" s="447">
        <v>8</v>
      </c>
      <c r="E13" s="448">
        <f t="shared" si="3"/>
        <v>6.2031999999999989</v>
      </c>
      <c r="F13" s="68">
        <f t="shared" si="4"/>
        <v>1</v>
      </c>
      <c r="G13" s="92"/>
      <c r="H13" s="96">
        <v>8</v>
      </c>
      <c r="I13" s="39">
        <v>30</v>
      </c>
      <c r="J13" s="39">
        <f t="shared" si="0"/>
        <v>10909.09090909091</v>
      </c>
      <c r="K13" s="451">
        <v>2.1999999999999999E-2</v>
      </c>
      <c r="L13" s="39">
        <f t="shared" si="1"/>
        <v>1363.6363636363637</v>
      </c>
      <c r="M13" s="39">
        <f>IFERROR(VLOOKUP(B13,'Estadistica Madre CH 23-01'!A:C,3,0),+VLOOKUP(B13,'Estadistica Madre LK 23-01 '!A:C,3,0))</f>
        <v>6456</v>
      </c>
      <c r="N13" s="122">
        <f t="shared" si="5"/>
        <v>14.203199999999999</v>
      </c>
      <c r="P13" s="455" t="s">
        <v>53</v>
      </c>
      <c r="Q13" s="456" t="s">
        <v>24</v>
      </c>
      <c r="R13" s="66">
        <v>558</v>
      </c>
      <c r="S13" s="66" t="s">
        <v>25</v>
      </c>
      <c r="T13" s="459"/>
      <c r="U13" s="460"/>
      <c r="V13" s="432" t="e">
        <f t="shared" si="6"/>
        <v>#DIV/0!</v>
      </c>
      <c r="Y13" s="461"/>
      <c r="Z13" s="457"/>
      <c r="AA13" s="457">
        <f>+SUMIFS(E:E,B:$B,R13)</f>
        <v>54.87</v>
      </c>
      <c r="AB13" s="458">
        <f t="shared" ref="AB13:AB23" si="7">+SUMIFS(L:L,B:B,R13)</f>
        <v>116.12903225806453</v>
      </c>
      <c r="AC13" s="458">
        <f t="shared" si="2"/>
        <v>0</v>
      </c>
    </row>
    <row r="14" spans="1:29" ht="18.75" x14ac:dyDescent="0.3">
      <c r="A14" s="449" t="s">
        <v>702</v>
      </c>
      <c r="B14" s="106">
        <v>544</v>
      </c>
      <c r="C14" s="69" t="s">
        <v>474</v>
      </c>
      <c r="D14" s="447">
        <v>31</v>
      </c>
      <c r="E14" s="448">
        <f t="shared" si="3"/>
        <v>108.94999999999999</v>
      </c>
      <c r="F14" s="68">
        <f t="shared" si="4"/>
        <v>0.57407407407407407</v>
      </c>
      <c r="G14" s="92"/>
      <c r="H14" s="96">
        <v>54</v>
      </c>
      <c r="I14" s="39">
        <v>15.68</v>
      </c>
      <c r="J14" s="39">
        <f t="shared" si="0"/>
        <v>8640</v>
      </c>
      <c r="K14" s="451">
        <v>9.8000000000000004E-2</v>
      </c>
      <c r="L14" s="39">
        <f t="shared" si="1"/>
        <v>160</v>
      </c>
      <c r="M14" s="39">
        <f>IFERROR(VLOOKUP(B14,'Estadistica Madre CH 23-01'!A:C,3,0),+VLOOKUP(B14,'Estadistica Madre LK 23-01 '!A:C,3,0))</f>
        <v>7464</v>
      </c>
      <c r="N14" s="122">
        <f t="shared" si="5"/>
        <v>139.94999999999999</v>
      </c>
      <c r="P14" s="455" t="s">
        <v>53</v>
      </c>
      <c r="Q14" s="456" t="s">
        <v>26</v>
      </c>
      <c r="R14" s="66">
        <v>557</v>
      </c>
      <c r="S14" s="66" t="s">
        <v>27</v>
      </c>
      <c r="T14" s="459"/>
      <c r="U14" s="460"/>
      <c r="V14" s="432" t="e">
        <f t="shared" si="6"/>
        <v>#DIV/0!</v>
      </c>
      <c r="Y14" s="461"/>
      <c r="Z14" s="457"/>
      <c r="AA14" s="457">
        <f>+SUMIFS(E:E,B:$B,R14)</f>
        <v>36.1</v>
      </c>
      <c r="AB14" s="458">
        <f t="shared" si="7"/>
        <v>113.20754716981132</v>
      </c>
      <c r="AC14" s="458">
        <f t="shared" si="2"/>
        <v>0</v>
      </c>
    </row>
    <row r="15" spans="1:29" ht="21.2" customHeight="1" x14ac:dyDescent="0.3">
      <c r="A15" s="449" t="s">
        <v>28</v>
      </c>
      <c r="B15" s="106">
        <v>506</v>
      </c>
      <c r="C15" s="69" t="s">
        <v>29</v>
      </c>
      <c r="D15" s="447">
        <v>0</v>
      </c>
      <c r="E15" s="448">
        <f t="shared" si="3"/>
        <v>41.3538</v>
      </c>
      <c r="F15" s="68">
        <f t="shared" si="4"/>
        <v>0</v>
      </c>
      <c r="G15" s="92"/>
      <c r="H15" s="96">
        <v>36</v>
      </c>
      <c r="I15" s="39">
        <v>30</v>
      </c>
      <c r="J15" s="39">
        <f t="shared" si="0"/>
        <v>49202.733485193625</v>
      </c>
      <c r="K15" s="451">
        <v>2.1950000000000001E-2</v>
      </c>
      <c r="L15" s="39">
        <f t="shared" si="1"/>
        <v>1366.7425968109339</v>
      </c>
      <c r="M15" s="39">
        <f>IFERROR(VLOOKUP(B15,'Estadistica Madre CH 23-01'!A:C,3,0),+VLOOKUP(B15,'Estadistica Madre LK 23-01 '!A:C,3,0))</f>
        <v>18840</v>
      </c>
      <c r="N15" s="122">
        <f t="shared" si="5"/>
        <v>41.3538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716</v>
      </c>
      <c r="U15" s="66" t="s">
        <v>717</v>
      </c>
      <c r="V15" s="432">
        <f t="shared" si="6"/>
        <v>5.079104969696969</v>
      </c>
      <c r="Y15" s="436">
        <v>1.8013333333333333E-2</v>
      </c>
      <c r="Z15" s="457">
        <v>30</v>
      </c>
      <c r="AA15" s="457">
        <f>+SUMIFS(E:E,B:$B,R15)</f>
        <v>6.2031999999999989</v>
      </c>
      <c r="AB15" s="458">
        <f t="shared" si="7"/>
        <v>1363.6363636363637</v>
      </c>
      <c r="AC15" s="458">
        <f t="shared" si="2"/>
        <v>152.37314909090907</v>
      </c>
    </row>
    <row r="16" spans="1:29" ht="19.5" thickBot="1" x14ac:dyDescent="0.35">
      <c r="A16" s="449" t="s">
        <v>444</v>
      </c>
      <c r="B16" s="106" t="s">
        <v>457</v>
      </c>
      <c r="C16" s="69" t="s">
        <v>445</v>
      </c>
      <c r="D16" s="447">
        <v>0</v>
      </c>
      <c r="E16" s="448">
        <f t="shared" si="3"/>
        <v>6.2775427205175706E-3</v>
      </c>
      <c r="F16" s="68">
        <f t="shared" si="4"/>
        <v>0</v>
      </c>
      <c r="G16" s="92"/>
      <c r="H16" s="98">
        <v>20</v>
      </c>
      <c r="I16" s="117">
        <f>+H16*J16</f>
        <v>400</v>
      </c>
      <c r="J16" s="117">
        <v>20</v>
      </c>
      <c r="K16" s="452">
        <v>12.867567567567571</v>
      </c>
      <c r="L16" s="119">
        <f>+SUMIFS('Consumo '!E:E,'Consumo '!A:A,'Garage Vacio 20-02'!A16)</f>
        <v>9224</v>
      </c>
      <c r="M16" s="119">
        <f>+K16*1.5</f>
        <v>19.301351351351357</v>
      </c>
      <c r="N16" s="127">
        <f>3*M16/L16</f>
        <v>6.2775427205175706E-3</v>
      </c>
      <c r="P16" s="455" t="s">
        <v>86</v>
      </c>
      <c r="Q16" s="456" t="s">
        <v>30</v>
      </c>
      <c r="R16" s="66">
        <v>510</v>
      </c>
      <c r="S16" s="66" t="s">
        <v>31</v>
      </c>
      <c r="T16" s="438" t="s">
        <v>711</v>
      </c>
      <c r="U16" s="429" t="s">
        <v>712</v>
      </c>
      <c r="V16" s="432">
        <f t="shared" si="6"/>
        <v>0.9953316363636362</v>
      </c>
      <c r="Y16" s="436">
        <v>3.5299999999999997E-3</v>
      </c>
      <c r="Z16" s="457">
        <v>30</v>
      </c>
      <c r="AA16" s="457">
        <f>+SUMIFS(E:E,B:$B,R16)</f>
        <v>6.2031999999999989</v>
      </c>
      <c r="AB16" s="458">
        <f t="shared" si="7"/>
        <v>1363.6363636363637</v>
      </c>
      <c r="AC16" s="458">
        <f t="shared" si="2"/>
        <v>29.859949090909087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38" t="s">
        <v>722</v>
      </c>
      <c r="U17" s="66" t="s">
        <v>723</v>
      </c>
      <c r="V17" s="432">
        <f t="shared" si="6"/>
        <v>34.379777777777775</v>
      </c>
      <c r="Y17" s="436">
        <v>3.5499999999999997E-2</v>
      </c>
      <c r="Z17" s="457">
        <v>18</v>
      </c>
      <c r="AA17" s="457">
        <f>+SUMIFS(E:E,B:$B,R17)</f>
        <v>108.94999999999999</v>
      </c>
      <c r="AB17" s="458">
        <f t="shared" si="7"/>
        <v>160</v>
      </c>
      <c r="AC17" s="458">
        <f t="shared" si="2"/>
        <v>618.8359999999999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720</v>
      </c>
      <c r="U18" s="437" t="s">
        <v>721</v>
      </c>
      <c r="V18" s="432">
        <f t="shared" si="6"/>
        <v>0.86615249999999999</v>
      </c>
      <c r="Y18" s="436">
        <v>1.5900000000000001E-3</v>
      </c>
      <c r="Z18" s="457">
        <v>32</v>
      </c>
      <c r="AA18" s="457">
        <f>+SUMIFS(E:E,B:$B,R18)</f>
        <v>108.94999999999999</v>
      </c>
      <c r="AB18" s="458">
        <f t="shared" si="7"/>
        <v>160</v>
      </c>
      <c r="AC18" s="458">
        <f t="shared" si="2"/>
        <v>27.71688</v>
      </c>
    </row>
    <row r="19" spans="16:29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726</v>
      </c>
      <c r="U19" s="437" t="s">
        <v>724</v>
      </c>
      <c r="V19" s="432">
        <f t="shared" si="6"/>
        <v>57.879687499999953</v>
      </c>
      <c r="Y19" s="436">
        <v>4.6484374999999967E-2</v>
      </c>
      <c r="Z19" s="457">
        <v>14</v>
      </c>
      <c r="AA19" s="457">
        <f>+SUMIFS(E:E,B:$B,R19)</f>
        <v>108.94999999999999</v>
      </c>
      <c r="AB19" s="458">
        <f t="shared" si="7"/>
        <v>160</v>
      </c>
      <c r="AC19" s="458">
        <f t="shared" si="2"/>
        <v>810.31562499999939</v>
      </c>
    </row>
    <row r="20" spans="16:29" s="434" customFormat="1" ht="18.75" x14ac:dyDescent="0.25">
      <c r="P20" s="455" t="s">
        <v>86</v>
      </c>
      <c r="Q20" s="456" t="s">
        <v>702</v>
      </c>
      <c r="R20" s="66">
        <v>544</v>
      </c>
      <c r="S20" s="66" t="s">
        <v>474</v>
      </c>
      <c r="T20" s="440" t="s">
        <v>727</v>
      </c>
      <c r="U20" s="437" t="s">
        <v>725</v>
      </c>
      <c r="V20" s="432">
        <f t="shared" si="6"/>
        <v>27.23749999999999</v>
      </c>
      <c r="Y20" s="436">
        <v>1.5624999999999993E-2</v>
      </c>
      <c r="Z20" s="457">
        <v>10</v>
      </c>
      <c r="AA20" s="457">
        <f>+SUMIFS(E:E,B:$B,R20)</f>
        <v>108.94999999999999</v>
      </c>
      <c r="AB20" s="458">
        <f t="shared" si="7"/>
        <v>160</v>
      </c>
      <c r="AC20" s="458">
        <f t="shared" si="2"/>
        <v>272.37499999999989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718</v>
      </c>
      <c r="U21" s="429" t="s">
        <v>719</v>
      </c>
      <c r="V21" s="432">
        <f t="shared" si="6"/>
        <v>101.50991999999998</v>
      </c>
      <c r="Y21" s="436">
        <v>1.7959999999999997E-2</v>
      </c>
      <c r="Z21" s="457">
        <v>30</v>
      </c>
      <c r="AA21" s="457">
        <f>+SUMIFS(E:E,B:$B,R21)*3/4</f>
        <v>62.030699999999996</v>
      </c>
      <c r="AB21" s="458">
        <f t="shared" si="7"/>
        <v>2733.4851936218679</v>
      </c>
      <c r="AC21" s="458">
        <f t="shared" si="2"/>
        <v>3045.2975999999994</v>
      </c>
    </row>
    <row r="22" spans="16:29" ht="18.600000000000001" customHeight="1" x14ac:dyDescent="0.25">
      <c r="P22" s="455" t="s">
        <v>86</v>
      </c>
      <c r="Q22" s="456" t="s">
        <v>28</v>
      </c>
      <c r="R22" s="66">
        <v>506</v>
      </c>
      <c r="S22" s="66" t="s">
        <v>29</v>
      </c>
      <c r="T22" s="438" t="s">
        <v>711</v>
      </c>
      <c r="U22" s="429" t="s">
        <v>712</v>
      </c>
      <c r="V22" s="432">
        <f t="shared" si="6"/>
        <v>19.951559999999997</v>
      </c>
      <c r="Y22" s="436">
        <v>3.5299999999999997E-3</v>
      </c>
      <c r="Z22" s="457">
        <v>30</v>
      </c>
      <c r="AA22" s="457">
        <f>+SUMIFS(E:E,B:$B,R22)*3/4</f>
        <v>62.030699999999996</v>
      </c>
      <c r="AB22" s="458">
        <f t="shared" si="7"/>
        <v>2733.4851936218679</v>
      </c>
      <c r="AC22" s="458">
        <f t="shared" si="2"/>
        <v>598.54679999999996</v>
      </c>
    </row>
    <row r="23" spans="16:29" ht="18.600000000000001" customHeight="1" thickBot="1" x14ac:dyDescent="0.3">
      <c r="P23" s="462" t="s">
        <v>707</v>
      </c>
      <c r="Q23" s="463" t="s">
        <v>444</v>
      </c>
      <c r="R23" s="327" t="s">
        <v>457</v>
      </c>
      <c r="S23" s="327" t="s">
        <v>445</v>
      </c>
      <c r="T23" s="459"/>
      <c r="U23" s="460"/>
      <c r="V23" s="432" t="e">
        <f t="shared" si="6"/>
        <v>#DIV/0!</v>
      </c>
      <c r="Y23" s="461"/>
      <c r="Z23" s="461"/>
      <c r="AA23" s="457">
        <f>+SUMIFS(E:E,B:$B,R23)</f>
        <v>6.2775427205175706E-3</v>
      </c>
      <c r="AB23" s="458">
        <f t="shared" si="7"/>
        <v>9224</v>
      </c>
      <c r="AC23" s="458">
        <f t="shared" si="2"/>
        <v>0</v>
      </c>
    </row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  <row r="36" ht="18.600000000000001" customHeight="1" x14ac:dyDescent="0.25"/>
  </sheetData>
  <autoFilter ref="A6:N16" xr:uid="{00000000-0009-0000-0000-000004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C35"/>
  <sheetViews>
    <sheetView zoomScale="85" zoomScaleNormal="85" workbookViewId="0">
      <selection activeCell="E13" sqref="E13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3</v>
      </c>
      <c r="E7" s="448">
        <f>+IF(D7="","",IF(D7-N7&gt;0,0,N7-D7))</f>
        <v>1.7447999999999997</v>
      </c>
      <c r="F7" s="68">
        <f>+IFERROR(D7/H7,)</f>
        <v>0.6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1.5538163277693471</v>
      </c>
      <c r="Y7" s="436">
        <v>2.9343333333333332E-2</v>
      </c>
      <c r="Z7" s="457">
        <v>30</v>
      </c>
      <c r="AA7" s="457">
        <f>+SUMIFS(E:E,B:$B,R7)</f>
        <v>1.7447999999999997</v>
      </c>
      <c r="AB7" s="458">
        <f t="shared" ref="AB7:AB22" si="2">+SUMIFS(L:L,B:B,R7)</f>
        <v>910.4704097116844</v>
      </c>
      <c r="AC7" s="458">
        <f t="shared" ref="AC7:AC22" si="3">+(AB7*AA7)*Y7</f>
        <v>46.614489833080412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0</v>
      </c>
      <c r="E8" s="448">
        <f t="shared" ref="E8:E15" si="4">+IF(D8="","",IF(D8-N8&gt;0,0,N8-D8))</f>
        <v>41.3538</v>
      </c>
      <c r="F8" s="68">
        <f t="shared" ref="F8:F15" si="5">+IFERROR(D8/H8,)</f>
        <v>0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0.18692394537177537</v>
      </c>
      <c r="Y8" s="436">
        <v>3.5299999999999997E-3</v>
      </c>
      <c r="Z8" s="457">
        <v>30</v>
      </c>
      <c r="AA8" s="457">
        <f>+SUMIFS(E:E,B:$B,R8)</f>
        <v>1.7447999999999997</v>
      </c>
      <c r="AB8" s="458">
        <f t="shared" si="2"/>
        <v>910.4704097116844</v>
      </c>
      <c r="AC8" s="458">
        <f>+(AB8*AA8)*Y8</f>
        <v>5.6077183611532613</v>
      </c>
    </row>
    <row r="9" spans="1:29" ht="37.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+AC9/Z9</f>
        <v>33.836639999999996</v>
      </c>
      <c r="Y9" s="436">
        <v>1.7959999999999997E-2</v>
      </c>
      <c r="Z9" s="457">
        <v>30</v>
      </c>
      <c r="AA9" s="457">
        <f>+SUMIFS(E:E,B:$B,R9)*1/4</f>
        <v>20.6769</v>
      </c>
      <c r="AB9" s="458">
        <f t="shared" si="2"/>
        <v>2733.4851936218679</v>
      </c>
      <c r="AC9" s="458">
        <f t="shared" si="3"/>
        <v>1015.0991999999998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0</v>
      </c>
      <c r="E10" s="448">
        <f t="shared" si="4"/>
        <v>54.87</v>
      </c>
      <c r="F10" s="68">
        <f t="shared" si="5"/>
        <v>0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6.6505199999999993</v>
      </c>
      <c r="Y10" s="436">
        <v>3.5299999999999997E-3</v>
      </c>
      <c r="Z10" s="457">
        <v>30</v>
      </c>
      <c r="AA10" s="457">
        <f>+SUMIFS(E:E,B:$B,R10)*1/4</f>
        <v>20.6769</v>
      </c>
      <c r="AB10" s="458">
        <f t="shared" si="2"/>
        <v>2733.4851936218679</v>
      </c>
      <c r="AC10" s="458">
        <f t="shared" si="3"/>
        <v>199.51559999999998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2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8</v>
      </c>
      <c r="E12" s="448">
        <f t="shared" si="4"/>
        <v>6.2031999999999989</v>
      </c>
      <c r="F12" s="68">
        <f t="shared" si="5"/>
        <v>1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54.87</v>
      </c>
      <c r="AB12" s="458">
        <f t="shared" si="2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30</v>
      </c>
      <c r="E13" s="448">
        <f t="shared" si="4"/>
        <v>109.94999999999999</v>
      </c>
      <c r="F13" s="68">
        <f t="shared" si="5"/>
        <v>0.55555555555555558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2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0</v>
      </c>
      <c r="E14" s="448">
        <f t="shared" si="4"/>
        <v>41.3538</v>
      </c>
      <c r="F14" s="68">
        <f t="shared" si="5"/>
        <v>0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5.079104969696969</v>
      </c>
      <c r="Y14" s="436">
        <v>1.8013333333333333E-2</v>
      </c>
      <c r="Z14" s="457">
        <v>30</v>
      </c>
      <c r="AA14" s="457">
        <f>+SUMIFS(E:E,B:$B,R14)</f>
        <v>6.2031999999999989</v>
      </c>
      <c r="AB14" s="458">
        <f t="shared" si="2"/>
        <v>1363.6363636363637</v>
      </c>
      <c r="AC14" s="458">
        <f t="shared" si="3"/>
        <v>152.37314909090907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3</v>
      </c>
      <c r="E15" s="448">
        <f t="shared" si="4"/>
        <v>0</v>
      </c>
      <c r="F15" s="68">
        <f t="shared" si="5"/>
        <v>0.15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06-02'!A15)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0.9953316363636362</v>
      </c>
      <c r="Y15" s="436">
        <v>3.5299999999999997E-3</v>
      </c>
      <c r="Z15" s="457">
        <v>30</v>
      </c>
      <c r="AA15" s="457">
        <f>+SUMIFS(E:E,B:$B,R15)</f>
        <v>6.2031999999999989</v>
      </c>
      <c r="AB15" s="458">
        <f t="shared" si="2"/>
        <v>1363.6363636363637</v>
      </c>
      <c r="AC15" s="458">
        <f t="shared" si="3"/>
        <v>29.859949090909087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34.69533333333333</v>
      </c>
      <c r="Y16" s="436">
        <v>3.5499999999999997E-2</v>
      </c>
      <c r="Z16" s="457">
        <v>18</v>
      </c>
      <c r="AA16" s="457">
        <f>+SUMIFS(E:E,B:$B,R16)</f>
        <v>109.94999999999999</v>
      </c>
      <c r="AB16" s="458">
        <f t="shared" si="2"/>
        <v>160</v>
      </c>
      <c r="AC16" s="458">
        <f t="shared" si="3"/>
        <v>624.51599999999996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0.8741025</v>
      </c>
      <c r="Y17" s="436">
        <v>1.5900000000000001E-3</v>
      </c>
      <c r="Z17" s="457">
        <v>32</v>
      </c>
      <c r="AA17" s="457">
        <f>+SUMIFS(E:E,B:$B,R17)</f>
        <v>109.94999999999999</v>
      </c>
      <c r="AB17" s="458">
        <f t="shared" si="2"/>
        <v>160</v>
      </c>
      <c r="AC17" s="458">
        <f t="shared" si="3"/>
        <v>27.97128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58.410937499999953</v>
      </c>
      <c r="Y18" s="436">
        <v>4.6484374999999967E-2</v>
      </c>
      <c r="Z18" s="457">
        <v>14</v>
      </c>
      <c r="AA18" s="457">
        <f>+SUMIFS(E:E,B:$B,R18)</f>
        <v>109.94999999999999</v>
      </c>
      <c r="AB18" s="458">
        <f t="shared" si="2"/>
        <v>160</v>
      </c>
      <c r="AC18" s="458">
        <f t="shared" si="3"/>
        <v>817.75312499999939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27.48749999999999</v>
      </c>
      <c r="Y19" s="436">
        <v>1.5624999999999993E-2</v>
      </c>
      <c r="Z19" s="457">
        <v>10</v>
      </c>
      <c r="AA19" s="457">
        <f>+SUMIFS(E:E,B:$B,R19)</f>
        <v>109.94999999999999</v>
      </c>
      <c r="AB19" s="458">
        <f t="shared" si="2"/>
        <v>160</v>
      </c>
      <c r="AC19" s="458">
        <f t="shared" si="3"/>
        <v>274.87499999999989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101.50991999999998</v>
      </c>
      <c r="Y20" s="436">
        <v>1.7959999999999997E-2</v>
      </c>
      <c r="Z20" s="457">
        <v>30</v>
      </c>
      <c r="AA20" s="457">
        <f>+SUMIFS(E:E,B:$B,R20)*3/4</f>
        <v>62.030699999999996</v>
      </c>
      <c r="AB20" s="458">
        <f t="shared" si="2"/>
        <v>2733.4851936218679</v>
      </c>
      <c r="AC20" s="458">
        <f t="shared" si="3"/>
        <v>3045.2975999999994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19.951559999999997</v>
      </c>
      <c r="Y21" s="436">
        <v>3.5299999999999997E-3</v>
      </c>
      <c r="Z21" s="457">
        <v>30</v>
      </c>
      <c r="AA21" s="457">
        <f>+SUMIFS(E:E,B:$B,R21)*3/4</f>
        <v>62.030699999999996</v>
      </c>
      <c r="AB21" s="458">
        <f t="shared" si="2"/>
        <v>2733.4851936218679</v>
      </c>
      <c r="AC21" s="458">
        <f t="shared" si="3"/>
        <v>598.54679999999996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2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05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AD35"/>
  <sheetViews>
    <sheetView zoomScale="85" zoomScaleNormal="85" workbookViewId="0">
      <selection activeCell="L4" sqref="L4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5" width="8.42578125" style="444" customWidth="1"/>
    <col min="6" max="6" width="9.42578125" style="444" customWidth="1"/>
    <col min="7" max="7" width="8.85546875" style="444" customWidth="1"/>
    <col min="8" max="8" width="1.140625" customWidth="1"/>
    <col min="9" max="9" width="11.7109375" bestFit="1" customWidth="1"/>
    <col min="10" max="10" width="8" customWidth="1"/>
    <col min="11" max="11" width="9.85546875" customWidth="1"/>
    <col min="12" max="12" width="8.28515625" style="110" customWidth="1"/>
    <col min="13" max="13" width="8.42578125" customWidth="1"/>
    <col min="14" max="14" width="9.5703125" customWidth="1"/>
    <col min="15" max="15" width="8.28515625" customWidth="1"/>
    <col min="16" max="16" width="8.85546875" bestFit="1" customWidth="1"/>
    <col min="17" max="17" width="8.85546875" style="283" bestFit="1" customWidth="1"/>
    <col min="18" max="18" width="8.7109375" style="283" bestFit="1" customWidth="1"/>
    <col min="19" max="19" width="7.28515625" style="283" customWidth="1"/>
    <col min="20" max="20" width="24.85546875" style="283" customWidth="1"/>
    <col min="21" max="21" width="9.7109375" style="283" customWidth="1"/>
    <col min="22" max="22" width="24.85546875" style="283" bestFit="1" customWidth="1"/>
    <col min="23" max="23" width="9.5703125" style="283" customWidth="1"/>
  </cols>
  <sheetData>
    <row r="1" spans="1:30" ht="27.6" customHeight="1" x14ac:dyDescent="0.25">
      <c r="L1"/>
    </row>
    <row r="2" spans="1:30" ht="24.75" customHeight="1" thickBot="1" x14ac:dyDescent="0.3">
      <c r="L2"/>
    </row>
    <row r="3" spans="1:30" ht="24.75" customHeight="1" thickBot="1" x14ac:dyDescent="0.45">
      <c r="A3" s="505"/>
      <c r="B3" s="505"/>
      <c r="C3" s="505"/>
      <c r="D3" s="505"/>
      <c r="E3" s="505"/>
      <c r="F3" s="506"/>
      <c r="L3"/>
    </row>
    <row r="4" spans="1:30" ht="24.75" customHeight="1" thickBot="1" x14ac:dyDescent="0.4">
      <c r="A4" s="507"/>
      <c r="B4" s="508"/>
      <c r="C4" s="454">
        <f ca="1">+TODAY()</f>
        <v>46101</v>
      </c>
    </row>
    <row r="5" spans="1:30" ht="42.6" customHeight="1" thickBot="1" x14ac:dyDescent="0.45">
      <c r="A5" s="507"/>
      <c r="B5" s="508"/>
      <c r="C5" s="453"/>
      <c r="I5" s="509" t="s">
        <v>740</v>
      </c>
      <c r="J5" s="510"/>
      <c r="K5" s="510"/>
      <c r="L5" s="510"/>
      <c r="M5" s="510"/>
      <c r="N5" s="510"/>
      <c r="O5" s="511"/>
      <c r="Q5" s="512" t="s">
        <v>737</v>
      </c>
      <c r="R5" s="513"/>
      <c r="S5" s="513"/>
      <c r="T5" s="513"/>
      <c r="U5" s="513"/>
      <c r="V5" s="513"/>
      <c r="W5" s="514"/>
      <c r="Z5" s="502" t="s">
        <v>739</v>
      </c>
      <c r="AA5" s="503"/>
      <c r="AB5" s="503"/>
      <c r="AC5" s="503"/>
      <c r="AD5" s="504"/>
    </row>
    <row r="6" spans="1:30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5" t="s">
        <v>748</v>
      </c>
      <c r="F6" s="446" t="s">
        <v>68</v>
      </c>
      <c r="G6" s="445" t="s">
        <v>76</v>
      </c>
      <c r="H6" s="91"/>
      <c r="I6" s="207" t="s">
        <v>63</v>
      </c>
      <c r="J6" s="154" t="s">
        <v>38</v>
      </c>
      <c r="K6" s="154" t="s">
        <v>58</v>
      </c>
      <c r="L6" s="154" t="s">
        <v>10</v>
      </c>
      <c r="M6" s="154" t="s">
        <v>11</v>
      </c>
      <c r="N6" s="154" t="s">
        <v>14</v>
      </c>
      <c r="O6" s="208" t="s">
        <v>738</v>
      </c>
      <c r="Q6" s="102" t="s">
        <v>708</v>
      </c>
      <c r="R6" s="104" t="s">
        <v>728</v>
      </c>
      <c r="S6" s="103" t="s">
        <v>710</v>
      </c>
      <c r="T6" s="103" t="s">
        <v>5</v>
      </c>
      <c r="U6" s="464" t="s">
        <v>729</v>
      </c>
      <c r="V6" s="103" t="s">
        <v>713</v>
      </c>
      <c r="W6" s="465" t="s">
        <v>741</v>
      </c>
      <c r="Z6" s="103" t="s">
        <v>731</v>
      </c>
      <c r="AA6" s="103" t="s">
        <v>38</v>
      </c>
      <c r="AB6" s="103" t="s">
        <v>730</v>
      </c>
      <c r="AC6" s="103" t="s">
        <v>11</v>
      </c>
      <c r="AD6" s="103" t="s">
        <v>732</v>
      </c>
    </row>
    <row r="7" spans="1:30" ht="37.5" x14ac:dyDescent="0.3">
      <c r="A7" s="449" t="s">
        <v>15</v>
      </c>
      <c r="B7" s="106">
        <v>500</v>
      </c>
      <c r="C7" s="69" t="s">
        <v>16</v>
      </c>
      <c r="D7" s="447"/>
      <c r="E7" s="447"/>
      <c r="F7" s="448" t="str">
        <f>+IF(D7="","",IF(D7-O7&gt;0,0,O7-D7))</f>
        <v/>
      </c>
      <c r="G7" s="68">
        <f>+IFERROR(D7/I7,)</f>
        <v>0</v>
      </c>
      <c r="H7" s="92"/>
      <c r="I7" s="131">
        <v>5</v>
      </c>
      <c r="J7" s="137">
        <v>30</v>
      </c>
      <c r="K7" s="137">
        <f t="shared" ref="K7:K14" si="0">+I7*M7</f>
        <v>4552.3520485584222</v>
      </c>
      <c r="L7" s="450">
        <v>3.295E-2</v>
      </c>
      <c r="M7" s="39">
        <f t="shared" ref="M7:M14" si="1">+J7/L7</f>
        <v>910.4704097116844</v>
      </c>
      <c r="N7" s="137">
        <f>IFERROR(VLOOKUP(B7,'Estadistica Madre CH 23-01'!A:C,3,0),+VLOOKUP(B7,'Estadistica Madre LK 23-01 '!A:C,3,0))</f>
        <v>1440</v>
      </c>
      <c r="O7" s="141">
        <f>3*N7/M7</f>
        <v>4.7447999999999997</v>
      </c>
      <c r="Q7" s="455" t="s">
        <v>97</v>
      </c>
      <c r="R7" s="456" t="s">
        <v>15</v>
      </c>
      <c r="S7" s="66">
        <v>500</v>
      </c>
      <c r="T7" s="66" t="s">
        <v>16</v>
      </c>
      <c r="U7" s="438" t="s">
        <v>714</v>
      </c>
      <c r="V7" s="429" t="s">
        <v>715</v>
      </c>
      <c r="W7" s="432">
        <f>+AD7/AA7</f>
        <v>0</v>
      </c>
      <c r="Z7" s="436">
        <v>2.9343333333333332E-2</v>
      </c>
      <c r="AA7" s="457">
        <v>30</v>
      </c>
      <c r="AB7" s="457">
        <f>+SUMIFS(F:F,B:$B,S7)</f>
        <v>0</v>
      </c>
      <c r="AC7" s="458">
        <f t="shared" ref="AC7:AC8" si="2">+SUMIFS(M:M,B:B,S7)</f>
        <v>910.4704097116844</v>
      </c>
      <c r="AD7" s="458">
        <f t="shared" ref="AD7:AD22" si="3">+(AC7*AB7)*Z7</f>
        <v>0</v>
      </c>
    </row>
    <row r="8" spans="1:30" ht="21.2" customHeight="1" x14ac:dyDescent="0.3">
      <c r="A8" s="449" t="s">
        <v>28</v>
      </c>
      <c r="B8" s="106">
        <v>506</v>
      </c>
      <c r="C8" s="69" t="s">
        <v>29</v>
      </c>
      <c r="D8" s="447"/>
      <c r="E8" s="447"/>
      <c r="F8" s="448" t="str">
        <f t="shared" ref="F8:F15" si="4">+IF(D8="","",IF(D8-O8&gt;0,0,O8-D8))</f>
        <v/>
      </c>
      <c r="G8" s="68">
        <f t="shared" ref="G8:G15" si="5">+IFERROR(D8/I8,)</f>
        <v>0</v>
      </c>
      <c r="H8" s="92"/>
      <c r="I8" s="96">
        <v>36</v>
      </c>
      <c r="J8" s="39">
        <v>30</v>
      </c>
      <c r="K8" s="39">
        <f t="shared" si="0"/>
        <v>49202.733485193625</v>
      </c>
      <c r="L8" s="451">
        <v>2.1950000000000001E-2</v>
      </c>
      <c r="M8" s="39">
        <f t="shared" si="1"/>
        <v>1366.7425968109339</v>
      </c>
      <c r="N8" s="39">
        <f>IFERROR(VLOOKUP(B8,'Estadistica Madre CH 23-01'!A:C,3,0),+VLOOKUP(B8,'Estadistica Madre LK 23-01 '!A:C,3,0))</f>
        <v>18840</v>
      </c>
      <c r="O8" s="122">
        <f t="shared" ref="O8:O14" si="6">3*N8/M8</f>
        <v>41.3538</v>
      </c>
      <c r="Q8" s="455" t="s">
        <v>97</v>
      </c>
      <c r="R8" s="456" t="s">
        <v>15</v>
      </c>
      <c r="S8" s="66">
        <v>500</v>
      </c>
      <c r="T8" s="66" t="s">
        <v>16</v>
      </c>
      <c r="U8" s="438" t="s">
        <v>711</v>
      </c>
      <c r="V8" s="429" t="s">
        <v>712</v>
      </c>
      <c r="W8" s="432">
        <f>+AD8/AA8</f>
        <v>0</v>
      </c>
      <c r="Z8" s="436">
        <v>3.5299999999999997E-3</v>
      </c>
      <c r="AA8" s="457">
        <v>30</v>
      </c>
      <c r="AB8" s="457">
        <f>+SUMIFS(F:F,B:$B,S8)</f>
        <v>0</v>
      </c>
      <c r="AC8" s="458">
        <f t="shared" si="2"/>
        <v>910.4704097116844</v>
      </c>
      <c r="AD8" s="458">
        <f>+(AC8*AB8)*Z8</f>
        <v>0</v>
      </c>
    </row>
    <row r="9" spans="1:30" ht="37.5" x14ac:dyDescent="0.3">
      <c r="A9" s="449" t="s">
        <v>22</v>
      </c>
      <c r="B9" s="106">
        <v>654</v>
      </c>
      <c r="C9" s="69" t="s">
        <v>23</v>
      </c>
      <c r="D9" s="447"/>
      <c r="E9" s="447"/>
      <c r="F9" s="448" t="str">
        <f t="shared" si="4"/>
        <v/>
      </c>
      <c r="G9" s="68">
        <f t="shared" si="5"/>
        <v>0</v>
      </c>
      <c r="H9" s="92"/>
      <c r="I9" s="96">
        <v>5</v>
      </c>
      <c r="J9" s="121">
        <v>15</v>
      </c>
      <c r="K9" s="39">
        <f t="shared" si="0"/>
        <v>3488.3720930232562</v>
      </c>
      <c r="L9" s="451">
        <v>2.1499999999999998E-2</v>
      </c>
      <c r="M9" s="39">
        <f t="shared" si="1"/>
        <v>697.67441860465124</v>
      </c>
      <c r="N9" s="39">
        <f>IFERROR(VLOOKUP(B9,'Estadistica Madre CH 23-01'!A:C,3,0),+VLOOKUP(B9,'Estadistica Madre LK 23-01 '!A:C,3,0))</f>
        <v>912</v>
      </c>
      <c r="O9" s="122">
        <f t="shared" si="6"/>
        <v>3.9215999999999998</v>
      </c>
      <c r="Q9" s="455" t="s">
        <v>97</v>
      </c>
      <c r="R9" s="456" t="s">
        <v>28</v>
      </c>
      <c r="S9" s="66">
        <v>506</v>
      </c>
      <c r="T9" s="66" t="s">
        <v>29</v>
      </c>
      <c r="U9" s="438" t="s">
        <v>718</v>
      </c>
      <c r="V9" s="429" t="s">
        <v>719</v>
      </c>
      <c r="W9" s="432">
        <f t="shared" ref="W9:W22" si="7">+AD9/AA9</f>
        <v>0</v>
      </c>
      <c r="Z9" s="436">
        <v>1.7959999999999997E-2</v>
      </c>
      <c r="AA9" s="457">
        <v>30</v>
      </c>
      <c r="AB9" s="457">
        <f>+SUMIFS(F:F,B:$B,S9)*1/4</f>
        <v>0</v>
      </c>
      <c r="AC9" s="458">
        <f>+SUMIFS(M:M,B:B,S9)</f>
        <v>2733.4851936218679</v>
      </c>
      <c r="AD9" s="458">
        <f t="shared" si="3"/>
        <v>0</v>
      </c>
    </row>
    <row r="10" spans="1:30" ht="18.75" x14ac:dyDescent="0.3">
      <c r="A10" s="449" t="s">
        <v>24</v>
      </c>
      <c r="B10" s="106">
        <v>558</v>
      </c>
      <c r="C10" s="69" t="s">
        <v>25</v>
      </c>
      <c r="D10" s="447"/>
      <c r="E10" s="447"/>
      <c r="F10" s="448" t="str">
        <f t="shared" si="4"/>
        <v/>
      </c>
      <c r="G10" s="68">
        <f t="shared" si="5"/>
        <v>0</v>
      </c>
      <c r="H10" s="92"/>
      <c r="I10" s="96">
        <v>10</v>
      </c>
      <c r="J10" s="121">
        <v>1.8</v>
      </c>
      <c r="K10" s="39">
        <f t="shared" si="0"/>
        <v>1161.2903225806454</v>
      </c>
      <c r="L10" s="451">
        <v>1.55E-2</v>
      </c>
      <c r="M10" s="39">
        <f t="shared" si="1"/>
        <v>116.12903225806453</v>
      </c>
      <c r="N10" s="39">
        <f>IFERROR(VLOOKUP(B10,'Estadistica Madre CH 23-01'!A:C,3,0),+VLOOKUP(B10,'Estadistica Madre LK 23-01 '!A:C,3,0))</f>
        <v>2124</v>
      </c>
      <c r="O10" s="122">
        <f t="shared" si="6"/>
        <v>54.87</v>
      </c>
      <c r="Q10" s="455" t="s">
        <v>97</v>
      </c>
      <c r="R10" s="456" t="s">
        <v>28</v>
      </c>
      <c r="S10" s="66">
        <v>506</v>
      </c>
      <c r="T10" s="66" t="s">
        <v>29</v>
      </c>
      <c r="U10" s="438" t="s">
        <v>711</v>
      </c>
      <c r="V10" s="429" t="s">
        <v>712</v>
      </c>
      <c r="W10" s="432">
        <f t="shared" si="7"/>
        <v>0</v>
      </c>
      <c r="Z10" s="436">
        <v>3.5299999999999997E-3</v>
      </c>
      <c r="AA10" s="457">
        <v>30</v>
      </c>
      <c r="AB10" s="457">
        <f>+SUMIFS(F:F,B:$B,S10)*1/4</f>
        <v>0</v>
      </c>
      <c r="AC10" s="458">
        <f t="shared" ref="AC10:AC22" si="8">+SUMIFS(M:M,B:B,S10)</f>
        <v>2733.4851936218679</v>
      </c>
      <c r="AD10" s="458">
        <f t="shared" si="3"/>
        <v>0</v>
      </c>
    </row>
    <row r="11" spans="1:30" ht="21.2" customHeight="1" x14ac:dyDescent="0.3">
      <c r="A11" s="449" t="s">
        <v>26</v>
      </c>
      <c r="B11" s="106">
        <v>557</v>
      </c>
      <c r="C11" s="69" t="s">
        <v>27</v>
      </c>
      <c r="D11" s="447"/>
      <c r="E11" s="447"/>
      <c r="F11" s="448" t="str">
        <f t="shared" si="4"/>
        <v/>
      </c>
      <c r="G11" s="68">
        <f t="shared" si="5"/>
        <v>0</v>
      </c>
      <c r="H11" s="92"/>
      <c r="I11" s="96">
        <v>1</v>
      </c>
      <c r="J11" s="121">
        <v>1.8</v>
      </c>
      <c r="K11" s="39">
        <f t="shared" si="0"/>
        <v>113.20754716981132</v>
      </c>
      <c r="L11" s="451">
        <v>1.5900000000000001E-2</v>
      </c>
      <c r="M11" s="39">
        <f t="shared" si="1"/>
        <v>113.20754716981132</v>
      </c>
      <c r="N11" s="39">
        <f>IFERROR(VLOOKUP(B11,'Estadistica Madre CH 23-01'!A:C,3,0),+VLOOKUP(B11,'Estadistica Madre LK 23-01 '!A:C,3,0))</f>
        <v>1400</v>
      </c>
      <c r="O11" s="122">
        <f t="shared" si="6"/>
        <v>37.1</v>
      </c>
      <c r="Q11" s="455" t="s">
        <v>53</v>
      </c>
      <c r="R11" s="456" t="s">
        <v>22</v>
      </c>
      <c r="S11" s="66">
        <v>654</v>
      </c>
      <c r="T11" s="66" t="s">
        <v>23</v>
      </c>
      <c r="U11" s="459"/>
      <c r="V11" s="460"/>
      <c r="W11" s="432" t="e">
        <f t="shared" si="7"/>
        <v>#DIV/0!</v>
      </c>
      <c r="Z11" s="461"/>
      <c r="AA11" s="457"/>
      <c r="AB11" s="457">
        <f>+SUMIFS(F:F,B:$B,S11)</f>
        <v>0</v>
      </c>
      <c r="AC11" s="458">
        <f t="shared" si="8"/>
        <v>697.67441860465124</v>
      </c>
      <c r="AD11" s="458">
        <f t="shared" si="3"/>
        <v>0</v>
      </c>
    </row>
    <row r="12" spans="1:30" ht="18.75" x14ac:dyDescent="0.3">
      <c r="A12" s="449" t="s">
        <v>30</v>
      </c>
      <c r="B12" s="106">
        <v>510</v>
      </c>
      <c r="C12" s="69" t="s">
        <v>31</v>
      </c>
      <c r="D12" s="447">
        <v>8</v>
      </c>
      <c r="E12" s="474">
        <v>214.6</v>
      </c>
      <c r="F12" s="448">
        <f t="shared" si="4"/>
        <v>6.2031999999999989</v>
      </c>
      <c r="G12" s="68">
        <f t="shared" si="5"/>
        <v>1</v>
      </c>
      <c r="H12" s="92"/>
      <c r="I12" s="96">
        <v>8</v>
      </c>
      <c r="J12" s="39">
        <v>30</v>
      </c>
      <c r="K12" s="39">
        <f t="shared" si="0"/>
        <v>10909.09090909091</v>
      </c>
      <c r="L12" s="451">
        <v>2.1999999999999999E-2</v>
      </c>
      <c r="M12" s="39">
        <f t="shared" si="1"/>
        <v>1363.6363636363637</v>
      </c>
      <c r="N12" s="39">
        <f>IFERROR(VLOOKUP(B12,'Estadistica Madre CH 23-01'!A:C,3,0),+VLOOKUP(B12,'Estadistica Madre LK 23-01 '!A:C,3,0))</f>
        <v>6456</v>
      </c>
      <c r="O12" s="122">
        <f t="shared" si="6"/>
        <v>14.203199999999999</v>
      </c>
      <c r="Q12" s="455" t="s">
        <v>53</v>
      </c>
      <c r="R12" s="456" t="s">
        <v>24</v>
      </c>
      <c r="S12" s="66">
        <v>558</v>
      </c>
      <c r="T12" s="66" t="s">
        <v>25</v>
      </c>
      <c r="U12" s="459"/>
      <c r="V12" s="460"/>
      <c r="W12" s="432" t="e">
        <f t="shared" si="7"/>
        <v>#DIV/0!</v>
      </c>
      <c r="Z12" s="461"/>
      <c r="AA12" s="457"/>
      <c r="AB12" s="457">
        <f>+SUMIFS(F:F,B:$B,S12)</f>
        <v>0</v>
      </c>
      <c r="AC12" s="458">
        <f t="shared" si="8"/>
        <v>116.12903225806453</v>
      </c>
      <c r="AD12" s="458">
        <f t="shared" si="3"/>
        <v>0</v>
      </c>
    </row>
    <row r="13" spans="1:30" ht="18.75" x14ac:dyDescent="0.3">
      <c r="A13" s="449" t="s">
        <v>702</v>
      </c>
      <c r="B13" s="106">
        <v>544</v>
      </c>
      <c r="C13" s="69" t="s">
        <v>474</v>
      </c>
      <c r="D13" s="447">
        <v>31</v>
      </c>
      <c r="E13" s="474">
        <v>459.79199999999997</v>
      </c>
      <c r="F13" s="448">
        <f t="shared" si="4"/>
        <v>117.27135135135134</v>
      </c>
      <c r="G13" s="68">
        <f t="shared" si="5"/>
        <v>0.57407407407407407</v>
      </c>
      <c r="H13" s="92"/>
      <c r="I13" s="96">
        <v>54</v>
      </c>
      <c r="J13" s="39">
        <v>14.8</v>
      </c>
      <c r="K13" s="39">
        <f t="shared" si="0"/>
        <v>8155.1020408163258</v>
      </c>
      <c r="L13" s="451">
        <v>9.8000000000000004E-2</v>
      </c>
      <c r="M13" s="39">
        <f t="shared" si="1"/>
        <v>151.0204081632653</v>
      </c>
      <c r="N13" s="39">
        <f>IFERROR(VLOOKUP(B13,'Estadistica Madre CH 23-01'!A:C,3,0),+VLOOKUP(B13,'Estadistica Madre LK 23-01 '!A:C,3,0))</f>
        <v>7464</v>
      </c>
      <c r="O13" s="122">
        <f t="shared" si="6"/>
        <v>148.27135135135134</v>
      </c>
      <c r="Q13" s="455" t="s">
        <v>53</v>
      </c>
      <c r="R13" s="456" t="s">
        <v>26</v>
      </c>
      <c r="S13" s="66">
        <v>557</v>
      </c>
      <c r="T13" s="66" t="s">
        <v>27</v>
      </c>
      <c r="U13" s="459"/>
      <c r="V13" s="460"/>
      <c r="W13" s="432" t="e">
        <f t="shared" si="7"/>
        <v>#DIV/0!</v>
      </c>
      <c r="Z13" s="461"/>
      <c r="AA13" s="457"/>
      <c r="AB13" s="457">
        <f>+SUMIFS(F:F,B:$B,S13)</f>
        <v>0</v>
      </c>
      <c r="AC13" s="458">
        <f t="shared" si="8"/>
        <v>113.20754716981132</v>
      </c>
      <c r="AD13" s="458">
        <f t="shared" si="3"/>
        <v>0</v>
      </c>
    </row>
    <row r="14" spans="1:30" ht="21.2" customHeight="1" x14ac:dyDescent="0.3">
      <c r="A14" s="449" t="s">
        <v>28</v>
      </c>
      <c r="B14" s="106">
        <v>506</v>
      </c>
      <c r="C14" s="69" t="s">
        <v>29</v>
      </c>
      <c r="D14" s="447"/>
      <c r="E14" s="447"/>
      <c r="F14" s="448" t="str">
        <f t="shared" si="4"/>
        <v/>
      </c>
      <c r="G14" s="68">
        <f t="shared" si="5"/>
        <v>0</v>
      </c>
      <c r="H14" s="92"/>
      <c r="I14" s="96">
        <v>36</v>
      </c>
      <c r="J14" s="39">
        <v>30</v>
      </c>
      <c r="K14" s="39">
        <f t="shared" si="0"/>
        <v>49202.733485193625</v>
      </c>
      <c r="L14" s="451">
        <v>2.1950000000000001E-2</v>
      </c>
      <c r="M14" s="39">
        <f t="shared" si="1"/>
        <v>1366.7425968109339</v>
      </c>
      <c r="N14" s="39">
        <f>IFERROR(VLOOKUP(B14,'Estadistica Madre CH 23-01'!A:C,3,0),+VLOOKUP(B14,'Estadistica Madre LK 23-01 '!A:C,3,0))</f>
        <v>18840</v>
      </c>
      <c r="O14" s="122">
        <f t="shared" si="6"/>
        <v>41.3538</v>
      </c>
      <c r="Q14" s="455" t="s">
        <v>86</v>
      </c>
      <c r="R14" s="456" t="s">
        <v>30</v>
      </c>
      <c r="S14" s="66">
        <v>510</v>
      </c>
      <c r="T14" s="66" t="s">
        <v>31</v>
      </c>
      <c r="U14" s="438" t="s">
        <v>716</v>
      </c>
      <c r="V14" s="66" t="s">
        <v>717</v>
      </c>
      <c r="W14" s="432">
        <f t="shared" si="7"/>
        <v>5.079104969696969</v>
      </c>
      <c r="Z14" s="436">
        <v>1.8013333333333333E-2</v>
      </c>
      <c r="AA14" s="457">
        <v>30</v>
      </c>
      <c r="AB14" s="457">
        <f>+SUMIFS(F:F,B:$B,S14)</f>
        <v>6.2031999999999989</v>
      </c>
      <c r="AC14" s="458">
        <f t="shared" si="8"/>
        <v>1363.6363636363637</v>
      </c>
      <c r="AD14" s="458">
        <f t="shared" si="3"/>
        <v>152.37314909090907</v>
      </c>
    </row>
    <row r="15" spans="1:30" ht="19.5" thickBot="1" x14ac:dyDescent="0.35">
      <c r="A15" s="449" t="s">
        <v>444</v>
      </c>
      <c r="B15" s="106" t="s">
        <v>457</v>
      </c>
      <c r="C15" s="69" t="s">
        <v>445</v>
      </c>
      <c r="D15" s="447"/>
      <c r="E15" s="447"/>
      <c r="F15" s="448" t="str">
        <f t="shared" si="4"/>
        <v/>
      </c>
      <c r="G15" s="68">
        <f t="shared" si="5"/>
        <v>0</v>
      </c>
      <c r="H15" s="92"/>
      <c r="I15" s="98">
        <v>20</v>
      </c>
      <c r="J15" s="117">
        <f>+I15*K15</f>
        <v>400</v>
      </c>
      <c r="K15" s="117">
        <v>20</v>
      </c>
      <c r="L15" s="452">
        <v>12.867567567567571</v>
      </c>
      <c r="M15" s="119">
        <f>+SUMIFS('Consumo '!E:E,'Consumo '!A:A,'Garage Vacio 27-01'!A15)</f>
        <v>9224</v>
      </c>
      <c r="N15" s="119">
        <f>+L15*1.5</f>
        <v>19.301351351351357</v>
      </c>
      <c r="O15" s="127">
        <f>3*N15/M15</f>
        <v>6.2775427205175706E-3</v>
      </c>
      <c r="Q15" s="455" t="s">
        <v>86</v>
      </c>
      <c r="R15" s="456" t="s">
        <v>30</v>
      </c>
      <c r="S15" s="66">
        <v>510</v>
      </c>
      <c r="T15" s="66" t="s">
        <v>31</v>
      </c>
      <c r="U15" s="438" t="s">
        <v>711</v>
      </c>
      <c r="V15" s="429" t="s">
        <v>712</v>
      </c>
      <c r="W15" s="432">
        <f t="shared" si="7"/>
        <v>0.9953316363636362</v>
      </c>
      <c r="Z15" s="436">
        <v>3.5299999999999997E-3</v>
      </c>
      <c r="AA15" s="457">
        <v>30</v>
      </c>
      <c r="AB15" s="457">
        <f>+SUMIFS(F:F,B:$B,S15)</f>
        <v>6.2031999999999989</v>
      </c>
      <c r="AC15" s="458">
        <f t="shared" si="8"/>
        <v>1363.6363636363637</v>
      </c>
      <c r="AD15" s="458">
        <f t="shared" si="3"/>
        <v>29.859949090909087</v>
      </c>
    </row>
    <row r="16" spans="1:30" ht="18.75" x14ac:dyDescent="0.25">
      <c r="Q16" s="455" t="s">
        <v>86</v>
      </c>
      <c r="R16" s="456" t="s">
        <v>702</v>
      </c>
      <c r="S16" s="66">
        <v>544</v>
      </c>
      <c r="T16" s="66" t="s">
        <v>474</v>
      </c>
      <c r="U16" s="438" t="s">
        <v>722</v>
      </c>
      <c r="V16" s="66" t="s">
        <v>723</v>
      </c>
      <c r="W16" s="432">
        <f t="shared" si="7"/>
        <v>34.928780045351466</v>
      </c>
      <c r="Z16" s="436">
        <v>3.5499999999999997E-2</v>
      </c>
      <c r="AA16" s="457">
        <v>18</v>
      </c>
      <c r="AB16" s="457">
        <f>+SUMIFS(F:F,B:$B,S16)</f>
        <v>117.27135135135134</v>
      </c>
      <c r="AC16" s="458">
        <f t="shared" si="8"/>
        <v>151.0204081632653</v>
      </c>
      <c r="AD16" s="458">
        <f t="shared" si="3"/>
        <v>628.71804081632638</v>
      </c>
    </row>
    <row r="17" spans="9:30" ht="18.75" x14ac:dyDescent="0.25">
      <c r="I17" s="171"/>
      <c r="Q17" s="455" t="s">
        <v>86</v>
      </c>
      <c r="R17" s="456" t="s">
        <v>702</v>
      </c>
      <c r="S17" s="66">
        <v>544</v>
      </c>
      <c r="T17" s="66" t="s">
        <v>474</v>
      </c>
      <c r="U17" s="440" t="s">
        <v>720</v>
      </c>
      <c r="V17" s="437" t="s">
        <v>721</v>
      </c>
      <c r="W17" s="432">
        <f t="shared" si="7"/>
        <v>0.87998387755102025</v>
      </c>
      <c r="Z17" s="436">
        <v>1.5900000000000001E-3</v>
      </c>
      <c r="AA17" s="457">
        <v>32</v>
      </c>
      <c r="AB17" s="457">
        <f>+SUMIFS(F:F,B:$B,S17)</f>
        <v>117.27135135135134</v>
      </c>
      <c r="AC17" s="458">
        <f t="shared" si="8"/>
        <v>151.0204081632653</v>
      </c>
      <c r="AD17" s="458">
        <f t="shared" si="3"/>
        <v>28.159484081632648</v>
      </c>
    </row>
    <row r="18" spans="9:30" ht="18.75" x14ac:dyDescent="0.25">
      <c r="Q18" s="455" t="s">
        <v>86</v>
      </c>
      <c r="R18" s="456" t="s">
        <v>702</v>
      </c>
      <c r="S18" s="66">
        <v>544</v>
      </c>
      <c r="T18" s="66" t="s">
        <v>474</v>
      </c>
      <c r="U18" s="440" t="s">
        <v>726</v>
      </c>
      <c r="V18" s="437" t="s">
        <v>724</v>
      </c>
      <c r="W18" s="432">
        <f t="shared" si="7"/>
        <v>58.803954081632597</v>
      </c>
      <c r="Z18" s="436">
        <v>4.6484374999999967E-2</v>
      </c>
      <c r="AA18" s="457">
        <v>14</v>
      </c>
      <c r="AB18" s="457">
        <f>+SUMIFS(F:F,B:$B,S18)</f>
        <v>117.27135135135134</v>
      </c>
      <c r="AC18" s="458">
        <f t="shared" si="8"/>
        <v>151.0204081632653</v>
      </c>
      <c r="AD18" s="458">
        <f t="shared" si="3"/>
        <v>823.25535714285638</v>
      </c>
    </row>
    <row r="19" spans="9:30" s="434" customFormat="1" ht="18.75" x14ac:dyDescent="0.25">
      <c r="Q19" s="455" t="s">
        <v>86</v>
      </c>
      <c r="R19" s="456" t="s">
        <v>702</v>
      </c>
      <c r="S19" s="66">
        <v>544</v>
      </c>
      <c r="T19" s="66" t="s">
        <v>474</v>
      </c>
      <c r="U19" s="440" t="s">
        <v>727</v>
      </c>
      <c r="V19" s="437" t="s">
        <v>725</v>
      </c>
      <c r="W19" s="432">
        <f t="shared" si="7"/>
        <v>27.67244897959182</v>
      </c>
      <c r="Z19" s="436">
        <v>1.5624999999999993E-2</v>
      </c>
      <c r="AA19" s="457">
        <v>10</v>
      </c>
      <c r="AB19" s="457">
        <f>+SUMIFS(F:F,B:$B,S19)</f>
        <v>117.27135135135134</v>
      </c>
      <c r="AC19" s="458">
        <f t="shared" si="8"/>
        <v>151.0204081632653</v>
      </c>
      <c r="AD19" s="458">
        <f t="shared" si="3"/>
        <v>276.7244897959182</v>
      </c>
    </row>
    <row r="20" spans="9:30" ht="18.600000000000001" customHeight="1" x14ac:dyDescent="0.25">
      <c r="Q20" s="455" t="s">
        <v>86</v>
      </c>
      <c r="R20" s="456" t="s">
        <v>28</v>
      </c>
      <c r="S20" s="66">
        <v>506</v>
      </c>
      <c r="T20" s="66" t="s">
        <v>29</v>
      </c>
      <c r="U20" s="438" t="s">
        <v>718</v>
      </c>
      <c r="V20" s="429" t="s">
        <v>719</v>
      </c>
      <c r="W20" s="432">
        <f t="shared" si="7"/>
        <v>0</v>
      </c>
      <c r="Z20" s="436">
        <v>1.7959999999999997E-2</v>
      </c>
      <c r="AA20" s="457">
        <v>30</v>
      </c>
      <c r="AB20" s="457">
        <f>+SUMIFS(F:F,B:$B,S20)*3/4</f>
        <v>0</v>
      </c>
      <c r="AC20" s="458">
        <f t="shared" si="8"/>
        <v>2733.4851936218679</v>
      </c>
      <c r="AD20" s="458">
        <f t="shared" si="3"/>
        <v>0</v>
      </c>
    </row>
    <row r="21" spans="9:30" ht="18.600000000000001" customHeight="1" x14ac:dyDescent="0.25">
      <c r="Q21" s="455" t="s">
        <v>86</v>
      </c>
      <c r="R21" s="456" t="s">
        <v>28</v>
      </c>
      <c r="S21" s="66">
        <v>506</v>
      </c>
      <c r="T21" s="66" t="s">
        <v>29</v>
      </c>
      <c r="U21" s="438" t="s">
        <v>711</v>
      </c>
      <c r="V21" s="429" t="s">
        <v>712</v>
      </c>
      <c r="W21" s="432">
        <f t="shared" si="7"/>
        <v>0</v>
      </c>
      <c r="Z21" s="436">
        <v>3.5299999999999997E-3</v>
      </c>
      <c r="AA21" s="457">
        <v>30</v>
      </c>
      <c r="AB21" s="457">
        <f>+SUMIFS(F:F,B:$B,S21)*3/4</f>
        <v>0</v>
      </c>
      <c r="AC21" s="458">
        <f t="shared" si="8"/>
        <v>2733.4851936218679</v>
      </c>
      <c r="AD21" s="458">
        <f t="shared" si="3"/>
        <v>0</v>
      </c>
    </row>
    <row r="22" spans="9:30" ht="18.600000000000001" customHeight="1" thickBot="1" x14ac:dyDescent="0.3">
      <c r="Q22" s="462" t="s">
        <v>707</v>
      </c>
      <c r="R22" s="463" t="s">
        <v>444</v>
      </c>
      <c r="S22" s="327" t="s">
        <v>457</v>
      </c>
      <c r="T22" s="327" t="s">
        <v>445</v>
      </c>
      <c r="U22" s="459"/>
      <c r="V22" s="460"/>
      <c r="W22" s="432" t="e">
        <f t="shared" si="7"/>
        <v>#DIV/0!</v>
      </c>
      <c r="Z22" s="461"/>
      <c r="AA22" s="461"/>
      <c r="AB22" s="457">
        <f>+SUMIFS(F:F,B:$B,S22)</f>
        <v>0</v>
      </c>
      <c r="AC22" s="458">
        <f t="shared" si="8"/>
        <v>9224</v>
      </c>
      <c r="AD22" s="458">
        <f t="shared" si="3"/>
        <v>0</v>
      </c>
    </row>
    <row r="23" spans="9:30" ht="18.600000000000001" customHeight="1" x14ac:dyDescent="0.25"/>
    <row r="24" spans="9:30" ht="18.600000000000001" customHeight="1" x14ac:dyDescent="0.25"/>
    <row r="25" spans="9:30" ht="18.600000000000001" customHeight="1" x14ac:dyDescent="0.25"/>
    <row r="26" spans="9:30" ht="18.600000000000001" customHeight="1" x14ac:dyDescent="0.25"/>
    <row r="27" spans="9:30" ht="18.600000000000001" customHeight="1" x14ac:dyDescent="0.25"/>
    <row r="28" spans="9:30" ht="18.600000000000001" customHeight="1" x14ac:dyDescent="0.25"/>
    <row r="29" spans="9:30" ht="18.600000000000001" customHeight="1" x14ac:dyDescent="0.25"/>
    <row r="30" spans="9:30" ht="18.600000000000001" customHeight="1" x14ac:dyDescent="0.25"/>
    <row r="31" spans="9:30" ht="18.600000000000001" customHeight="1" x14ac:dyDescent="0.25"/>
    <row r="32" spans="9:30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O15" xr:uid="{00000000-0009-0000-0000-000006000000}"/>
  <mergeCells count="6">
    <mergeCell ref="Z5:AD5"/>
    <mergeCell ref="A3:F3"/>
    <mergeCell ref="A4:B4"/>
    <mergeCell ref="A5:B5"/>
    <mergeCell ref="I5:O5"/>
    <mergeCell ref="Q5:W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AC35"/>
  <sheetViews>
    <sheetView zoomScale="85" zoomScaleNormal="85" workbookViewId="0">
      <selection activeCell="C11" sqref="C11"/>
    </sheetView>
  </sheetViews>
  <sheetFormatPr baseColWidth="10" defaultRowHeight="15" x14ac:dyDescent="0.25"/>
  <cols>
    <col min="1" max="1" width="8.7109375" customWidth="1"/>
    <col min="2" max="2" width="6" customWidth="1"/>
    <col min="3" max="3" width="25.14062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8.5703125" style="283" customWidth="1"/>
    <col min="21" max="21" width="24.85546875" style="283" bestFit="1" customWidth="1"/>
    <col min="22" max="22" width="9.5703125" style="283" customWidth="1"/>
    <col min="23" max="23" width="8.7109375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 t="s">
        <v>742</v>
      </c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69">
        <f ca="1">+TODAY()</f>
        <v>46101</v>
      </c>
    </row>
    <row r="5" spans="1:29" ht="42.6" customHeight="1" thickBot="1" x14ac:dyDescent="0.45">
      <c r="A5" s="507"/>
      <c r="B5" s="508"/>
      <c r="C5" s="468" t="s">
        <v>743</v>
      </c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3"/>
      <c r="W5" s="423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71" t="s">
        <v>741</v>
      </c>
      <c r="W6" s="433" t="s">
        <v>744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26.1" customHeight="1" x14ac:dyDescent="0.3">
      <c r="A7" s="448" t="s">
        <v>15</v>
      </c>
      <c r="B7" s="467">
        <v>500</v>
      </c>
      <c r="C7" s="470" t="s">
        <v>16</v>
      </c>
      <c r="D7" s="447">
        <v>0</v>
      </c>
      <c r="E7" s="448">
        <f>+IF(D7="","",IF(D7-N7&gt;0,0,N7-D7))</f>
        <v>4.7447999999999997</v>
      </c>
      <c r="F7" s="68">
        <f>+IFERROR(D7/H7,)</f>
        <v>0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72">
        <f>+AC7/Z7</f>
        <v>4.2254399999999999</v>
      </c>
      <c r="W7" s="423"/>
      <c r="Y7" s="436">
        <v>2.9343333333333332E-2</v>
      </c>
      <c r="Z7" s="457">
        <v>30</v>
      </c>
      <c r="AA7" s="457">
        <f>+SUMIFS(E:E,B:$B,R7)</f>
        <v>4.7447999999999997</v>
      </c>
      <c r="AB7" s="458">
        <f t="shared" ref="AB7:AB8" si="2">+SUMIFS(L:L,B:B,R7)</f>
        <v>910.4704097116844</v>
      </c>
      <c r="AC7" s="458">
        <f t="shared" ref="AC7:AC22" si="3">+(AB7*AA7)*Y7</f>
        <v>126.7632</v>
      </c>
    </row>
    <row r="8" spans="1:29" ht="26.1" customHeight="1" x14ac:dyDescent="0.3">
      <c r="A8" s="449" t="s">
        <v>28</v>
      </c>
      <c r="B8" s="106">
        <v>506</v>
      </c>
      <c r="C8" s="69" t="s">
        <v>29</v>
      </c>
      <c r="D8" s="447">
        <v>0</v>
      </c>
      <c r="E8" s="448">
        <f t="shared" ref="E8:E15" si="4">+IF(D8="","",IF(D8-N8&gt;0,0,N8-D8))</f>
        <v>41.3538</v>
      </c>
      <c r="F8" s="68">
        <f t="shared" ref="F8:F15" si="5">+IFERROR(D8/H8,)</f>
        <v>0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72">
        <f>+AC8/Z8</f>
        <v>0.50831999999999999</v>
      </c>
      <c r="W8" s="423"/>
      <c r="Y8" s="436">
        <v>3.5299999999999997E-3</v>
      </c>
      <c r="Z8" s="457">
        <v>30</v>
      </c>
      <c r="AA8" s="457">
        <f>+SUMIFS(E:E,B:$B,R8)</f>
        <v>4.7447999999999997</v>
      </c>
      <c r="AB8" s="458">
        <f t="shared" si="2"/>
        <v>910.4704097116844</v>
      </c>
      <c r="AC8" s="458">
        <f>+(AB8*AA8)*Y8</f>
        <v>15.249599999999999</v>
      </c>
    </row>
    <row r="9" spans="1:29" ht="26.1" customHeight="1" x14ac:dyDescent="0.3">
      <c r="A9" s="448" t="s">
        <v>22</v>
      </c>
      <c r="B9" s="467">
        <v>654</v>
      </c>
      <c r="C9" s="470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72">
        <f t="shared" ref="V9:V22" si="7">+AC9/Z9</f>
        <v>33.836639999999996</v>
      </c>
      <c r="W9" s="423"/>
      <c r="Y9" s="436">
        <v>1.7959999999999997E-2</v>
      </c>
      <c r="Z9" s="457">
        <v>30</v>
      </c>
      <c r="AA9" s="457">
        <f>+SUMIFS(E:E,B:$B,R9)*1/4</f>
        <v>20.6769</v>
      </c>
      <c r="AB9" s="458">
        <f>+SUMIFS(L:L,B:B,R9)</f>
        <v>2733.4851936218679</v>
      </c>
      <c r="AC9" s="458">
        <f t="shared" si="3"/>
        <v>1015.0991999999998</v>
      </c>
    </row>
    <row r="10" spans="1:29" ht="26.1" customHeight="1" x14ac:dyDescent="0.3">
      <c r="A10" s="449" t="s">
        <v>24</v>
      </c>
      <c r="B10" s="106">
        <v>558</v>
      </c>
      <c r="C10" s="69" t="s">
        <v>25</v>
      </c>
      <c r="D10" s="447">
        <v>0</v>
      </c>
      <c r="E10" s="448">
        <f t="shared" si="4"/>
        <v>54.87</v>
      </c>
      <c r="F10" s="68">
        <f t="shared" si="5"/>
        <v>0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72">
        <f t="shared" si="7"/>
        <v>6.6505199999999993</v>
      </c>
      <c r="W10" s="423"/>
      <c r="Y10" s="436">
        <v>3.5299999999999997E-3</v>
      </c>
      <c r="Z10" s="457">
        <v>30</v>
      </c>
      <c r="AA10" s="457">
        <f>+SUMIFS(E:E,B:$B,R10)*1/4</f>
        <v>20.6769</v>
      </c>
      <c r="AB10" s="458">
        <f t="shared" ref="AB10:AB22" si="8">+SUMIFS(L:L,B:B,R10)</f>
        <v>2733.4851936218679</v>
      </c>
      <c r="AC10" s="458">
        <f t="shared" si="3"/>
        <v>199.51559999999998</v>
      </c>
    </row>
    <row r="11" spans="1:29" ht="26.1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 t="s">
        <v>747</v>
      </c>
      <c r="V11" s="472">
        <f t="shared" si="7"/>
        <v>3.8</v>
      </c>
      <c r="W11" s="423"/>
      <c r="Y11" s="461">
        <f>+Z11/720</f>
        <v>1.9612500000000001E-2</v>
      </c>
      <c r="Z11" s="457">
        <f>+Z12*1.25</f>
        <v>14.121000000000002</v>
      </c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53.659800000000004</v>
      </c>
    </row>
    <row r="12" spans="1:29" ht="26.1" customHeight="1" x14ac:dyDescent="0.3">
      <c r="A12" s="449" t="s">
        <v>30</v>
      </c>
      <c r="B12" s="106">
        <v>510</v>
      </c>
      <c r="C12" s="69" t="s">
        <v>31</v>
      </c>
      <c r="D12" s="447">
        <v>0</v>
      </c>
      <c r="E12" s="448">
        <f t="shared" si="4"/>
        <v>14.203199999999999</v>
      </c>
      <c r="F12" s="68">
        <f t="shared" si="5"/>
        <v>0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 t="s">
        <v>746</v>
      </c>
      <c r="V12" s="472">
        <f t="shared" si="7"/>
        <v>8.8500000000000014</v>
      </c>
      <c r="W12" s="423"/>
      <c r="Y12" s="461">
        <f>+Z12/720</f>
        <v>1.5690000000000003E-2</v>
      </c>
      <c r="Z12" s="457">
        <v>11.296800000000001</v>
      </c>
      <c r="AA12" s="457">
        <f>+SUMIFS(E:E,B:$B,R12)</f>
        <v>54.87</v>
      </c>
      <c r="AB12" s="458">
        <f t="shared" si="8"/>
        <v>116.12903225806453</v>
      </c>
      <c r="AC12" s="458">
        <f t="shared" si="3"/>
        <v>99.976680000000016</v>
      </c>
    </row>
    <row r="13" spans="1:29" ht="26.1" customHeight="1" x14ac:dyDescent="0.3">
      <c r="A13" s="449" t="s">
        <v>702</v>
      </c>
      <c r="B13" s="106">
        <v>544</v>
      </c>
      <c r="C13" s="69" t="s">
        <v>474</v>
      </c>
      <c r="D13" s="447">
        <v>31</v>
      </c>
      <c r="E13" s="448">
        <f t="shared" si="4"/>
        <v>108.94999999999999</v>
      </c>
      <c r="F13" s="68">
        <f t="shared" si="5"/>
        <v>0.57407407407407407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 t="s">
        <v>745</v>
      </c>
      <c r="V13" s="472">
        <f t="shared" si="7"/>
        <v>5.8333333333333339</v>
      </c>
      <c r="W13" s="423"/>
      <c r="Y13" s="461">
        <f>+Z13/720</f>
        <v>1.5690000000000003E-2</v>
      </c>
      <c r="Z13" s="457">
        <v>11.296800000000001</v>
      </c>
      <c r="AA13" s="457">
        <f>+SUMIFS(E:E,B:$B,R13)</f>
        <v>37.1</v>
      </c>
      <c r="AB13" s="458">
        <f t="shared" si="8"/>
        <v>113.20754716981132</v>
      </c>
      <c r="AC13" s="458">
        <f t="shared" si="3"/>
        <v>65.89800000000001</v>
      </c>
    </row>
    <row r="14" spans="1:29" ht="26.1" customHeight="1" x14ac:dyDescent="0.3">
      <c r="A14" s="449" t="s">
        <v>28</v>
      </c>
      <c r="B14" s="106">
        <v>506</v>
      </c>
      <c r="C14" s="69" t="s">
        <v>29</v>
      </c>
      <c r="D14" s="447">
        <v>0</v>
      </c>
      <c r="E14" s="448">
        <f t="shared" si="4"/>
        <v>41.3538</v>
      </c>
      <c r="F14" s="68">
        <f t="shared" si="5"/>
        <v>0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72">
        <f t="shared" si="7"/>
        <v>11.629408</v>
      </c>
      <c r="W14" s="423"/>
      <c r="Y14" s="436">
        <v>1.8013333333333333E-2</v>
      </c>
      <c r="Z14" s="457">
        <v>30</v>
      </c>
      <c r="AA14" s="457">
        <f>+SUMIFS(E:E,B:$B,R14)</f>
        <v>14.203199999999999</v>
      </c>
      <c r="AB14" s="458">
        <f t="shared" si="8"/>
        <v>1363.6363636363637</v>
      </c>
      <c r="AC14" s="458">
        <f t="shared" si="3"/>
        <v>348.88223999999997</v>
      </c>
    </row>
    <row r="15" spans="1:29" ht="26.1" customHeight="1" thickBot="1" x14ac:dyDescent="0.35">
      <c r="A15" s="449" t="s">
        <v>444</v>
      </c>
      <c r="B15" s="106" t="s">
        <v>457</v>
      </c>
      <c r="C15" s="69" t="s">
        <v>445</v>
      </c>
      <c r="D15" s="447">
        <v>3</v>
      </c>
      <c r="E15" s="448">
        <f t="shared" si="4"/>
        <v>0</v>
      </c>
      <c r="F15" s="68">
        <f t="shared" si="5"/>
        <v>0.15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22-01-26'!A15)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72">
        <f t="shared" si="7"/>
        <v>2.2789679999999999</v>
      </c>
      <c r="W15" s="423"/>
      <c r="Y15" s="436">
        <v>3.5299999999999997E-3</v>
      </c>
      <c r="Z15" s="457">
        <v>30</v>
      </c>
      <c r="AA15" s="457">
        <f>+SUMIFS(E:E,B:$B,R15)</f>
        <v>14.203199999999999</v>
      </c>
      <c r="AB15" s="458">
        <f t="shared" si="8"/>
        <v>1363.6363636363637</v>
      </c>
      <c r="AC15" s="458">
        <f t="shared" si="3"/>
        <v>68.369039999999998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72">
        <f t="shared" si="7"/>
        <v>34.379777777777775</v>
      </c>
      <c r="W16" s="423"/>
      <c r="Y16" s="436">
        <v>3.5499999999999997E-2</v>
      </c>
      <c r="Z16" s="457">
        <v>18</v>
      </c>
      <c r="AA16" s="457">
        <f>+SUMIFS(E:E,B:$B,R16)</f>
        <v>108.94999999999999</v>
      </c>
      <c r="AB16" s="458">
        <f t="shared" si="8"/>
        <v>160</v>
      </c>
      <c r="AC16" s="458">
        <f t="shared" si="3"/>
        <v>618.8359999999999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72">
        <f t="shared" si="7"/>
        <v>0.86615249999999999</v>
      </c>
      <c r="W17" s="423"/>
      <c r="Y17" s="436">
        <v>1.5900000000000001E-3</v>
      </c>
      <c r="Z17" s="457">
        <v>32</v>
      </c>
      <c r="AA17" s="457">
        <f>+SUMIFS(E:E,B:$B,R17)</f>
        <v>108.94999999999999</v>
      </c>
      <c r="AB17" s="458">
        <f t="shared" si="8"/>
        <v>160</v>
      </c>
      <c r="AC17" s="458">
        <f t="shared" si="3"/>
        <v>27.71688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72">
        <f t="shared" si="7"/>
        <v>57.879687499999953</v>
      </c>
      <c r="W18" s="423"/>
      <c r="Y18" s="436">
        <v>4.6484374999999967E-2</v>
      </c>
      <c r="Z18" s="457">
        <v>14</v>
      </c>
      <c r="AA18" s="457">
        <f>+SUMIFS(E:E,B:$B,R18)</f>
        <v>108.94999999999999</v>
      </c>
      <c r="AB18" s="458">
        <f t="shared" si="8"/>
        <v>160</v>
      </c>
      <c r="AC18" s="458">
        <f t="shared" si="3"/>
        <v>810.31562499999939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72">
        <f t="shared" si="7"/>
        <v>27.23749999999999</v>
      </c>
      <c r="W19" s="473"/>
      <c r="Y19" s="436">
        <v>1.5624999999999993E-2</v>
      </c>
      <c r="Z19" s="457">
        <v>10</v>
      </c>
      <c r="AA19" s="457">
        <f>+SUMIFS(E:E,B:$B,R19)</f>
        <v>108.94999999999999</v>
      </c>
      <c r="AB19" s="458">
        <f t="shared" si="8"/>
        <v>160</v>
      </c>
      <c r="AC19" s="458">
        <f t="shared" si="3"/>
        <v>272.37499999999989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72">
        <f t="shared" si="7"/>
        <v>101.50991999999998</v>
      </c>
      <c r="W20" s="423"/>
      <c r="Y20" s="436">
        <v>1.7959999999999997E-2</v>
      </c>
      <c r="Z20" s="457">
        <v>30</v>
      </c>
      <c r="AA20" s="457">
        <f>+SUMIFS(E:E,B:$B,R20)*3/4</f>
        <v>62.030699999999996</v>
      </c>
      <c r="AB20" s="458">
        <f t="shared" si="8"/>
        <v>2733.4851936218679</v>
      </c>
      <c r="AC20" s="458">
        <f t="shared" si="3"/>
        <v>3045.2975999999994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72">
        <f t="shared" si="7"/>
        <v>19.951559999999997</v>
      </c>
      <c r="W21" s="423"/>
      <c r="Y21" s="436">
        <v>3.5299999999999997E-3</v>
      </c>
      <c r="Z21" s="457">
        <v>30</v>
      </c>
      <c r="AA21" s="457">
        <f>+SUMIFS(E:E,B:$B,R21)*3/4</f>
        <v>62.030699999999996</v>
      </c>
      <c r="AB21" s="458">
        <f t="shared" si="8"/>
        <v>2733.4851936218679</v>
      </c>
      <c r="AC21" s="458">
        <f t="shared" si="3"/>
        <v>598.54679999999996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07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" right="0" top="0.15748031496062992" bottom="7.874015748031496E-2" header="0" footer="0"/>
  <pageSetup paperSize="9" scale="13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AC35"/>
  <sheetViews>
    <sheetView zoomScale="85" zoomScaleNormal="85" workbookViewId="0">
      <selection activeCell="J19" sqref="J19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2</v>
      </c>
      <c r="E7" s="448">
        <f>+IF(D7="","",IF(D7-N7&gt;0,0,N7-D7))</f>
        <v>2.7447999999999997</v>
      </c>
      <c r="F7" s="68">
        <f>+IFERROR(D7/H7,)</f>
        <v>0.4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2.4443575518462315</v>
      </c>
      <c r="Y7" s="436">
        <v>2.9343333333333332E-2</v>
      </c>
      <c r="Z7" s="457">
        <v>30</v>
      </c>
      <c r="AA7" s="457">
        <f>+SUMIFS(E:E,B:$B,R7)</f>
        <v>2.7447999999999997</v>
      </c>
      <c r="AB7" s="458">
        <f t="shared" ref="AB7:AB8" si="2">+SUMIFS(L:L,B:B,R7)</f>
        <v>910.4704097116844</v>
      </c>
      <c r="AC7" s="458">
        <f t="shared" ref="AC7:AC22" si="3">+(AB7*AA7)*Y7</f>
        <v>73.330726555386946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12</v>
      </c>
      <c r="E8" s="448">
        <f t="shared" ref="E8:E15" si="4">+IF(D8="","",IF(D8-N8&gt;0,0,N8-D8))</f>
        <v>29.3538</v>
      </c>
      <c r="F8" s="68">
        <f t="shared" ref="F8:F15" si="5">+IFERROR(D8/H8,)</f>
        <v>0.33333333333333331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0.29405596358118358</v>
      </c>
      <c r="Y8" s="436">
        <v>3.5299999999999997E-3</v>
      </c>
      <c r="Z8" s="457">
        <v>30</v>
      </c>
      <c r="AA8" s="457">
        <f>+SUMIFS(E:E,B:$B,R8)</f>
        <v>2.7447999999999997</v>
      </c>
      <c r="AB8" s="458">
        <f t="shared" si="2"/>
        <v>910.4704097116844</v>
      </c>
      <c r="AC8" s="458">
        <f>+(AB8*AA8)*Y8</f>
        <v>8.8216789074355066</v>
      </c>
    </row>
    <row r="9" spans="1:29" ht="37.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+AC9/Z9</f>
        <v>24.017961184510245</v>
      </c>
      <c r="Y9" s="436">
        <v>1.7959999999999997E-2</v>
      </c>
      <c r="Z9" s="457">
        <v>30</v>
      </c>
      <c r="AA9" s="457">
        <f>+SUMIFS(E:E,B:$B,R9)*1/4</f>
        <v>14.6769</v>
      </c>
      <c r="AB9" s="458">
        <f>+SUMIFS(L:L,B:B,R9)</f>
        <v>2733.4851936218679</v>
      </c>
      <c r="AC9" s="458">
        <f t="shared" si="3"/>
        <v>720.53883553530738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0</v>
      </c>
      <c r="E10" s="448">
        <f t="shared" si="4"/>
        <v>54.87</v>
      </c>
      <c r="F10" s="68">
        <f t="shared" si="5"/>
        <v>0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4.720679453302961</v>
      </c>
      <c r="Y10" s="436">
        <v>3.5299999999999997E-3</v>
      </c>
      <c r="Z10" s="457">
        <v>30</v>
      </c>
      <c r="AA10" s="457">
        <f>+SUMIFS(E:E,B:$B,R10)*1/4</f>
        <v>14.6769</v>
      </c>
      <c r="AB10" s="458">
        <f t="shared" ref="AB10:AB22" si="8">+SUMIFS(L:L,B:B,R10)</f>
        <v>2733.4851936218679</v>
      </c>
      <c r="AC10" s="458">
        <f t="shared" si="3"/>
        <v>141.62038359908883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0</v>
      </c>
      <c r="E12" s="448">
        <f t="shared" si="4"/>
        <v>14.203199999999999</v>
      </c>
      <c r="F12" s="68">
        <f t="shared" si="5"/>
        <v>0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54.87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30</v>
      </c>
      <c r="E13" s="448">
        <f t="shared" si="4"/>
        <v>109.94999999999999</v>
      </c>
      <c r="F13" s="68">
        <f t="shared" si="5"/>
        <v>0.55555555555555558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12</v>
      </c>
      <c r="E14" s="448">
        <f t="shared" si="4"/>
        <v>29.3538</v>
      </c>
      <c r="F14" s="68">
        <f t="shared" si="5"/>
        <v>0.33333333333333331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11.629408</v>
      </c>
      <c r="Y14" s="436">
        <v>1.8013333333333333E-2</v>
      </c>
      <c r="Z14" s="457">
        <v>30</v>
      </c>
      <c r="AA14" s="457">
        <f>+SUMIFS(E:E,B:$B,R14)</f>
        <v>14.203199999999999</v>
      </c>
      <c r="AB14" s="458">
        <f t="shared" si="8"/>
        <v>1363.6363636363637</v>
      </c>
      <c r="AC14" s="458">
        <f t="shared" si="3"/>
        <v>348.88223999999997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4</v>
      </c>
      <c r="E15" s="448">
        <f t="shared" si="4"/>
        <v>0</v>
      </c>
      <c r="F15" s="68">
        <f t="shared" si="5"/>
        <v>0.2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9-1'!A15)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2.2789679999999999</v>
      </c>
      <c r="Y15" s="436">
        <v>3.5299999999999997E-3</v>
      </c>
      <c r="Z15" s="457">
        <v>30</v>
      </c>
      <c r="AA15" s="457">
        <f>+SUMIFS(E:E,B:$B,R15)</f>
        <v>14.203199999999999</v>
      </c>
      <c r="AB15" s="458">
        <f t="shared" si="8"/>
        <v>1363.6363636363637</v>
      </c>
      <c r="AC15" s="458">
        <f t="shared" si="3"/>
        <v>68.369039999999998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34.69533333333333</v>
      </c>
      <c r="Y16" s="436">
        <v>3.5499999999999997E-2</v>
      </c>
      <c r="Z16" s="457">
        <v>18</v>
      </c>
      <c r="AA16" s="457">
        <f>+SUMIFS(E:E,B:$B,R16)</f>
        <v>109.94999999999999</v>
      </c>
      <c r="AB16" s="458">
        <f t="shared" si="8"/>
        <v>160</v>
      </c>
      <c r="AC16" s="458">
        <f t="shared" si="3"/>
        <v>624.51599999999996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0.8741025</v>
      </c>
      <c r="Y17" s="436">
        <v>1.5900000000000001E-3</v>
      </c>
      <c r="Z17" s="457">
        <v>32</v>
      </c>
      <c r="AA17" s="457">
        <f>+SUMIFS(E:E,B:$B,R17)</f>
        <v>109.94999999999999</v>
      </c>
      <c r="AB17" s="458">
        <f t="shared" si="8"/>
        <v>160</v>
      </c>
      <c r="AC17" s="458">
        <f t="shared" si="3"/>
        <v>27.97128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58.410937499999953</v>
      </c>
      <c r="Y18" s="436">
        <v>4.6484374999999967E-2</v>
      </c>
      <c r="Z18" s="457">
        <v>14</v>
      </c>
      <c r="AA18" s="457">
        <f>+SUMIFS(E:E,B:$B,R18)</f>
        <v>109.94999999999999</v>
      </c>
      <c r="AB18" s="458">
        <f t="shared" si="8"/>
        <v>160</v>
      </c>
      <c r="AC18" s="458">
        <f t="shared" si="3"/>
        <v>817.75312499999939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27.48749999999999</v>
      </c>
      <c r="Y19" s="436">
        <v>1.5624999999999993E-2</v>
      </c>
      <c r="Z19" s="457">
        <v>10</v>
      </c>
      <c r="AA19" s="457">
        <f>+SUMIFS(E:E,B:$B,R19)</f>
        <v>109.94999999999999</v>
      </c>
      <c r="AB19" s="458">
        <f t="shared" si="8"/>
        <v>160</v>
      </c>
      <c r="AC19" s="458">
        <f t="shared" si="3"/>
        <v>274.87499999999989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72.053883553530738</v>
      </c>
      <c r="Y20" s="436">
        <v>1.7959999999999997E-2</v>
      </c>
      <c r="Z20" s="457">
        <v>30</v>
      </c>
      <c r="AA20" s="457">
        <f>+SUMIFS(E:E,B:$B,R20)*3/4</f>
        <v>44.030699999999996</v>
      </c>
      <c r="AB20" s="458">
        <f t="shared" si="8"/>
        <v>2733.4851936218679</v>
      </c>
      <c r="AC20" s="458">
        <f t="shared" si="3"/>
        <v>2161.616506605922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14.16203835990888</v>
      </c>
      <c r="Y21" s="436">
        <v>3.5299999999999997E-3</v>
      </c>
      <c r="Z21" s="457">
        <v>30</v>
      </c>
      <c r="AA21" s="457">
        <f>+SUMIFS(E:E,B:$B,R21)*3/4</f>
        <v>44.030699999999996</v>
      </c>
      <c r="AB21" s="458">
        <f t="shared" si="8"/>
        <v>2733.4851936218679</v>
      </c>
      <c r="AC21" s="458">
        <f t="shared" si="3"/>
        <v>424.86115079726642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08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AC35"/>
  <sheetViews>
    <sheetView zoomScale="85" zoomScaleNormal="85" workbookViewId="0">
      <selection activeCell="U4" sqref="U4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2</v>
      </c>
      <c r="E7" s="448">
        <f>+IF(D7="","",IF(D7-N7&gt;0,0,N7-D7))</f>
        <v>2.7447999999999997</v>
      </c>
      <c r="F7" s="68">
        <f>+IFERROR(D7/H7,)</f>
        <v>0.4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2.4443575518462315</v>
      </c>
      <c r="Y7" s="436">
        <v>2.9343333333333332E-2</v>
      </c>
      <c r="Z7" s="457">
        <v>30</v>
      </c>
      <c r="AA7" s="457">
        <f>+SUMIFS(E:E,B:$B,R7)</f>
        <v>2.7447999999999997</v>
      </c>
      <c r="AB7" s="458">
        <f t="shared" ref="AB7:AB8" si="2">+SUMIFS(L:L,B:B,R7)</f>
        <v>910.4704097116844</v>
      </c>
      <c r="AC7" s="458">
        <f t="shared" ref="AC7:AC22" si="3">+(AB7*AA7)*Y7</f>
        <v>73.330726555386946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12</v>
      </c>
      <c r="E8" s="448">
        <f t="shared" ref="E8:E15" si="4">+IF(D8="","",IF(D8-N8&gt;0,0,N8-D8))</f>
        <v>29.3538</v>
      </c>
      <c r="F8" s="68">
        <f t="shared" ref="F8:F15" si="5">+IFERROR(D8/H8,)</f>
        <v>0.33333333333333331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0.29405596358118358</v>
      </c>
      <c r="Y8" s="436">
        <v>3.5299999999999997E-3</v>
      </c>
      <c r="Z8" s="457">
        <v>30</v>
      </c>
      <c r="AA8" s="457">
        <f>+SUMIFS(E:E,B:$B,R8)</f>
        <v>2.7447999999999997</v>
      </c>
      <c r="AB8" s="458">
        <f t="shared" si="2"/>
        <v>910.4704097116844</v>
      </c>
      <c r="AC8" s="458">
        <f>+(AB8*AA8)*Y8</f>
        <v>8.8216789074355066</v>
      </c>
    </row>
    <row r="9" spans="1:29" ht="37.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+AC9/Z9</f>
        <v>24.017961184510245</v>
      </c>
      <c r="Y9" s="436">
        <v>1.7959999999999997E-2</v>
      </c>
      <c r="Z9" s="457">
        <v>30</v>
      </c>
      <c r="AA9" s="457">
        <f>+SUMIFS(E:E,B:$B,R9)*1/4</f>
        <v>14.6769</v>
      </c>
      <c r="AB9" s="458">
        <f>+SUMIFS(L:L,B:B,R9)</f>
        <v>2733.4851936218679</v>
      </c>
      <c r="AC9" s="458">
        <f t="shared" si="3"/>
        <v>720.53883553530738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0</v>
      </c>
      <c r="E10" s="448">
        <f t="shared" si="4"/>
        <v>54.87</v>
      </c>
      <c r="F10" s="68">
        <f t="shared" si="5"/>
        <v>0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4.720679453302961</v>
      </c>
      <c r="Y10" s="436">
        <v>3.5299999999999997E-3</v>
      </c>
      <c r="Z10" s="457">
        <v>30</v>
      </c>
      <c r="AA10" s="457">
        <f>+SUMIFS(E:E,B:$B,R10)*1/4</f>
        <v>14.6769</v>
      </c>
      <c r="AB10" s="458">
        <f t="shared" ref="AB10:AB22" si="8">+SUMIFS(L:L,B:B,R10)</f>
        <v>2733.4851936218679</v>
      </c>
      <c r="AC10" s="458">
        <f t="shared" si="3"/>
        <v>141.62038359908883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4</v>
      </c>
      <c r="E12" s="448">
        <f t="shared" si="4"/>
        <v>10.203199999999999</v>
      </c>
      <c r="F12" s="68">
        <f t="shared" si="5"/>
        <v>0.5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54.87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0</v>
      </c>
      <c r="E13" s="448">
        <f t="shared" si="4"/>
        <v>139.94999999999999</v>
      </c>
      <c r="F13" s="68">
        <f t="shared" si="5"/>
        <v>0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12</v>
      </c>
      <c r="E14" s="448">
        <f t="shared" si="4"/>
        <v>29.3538</v>
      </c>
      <c r="F14" s="68">
        <f t="shared" si="5"/>
        <v>0.33333333333333331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8.3542564848484844</v>
      </c>
      <c r="Y14" s="436">
        <v>1.8013333333333333E-2</v>
      </c>
      <c r="Z14" s="457">
        <v>30</v>
      </c>
      <c r="AA14" s="457">
        <f>+SUMIFS(E:E,B:$B,R14)</f>
        <v>10.203199999999999</v>
      </c>
      <c r="AB14" s="458">
        <f t="shared" si="8"/>
        <v>1363.6363636363637</v>
      </c>
      <c r="AC14" s="458">
        <f t="shared" si="3"/>
        <v>250.62769454545455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/>
      <c r="E15" s="448" t="str">
        <f t="shared" si="4"/>
        <v/>
      </c>
      <c r="F15" s="68">
        <f t="shared" si="5"/>
        <v>0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02-01'!A15)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1.637149818181818</v>
      </c>
      <c r="Y15" s="436">
        <v>3.5299999999999997E-3</v>
      </c>
      <c r="Z15" s="457">
        <v>30</v>
      </c>
      <c r="AA15" s="457">
        <f>+SUMIFS(E:E,B:$B,R15)</f>
        <v>10.203199999999999</v>
      </c>
      <c r="AB15" s="458">
        <f t="shared" si="8"/>
        <v>1363.6363636363637</v>
      </c>
      <c r="AC15" s="458">
        <f t="shared" si="3"/>
        <v>49.114494545454541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44.161999999999999</v>
      </c>
      <c r="Y16" s="436">
        <v>3.5499999999999997E-2</v>
      </c>
      <c r="Z16" s="457">
        <v>18</v>
      </c>
      <c r="AA16" s="457">
        <f>+SUMIFS(E:E,B:$B,R16)</f>
        <v>139.94999999999999</v>
      </c>
      <c r="AB16" s="458">
        <f t="shared" si="8"/>
        <v>160</v>
      </c>
      <c r="AC16" s="458">
        <f t="shared" si="3"/>
        <v>794.91599999999994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1.1126024999999999</v>
      </c>
      <c r="Y17" s="436">
        <v>1.5900000000000001E-3</v>
      </c>
      <c r="Z17" s="457">
        <v>32</v>
      </c>
      <c r="AA17" s="457">
        <f>+SUMIFS(E:E,B:$B,R17)</f>
        <v>139.94999999999999</v>
      </c>
      <c r="AB17" s="458">
        <f t="shared" si="8"/>
        <v>160</v>
      </c>
      <c r="AC17" s="458">
        <f t="shared" si="3"/>
        <v>35.603279999999998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74.348437499999946</v>
      </c>
      <c r="Y18" s="436">
        <v>4.6484374999999967E-2</v>
      </c>
      <c r="Z18" s="457">
        <v>14</v>
      </c>
      <c r="AA18" s="457">
        <f>+SUMIFS(E:E,B:$B,R18)</f>
        <v>139.94999999999999</v>
      </c>
      <c r="AB18" s="458">
        <f t="shared" si="8"/>
        <v>160</v>
      </c>
      <c r="AC18" s="458">
        <f t="shared" si="3"/>
        <v>1040.8781249999993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34.987499999999983</v>
      </c>
      <c r="Y19" s="436">
        <v>1.5624999999999993E-2</v>
      </c>
      <c r="Z19" s="457">
        <v>10</v>
      </c>
      <c r="AA19" s="457">
        <f>+SUMIFS(E:E,B:$B,R19)</f>
        <v>139.94999999999999</v>
      </c>
      <c r="AB19" s="458">
        <f t="shared" si="8"/>
        <v>160</v>
      </c>
      <c r="AC19" s="458">
        <f t="shared" si="3"/>
        <v>349.87499999999983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72.053883553530738</v>
      </c>
      <c r="Y20" s="436">
        <v>1.7959999999999997E-2</v>
      </c>
      <c r="Z20" s="457">
        <v>30</v>
      </c>
      <c r="AA20" s="457">
        <f>+SUMIFS(E:E,B:$B,R20)*3/4</f>
        <v>44.030699999999996</v>
      </c>
      <c r="AB20" s="458">
        <f t="shared" si="8"/>
        <v>2733.4851936218679</v>
      </c>
      <c r="AC20" s="458">
        <f t="shared" si="3"/>
        <v>2161.616506605922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14.16203835990888</v>
      </c>
      <c r="Y21" s="436">
        <v>3.5299999999999997E-3</v>
      </c>
      <c r="Z21" s="457">
        <v>30</v>
      </c>
      <c r="AA21" s="457">
        <f>+SUMIFS(E:E,B:$B,R21)*3/4</f>
        <v>44.030699999999996</v>
      </c>
      <c r="AB21" s="458">
        <f t="shared" si="8"/>
        <v>2733.4851936218679</v>
      </c>
      <c r="AC21" s="458">
        <f t="shared" si="3"/>
        <v>424.86115079726642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09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F7"/>
  <sheetViews>
    <sheetView zoomScale="130" zoomScaleNormal="130" workbookViewId="0">
      <selection activeCell="D11" sqref="D11"/>
    </sheetView>
  </sheetViews>
  <sheetFormatPr baseColWidth="10" defaultRowHeight="15" x14ac:dyDescent="0.25"/>
  <cols>
    <col min="1" max="1" width="8.28515625" customWidth="1"/>
    <col min="2" max="2" width="19.85546875" customWidth="1"/>
    <col min="3" max="3" width="6.42578125" customWidth="1"/>
    <col min="4" max="4" width="9" customWidth="1"/>
    <col min="5" max="5" width="8.7109375" customWidth="1"/>
    <col min="6" max="6" width="8.28515625" customWidth="1"/>
  </cols>
  <sheetData>
    <row r="1" spans="1:6" s="218" customFormat="1" ht="57" thickBot="1" x14ac:dyDescent="0.3">
      <c r="A1" s="165" t="s">
        <v>4</v>
      </c>
      <c r="B1" s="229" t="s">
        <v>459</v>
      </c>
      <c r="C1" s="133" t="s">
        <v>460</v>
      </c>
      <c r="D1" s="6" t="s">
        <v>461</v>
      </c>
      <c r="E1" s="6" t="s">
        <v>14</v>
      </c>
      <c r="F1" s="138" t="s">
        <v>451</v>
      </c>
    </row>
    <row r="2" spans="1:6" ht="18.75" x14ac:dyDescent="0.3">
      <c r="A2" s="219" t="s">
        <v>444</v>
      </c>
      <c r="B2" s="225" t="s">
        <v>445</v>
      </c>
      <c r="C2" s="226">
        <v>530</v>
      </c>
      <c r="D2" s="227">
        <v>1.8018018018018018E-3</v>
      </c>
      <c r="E2" s="226">
        <f>+IFERROR(VLOOKUP(C2,'Estadistica Madre LK 23-01 '!A:C,3,0),VLOOKUP(C2,'Estadistica Madre CH 23-01'!A:C,3,0))</f>
        <v>3600</v>
      </c>
      <c r="F2" s="228">
        <f>+D2*E2</f>
        <v>6.4864864864864868</v>
      </c>
    </row>
    <row r="3" spans="1:6" ht="18.75" x14ac:dyDescent="0.3">
      <c r="A3" s="219" t="s">
        <v>444</v>
      </c>
      <c r="B3" s="221" t="s">
        <v>445</v>
      </c>
      <c r="C3" s="53">
        <v>531</v>
      </c>
      <c r="D3" s="220">
        <v>1.8018018018018018E-3</v>
      </c>
      <c r="E3" s="53">
        <f>+IFERROR(VLOOKUP(C3,'Estadistica Madre LK 23-01 '!A:C,3,0),VLOOKUP(C3,'Estadistica Madre CH 23-01'!A:C,3,0))</f>
        <v>1440</v>
      </c>
      <c r="F3" s="222">
        <f t="shared" ref="F3:F7" si="0">+D3*E3</f>
        <v>2.5945945945945947</v>
      </c>
    </row>
    <row r="4" spans="1:6" ht="18.75" x14ac:dyDescent="0.3">
      <c r="A4" s="219" t="s">
        <v>444</v>
      </c>
      <c r="B4" s="221" t="s">
        <v>445</v>
      </c>
      <c r="C4" s="53">
        <v>730</v>
      </c>
      <c r="D4" s="220">
        <v>1.8018018018018018E-3</v>
      </c>
      <c r="E4" s="53">
        <f>+IFERROR(VLOOKUP(C4,'Estadistica Madre LK 23-01 '!A:C,3,0),VLOOKUP(C4,'Estadistica Madre CH 23-01'!A:C,3,0))</f>
        <v>1080</v>
      </c>
      <c r="F4" s="222">
        <f t="shared" si="0"/>
        <v>1.9459459459459461</v>
      </c>
    </row>
    <row r="5" spans="1:6" ht="18.75" x14ac:dyDescent="0.3">
      <c r="A5" s="219" t="s">
        <v>444</v>
      </c>
      <c r="B5" s="221" t="s">
        <v>445</v>
      </c>
      <c r="C5" s="53">
        <v>731</v>
      </c>
      <c r="D5" s="220">
        <v>1.8018018018018018E-3</v>
      </c>
      <c r="E5" s="53">
        <f>+IFERROR(VLOOKUP(C5,'Estadistica Madre LK 23-01 '!A:C,3,0),VLOOKUP(C5,'Estadistica Madre CH 23-01'!A:C,3,0))</f>
        <v>504</v>
      </c>
      <c r="F5" s="222">
        <f t="shared" si="0"/>
        <v>0.90810810810810816</v>
      </c>
    </row>
    <row r="6" spans="1:6" ht="18.75" x14ac:dyDescent="0.3">
      <c r="A6" s="219" t="s">
        <v>444</v>
      </c>
      <c r="B6" s="221" t="s">
        <v>445</v>
      </c>
      <c r="C6" s="53">
        <v>706</v>
      </c>
      <c r="D6" s="220">
        <v>1.7500000000000154E-4</v>
      </c>
      <c r="E6" s="53">
        <f>+IFERROR(VLOOKUP(C6,'Estadistica Madre LK 23-01 '!A:C,3,0),VLOOKUP(C6,'Estadistica Madre CH 23-01'!A:C,3,0))</f>
        <v>2400</v>
      </c>
      <c r="F6" s="222">
        <f t="shared" si="0"/>
        <v>0.4200000000000037</v>
      </c>
    </row>
    <row r="7" spans="1:6" ht="19.5" thickBot="1" x14ac:dyDescent="0.35">
      <c r="A7" s="219" t="s">
        <v>444</v>
      </c>
      <c r="B7" s="223" t="s">
        <v>445</v>
      </c>
      <c r="C7" s="217">
        <v>700</v>
      </c>
      <c r="D7" s="217">
        <v>4.0000000000000002E-4</v>
      </c>
      <c r="E7" s="217">
        <f>+IFERROR(VLOOKUP(C7,'Estadistica Madre LK 23-01 '!A:C,3,0),VLOOKUP(C7,'Estadistica Madre CH 23-01'!A:C,3,0))</f>
        <v>200</v>
      </c>
      <c r="F7" s="224">
        <f t="shared" si="0"/>
        <v>0.08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G211"/>
  <sheetViews>
    <sheetView topLeftCell="A16" workbookViewId="0">
      <selection activeCell="I15" sqref="I15"/>
    </sheetView>
  </sheetViews>
  <sheetFormatPr baseColWidth="10" defaultRowHeight="15" x14ac:dyDescent="0.25"/>
  <cols>
    <col min="1" max="1" width="7.42578125" customWidth="1"/>
    <col min="2" max="2" width="31.28515625" customWidth="1"/>
    <col min="3" max="3" width="15.85546875" customWidth="1"/>
  </cols>
  <sheetData>
    <row r="1" spans="1:7" ht="4.3499999999999996" customHeight="1" x14ac:dyDescent="0.25"/>
    <row r="2" spans="1:7" ht="4.3499999999999996" customHeight="1" x14ac:dyDescent="0.25"/>
    <row r="3" spans="1:7" ht="4.3499999999999996" customHeight="1" x14ac:dyDescent="0.25"/>
    <row r="4" spans="1:7" ht="4.3499999999999996" customHeight="1" thickBot="1" x14ac:dyDescent="0.3"/>
    <row r="5" spans="1:7" ht="57" thickBot="1" x14ac:dyDescent="0.3">
      <c r="A5" s="173" t="s">
        <v>101</v>
      </c>
      <c r="B5" s="246" t="s">
        <v>5</v>
      </c>
      <c r="C5" s="173" t="s">
        <v>476</v>
      </c>
    </row>
    <row r="6" spans="1:7" ht="23.25" x14ac:dyDescent="0.3">
      <c r="A6" s="174">
        <v>505</v>
      </c>
      <c r="B6" s="195" t="s">
        <v>102</v>
      </c>
      <c r="C6" s="247">
        <v>30000</v>
      </c>
      <c r="G6" s="501"/>
    </row>
    <row r="7" spans="1:7" ht="23.25" x14ac:dyDescent="0.3">
      <c r="A7" s="174">
        <v>506</v>
      </c>
      <c r="B7" s="197" t="s">
        <v>103</v>
      </c>
      <c r="C7" s="247">
        <v>18840</v>
      </c>
      <c r="G7" s="501"/>
    </row>
    <row r="8" spans="1:7" ht="23.25" x14ac:dyDescent="0.3">
      <c r="A8" s="174">
        <v>513</v>
      </c>
      <c r="B8" s="197" t="s">
        <v>104</v>
      </c>
      <c r="C8" s="248">
        <v>18204</v>
      </c>
      <c r="G8" s="501"/>
    </row>
    <row r="9" spans="1:7" ht="23.25" x14ac:dyDescent="0.3">
      <c r="A9" s="174">
        <v>31</v>
      </c>
      <c r="B9" s="196" t="s">
        <v>105</v>
      </c>
      <c r="C9" s="249">
        <v>18192</v>
      </c>
      <c r="G9" s="501"/>
    </row>
    <row r="10" spans="1:7" ht="23.25" x14ac:dyDescent="0.3">
      <c r="A10" s="174">
        <v>586</v>
      </c>
      <c r="B10" s="197" t="s">
        <v>106</v>
      </c>
      <c r="C10" s="248">
        <v>6996</v>
      </c>
      <c r="G10" s="501"/>
    </row>
    <row r="11" spans="1:7" ht="23.25" x14ac:dyDescent="0.3">
      <c r="A11" s="174">
        <v>530</v>
      </c>
      <c r="B11" s="197" t="s">
        <v>107</v>
      </c>
      <c r="C11" s="248">
        <v>3600</v>
      </c>
      <c r="G11" s="501"/>
    </row>
    <row r="12" spans="1:7" ht="23.25" x14ac:dyDescent="0.3">
      <c r="A12" s="174">
        <v>546</v>
      </c>
      <c r="B12" s="197" t="s">
        <v>108</v>
      </c>
      <c r="C12" s="249">
        <v>7200</v>
      </c>
      <c r="G12" s="501"/>
    </row>
    <row r="13" spans="1:7" ht="23.25" x14ac:dyDescent="0.3">
      <c r="A13" s="174">
        <v>544</v>
      </c>
      <c r="B13" s="197" t="s">
        <v>109</v>
      </c>
      <c r="C13" s="249">
        <v>7464</v>
      </c>
      <c r="G13" s="501"/>
    </row>
    <row r="14" spans="1:7" ht="23.25" x14ac:dyDescent="0.3">
      <c r="A14" s="174">
        <v>504</v>
      </c>
      <c r="B14" s="196" t="s">
        <v>110</v>
      </c>
      <c r="C14" s="250">
        <v>6996</v>
      </c>
      <c r="G14" s="501"/>
    </row>
    <row r="15" spans="1:7" ht="23.25" x14ac:dyDescent="0.3">
      <c r="A15" s="174">
        <v>501</v>
      </c>
      <c r="B15" s="197" t="s">
        <v>111</v>
      </c>
      <c r="C15" s="248">
        <v>6912</v>
      </c>
      <c r="G15" s="501"/>
    </row>
    <row r="16" spans="1:7" ht="23.25" x14ac:dyDescent="0.3">
      <c r="A16" s="174">
        <v>502</v>
      </c>
      <c r="B16" s="197" t="s">
        <v>112</v>
      </c>
      <c r="C16" s="248">
        <v>5796</v>
      </c>
      <c r="G16" s="501"/>
    </row>
    <row r="17" spans="1:7" ht="23.25" x14ac:dyDescent="0.25">
      <c r="A17" s="174">
        <v>321</v>
      </c>
      <c r="B17" s="198" t="s">
        <v>113</v>
      </c>
      <c r="C17" s="251">
        <v>3120</v>
      </c>
      <c r="G17" s="501"/>
    </row>
    <row r="18" spans="1:7" ht="23.25" x14ac:dyDescent="0.3">
      <c r="A18" s="174">
        <v>510</v>
      </c>
      <c r="B18" s="252" t="s">
        <v>114</v>
      </c>
      <c r="C18" s="253">
        <v>6456</v>
      </c>
      <c r="G18" s="501"/>
    </row>
    <row r="19" spans="1:7" ht="23.25" x14ac:dyDescent="0.3">
      <c r="A19" s="174">
        <v>27</v>
      </c>
      <c r="B19" s="197" t="s">
        <v>115</v>
      </c>
      <c r="C19" s="249">
        <v>4512</v>
      </c>
      <c r="G19" s="501"/>
    </row>
    <row r="20" spans="1:7" ht="23.25" x14ac:dyDescent="0.3">
      <c r="A20" s="175">
        <v>587</v>
      </c>
      <c r="B20" s="254" t="s">
        <v>116</v>
      </c>
      <c r="C20" s="250">
        <v>3600</v>
      </c>
      <c r="G20" s="501"/>
    </row>
    <row r="21" spans="1:7" ht="23.25" x14ac:dyDescent="0.3">
      <c r="A21" s="174">
        <v>315</v>
      </c>
      <c r="B21" s="197" t="s">
        <v>117</v>
      </c>
      <c r="C21" s="249">
        <v>4500</v>
      </c>
      <c r="G21" s="501"/>
    </row>
    <row r="22" spans="1:7" ht="23.25" x14ac:dyDescent="0.3">
      <c r="A22" s="174">
        <v>520</v>
      </c>
      <c r="B22" s="252" t="s">
        <v>118</v>
      </c>
      <c r="C22" s="253">
        <v>3120</v>
      </c>
      <c r="G22" s="501"/>
    </row>
    <row r="23" spans="1:7" ht="23.25" x14ac:dyDescent="0.3">
      <c r="A23" s="174">
        <v>26</v>
      </c>
      <c r="B23" s="252" t="s">
        <v>119</v>
      </c>
      <c r="C23" s="251">
        <v>7236</v>
      </c>
      <c r="G23" s="501"/>
    </row>
    <row r="24" spans="1:7" ht="23.25" x14ac:dyDescent="0.3">
      <c r="A24" s="174">
        <v>325</v>
      </c>
      <c r="B24" s="197" t="s">
        <v>120</v>
      </c>
      <c r="C24" s="249">
        <v>2256</v>
      </c>
      <c r="G24" s="501"/>
    </row>
    <row r="25" spans="1:7" ht="23.25" x14ac:dyDescent="0.3">
      <c r="A25" s="174">
        <v>30</v>
      </c>
      <c r="B25" s="197" t="s">
        <v>121</v>
      </c>
      <c r="C25" s="253">
        <v>0</v>
      </c>
      <c r="G25" s="501"/>
    </row>
    <row r="26" spans="1:7" ht="23.25" x14ac:dyDescent="0.3">
      <c r="A26" s="174" t="s">
        <v>122</v>
      </c>
      <c r="B26" s="197" t="s">
        <v>123</v>
      </c>
      <c r="C26" s="253">
        <v>4400</v>
      </c>
      <c r="G26" s="501"/>
    </row>
    <row r="27" spans="1:7" ht="23.25" x14ac:dyDescent="0.3">
      <c r="A27" s="174">
        <v>224</v>
      </c>
      <c r="B27" s="197" t="s">
        <v>124</v>
      </c>
      <c r="C27" s="249">
        <v>588</v>
      </c>
      <c r="G27" s="501"/>
    </row>
    <row r="28" spans="1:7" ht="23.25" x14ac:dyDescent="0.3">
      <c r="A28" s="176">
        <v>29</v>
      </c>
      <c r="B28" s="255" t="s">
        <v>125</v>
      </c>
      <c r="C28" s="256">
        <v>0</v>
      </c>
      <c r="G28" s="501"/>
    </row>
    <row r="29" spans="1:7" ht="23.25" x14ac:dyDescent="0.3">
      <c r="A29" s="176">
        <v>558</v>
      </c>
      <c r="B29" s="252" t="s">
        <v>126</v>
      </c>
      <c r="C29" s="253">
        <v>2124</v>
      </c>
      <c r="G29" s="501"/>
    </row>
    <row r="30" spans="1:7" ht="23.25" x14ac:dyDescent="0.3">
      <c r="A30" s="174">
        <v>523</v>
      </c>
      <c r="B30" s="252" t="s">
        <v>127</v>
      </c>
      <c r="C30" s="257">
        <v>2400</v>
      </c>
      <c r="G30" s="501"/>
    </row>
    <row r="31" spans="1:7" ht="23.25" x14ac:dyDescent="0.3">
      <c r="A31" s="174">
        <v>512</v>
      </c>
      <c r="B31" s="197" t="s">
        <v>128</v>
      </c>
      <c r="C31" s="249">
        <v>1656</v>
      </c>
      <c r="G31" s="501"/>
    </row>
    <row r="32" spans="1:7" ht="23.25" x14ac:dyDescent="0.3">
      <c r="A32" s="174">
        <v>521</v>
      </c>
      <c r="B32" s="197" t="s">
        <v>129</v>
      </c>
      <c r="C32" s="249">
        <v>2220</v>
      </c>
      <c r="G32" s="501"/>
    </row>
    <row r="33" spans="1:7" ht="23.25" x14ac:dyDescent="0.3">
      <c r="A33" s="174">
        <v>581</v>
      </c>
      <c r="B33" s="252" t="s">
        <v>130</v>
      </c>
      <c r="C33" s="251">
        <v>768</v>
      </c>
      <c r="G33" s="501"/>
    </row>
    <row r="34" spans="1:7" ht="23.25" x14ac:dyDescent="0.3">
      <c r="A34" s="174">
        <v>531</v>
      </c>
      <c r="B34" s="197" t="s">
        <v>131</v>
      </c>
      <c r="C34" s="253">
        <v>1440</v>
      </c>
      <c r="G34" s="501"/>
    </row>
    <row r="35" spans="1:7" ht="23.25" x14ac:dyDescent="0.3">
      <c r="A35" s="174">
        <v>248</v>
      </c>
      <c r="B35" s="197" t="s">
        <v>132</v>
      </c>
      <c r="C35" s="249">
        <v>924</v>
      </c>
      <c r="G35" s="501"/>
    </row>
    <row r="36" spans="1:7" ht="23.25" x14ac:dyDescent="0.3">
      <c r="A36" s="174">
        <v>555</v>
      </c>
      <c r="B36" s="197" t="s">
        <v>133</v>
      </c>
      <c r="C36" s="249">
        <v>1800</v>
      </c>
      <c r="G36" s="501"/>
    </row>
    <row r="37" spans="1:7" ht="23.25" x14ac:dyDescent="0.3">
      <c r="A37" s="174">
        <v>575</v>
      </c>
      <c r="B37" s="197" t="s">
        <v>134</v>
      </c>
      <c r="C37" s="249">
        <v>1092</v>
      </c>
      <c r="G37" s="501"/>
    </row>
    <row r="38" spans="1:7" ht="23.25" x14ac:dyDescent="0.3">
      <c r="A38" s="174">
        <v>66</v>
      </c>
      <c r="B38" s="197" t="s">
        <v>135</v>
      </c>
      <c r="C38" s="249">
        <v>2100</v>
      </c>
      <c r="G38" s="501"/>
    </row>
    <row r="39" spans="1:7" ht="23.25" x14ac:dyDescent="0.3">
      <c r="A39" s="177">
        <v>535</v>
      </c>
      <c r="B39" s="197" t="s">
        <v>136</v>
      </c>
      <c r="C39" s="249">
        <v>1584</v>
      </c>
      <c r="G39" s="501"/>
    </row>
    <row r="40" spans="1:7" ht="23.25" x14ac:dyDescent="0.3">
      <c r="A40" s="174">
        <v>34</v>
      </c>
      <c r="B40" s="197" t="s">
        <v>137</v>
      </c>
      <c r="C40" s="249">
        <v>1536</v>
      </c>
      <c r="G40" s="501"/>
    </row>
    <row r="41" spans="1:7" ht="23.25" x14ac:dyDescent="0.3">
      <c r="A41" s="176">
        <v>551</v>
      </c>
      <c r="B41" s="255" t="s">
        <v>138</v>
      </c>
      <c r="C41" s="251">
        <v>468</v>
      </c>
      <c r="G41" s="501"/>
    </row>
    <row r="42" spans="1:7" ht="23.25" x14ac:dyDescent="0.3">
      <c r="A42" s="176">
        <v>550</v>
      </c>
      <c r="B42" s="255" t="s">
        <v>139</v>
      </c>
      <c r="C42" s="249">
        <v>1368</v>
      </c>
      <c r="G42" s="501"/>
    </row>
    <row r="43" spans="1:7" ht="23.25" x14ac:dyDescent="0.3">
      <c r="A43" s="176">
        <v>562</v>
      </c>
      <c r="B43" s="255" t="s">
        <v>140</v>
      </c>
      <c r="C43" s="253">
        <v>1200</v>
      </c>
      <c r="G43" s="501"/>
    </row>
    <row r="44" spans="1:7" ht="23.25" x14ac:dyDescent="0.3">
      <c r="A44" s="258" t="s">
        <v>141</v>
      </c>
      <c r="B44" s="255" t="s">
        <v>142</v>
      </c>
      <c r="C44" s="253">
        <v>1872</v>
      </c>
      <c r="G44" s="501"/>
    </row>
    <row r="45" spans="1:7" ht="23.25" x14ac:dyDescent="0.3">
      <c r="A45" s="176">
        <v>229</v>
      </c>
      <c r="B45" s="255" t="s">
        <v>143</v>
      </c>
      <c r="C45" s="253">
        <v>1008</v>
      </c>
      <c r="G45" s="501"/>
    </row>
    <row r="46" spans="1:7" ht="23.25" x14ac:dyDescent="0.3">
      <c r="A46" s="174">
        <v>500</v>
      </c>
      <c r="B46" s="259" t="s">
        <v>144</v>
      </c>
      <c r="C46" s="257">
        <v>1440</v>
      </c>
      <c r="G46" s="501"/>
    </row>
    <row r="47" spans="1:7" ht="23.25" x14ac:dyDescent="0.3">
      <c r="A47" s="174">
        <v>654</v>
      </c>
      <c r="B47" s="197" t="s">
        <v>145</v>
      </c>
      <c r="C47" s="251">
        <v>912</v>
      </c>
      <c r="G47" s="501"/>
    </row>
    <row r="48" spans="1:7" ht="23.25" x14ac:dyDescent="0.3">
      <c r="A48" s="174">
        <v>564</v>
      </c>
      <c r="B48" s="200" t="s">
        <v>146</v>
      </c>
      <c r="C48" s="249">
        <v>444</v>
      </c>
      <c r="G48" s="501"/>
    </row>
    <row r="49" spans="1:7" ht="23.25" x14ac:dyDescent="0.3">
      <c r="A49" s="176">
        <v>525</v>
      </c>
      <c r="B49" s="255" t="s">
        <v>147</v>
      </c>
      <c r="C49" s="253">
        <v>0</v>
      </c>
      <c r="G49" s="501"/>
    </row>
    <row r="50" spans="1:7" ht="23.25" x14ac:dyDescent="0.3">
      <c r="A50" s="176">
        <v>560</v>
      </c>
      <c r="B50" s="255" t="s">
        <v>148</v>
      </c>
      <c r="C50" s="253">
        <v>660</v>
      </c>
      <c r="G50" s="501"/>
    </row>
    <row r="51" spans="1:7" ht="23.25" x14ac:dyDescent="0.3">
      <c r="A51" s="179">
        <v>225</v>
      </c>
      <c r="B51" s="259" t="s">
        <v>149</v>
      </c>
      <c r="C51" s="257">
        <v>2400</v>
      </c>
      <c r="G51" s="501"/>
    </row>
    <row r="52" spans="1:7" ht="23.25" x14ac:dyDescent="0.3">
      <c r="A52" s="176">
        <v>518</v>
      </c>
      <c r="B52" s="255" t="s">
        <v>150</v>
      </c>
      <c r="C52" s="253">
        <v>780</v>
      </c>
      <c r="G52" s="501"/>
    </row>
    <row r="53" spans="1:7" ht="23.25" x14ac:dyDescent="0.3">
      <c r="A53" s="176">
        <v>580</v>
      </c>
      <c r="B53" s="255" t="s">
        <v>151</v>
      </c>
      <c r="C53" s="256">
        <v>684</v>
      </c>
      <c r="G53" s="501"/>
    </row>
    <row r="54" spans="1:7" ht="23.25" x14ac:dyDescent="0.3">
      <c r="A54" s="180">
        <v>577</v>
      </c>
      <c r="B54" s="255" t="s">
        <v>152</v>
      </c>
      <c r="C54" s="260">
        <v>984</v>
      </c>
      <c r="G54" s="501"/>
    </row>
    <row r="55" spans="1:7" ht="23.25" x14ac:dyDescent="0.3">
      <c r="A55" s="176">
        <v>280</v>
      </c>
      <c r="B55" s="255" t="s">
        <v>153</v>
      </c>
      <c r="C55" s="253">
        <v>1300</v>
      </c>
      <c r="G55" s="501"/>
    </row>
    <row r="56" spans="1:7" ht="23.25" x14ac:dyDescent="0.3">
      <c r="A56" s="174">
        <v>507</v>
      </c>
      <c r="B56" s="197" t="s">
        <v>154</v>
      </c>
      <c r="C56" s="249">
        <v>792</v>
      </c>
      <c r="G56" s="501"/>
    </row>
    <row r="57" spans="1:7" ht="23.25" x14ac:dyDescent="0.3">
      <c r="A57" s="176">
        <v>220</v>
      </c>
      <c r="B57" s="255" t="s">
        <v>155</v>
      </c>
      <c r="C57" s="253">
        <v>540</v>
      </c>
      <c r="G57" s="501"/>
    </row>
    <row r="58" spans="1:7" ht="23.25" x14ac:dyDescent="0.3">
      <c r="A58" s="176">
        <v>559</v>
      </c>
      <c r="B58" s="255" t="s">
        <v>156</v>
      </c>
      <c r="C58" s="253">
        <v>996</v>
      </c>
      <c r="G58" s="501"/>
    </row>
    <row r="59" spans="1:7" ht="23.25" x14ac:dyDescent="0.3">
      <c r="A59" s="176">
        <v>519</v>
      </c>
      <c r="B59" s="255" t="s">
        <v>157</v>
      </c>
      <c r="C59" s="253">
        <v>600</v>
      </c>
      <c r="G59" s="501"/>
    </row>
    <row r="60" spans="1:7" ht="23.25" x14ac:dyDescent="0.3">
      <c r="A60" s="174">
        <v>221</v>
      </c>
      <c r="B60" s="252" t="s">
        <v>158</v>
      </c>
      <c r="C60" s="251">
        <v>396</v>
      </c>
      <c r="G60" s="501"/>
    </row>
    <row r="61" spans="1:7" ht="23.25" x14ac:dyDescent="0.3">
      <c r="A61" s="176">
        <v>557</v>
      </c>
      <c r="B61" s="255" t="s">
        <v>159</v>
      </c>
      <c r="C61" s="261">
        <v>1400</v>
      </c>
      <c r="G61" s="501"/>
    </row>
    <row r="62" spans="1:7" ht="23.25" x14ac:dyDescent="0.3">
      <c r="A62" s="176">
        <v>57</v>
      </c>
      <c r="B62" s="255" t="s">
        <v>160</v>
      </c>
      <c r="C62" s="260">
        <v>744</v>
      </c>
      <c r="G62" s="501"/>
    </row>
    <row r="63" spans="1:7" ht="23.25" x14ac:dyDescent="0.3">
      <c r="A63" s="176">
        <v>207</v>
      </c>
      <c r="B63" s="255" t="s">
        <v>161</v>
      </c>
      <c r="C63" s="257">
        <v>600</v>
      </c>
      <c r="G63" s="501"/>
    </row>
    <row r="64" spans="1:7" ht="23.25" x14ac:dyDescent="0.3">
      <c r="A64" s="176">
        <v>565</v>
      </c>
      <c r="B64" s="255" t="s">
        <v>162</v>
      </c>
      <c r="C64" s="260">
        <v>432</v>
      </c>
      <c r="G64" s="501"/>
    </row>
    <row r="65" spans="1:7" ht="23.25" x14ac:dyDescent="0.3">
      <c r="A65" s="182">
        <v>222</v>
      </c>
      <c r="B65" s="255" t="s">
        <v>163</v>
      </c>
      <c r="C65" s="253">
        <v>600</v>
      </c>
      <c r="G65" s="501"/>
    </row>
    <row r="66" spans="1:7" ht="23.25" x14ac:dyDescent="0.3">
      <c r="A66" s="176">
        <v>355</v>
      </c>
      <c r="B66" s="255" t="s">
        <v>164</v>
      </c>
      <c r="C66" s="251">
        <v>720</v>
      </c>
      <c r="G66" s="501"/>
    </row>
    <row r="67" spans="1:7" ht="23.25" x14ac:dyDescent="0.3">
      <c r="A67" s="176">
        <v>573</v>
      </c>
      <c r="B67" s="255" t="s">
        <v>165</v>
      </c>
      <c r="C67" s="253">
        <v>360</v>
      </c>
      <c r="G67" s="501"/>
    </row>
    <row r="68" spans="1:7" ht="23.25" x14ac:dyDescent="0.3">
      <c r="A68" s="180">
        <v>508</v>
      </c>
      <c r="B68" s="255" t="s">
        <v>166</v>
      </c>
      <c r="C68" s="260">
        <v>420</v>
      </c>
      <c r="G68" s="501"/>
    </row>
    <row r="69" spans="1:7" ht="23.25" x14ac:dyDescent="0.3">
      <c r="A69" s="180">
        <v>553</v>
      </c>
      <c r="B69" s="255" t="s">
        <v>167</v>
      </c>
      <c r="C69" s="253">
        <v>0</v>
      </c>
      <c r="G69" s="501"/>
    </row>
    <row r="70" spans="1:7" ht="23.25" x14ac:dyDescent="0.3">
      <c r="A70" s="176">
        <v>395</v>
      </c>
      <c r="B70" s="255" t="s">
        <v>168</v>
      </c>
      <c r="C70" s="260">
        <v>600</v>
      </c>
      <c r="G70" s="501"/>
    </row>
    <row r="71" spans="1:7" ht="23.25" x14ac:dyDescent="0.3">
      <c r="A71" s="176">
        <v>594</v>
      </c>
      <c r="B71" s="255" t="s">
        <v>169</v>
      </c>
      <c r="C71" s="253">
        <v>312</v>
      </c>
      <c r="G71" s="501"/>
    </row>
    <row r="72" spans="1:7" ht="23.25" x14ac:dyDescent="0.3">
      <c r="A72" s="176">
        <v>223</v>
      </c>
      <c r="B72" s="255" t="s">
        <v>170</v>
      </c>
      <c r="C72" s="251">
        <v>276</v>
      </c>
      <c r="G72" s="501"/>
    </row>
    <row r="73" spans="1:7" ht="23.25" x14ac:dyDescent="0.3">
      <c r="A73" s="180" t="s">
        <v>171</v>
      </c>
      <c r="B73" s="255" t="s">
        <v>172</v>
      </c>
      <c r="C73" s="257">
        <v>360</v>
      </c>
      <c r="G73" s="501"/>
    </row>
    <row r="74" spans="1:7" ht="23.25" x14ac:dyDescent="0.3">
      <c r="A74" s="176">
        <v>543</v>
      </c>
      <c r="B74" s="255" t="s">
        <v>173</v>
      </c>
      <c r="C74" s="249">
        <v>396</v>
      </c>
      <c r="G74" s="501"/>
    </row>
    <row r="75" spans="1:7" ht="23.25" x14ac:dyDescent="0.3">
      <c r="A75" s="174">
        <v>569</v>
      </c>
      <c r="B75" s="197" t="s">
        <v>174</v>
      </c>
      <c r="C75" s="249">
        <v>168</v>
      </c>
      <c r="G75" s="501"/>
    </row>
    <row r="76" spans="1:7" ht="23.25" x14ac:dyDescent="0.3">
      <c r="A76" s="180">
        <v>392</v>
      </c>
      <c r="B76" s="255" t="s">
        <v>175</v>
      </c>
      <c r="C76" s="257">
        <v>312</v>
      </c>
      <c r="G76" s="501"/>
    </row>
    <row r="77" spans="1:7" ht="23.25" x14ac:dyDescent="0.3">
      <c r="A77" s="180">
        <v>595</v>
      </c>
      <c r="B77" s="255" t="s">
        <v>176</v>
      </c>
      <c r="C77" s="260">
        <v>288</v>
      </c>
      <c r="G77" s="501"/>
    </row>
    <row r="78" spans="1:7" ht="23.25" x14ac:dyDescent="0.3">
      <c r="A78" s="180">
        <v>312</v>
      </c>
      <c r="B78" s="255" t="s">
        <v>177</v>
      </c>
      <c r="C78" s="257">
        <v>204</v>
      </c>
      <c r="G78" s="501"/>
    </row>
    <row r="79" spans="1:7" ht="23.25" x14ac:dyDescent="0.3">
      <c r="A79" s="180">
        <v>515</v>
      </c>
      <c r="B79" s="255" t="s">
        <v>178</v>
      </c>
      <c r="C79" s="253">
        <v>441.6</v>
      </c>
      <c r="G79" s="501"/>
    </row>
    <row r="80" spans="1:7" ht="23.25" x14ac:dyDescent="0.3">
      <c r="A80" s="176">
        <v>579</v>
      </c>
      <c r="B80" s="255" t="s">
        <v>179</v>
      </c>
      <c r="C80" s="253">
        <v>660</v>
      </c>
      <c r="G80" s="501"/>
    </row>
    <row r="81" spans="1:7" ht="23.25" x14ac:dyDescent="0.3">
      <c r="A81" s="180">
        <v>532</v>
      </c>
      <c r="B81" s="255" t="s">
        <v>180</v>
      </c>
      <c r="C81" s="253">
        <v>312</v>
      </c>
      <c r="G81" s="501"/>
    </row>
    <row r="82" spans="1:7" ht="23.25" x14ac:dyDescent="0.3">
      <c r="A82" s="189">
        <v>511</v>
      </c>
      <c r="B82" s="262" t="s">
        <v>181</v>
      </c>
      <c r="C82" s="256">
        <v>484</v>
      </c>
      <c r="G82" s="501"/>
    </row>
    <row r="83" spans="1:7" ht="23.25" x14ac:dyDescent="0.3">
      <c r="A83" s="180">
        <v>394</v>
      </c>
      <c r="B83" s="255" t="s">
        <v>182</v>
      </c>
      <c r="C83" s="249">
        <v>360</v>
      </c>
      <c r="G83" s="501"/>
    </row>
    <row r="84" spans="1:7" ht="23.25" x14ac:dyDescent="0.3">
      <c r="A84" s="180">
        <v>542</v>
      </c>
      <c r="B84" s="255" t="s">
        <v>183</v>
      </c>
      <c r="C84" s="260">
        <v>384</v>
      </c>
      <c r="G84" s="501"/>
    </row>
    <row r="85" spans="1:7" ht="23.25" x14ac:dyDescent="0.3">
      <c r="A85" s="176">
        <v>299</v>
      </c>
      <c r="B85" s="255" t="s">
        <v>184</v>
      </c>
      <c r="C85" s="260">
        <v>324</v>
      </c>
      <c r="G85" s="501"/>
    </row>
    <row r="86" spans="1:7" ht="23.25" x14ac:dyDescent="0.3">
      <c r="A86" s="180">
        <v>393</v>
      </c>
      <c r="B86" s="255" t="s">
        <v>185</v>
      </c>
      <c r="C86" s="260">
        <v>312</v>
      </c>
      <c r="G86" s="501"/>
    </row>
    <row r="87" spans="1:7" ht="23.25" x14ac:dyDescent="0.3">
      <c r="A87" s="181">
        <v>59</v>
      </c>
      <c r="B87" s="197" t="s">
        <v>186</v>
      </c>
      <c r="C87" s="253">
        <v>144</v>
      </c>
      <c r="G87" s="501"/>
    </row>
    <row r="88" spans="1:7" ht="23.25" x14ac:dyDescent="0.3">
      <c r="A88" s="180">
        <v>334</v>
      </c>
      <c r="B88" s="263" t="s">
        <v>187</v>
      </c>
      <c r="C88" s="260">
        <v>192</v>
      </c>
      <c r="G88" s="501"/>
    </row>
    <row r="89" spans="1:7" ht="23.25" x14ac:dyDescent="0.3">
      <c r="A89" s="176">
        <v>58</v>
      </c>
      <c r="B89" s="255" t="s">
        <v>188</v>
      </c>
      <c r="C89" s="256">
        <v>312</v>
      </c>
      <c r="G89" s="501"/>
    </row>
    <row r="90" spans="1:7" ht="23.25" x14ac:dyDescent="0.3">
      <c r="A90" s="176">
        <v>323</v>
      </c>
      <c r="B90" s="255" t="s">
        <v>189</v>
      </c>
      <c r="C90" s="256">
        <v>264</v>
      </c>
      <c r="G90" s="501"/>
    </row>
    <row r="91" spans="1:7" ht="23.25" x14ac:dyDescent="0.3">
      <c r="A91" s="176">
        <v>242</v>
      </c>
      <c r="B91" s="255" t="s">
        <v>190</v>
      </c>
      <c r="C91" s="260">
        <v>0</v>
      </c>
      <c r="G91" s="501"/>
    </row>
    <row r="92" spans="1:7" ht="23.25" x14ac:dyDescent="0.3">
      <c r="A92" s="176">
        <v>570</v>
      </c>
      <c r="B92" s="255" t="s">
        <v>191</v>
      </c>
      <c r="C92" s="260">
        <v>432</v>
      </c>
      <c r="G92" s="501"/>
    </row>
    <row r="93" spans="1:7" ht="23.25" x14ac:dyDescent="0.3">
      <c r="A93" s="180">
        <v>246</v>
      </c>
      <c r="B93" s="255" t="s">
        <v>192</v>
      </c>
      <c r="C93" s="260">
        <v>120</v>
      </c>
      <c r="G93" s="501"/>
    </row>
    <row r="94" spans="1:7" ht="23.25" x14ac:dyDescent="0.3">
      <c r="A94" s="176">
        <v>396</v>
      </c>
      <c r="B94" s="255" t="s">
        <v>193</v>
      </c>
      <c r="C94" s="260">
        <v>180</v>
      </c>
      <c r="G94" s="501"/>
    </row>
    <row r="95" spans="1:7" ht="23.25" x14ac:dyDescent="0.3">
      <c r="A95" s="180">
        <v>548</v>
      </c>
      <c r="B95" s="252" t="s">
        <v>194</v>
      </c>
      <c r="C95" s="249">
        <v>0</v>
      </c>
      <c r="G95" s="501"/>
    </row>
    <row r="96" spans="1:7" ht="23.25" x14ac:dyDescent="0.3">
      <c r="A96" s="180">
        <v>333</v>
      </c>
      <c r="B96" s="255" t="s">
        <v>195</v>
      </c>
      <c r="C96" s="256">
        <v>288</v>
      </c>
      <c r="G96" s="501"/>
    </row>
    <row r="97" spans="1:7" ht="23.25" x14ac:dyDescent="0.3">
      <c r="A97" s="180">
        <v>400</v>
      </c>
      <c r="B97" s="203" t="s">
        <v>196</v>
      </c>
      <c r="C97" s="253">
        <v>24</v>
      </c>
      <c r="G97" s="501"/>
    </row>
    <row r="98" spans="1:7" ht="23.25" x14ac:dyDescent="0.3">
      <c r="A98" s="180">
        <v>596</v>
      </c>
      <c r="B98" s="263" t="s">
        <v>197</v>
      </c>
      <c r="C98" s="256">
        <v>108</v>
      </c>
      <c r="G98" s="501"/>
    </row>
    <row r="99" spans="1:7" ht="23.25" x14ac:dyDescent="0.3">
      <c r="A99" s="264">
        <v>499</v>
      </c>
      <c r="B99" s="255" t="s">
        <v>198</v>
      </c>
      <c r="C99" s="260">
        <v>144</v>
      </c>
      <c r="G99" s="501"/>
    </row>
    <row r="100" spans="1:7" ht="23.25" x14ac:dyDescent="0.3">
      <c r="A100" s="180">
        <v>391</v>
      </c>
      <c r="B100" s="255" t="s">
        <v>199</v>
      </c>
      <c r="C100" s="257">
        <v>192</v>
      </c>
      <c r="G100" s="501"/>
    </row>
    <row r="101" spans="1:7" ht="23.25" x14ac:dyDescent="0.3">
      <c r="A101" s="184">
        <v>336</v>
      </c>
      <c r="B101" s="265" t="s">
        <v>200</v>
      </c>
      <c r="C101" s="249">
        <v>216</v>
      </c>
      <c r="G101" s="501"/>
    </row>
    <row r="102" spans="1:7" ht="23.25" x14ac:dyDescent="0.3">
      <c r="A102" s="180">
        <v>332</v>
      </c>
      <c r="B102" s="265" t="s">
        <v>201</v>
      </c>
      <c r="C102" s="260">
        <v>264</v>
      </c>
      <c r="G102" s="501"/>
    </row>
    <row r="103" spans="1:7" ht="23.25" x14ac:dyDescent="0.3">
      <c r="A103" s="180">
        <v>311</v>
      </c>
      <c r="B103" s="202" t="s">
        <v>202</v>
      </c>
      <c r="C103" s="253">
        <v>96</v>
      </c>
      <c r="G103" s="501"/>
    </row>
    <row r="104" spans="1:7" ht="23.25" x14ac:dyDescent="0.3">
      <c r="A104" s="180">
        <v>208</v>
      </c>
      <c r="B104" s="265" t="s">
        <v>203</v>
      </c>
      <c r="C104" s="260">
        <v>144</v>
      </c>
      <c r="G104" s="501"/>
    </row>
    <row r="105" spans="1:7" ht="23.25" x14ac:dyDescent="0.3">
      <c r="A105" s="180">
        <v>561</v>
      </c>
      <c r="B105" s="265" t="s">
        <v>204</v>
      </c>
      <c r="C105" s="253">
        <v>300</v>
      </c>
      <c r="G105" s="501"/>
    </row>
    <row r="106" spans="1:7" ht="23.25" x14ac:dyDescent="0.3">
      <c r="A106" s="180">
        <v>823</v>
      </c>
      <c r="B106" s="265" t="s">
        <v>205</v>
      </c>
      <c r="C106" s="249">
        <v>108</v>
      </c>
      <c r="G106" s="501"/>
    </row>
    <row r="107" spans="1:7" ht="23.25" x14ac:dyDescent="0.3">
      <c r="A107" s="180">
        <v>509</v>
      </c>
      <c r="B107" s="202" t="s">
        <v>206</v>
      </c>
      <c r="C107" s="253">
        <v>192</v>
      </c>
      <c r="G107" s="501"/>
    </row>
    <row r="108" spans="1:7" ht="23.25" x14ac:dyDescent="0.3">
      <c r="A108" s="180" t="s">
        <v>207</v>
      </c>
      <c r="B108" s="265" t="s">
        <v>208</v>
      </c>
      <c r="C108" s="260">
        <v>36</v>
      </c>
      <c r="G108" s="501"/>
    </row>
    <row r="109" spans="1:7" ht="23.25" x14ac:dyDescent="0.3">
      <c r="A109" s="180" t="s">
        <v>209</v>
      </c>
      <c r="B109" s="265" t="s">
        <v>210</v>
      </c>
      <c r="C109" s="260">
        <v>600</v>
      </c>
      <c r="G109" s="501"/>
    </row>
    <row r="110" spans="1:7" ht="23.25" x14ac:dyDescent="0.3">
      <c r="A110" s="180" t="s">
        <v>211</v>
      </c>
      <c r="B110" s="255" t="s">
        <v>212</v>
      </c>
      <c r="C110" s="260">
        <v>600</v>
      </c>
      <c r="G110" s="501"/>
    </row>
    <row r="111" spans="1:7" ht="23.25" x14ac:dyDescent="0.3">
      <c r="A111" s="180" t="s">
        <v>213</v>
      </c>
      <c r="B111" s="255" t="s">
        <v>151</v>
      </c>
      <c r="C111" s="256">
        <v>0</v>
      </c>
      <c r="G111" s="501"/>
    </row>
    <row r="112" spans="1:7" ht="23.25" x14ac:dyDescent="0.3">
      <c r="A112" s="176" t="s">
        <v>214</v>
      </c>
      <c r="B112" s="255" t="s">
        <v>215</v>
      </c>
      <c r="C112" s="249">
        <v>360</v>
      </c>
      <c r="G112" s="501"/>
    </row>
    <row r="113" spans="1:7" ht="23.25" x14ac:dyDescent="0.3">
      <c r="A113" s="180" t="s">
        <v>216</v>
      </c>
      <c r="B113" s="255" t="s">
        <v>217</v>
      </c>
      <c r="C113" s="256">
        <v>120</v>
      </c>
      <c r="G113" s="501"/>
    </row>
    <row r="114" spans="1:7" ht="23.25" x14ac:dyDescent="0.3">
      <c r="A114" s="180">
        <v>516</v>
      </c>
      <c r="B114" s="255" t="s">
        <v>218</v>
      </c>
      <c r="C114" s="249">
        <v>500</v>
      </c>
      <c r="G114" s="501"/>
    </row>
    <row r="115" spans="1:7" ht="23.25" x14ac:dyDescent="0.3">
      <c r="A115" s="180">
        <v>554</v>
      </c>
      <c r="B115" s="255" t="s">
        <v>219</v>
      </c>
      <c r="C115" s="256">
        <v>192</v>
      </c>
      <c r="G115" s="501"/>
    </row>
    <row r="116" spans="1:7" ht="23.25" x14ac:dyDescent="0.3">
      <c r="A116" s="180" t="s">
        <v>220</v>
      </c>
      <c r="B116" s="255" t="s">
        <v>221</v>
      </c>
      <c r="C116" s="260">
        <v>700</v>
      </c>
      <c r="G116" s="501"/>
    </row>
    <row r="117" spans="1:7" ht="23.25" x14ac:dyDescent="0.3">
      <c r="A117" s="180">
        <v>335</v>
      </c>
      <c r="B117" s="255" t="s">
        <v>222</v>
      </c>
      <c r="C117" s="260">
        <v>120</v>
      </c>
      <c r="G117" s="501"/>
    </row>
    <row r="118" spans="1:7" ht="23.25" x14ac:dyDescent="0.3">
      <c r="A118" s="180">
        <v>390</v>
      </c>
      <c r="B118" s="255" t="s">
        <v>223</v>
      </c>
      <c r="C118" s="260">
        <v>120</v>
      </c>
      <c r="G118" s="501"/>
    </row>
    <row r="119" spans="1:7" ht="23.25" x14ac:dyDescent="0.3">
      <c r="A119" s="180">
        <v>389</v>
      </c>
      <c r="B119" s="255" t="s">
        <v>224</v>
      </c>
      <c r="C119" s="260">
        <v>0</v>
      </c>
      <c r="G119" s="501"/>
    </row>
    <row r="120" spans="1:7" ht="23.25" x14ac:dyDescent="0.3">
      <c r="A120" s="180">
        <v>534</v>
      </c>
      <c r="B120" s="255" t="s">
        <v>225</v>
      </c>
      <c r="C120" s="260">
        <v>144</v>
      </c>
      <c r="G120" s="501"/>
    </row>
    <row r="121" spans="1:7" ht="23.25" x14ac:dyDescent="0.3">
      <c r="A121" s="176">
        <v>339</v>
      </c>
      <c r="B121" s="255" t="s">
        <v>226</v>
      </c>
      <c r="C121" s="260">
        <v>0</v>
      </c>
      <c r="G121" s="501"/>
    </row>
    <row r="122" spans="1:7" ht="18.75" x14ac:dyDescent="0.3">
      <c r="A122" s="185">
        <v>338</v>
      </c>
      <c r="B122" s="203" t="s">
        <v>227</v>
      </c>
      <c r="C122" s="266">
        <v>240</v>
      </c>
      <c r="G122" s="501"/>
    </row>
    <row r="123" spans="1:7" ht="23.25" x14ac:dyDescent="0.3">
      <c r="A123" s="186">
        <v>498</v>
      </c>
      <c r="B123" s="255" t="s">
        <v>228</v>
      </c>
      <c r="C123" s="249">
        <v>144</v>
      </c>
      <c r="G123" s="501"/>
    </row>
    <row r="124" spans="1:7" ht="23.25" x14ac:dyDescent="0.3">
      <c r="A124" s="180">
        <v>337</v>
      </c>
      <c r="B124" s="263" t="s">
        <v>229</v>
      </c>
      <c r="C124" s="260">
        <v>96</v>
      </c>
      <c r="G124" s="501"/>
    </row>
    <row r="125" spans="1:7" ht="23.25" x14ac:dyDescent="0.3">
      <c r="A125" s="180">
        <v>547</v>
      </c>
      <c r="B125" s="263" t="s">
        <v>230</v>
      </c>
      <c r="C125" s="260">
        <v>24</v>
      </c>
      <c r="G125" s="501"/>
    </row>
    <row r="126" spans="1:7" ht="18.75" x14ac:dyDescent="0.3">
      <c r="A126" s="185" t="s">
        <v>231</v>
      </c>
      <c r="B126" s="202" t="s">
        <v>232</v>
      </c>
      <c r="C126" s="266">
        <v>0</v>
      </c>
      <c r="G126" s="501"/>
    </row>
    <row r="127" spans="1:7" ht="23.25" x14ac:dyDescent="0.3">
      <c r="A127" s="176" t="s">
        <v>233</v>
      </c>
      <c r="B127" s="265" t="s">
        <v>123</v>
      </c>
      <c r="C127" s="260"/>
      <c r="G127" s="501"/>
    </row>
    <row r="128" spans="1:7" ht="23.25" x14ac:dyDescent="0.3">
      <c r="A128" s="180" t="s">
        <v>234</v>
      </c>
      <c r="B128" s="265" t="s">
        <v>235</v>
      </c>
      <c r="C128" s="253">
        <v>1800</v>
      </c>
      <c r="G128" s="501"/>
    </row>
    <row r="129" spans="1:7" ht="23.25" x14ac:dyDescent="0.3">
      <c r="A129" s="181">
        <v>574</v>
      </c>
      <c r="B129" s="267" t="s">
        <v>236</v>
      </c>
      <c r="C129" s="253">
        <v>0</v>
      </c>
      <c r="G129" s="501"/>
    </row>
    <row r="130" spans="1:7" ht="23.25" x14ac:dyDescent="0.3">
      <c r="A130" s="268">
        <v>28</v>
      </c>
      <c r="B130" s="269" t="s">
        <v>237</v>
      </c>
      <c r="C130" s="270">
        <v>0</v>
      </c>
      <c r="G130" s="501"/>
    </row>
    <row r="131" spans="1:7" ht="23.25" x14ac:dyDescent="0.3">
      <c r="A131" s="271">
        <v>250</v>
      </c>
      <c r="B131" s="269" t="s">
        <v>238</v>
      </c>
      <c r="C131" s="270">
        <v>0</v>
      </c>
      <c r="G131" s="501"/>
    </row>
    <row r="132" spans="1:7" ht="23.25" x14ac:dyDescent="0.3">
      <c r="A132" s="180">
        <v>253</v>
      </c>
      <c r="B132" s="272" t="s">
        <v>239</v>
      </c>
      <c r="C132" s="260">
        <v>0</v>
      </c>
      <c r="G132" s="501"/>
    </row>
    <row r="133" spans="1:7" ht="23.25" x14ac:dyDescent="0.3">
      <c r="A133" s="180">
        <v>254</v>
      </c>
      <c r="B133" s="273" t="s">
        <v>240</v>
      </c>
      <c r="C133" s="253">
        <v>0</v>
      </c>
      <c r="G133" s="501"/>
    </row>
    <row r="134" spans="1:7" ht="23.25" x14ac:dyDescent="0.3">
      <c r="A134" s="187">
        <v>578</v>
      </c>
      <c r="B134" s="274" t="s">
        <v>241</v>
      </c>
      <c r="C134" s="275">
        <v>0</v>
      </c>
      <c r="G134" s="501"/>
    </row>
    <row r="135" spans="1:7" ht="23.25" x14ac:dyDescent="0.3">
      <c r="A135" s="187" t="s">
        <v>242</v>
      </c>
      <c r="B135" s="274" t="s">
        <v>236</v>
      </c>
      <c r="C135" s="275">
        <v>648</v>
      </c>
      <c r="G135" s="501"/>
    </row>
    <row r="136" spans="1:7" ht="23.25" x14ac:dyDescent="0.3">
      <c r="A136" s="180" t="s">
        <v>243</v>
      </c>
      <c r="B136" s="273" t="s">
        <v>244</v>
      </c>
      <c r="C136" s="260">
        <v>480</v>
      </c>
      <c r="G136" s="501"/>
    </row>
    <row r="137" spans="1:7" ht="23.25" x14ac:dyDescent="0.3">
      <c r="A137" s="188" t="s">
        <v>245</v>
      </c>
      <c r="B137" s="273" t="s">
        <v>246</v>
      </c>
      <c r="C137" s="260">
        <v>0</v>
      </c>
      <c r="G137" s="501"/>
    </row>
    <row r="138" spans="1:7" ht="23.25" x14ac:dyDescent="0.3">
      <c r="A138" s="180" t="s">
        <v>247</v>
      </c>
      <c r="B138" s="276" t="s">
        <v>248</v>
      </c>
      <c r="C138" s="260">
        <v>312</v>
      </c>
      <c r="G138" s="501"/>
    </row>
    <row r="139" spans="1:7" ht="23.25" x14ac:dyDescent="0.3">
      <c r="A139" s="180" t="s">
        <v>249</v>
      </c>
      <c r="B139" s="276" t="s">
        <v>250</v>
      </c>
      <c r="C139" s="260">
        <v>180</v>
      </c>
      <c r="G139" s="501"/>
    </row>
    <row r="140" spans="1:7" ht="23.25" x14ac:dyDescent="0.3">
      <c r="A140" s="180" t="s">
        <v>251</v>
      </c>
      <c r="B140" s="276" t="s">
        <v>252</v>
      </c>
      <c r="C140" s="253">
        <v>144</v>
      </c>
      <c r="G140" s="501"/>
    </row>
    <row r="141" spans="1:7" ht="23.25" x14ac:dyDescent="0.3">
      <c r="A141" s="180" t="s">
        <v>220</v>
      </c>
      <c r="B141" s="276" t="s">
        <v>221</v>
      </c>
      <c r="C141" s="260">
        <v>700</v>
      </c>
      <c r="G141" s="501"/>
    </row>
    <row r="142" spans="1:7" ht="23.25" x14ac:dyDescent="0.3">
      <c r="A142" s="180" t="s">
        <v>253</v>
      </c>
      <c r="B142" s="276" t="s">
        <v>254</v>
      </c>
      <c r="C142" s="277">
        <v>240</v>
      </c>
      <c r="G142" s="501"/>
    </row>
    <row r="143" spans="1:7" ht="23.25" x14ac:dyDescent="0.3">
      <c r="A143" s="180">
        <v>230</v>
      </c>
      <c r="B143" s="276" t="s">
        <v>255</v>
      </c>
      <c r="C143" s="260">
        <v>0</v>
      </c>
      <c r="G143" s="501"/>
    </row>
    <row r="144" spans="1:7" ht="23.25" x14ac:dyDescent="0.3">
      <c r="A144" s="188">
        <v>233</v>
      </c>
      <c r="B144" s="278" t="s">
        <v>256</v>
      </c>
      <c r="C144" s="260">
        <v>0</v>
      </c>
      <c r="G144" s="501"/>
    </row>
    <row r="145" spans="1:7" ht="23.25" x14ac:dyDescent="0.3">
      <c r="A145" s="279" t="s">
        <v>257</v>
      </c>
      <c r="B145" s="276" t="s">
        <v>258</v>
      </c>
      <c r="C145" s="260">
        <v>0</v>
      </c>
      <c r="G145" s="501"/>
    </row>
    <row r="146" spans="1:7" ht="23.25" x14ac:dyDescent="0.3">
      <c r="A146" s="189" t="s">
        <v>259</v>
      </c>
      <c r="B146" s="280" t="s">
        <v>260</v>
      </c>
      <c r="C146" s="260">
        <v>600</v>
      </c>
      <c r="G146" s="501"/>
    </row>
    <row r="147" spans="1:7" ht="23.25" x14ac:dyDescent="0.3">
      <c r="A147" s="281" t="s">
        <v>261</v>
      </c>
      <c r="B147" s="282" t="s">
        <v>262</v>
      </c>
      <c r="C147" s="261">
        <v>912</v>
      </c>
      <c r="G147" s="501"/>
    </row>
    <row r="148" spans="1:7" ht="23.25" x14ac:dyDescent="0.3">
      <c r="A148" s="283">
        <v>231</v>
      </c>
      <c r="B148" s="284" t="s">
        <v>263</v>
      </c>
      <c r="C148" s="261">
        <v>0</v>
      </c>
      <c r="G148" s="501"/>
    </row>
    <row r="149" spans="1:7" ht="24" thickBot="1" x14ac:dyDescent="0.35">
      <c r="A149" s="190">
        <v>322</v>
      </c>
      <c r="B149" s="285" t="s">
        <v>264</v>
      </c>
      <c r="C149" s="286">
        <v>0</v>
      </c>
      <c r="G149" s="501"/>
    </row>
    <row r="150" spans="1:7" ht="23.25" x14ac:dyDescent="0.3">
      <c r="A150" s="287">
        <v>517</v>
      </c>
      <c r="B150" s="288" t="s">
        <v>265</v>
      </c>
      <c r="C150" s="289">
        <v>0</v>
      </c>
      <c r="G150" s="501"/>
    </row>
    <row r="151" spans="1:7" ht="23.25" x14ac:dyDescent="0.3">
      <c r="A151" s="264" t="s">
        <v>266</v>
      </c>
      <c r="B151" s="290" t="s">
        <v>126</v>
      </c>
      <c r="C151" s="260">
        <v>0</v>
      </c>
      <c r="G151" s="501"/>
    </row>
    <row r="152" spans="1:7" ht="23.25" x14ac:dyDescent="0.3">
      <c r="A152" s="180">
        <v>592</v>
      </c>
      <c r="B152" s="276" t="s">
        <v>267</v>
      </c>
      <c r="C152" s="260">
        <v>0</v>
      </c>
      <c r="G152" s="501"/>
    </row>
    <row r="153" spans="1:7" ht="23.25" x14ac:dyDescent="0.25">
      <c r="A153" s="180">
        <v>593</v>
      </c>
      <c r="B153" s="291" t="s">
        <v>268</v>
      </c>
      <c r="C153" s="257">
        <v>0</v>
      </c>
      <c r="G153" s="501"/>
    </row>
    <row r="154" spans="1:7" ht="23.25" x14ac:dyDescent="0.3">
      <c r="A154" s="174">
        <v>655</v>
      </c>
      <c r="B154" s="255" t="s">
        <v>269</v>
      </c>
      <c r="C154" s="292">
        <v>0</v>
      </c>
      <c r="G154" s="501"/>
    </row>
    <row r="155" spans="1:7" ht="23.25" x14ac:dyDescent="0.3">
      <c r="A155" s="180" t="s">
        <v>270</v>
      </c>
      <c r="B155" s="276" t="s">
        <v>271</v>
      </c>
      <c r="C155" s="260">
        <v>420</v>
      </c>
      <c r="G155" s="501"/>
    </row>
    <row r="156" spans="1:7" ht="23.25" x14ac:dyDescent="0.3">
      <c r="A156" s="180">
        <v>326</v>
      </c>
      <c r="B156" s="276" t="s">
        <v>272</v>
      </c>
      <c r="C156" s="260">
        <v>144</v>
      </c>
      <c r="G156" s="501"/>
    </row>
    <row r="157" spans="1:7" ht="23.25" x14ac:dyDescent="0.3">
      <c r="A157" s="180">
        <v>571</v>
      </c>
      <c r="B157" s="276" t="s">
        <v>273</v>
      </c>
      <c r="C157" s="260">
        <v>0</v>
      </c>
      <c r="G157" s="501"/>
    </row>
    <row r="158" spans="1:7" ht="23.25" x14ac:dyDescent="0.3">
      <c r="A158" s="180" t="s">
        <v>274</v>
      </c>
      <c r="B158" s="276" t="s">
        <v>275</v>
      </c>
      <c r="C158" s="253">
        <v>0</v>
      </c>
      <c r="G158" s="501"/>
    </row>
    <row r="159" spans="1:7" ht="23.25" x14ac:dyDescent="0.3">
      <c r="A159" s="188" t="s">
        <v>245</v>
      </c>
      <c r="B159" s="273" t="s">
        <v>276</v>
      </c>
      <c r="C159" s="260">
        <v>0</v>
      </c>
      <c r="G159" s="501"/>
    </row>
    <row r="160" spans="1:7" ht="23.25" x14ac:dyDescent="0.3">
      <c r="A160" s="180">
        <v>324</v>
      </c>
      <c r="B160" s="276" t="s">
        <v>277</v>
      </c>
      <c r="C160" s="260">
        <v>0</v>
      </c>
      <c r="G160" s="501"/>
    </row>
    <row r="161" spans="1:7" ht="23.25" x14ac:dyDescent="0.3">
      <c r="A161" s="180">
        <v>524</v>
      </c>
      <c r="B161" s="263" t="s">
        <v>278</v>
      </c>
      <c r="C161" s="260">
        <v>24</v>
      </c>
      <c r="G161" s="501"/>
    </row>
    <row r="162" spans="1:7" ht="23.25" x14ac:dyDescent="0.3">
      <c r="A162" s="180">
        <v>556</v>
      </c>
      <c r="B162" s="276" t="s">
        <v>279</v>
      </c>
      <c r="C162" s="260">
        <v>24</v>
      </c>
      <c r="G162" s="501"/>
    </row>
    <row r="163" spans="1:7" ht="23.25" x14ac:dyDescent="0.3">
      <c r="A163" s="180" t="s">
        <v>280</v>
      </c>
      <c r="B163" s="293" t="s">
        <v>281</v>
      </c>
      <c r="C163" s="260">
        <v>0</v>
      </c>
      <c r="G163" s="501"/>
    </row>
    <row r="164" spans="1:7" ht="23.25" x14ac:dyDescent="0.3">
      <c r="A164" s="191" t="s">
        <v>282</v>
      </c>
      <c r="B164" s="267" t="s">
        <v>283</v>
      </c>
      <c r="C164" s="253">
        <v>48</v>
      </c>
      <c r="G164" s="501"/>
    </row>
    <row r="165" spans="1:7" ht="23.25" x14ac:dyDescent="0.3">
      <c r="A165" s="188" t="s">
        <v>284</v>
      </c>
      <c r="B165" s="278" t="s">
        <v>285</v>
      </c>
      <c r="C165" s="260">
        <v>0</v>
      </c>
      <c r="G165" s="501"/>
    </row>
    <row r="166" spans="1:7" ht="23.25" x14ac:dyDescent="0.3">
      <c r="A166" s="191" t="s">
        <v>286</v>
      </c>
      <c r="B166" s="267" t="s">
        <v>287</v>
      </c>
      <c r="C166" s="253">
        <v>0</v>
      </c>
      <c r="G166" s="501"/>
    </row>
    <row r="167" spans="1:7" ht="23.25" x14ac:dyDescent="0.3">
      <c r="A167" s="188" t="s">
        <v>288</v>
      </c>
      <c r="B167" s="273" t="s">
        <v>289</v>
      </c>
      <c r="C167" s="260">
        <v>0</v>
      </c>
      <c r="G167" s="501"/>
    </row>
    <row r="168" spans="1:7" ht="23.25" x14ac:dyDescent="0.3">
      <c r="A168" s="191">
        <v>247</v>
      </c>
      <c r="B168" s="294" t="s">
        <v>290</v>
      </c>
      <c r="C168" s="253">
        <v>0</v>
      </c>
      <c r="G168" s="501"/>
    </row>
    <row r="169" spans="1:7" ht="23.25" x14ac:dyDescent="0.3">
      <c r="A169" s="295" t="s">
        <v>291</v>
      </c>
      <c r="B169" s="273" t="s">
        <v>292</v>
      </c>
      <c r="C169" s="260">
        <v>0</v>
      </c>
      <c r="G169" s="501"/>
    </row>
    <row r="170" spans="1:7" ht="23.25" x14ac:dyDescent="0.3">
      <c r="A170" s="191" t="s">
        <v>293</v>
      </c>
      <c r="B170" s="294" t="s">
        <v>294</v>
      </c>
      <c r="C170" s="253">
        <v>0</v>
      </c>
      <c r="G170" s="501"/>
    </row>
    <row r="171" spans="1:7" ht="23.25" x14ac:dyDescent="0.3">
      <c r="A171" s="191" t="s">
        <v>295</v>
      </c>
      <c r="B171" s="294" t="s">
        <v>296</v>
      </c>
      <c r="C171" s="253">
        <v>480</v>
      </c>
      <c r="G171" s="501"/>
    </row>
    <row r="172" spans="1:7" ht="23.25" x14ac:dyDescent="0.3">
      <c r="A172" s="296" t="s">
        <v>297</v>
      </c>
      <c r="B172" s="297" t="s">
        <v>298</v>
      </c>
      <c r="C172" s="298">
        <v>120</v>
      </c>
      <c r="G172" s="501"/>
    </row>
    <row r="173" spans="1:7" ht="23.25" x14ac:dyDescent="0.3">
      <c r="A173" s="283" t="s">
        <v>299</v>
      </c>
      <c r="B173" s="284" t="s">
        <v>300</v>
      </c>
      <c r="C173" s="261">
        <v>120</v>
      </c>
      <c r="G173" s="501"/>
    </row>
    <row r="174" spans="1:7" ht="23.25" x14ac:dyDescent="0.3">
      <c r="A174" s="188" t="s">
        <v>301</v>
      </c>
      <c r="B174" s="278" t="s">
        <v>302</v>
      </c>
      <c r="C174" s="260">
        <v>120</v>
      </c>
      <c r="G174" s="501"/>
    </row>
    <row r="175" spans="1:7" ht="23.25" x14ac:dyDescent="0.3">
      <c r="A175" s="176">
        <v>526</v>
      </c>
      <c r="B175" s="299" t="s">
        <v>303</v>
      </c>
      <c r="C175" s="260">
        <v>0</v>
      </c>
      <c r="G175" s="501"/>
    </row>
    <row r="176" spans="1:7" ht="24" thickBot="1" x14ac:dyDescent="0.35">
      <c r="A176" s="192">
        <v>552</v>
      </c>
      <c r="B176" s="300" t="s">
        <v>304</v>
      </c>
      <c r="C176" s="301">
        <v>0</v>
      </c>
      <c r="G176" s="501"/>
    </row>
    <row r="177" spans="1:7" ht="23.25" x14ac:dyDescent="0.3">
      <c r="A177" s="180">
        <v>658</v>
      </c>
      <c r="B177" s="263" t="s">
        <v>305</v>
      </c>
      <c r="C177" s="260">
        <v>0</v>
      </c>
      <c r="G177" s="501"/>
    </row>
    <row r="178" spans="1:7" ht="23.25" x14ac:dyDescent="0.3">
      <c r="A178" s="193">
        <v>659</v>
      </c>
      <c r="B178" s="273" t="s">
        <v>306</v>
      </c>
      <c r="C178" s="260">
        <v>0</v>
      </c>
      <c r="G178" s="501"/>
    </row>
    <row r="179" spans="1:7" ht="23.25" x14ac:dyDescent="0.3">
      <c r="A179" s="188" t="s">
        <v>307</v>
      </c>
      <c r="B179" s="273" t="s">
        <v>308</v>
      </c>
      <c r="C179" s="302">
        <v>0</v>
      </c>
      <c r="G179" s="501"/>
    </row>
    <row r="180" spans="1:7" ht="23.25" x14ac:dyDescent="0.3">
      <c r="A180" s="303" t="s">
        <v>309</v>
      </c>
      <c r="B180" s="294" t="s">
        <v>310</v>
      </c>
      <c r="C180" s="304">
        <v>336</v>
      </c>
      <c r="G180" s="501"/>
    </row>
    <row r="181" spans="1:7" ht="23.25" x14ac:dyDescent="0.25">
      <c r="A181" s="174" t="s">
        <v>311</v>
      </c>
      <c r="B181" s="305" t="s">
        <v>128</v>
      </c>
      <c r="C181" s="292">
        <v>0</v>
      </c>
      <c r="G181" s="501"/>
    </row>
    <row r="182" spans="1:7" ht="23.25" x14ac:dyDescent="0.3">
      <c r="A182" s="188" t="s">
        <v>312</v>
      </c>
      <c r="B182" s="284" t="s">
        <v>313</v>
      </c>
      <c r="C182" s="306">
        <v>0</v>
      </c>
      <c r="G182" s="501"/>
    </row>
    <row r="183" spans="1:7" ht="23.25" x14ac:dyDescent="0.25">
      <c r="A183" s="174" t="s">
        <v>314</v>
      </c>
      <c r="B183" s="307" t="s">
        <v>315</v>
      </c>
      <c r="C183" s="292">
        <v>0</v>
      </c>
      <c r="G183" s="501"/>
    </row>
    <row r="184" spans="1:7" ht="23.25" x14ac:dyDescent="0.3">
      <c r="A184" s="181">
        <v>25</v>
      </c>
      <c r="B184" s="308" t="s">
        <v>316</v>
      </c>
      <c r="C184" s="253">
        <v>0</v>
      </c>
      <c r="G184" s="501"/>
    </row>
    <row r="185" spans="1:7" ht="23.25" x14ac:dyDescent="0.3">
      <c r="A185" s="180">
        <v>56</v>
      </c>
      <c r="B185" s="309" t="s">
        <v>317</v>
      </c>
      <c r="C185" s="253">
        <v>0</v>
      </c>
      <c r="G185" s="501"/>
    </row>
    <row r="186" spans="1:7" ht="23.25" x14ac:dyDescent="0.3">
      <c r="A186" s="180">
        <v>563</v>
      </c>
      <c r="B186" s="272" t="s">
        <v>318</v>
      </c>
      <c r="C186" s="253">
        <v>96</v>
      </c>
      <c r="G186" s="501"/>
    </row>
    <row r="187" spans="1:7" ht="21" x14ac:dyDescent="0.3">
      <c r="A187" s="185">
        <v>657</v>
      </c>
      <c r="B187" s="309" t="s">
        <v>319</v>
      </c>
      <c r="C187" s="310">
        <v>0</v>
      </c>
      <c r="G187" s="501"/>
    </row>
    <row r="188" spans="1:7" ht="18.75" x14ac:dyDescent="0.3">
      <c r="A188" s="185" t="s">
        <v>320</v>
      </c>
      <c r="B188" s="309" t="s">
        <v>321</v>
      </c>
      <c r="C188" s="266">
        <v>0</v>
      </c>
      <c r="G188" s="501"/>
    </row>
    <row r="189" spans="1:7" ht="18.75" x14ac:dyDescent="0.3">
      <c r="A189" s="185" t="s">
        <v>322</v>
      </c>
      <c r="B189" s="309" t="s">
        <v>323</v>
      </c>
      <c r="C189" s="266">
        <v>0</v>
      </c>
      <c r="G189" s="501"/>
    </row>
    <row r="190" spans="1:7" ht="18.75" x14ac:dyDescent="0.3">
      <c r="A190" s="185" t="s">
        <v>324</v>
      </c>
      <c r="B190" s="309" t="s">
        <v>325</v>
      </c>
      <c r="C190" s="266">
        <v>0</v>
      </c>
      <c r="G190" s="501"/>
    </row>
    <row r="191" spans="1:7" ht="21" x14ac:dyDescent="0.3">
      <c r="A191" s="180" t="s">
        <v>245</v>
      </c>
      <c r="B191" s="272" t="s">
        <v>326</v>
      </c>
      <c r="C191" s="266">
        <v>0</v>
      </c>
      <c r="G191" s="501"/>
    </row>
    <row r="192" spans="1:7" ht="23.25" x14ac:dyDescent="0.3">
      <c r="A192" s="185" t="s">
        <v>327</v>
      </c>
      <c r="B192" s="309" t="s">
        <v>328</v>
      </c>
      <c r="C192" s="253">
        <v>0</v>
      </c>
      <c r="G192" s="501"/>
    </row>
    <row r="193" spans="1:7" ht="23.25" x14ac:dyDescent="0.3">
      <c r="A193" s="181">
        <v>67</v>
      </c>
      <c r="B193" s="294" t="s">
        <v>329</v>
      </c>
      <c r="C193" s="311">
        <v>840</v>
      </c>
      <c r="G193" s="501"/>
    </row>
    <row r="194" spans="1:7" ht="23.25" x14ac:dyDescent="0.25">
      <c r="A194" s="312" t="s">
        <v>462</v>
      </c>
      <c r="B194" s="313"/>
      <c r="C194" s="292">
        <v>0</v>
      </c>
      <c r="G194" s="501"/>
    </row>
    <row r="195" spans="1:7" ht="21" x14ac:dyDescent="0.35">
      <c r="A195" s="312" t="s">
        <v>463</v>
      </c>
      <c r="B195" s="314"/>
      <c r="C195" s="315">
        <v>0</v>
      </c>
      <c r="G195" s="501"/>
    </row>
    <row r="196" spans="1:7" ht="23.25" x14ac:dyDescent="0.3">
      <c r="A196" s="180">
        <v>241</v>
      </c>
      <c r="B196" s="263" t="s">
        <v>464</v>
      </c>
      <c r="C196" s="260">
        <v>0</v>
      </c>
      <c r="G196" s="501"/>
    </row>
    <row r="197" spans="1:7" ht="23.25" x14ac:dyDescent="0.3">
      <c r="A197" s="180">
        <v>398</v>
      </c>
      <c r="B197" s="263" t="s">
        <v>465</v>
      </c>
      <c r="C197" s="260">
        <v>0</v>
      </c>
      <c r="G197" s="501"/>
    </row>
    <row r="198" spans="1:7" ht="23.25" x14ac:dyDescent="0.3">
      <c r="A198" s="180">
        <v>399</v>
      </c>
      <c r="B198" s="263" t="s">
        <v>466</v>
      </c>
      <c r="C198" s="260">
        <v>0</v>
      </c>
      <c r="G198" s="501"/>
    </row>
    <row r="199" spans="1:7" ht="23.25" x14ac:dyDescent="0.3">
      <c r="A199" s="180">
        <v>514</v>
      </c>
      <c r="B199" s="263" t="s">
        <v>467</v>
      </c>
      <c r="C199" s="260">
        <v>0</v>
      </c>
      <c r="G199" s="501"/>
    </row>
    <row r="200" spans="1:7" ht="23.25" x14ac:dyDescent="0.25">
      <c r="A200" s="312" t="s">
        <v>468</v>
      </c>
      <c r="B200" s="313"/>
      <c r="C200" s="292">
        <v>0</v>
      </c>
      <c r="G200" s="501"/>
    </row>
    <row r="201" spans="1:7" ht="23.25" x14ac:dyDescent="0.3">
      <c r="A201" s="180" t="s">
        <v>469</v>
      </c>
      <c r="B201" s="276" t="s">
        <v>244</v>
      </c>
      <c r="C201" s="260">
        <v>0</v>
      </c>
      <c r="G201" s="501"/>
    </row>
    <row r="202" spans="1:7" ht="21" x14ac:dyDescent="0.25">
      <c r="A202" s="316">
        <v>537</v>
      </c>
      <c r="B202" s="317" t="s">
        <v>470</v>
      </c>
      <c r="C202" s="165"/>
    </row>
    <row r="203" spans="1:7" x14ac:dyDescent="0.25">
      <c r="A203">
        <v>101</v>
      </c>
      <c r="B203" t="s">
        <v>477</v>
      </c>
    </row>
    <row r="204" spans="1:7" x14ac:dyDescent="0.25">
      <c r="A204">
        <v>102</v>
      </c>
      <c r="B204" t="s">
        <v>478</v>
      </c>
    </row>
    <row r="205" spans="1:7" x14ac:dyDescent="0.25">
      <c r="A205">
        <v>106</v>
      </c>
      <c r="B205" t="s">
        <v>479</v>
      </c>
    </row>
    <row r="206" spans="1:7" x14ac:dyDescent="0.25">
      <c r="A206">
        <v>108</v>
      </c>
      <c r="B206" t="s">
        <v>480</v>
      </c>
    </row>
    <row r="207" spans="1:7" x14ac:dyDescent="0.25">
      <c r="A207">
        <v>110</v>
      </c>
      <c r="B207" t="s">
        <v>481</v>
      </c>
    </row>
    <row r="208" spans="1:7" x14ac:dyDescent="0.25">
      <c r="A208">
        <v>111</v>
      </c>
      <c r="B208" t="s">
        <v>482</v>
      </c>
    </row>
    <row r="209" spans="1:2" x14ac:dyDescent="0.25">
      <c r="A209">
        <v>114</v>
      </c>
      <c r="B209" t="s">
        <v>483</v>
      </c>
    </row>
    <row r="210" spans="1:2" x14ac:dyDescent="0.25">
      <c r="A210">
        <v>115</v>
      </c>
      <c r="B210" t="s">
        <v>484</v>
      </c>
    </row>
    <row r="211" spans="1:2" x14ac:dyDescent="0.25">
      <c r="A211">
        <v>123</v>
      </c>
      <c r="B211" t="s">
        <v>485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C309"/>
  <sheetViews>
    <sheetView workbookViewId="0">
      <selection activeCell="E6" sqref="E6"/>
    </sheetView>
  </sheetViews>
  <sheetFormatPr baseColWidth="10" defaultRowHeight="15" x14ac:dyDescent="0.25"/>
  <cols>
    <col min="2" max="2" width="32.140625" customWidth="1"/>
    <col min="3" max="3" width="12.28515625" customWidth="1"/>
  </cols>
  <sheetData>
    <row r="1" spans="1:3" ht="4.3499999999999996" customHeight="1" x14ac:dyDescent="0.25"/>
    <row r="2" spans="1:3" ht="4.3499999999999996" customHeight="1" x14ac:dyDescent="0.25"/>
    <row r="3" spans="1:3" ht="4.3499999999999996" customHeight="1" x14ac:dyDescent="0.25"/>
    <row r="4" spans="1:3" ht="4.3499999999999996" customHeight="1" thickBot="1" x14ac:dyDescent="0.3"/>
    <row r="5" spans="1:3" ht="19.5" thickBot="1" x14ac:dyDescent="0.3">
      <c r="A5" s="173" t="s">
        <v>486</v>
      </c>
      <c r="B5" s="204" t="s">
        <v>5</v>
      </c>
      <c r="C5" s="194" t="s">
        <v>487</v>
      </c>
    </row>
    <row r="6" spans="1:3" ht="21" x14ac:dyDescent="0.3">
      <c r="A6" s="174">
        <v>43</v>
      </c>
      <c r="B6" s="195" t="s">
        <v>341</v>
      </c>
      <c r="C6" s="180">
        <v>240</v>
      </c>
    </row>
    <row r="7" spans="1:3" ht="21" x14ac:dyDescent="0.3">
      <c r="A7" s="174">
        <v>52</v>
      </c>
      <c r="B7" s="196" t="s">
        <v>342</v>
      </c>
      <c r="C7" s="180">
        <v>110</v>
      </c>
    </row>
    <row r="8" spans="1:3" ht="21" x14ac:dyDescent="0.3">
      <c r="A8" s="174">
        <v>53</v>
      </c>
      <c r="B8" s="197" t="s">
        <v>343</v>
      </c>
      <c r="C8" s="180">
        <v>100</v>
      </c>
    </row>
    <row r="9" spans="1:3" ht="21" x14ac:dyDescent="0.3">
      <c r="A9" s="174">
        <v>54</v>
      </c>
      <c r="B9" s="197" t="s">
        <v>344</v>
      </c>
      <c r="C9" s="180">
        <v>60</v>
      </c>
    </row>
    <row r="10" spans="1:3" ht="21" x14ac:dyDescent="0.3">
      <c r="A10" s="174">
        <v>55</v>
      </c>
      <c r="B10" s="197" t="s">
        <v>345</v>
      </c>
      <c r="C10" s="180">
        <v>144</v>
      </c>
    </row>
    <row r="11" spans="1:3" ht="21" x14ac:dyDescent="0.3">
      <c r="A11" s="174">
        <v>61</v>
      </c>
      <c r="B11" s="196" t="s">
        <v>346</v>
      </c>
      <c r="C11" s="180">
        <v>0</v>
      </c>
    </row>
    <row r="12" spans="1:3" ht="21" x14ac:dyDescent="0.3">
      <c r="A12" s="174">
        <v>97</v>
      </c>
      <c r="B12" s="197" t="s">
        <v>347</v>
      </c>
      <c r="C12" s="180">
        <v>450</v>
      </c>
    </row>
    <row r="13" spans="1:3" ht="21" x14ac:dyDescent="0.3">
      <c r="A13" s="174">
        <v>99</v>
      </c>
      <c r="B13" s="197" t="s">
        <v>348</v>
      </c>
      <c r="C13" s="180">
        <v>1476</v>
      </c>
    </row>
    <row r="14" spans="1:3" ht="21" x14ac:dyDescent="0.3">
      <c r="A14" s="174">
        <v>307</v>
      </c>
      <c r="B14" s="197" t="s">
        <v>349</v>
      </c>
      <c r="C14" s="180">
        <v>480</v>
      </c>
    </row>
    <row r="15" spans="1:3" ht="21" x14ac:dyDescent="0.3">
      <c r="A15" s="174">
        <v>452</v>
      </c>
      <c r="B15" s="197" t="s">
        <v>350</v>
      </c>
      <c r="C15" s="180"/>
    </row>
    <row r="16" spans="1:3" ht="21" x14ac:dyDescent="0.3">
      <c r="A16" s="174">
        <v>453</v>
      </c>
      <c r="B16" s="197" t="s">
        <v>351</v>
      </c>
      <c r="C16" s="180"/>
    </row>
    <row r="17" spans="1:3" ht="21" x14ac:dyDescent="0.3">
      <c r="A17" s="174">
        <v>454</v>
      </c>
      <c r="B17" s="197" t="s">
        <v>352</v>
      </c>
      <c r="C17" s="180"/>
    </row>
    <row r="18" spans="1:3" ht="21" x14ac:dyDescent="0.3">
      <c r="A18" s="174">
        <v>455</v>
      </c>
      <c r="B18" s="196" t="s">
        <v>353</v>
      </c>
      <c r="C18" s="180"/>
    </row>
    <row r="19" spans="1:3" ht="21" x14ac:dyDescent="0.25">
      <c r="A19" s="174">
        <v>456</v>
      </c>
      <c r="B19" s="198" t="s">
        <v>354</v>
      </c>
      <c r="C19" s="180"/>
    </row>
    <row r="20" spans="1:3" ht="21" x14ac:dyDescent="0.3">
      <c r="A20" s="175">
        <v>609</v>
      </c>
      <c r="B20" s="199" t="s">
        <v>355</v>
      </c>
      <c r="C20" s="180">
        <v>600</v>
      </c>
    </row>
    <row r="21" spans="1:3" ht="21" x14ac:dyDescent="0.3">
      <c r="A21" s="174">
        <v>613</v>
      </c>
      <c r="B21" s="197" t="s">
        <v>356</v>
      </c>
      <c r="C21" s="180"/>
    </row>
    <row r="22" spans="1:3" ht="21" x14ac:dyDescent="0.3">
      <c r="A22" s="174">
        <v>615</v>
      </c>
      <c r="B22" s="197" t="s">
        <v>178</v>
      </c>
      <c r="C22" s="180">
        <v>150</v>
      </c>
    </row>
    <row r="23" spans="1:3" ht="21" x14ac:dyDescent="0.3">
      <c r="A23" s="174">
        <v>617</v>
      </c>
      <c r="B23" s="197" t="s">
        <v>357</v>
      </c>
      <c r="C23" s="180"/>
    </row>
    <row r="24" spans="1:3" ht="21" x14ac:dyDescent="0.3">
      <c r="A24" s="174">
        <v>618</v>
      </c>
      <c r="B24" s="197" t="s">
        <v>358</v>
      </c>
      <c r="C24" s="180"/>
    </row>
    <row r="25" spans="1:3" ht="21" x14ac:dyDescent="0.3">
      <c r="A25" s="174">
        <v>619</v>
      </c>
      <c r="B25" s="200" t="s">
        <v>359</v>
      </c>
      <c r="C25" s="180"/>
    </row>
    <row r="26" spans="1:3" ht="21" x14ac:dyDescent="0.3">
      <c r="A26" s="174">
        <v>630</v>
      </c>
      <c r="B26" s="197" t="s">
        <v>360</v>
      </c>
      <c r="C26" s="180">
        <v>100</v>
      </c>
    </row>
    <row r="27" spans="1:3" ht="21" x14ac:dyDescent="0.3">
      <c r="A27" s="176">
        <v>631</v>
      </c>
      <c r="B27" s="197" t="s">
        <v>361</v>
      </c>
      <c r="C27" s="180">
        <v>72</v>
      </c>
    </row>
    <row r="28" spans="1:3" ht="21" x14ac:dyDescent="0.3">
      <c r="A28" s="174">
        <v>632</v>
      </c>
      <c r="B28" s="200" t="s">
        <v>362</v>
      </c>
      <c r="C28" s="180">
        <v>48</v>
      </c>
    </row>
    <row r="29" spans="1:3" ht="21" x14ac:dyDescent="0.3">
      <c r="A29" s="174">
        <v>633</v>
      </c>
      <c r="B29" s="197" t="s">
        <v>363</v>
      </c>
      <c r="C29" s="180">
        <v>36</v>
      </c>
    </row>
    <row r="30" spans="1:3" ht="21" x14ac:dyDescent="0.3">
      <c r="A30" s="174">
        <v>634</v>
      </c>
      <c r="B30" s="197" t="s">
        <v>364</v>
      </c>
      <c r="C30" s="180">
        <v>24</v>
      </c>
    </row>
    <row r="31" spans="1:3" ht="21" x14ac:dyDescent="0.3">
      <c r="A31" s="174">
        <v>635</v>
      </c>
      <c r="B31" s="197" t="s">
        <v>365</v>
      </c>
      <c r="C31" s="180">
        <v>48</v>
      </c>
    </row>
    <row r="32" spans="1:3" ht="21" x14ac:dyDescent="0.3">
      <c r="A32" s="174">
        <v>636</v>
      </c>
      <c r="B32" s="197" t="s">
        <v>366</v>
      </c>
      <c r="C32" s="180">
        <v>60</v>
      </c>
    </row>
    <row r="33" spans="1:3" ht="21" x14ac:dyDescent="0.3">
      <c r="A33" s="174">
        <v>637</v>
      </c>
      <c r="B33" s="197" t="s">
        <v>367</v>
      </c>
      <c r="C33" s="180">
        <v>24</v>
      </c>
    </row>
    <row r="34" spans="1:3" ht="21" x14ac:dyDescent="0.3">
      <c r="A34" s="174">
        <v>700</v>
      </c>
      <c r="B34" s="197" t="s">
        <v>369</v>
      </c>
      <c r="C34" s="180">
        <v>200</v>
      </c>
    </row>
    <row r="35" spans="1:3" ht="21" x14ac:dyDescent="0.3">
      <c r="A35" s="176">
        <v>701</v>
      </c>
      <c r="B35" s="197" t="s">
        <v>111</v>
      </c>
      <c r="C35" s="180">
        <v>800</v>
      </c>
    </row>
    <row r="36" spans="1:3" ht="21" x14ac:dyDescent="0.3">
      <c r="A36" s="174">
        <v>702</v>
      </c>
      <c r="B36" s="197" t="s">
        <v>370</v>
      </c>
      <c r="C36" s="180">
        <v>1000</v>
      </c>
    </row>
    <row r="37" spans="1:3" ht="21" x14ac:dyDescent="0.3">
      <c r="A37" s="174">
        <v>706</v>
      </c>
      <c r="B37" s="197" t="s">
        <v>371</v>
      </c>
      <c r="C37" s="180">
        <v>2400</v>
      </c>
    </row>
    <row r="38" spans="1:3" ht="21" x14ac:dyDescent="0.3">
      <c r="A38" s="177">
        <v>707</v>
      </c>
      <c r="B38" s="197" t="s">
        <v>154</v>
      </c>
      <c r="C38" s="180">
        <v>60</v>
      </c>
    </row>
    <row r="39" spans="1:3" ht="21" x14ac:dyDescent="0.3">
      <c r="A39" s="174">
        <v>708</v>
      </c>
      <c r="B39" s="197" t="s">
        <v>372</v>
      </c>
      <c r="C39" s="180">
        <v>72</v>
      </c>
    </row>
    <row r="40" spans="1:3" ht="21" x14ac:dyDescent="0.3">
      <c r="A40" s="174">
        <v>709</v>
      </c>
      <c r="B40" s="197" t="s">
        <v>168</v>
      </c>
      <c r="C40" s="180">
        <v>60</v>
      </c>
    </row>
    <row r="41" spans="1:3" ht="21" x14ac:dyDescent="0.3">
      <c r="A41" s="176">
        <v>710</v>
      </c>
      <c r="B41" s="197" t="s">
        <v>373</v>
      </c>
      <c r="C41" s="180">
        <v>0</v>
      </c>
    </row>
    <row r="42" spans="1:3" ht="21" x14ac:dyDescent="0.3">
      <c r="A42" s="176">
        <v>713</v>
      </c>
      <c r="B42" s="197" t="s">
        <v>374</v>
      </c>
      <c r="C42" s="180">
        <v>2042</v>
      </c>
    </row>
    <row r="43" spans="1:3" ht="21" x14ac:dyDescent="0.3">
      <c r="A43" s="176">
        <v>715</v>
      </c>
      <c r="B43" s="197" t="s">
        <v>375</v>
      </c>
      <c r="C43" s="180">
        <v>120</v>
      </c>
    </row>
    <row r="44" spans="1:3" ht="21" x14ac:dyDescent="0.3">
      <c r="A44" s="178">
        <v>717</v>
      </c>
      <c r="B44" s="200" t="s">
        <v>376</v>
      </c>
      <c r="C44" s="180">
        <v>24</v>
      </c>
    </row>
    <row r="45" spans="1:3" ht="21" x14ac:dyDescent="0.3">
      <c r="A45" s="176">
        <v>718</v>
      </c>
      <c r="B45" s="197" t="s">
        <v>377</v>
      </c>
      <c r="C45" s="180">
        <v>72</v>
      </c>
    </row>
    <row r="46" spans="1:3" ht="21" x14ac:dyDescent="0.3">
      <c r="A46" s="174">
        <v>719</v>
      </c>
      <c r="B46" s="197" t="s">
        <v>378</v>
      </c>
      <c r="C46" s="180">
        <v>144</v>
      </c>
    </row>
    <row r="47" spans="1:3" ht="21" x14ac:dyDescent="0.3">
      <c r="A47" s="176">
        <v>720</v>
      </c>
      <c r="B47" s="197" t="s">
        <v>379</v>
      </c>
      <c r="C47" s="180">
        <v>100</v>
      </c>
    </row>
    <row r="48" spans="1:3" ht="21" x14ac:dyDescent="0.3">
      <c r="A48" s="176">
        <v>722</v>
      </c>
      <c r="B48" s="197" t="s">
        <v>173</v>
      </c>
      <c r="C48" s="180">
        <v>60</v>
      </c>
    </row>
    <row r="49" spans="1:3" ht="21" x14ac:dyDescent="0.3">
      <c r="A49" s="174">
        <v>723</v>
      </c>
      <c r="B49" s="197" t="s">
        <v>127</v>
      </c>
      <c r="C49" s="180">
        <v>360</v>
      </c>
    </row>
    <row r="50" spans="1:3" ht="21" x14ac:dyDescent="0.3">
      <c r="A50" s="176">
        <v>724</v>
      </c>
      <c r="B50" s="197" t="s">
        <v>380</v>
      </c>
      <c r="C50" s="180">
        <v>0</v>
      </c>
    </row>
    <row r="51" spans="1:3" ht="21" x14ac:dyDescent="0.3">
      <c r="A51" s="179">
        <v>725</v>
      </c>
      <c r="B51" s="197" t="s">
        <v>147</v>
      </c>
      <c r="C51" s="180">
        <v>500</v>
      </c>
    </row>
    <row r="52" spans="1:3" ht="21" x14ac:dyDescent="0.3">
      <c r="A52" s="176">
        <v>730</v>
      </c>
      <c r="B52" s="197" t="s">
        <v>381</v>
      </c>
      <c r="C52" s="180">
        <v>1080</v>
      </c>
    </row>
    <row r="53" spans="1:3" ht="21" x14ac:dyDescent="0.3">
      <c r="A53" s="180">
        <v>731</v>
      </c>
      <c r="B53" s="197" t="s">
        <v>382</v>
      </c>
      <c r="C53" s="180">
        <v>504</v>
      </c>
    </row>
    <row r="54" spans="1:3" ht="21" x14ac:dyDescent="0.3">
      <c r="A54" s="174">
        <v>732</v>
      </c>
      <c r="B54" s="197" t="s">
        <v>383</v>
      </c>
      <c r="C54" s="180">
        <v>144</v>
      </c>
    </row>
    <row r="55" spans="1:3" ht="21" x14ac:dyDescent="0.3">
      <c r="A55" s="176">
        <v>735</v>
      </c>
      <c r="B55" s="197" t="s">
        <v>384</v>
      </c>
      <c r="C55" s="180">
        <v>72</v>
      </c>
    </row>
    <row r="56" spans="1:3" ht="21" x14ac:dyDescent="0.3">
      <c r="A56" s="176">
        <v>747</v>
      </c>
      <c r="B56" s="197" t="s">
        <v>167</v>
      </c>
      <c r="C56" s="180">
        <v>24</v>
      </c>
    </row>
    <row r="57" spans="1:3" ht="21" x14ac:dyDescent="0.3">
      <c r="A57" s="176">
        <v>748</v>
      </c>
      <c r="B57" s="197" t="s">
        <v>385</v>
      </c>
      <c r="C57" s="180">
        <v>0</v>
      </c>
    </row>
    <row r="58" spans="1:3" ht="21" x14ac:dyDescent="0.3">
      <c r="A58" s="176">
        <v>755</v>
      </c>
      <c r="B58" s="197" t="s">
        <v>386</v>
      </c>
      <c r="C58" s="180">
        <v>180</v>
      </c>
    </row>
    <row r="59" spans="1:3" ht="21" x14ac:dyDescent="0.3">
      <c r="A59" s="176">
        <v>760</v>
      </c>
      <c r="B59" s="197" t="s">
        <v>387</v>
      </c>
      <c r="C59" s="180">
        <v>520</v>
      </c>
    </row>
    <row r="60" spans="1:3" ht="21" x14ac:dyDescent="0.3">
      <c r="A60" s="176">
        <v>761</v>
      </c>
      <c r="B60" s="197" t="s">
        <v>219</v>
      </c>
      <c r="C60" s="180">
        <v>48</v>
      </c>
    </row>
    <row r="61" spans="1:3" ht="21" x14ac:dyDescent="0.3">
      <c r="A61" s="181">
        <v>762</v>
      </c>
      <c r="B61" s="197" t="s">
        <v>159</v>
      </c>
      <c r="C61" s="180">
        <v>0</v>
      </c>
    </row>
    <row r="62" spans="1:3" ht="21" x14ac:dyDescent="0.3">
      <c r="A62" s="174">
        <v>763</v>
      </c>
      <c r="B62" s="197" t="s">
        <v>126</v>
      </c>
      <c r="C62" s="180">
        <v>240</v>
      </c>
    </row>
    <row r="63" spans="1:3" ht="21" x14ac:dyDescent="0.3">
      <c r="A63" s="176">
        <v>764</v>
      </c>
      <c r="B63" s="197" t="s">
        <v>388</v>
      </c>
      <c r="C63" s="180">
        <v>500</v>
      </c>
    </row>
    <row r="64" spans="1:3" ht="21" x14ac:dyDescent="0.3">
      <c r="A64" s="180">
        <v>765</v>
      </c>
      <c r="B64" s="197" t="s">
        <v>279</v>
      </c>
      <c r="C64" s="180">
        <v>0</v>
      </c>
    </row>
    <row r="65" spans="1:3" ht="21" x14ac:dyDescent="0.3">
      <c r="A65" s="182">
        <v>769</v>
      </c>
      <c r="B65" s="197" t="s">
        <v>389</v>
      </c>
      <c r="C65" s="180">
        <v>168</v>
      </c>
    </row>
    <row r="66" spans="1:3" ht="21" x14ac:dyDescent="0.3">
      <c r="A66" s="176">
        <v>789</v>
      </c>
      <c r="B66" s="197" t="s">
        <v>390</v>
      </c>
      <c r="C66" s="180">
        <v>260</v>
      </c>
    </row>
    <row r="67" spans="1:3" ht="21" x14ac:dyDescent="0.3">
      <c r="A67" s="180">
        <v>800</v>
      </c>
      <c r="B67" s="197" t="s">
        <v>391</v>
      </c>
      <c r="C67" s="180">
        <v>110</v>
      </c>
    </row>
    <row r="68" spans="1:3" ht="21" x14ac:dyDescent="0.3">
      <c r="A68" s="176">
        <v>801</v>
      </c>
      <c r="B68" s="197" t="s">
        <v>434</v>
      </c>
      <c r="C68" s="180"/>
    </row>
    <row r="69" spans="1:3" ht="21" x14ac:dyDescent="0.3">
      <c r="A69" s="180">
        <v>802</v>
      </c>
      <c r="B69" s="200" t="s">
        <v>315</v>
      </c>
      <c r="C69" s="180">
        <v>1800</v>
      </c>
    </row>
    <row r="70" spans="1:3" ht="21" x14ac:dyDescent="0.3">
      <c r="A70" s="180">
        <v>809</v>
      </c>
      <c r="B70" s="197" t="s">
        <v>108</v>
      </c>
      <c r="C70" s="180">
        <v>800</v>
      </c>
    </row>
    <row r="71" spans="1:3" ht="21" x14ac:dyDescent="0.3">
      <c r="A71" s="176">
        <v>816</v>
      </c>
      <c r="B71" s="197" t="s">
        <v>392</v>
      </c>
      <c r="C71" s="180">
        <v>200</v>
      </c>
    </row>
    <row r="72" spans="1:3" ht="21" x14ac:dyDescent="0.3">
      <c r="A72" s="176">
        <v>817</v>
      </c>
      <c r="B72" s="197" t="s">
        <v>393</v>
      </c>
      <c r="C72" s="180">
        <v>88</v>
      </c>
    </row>
    <row r="73" spans="1:3" ht="21" x14ac:dyDescent="0.3">
      <c r="A73" s="176">
        <v>818</v>
      </c>
      <c r="B73" s="197" t="s">
        <v>394</v>
      </c>
      <c r="C73" s="180">
        <v>36</v>
      </c>
    </row>
    <row r="74" spans="1:3" ht="21" x14ac:dyDescent="0.3">
      <c r="A74" s="176">
        <v>823</v>
      </c>
      <c r="B74" s="197" t="s">
        <v>395</v>
      </c>
      <c r="C74" s="180">
        <v>540</v>
      </c>
    </row>
    <row r="75" spans="1:3" ht="21" x14ac:dyDescent="0.3">
      <c r="A75" s="180">
        <v>824</v>
      </c>
      <c r="B75" s="197" t="s">
        <v>396</v>
      </c>
      <c r="C75" s="180">
        <v>1344</v>
      </c>
    </row>
    <row r="76" spans="1:3" ht="21" x14ac:dyDescent="0.3">
      <c r="A76" s="176">
        <v>825</v>
      </c>
      <c r="B76" s="197" t="s">
        <v>397</v>
      </c>
      <c r="C76" s="180">
        <v>1608</v>
      </c>
    </row>
    <row r="77" spans="1:3" ht="21" x14ac:dyDescent="0.3">
      <c r="A77" s="176">
        <v>836</v>
      </c>
      <c r="B77" s="197" t="s">
        <v>398</v>
      </c>
      <c r="C77" s="180">
        <v>3000</v>
      </c>
    </row>
    <row r="78" spans="1:3" ht="21" x14ac:dyDescent="0.3">
      <c r="A78" s="180">
        <v>839</v>
      </c>
      <c r="B78" s="197" t="s">
        <v>399</v>
      </c>
      <c r="C78" s="180">
        <v>204</v>
      </c>
    </row>
    <row r="79" spans="1:3" ht="21" x14ac:dyDescent="0.3">
      <c r="A79" s="176">
        <v>840</v>
      </c>
      <c r="B79" s="197" t="s">
        <v>400</v>
      </c>
      <c r="C79" s="180">
        <v>800</v>
      </c>
    </row>
    <row r="80" spans="1:3" ht="21" x14ac:dyDescent="0.3">
      <c r="A80" s="174">
        <v>842</v>
      </c>
      <c r="B80" s="197" t="s">
        <v>401</v>
      </c>
      <c r="C80" s="180">
        <v>200</v>
      </c>
    </row>
    <row r="81" spans="1:3" ht="21" x14ac:dyDescent="0.3">
      <c r="A81" s="176">
        <v>843</v>
      </c>
      <c r="B81" s="197" t="s">
        <v>402</v>
      </c>
      <c r="C81" s="180">
        <v>72</v>
      </c>
    </row>
    <row r="82" spans="1:3" ht="21" x14ac:dyDescent="0.3">
      <c r="A82" s="183">
        <v>844</v>
      </c>
      <c r="B82" s="199" t="s">
        <v>403</v>
      </c>
      <c r="C82" s="180">
        <v>96</v>
      </c>
    </row>
    <row r="83" spans="1:3" ht="21" x14ac:dyDescent="0.3">
      <c r="A83" s="180">
        <v>845</v>
      </c>
      <c r="B83" s="197" t="s">
        <v>404</v>
      </c>
      <c r="C83" s="180">
        <v>168</v>
      </c>
    </row>
    <row r="84" spans="1:3" ht="21" x14ac:dyDescent="0.3">
      <c r="A84" s="176">
        <v>846</v>
      </c>
      <c r="B84" s="197" t="s">
        <v>405</v>
      </c>
      <c r="C84" s="180">
        <v>168</v>
      </c>
    </row>
    <row r="85" spans="1:3" ht="21" x14ac:dyDescent="0.3">
      <c r="A85" s="180">
        <v>847</v>
      </c>
      <c r="B85" s="197" t="s">
        <v>406</v>
      </c>
      <c r="C85" s="180">
        <v>800</v>
      </c>
    </row>
    <row r="86" spans="1:3" ht="21" x14ac:dyDescent="0.3">
      <c r="A86" s="176">
        <v>848</v>
      </c>
      <c r="B86" s="197" t="s">
        <v>120</v>
      </c>
      <c r="C86" s="180">
        <v>96</v>
      </c>
    </row>
    <row r="87" spans="1:3" ht="21" x14ac:dyDescent="0.3">
      <c r="A87" s="184">
        <v>852</v>
      </c>
      <c r="B87" s="197" t="s">
        <v>407</v>
      </c>
      <c r="C87" s="180">
        <v>144</v>
      </c>
    </row>
    <row r="88" spans="1:3" ht="21" x14ac:dyDescent="0.3">
      <c r="A88" s="180">
        <v>856</v>
      </c>
      <c r="B88" s="197" t="s">
        <v>408</v>
      </c>
      <c r="C88" s="180">
        <v>96</v>
      </c>
    </row>
    <row r="89" spans="1:3" ht="21" x14ac:dyDescent="0.3">
      <c r="A89" s="180">
        <v>857</v>
      </c>
      <c r="B89" s="197" t="s">
        <v>409</v>
      </c>
      <c r="C89" s="180">
        <v>48</v>
      </c>
    </row>
    <row r="90" spans="1:3" ht="21" x14ac:dyDescent="0.3">
      <c r="A90" s="180">
        <v>858</v>
      </c>
      <c r="B90" s="197" t="s">
        <v>191</v>
      </c>
      <c r="C90" s="180">
        <v>120</v>
      </c>
    </row>
    <row r="91" spans="1:3" ht="21" x14ac:dyDescent="0.3">
      <c r="A91" s="180">
        <v>859</v>
      </c>
      <c r="B91" s="200" t="s">
        <v>156</v>
      </c>
      <c r="C91" s="180">
        <v>240</v>
      </c>
    </row>
    <row r="92" spans="1:3" ht="21" x14ac:dyDescent="0.3">
      <c r="A92" s="180">
        <v>860</v>
      </c>
      <c r="B92" s="197" t="s">
        <v>410</v>
      </c>
      <c r="C92" s="180">
        <v>24</v>
      </c>
    </row>
    <row r="93" spans="1:3" ht="21" x14ac:dyDescent="0.3">
      <c r="A93" s="180">
        <v>862</v>
      </c>
      <c r="B93" s="197" t="s">
        <v>411</v>
      </c>
      <c r="C93" s="180">
        <v>180</v>
      </c>
    </row>
    <row r="94" spans="1:3" ht="21" x14ac:dyDescent="0.3">
      <c r="A94" s="180">
        <v>863</v>
      </c>
      <c r="B94" s="197" t="s">
        <v>412</v>
      </c>
      <c r="C94" s="180">
        <v>96</v>
      </c>
    </row>
    <row r="95" spans="1:3" ht="21" x14ac:dyDescent="0.3">
      <c r="A95" s="180">
        <v>864</v>
      </c>
      <c r="B95" s="197" t="s">
        <v>194</v>
      </c>
      <c r="C95" s="180">
        <v>120</v>
      </c>
    </row>
    <row r="96" spans="1:3" ht="21" x14ac:dyDescent="0.3">
      <c r="A96" s="180">
        <v>867</v>
      </c>
      <c r="B96" s="197" t="s">
        <v>413</v>
      </c>
      <c r="C96" s="180">
        <v>384</v>
      </c>
    </row>
    <row r="97" spans="1:3" ht="21" x14ac:dyDescent="0.3">
      <c r="A97" s="180">
        <v>872</v>
      </c>
      <c r="B97" s="200" t="s">
        <v>267</v>
      </c>
      <c r="C97" s="180">
        <v>24</v>
      </c>
    </row>
    <row r="98" spans="1:3" ht="21" x14ac:dyDescent="0.3">
      <c r="A98" s="180">
        <v>873</v>
      </c>
      <c r="B98" s="197" t="s">
        <v>268</v>
      </c>
      <c r="C98" s="180">
        <v>24</v>
      </c>
    </row>
    <row r="99" spans="1:3" ht="21" x14ac:dyDescent="0.3">
      <c r="A99" s="182">
        <v>878</v>
      </c>
      <c r="B99" s="197" t="s">
        <v>414</v>
      </c>
      <c r="C99" s="180">
        <v>200</v>
      </c>
    </row>
    <row r="100" spans="1:3" ht="21" x14ac:dyDescent="0.3">
      <c r="A100" s="180">
        <v>879</v>
      </c>
      <c r="B100" s="197" t="s">
        <v>415</v>
      </c>
      <c r="C100" s="180">
        <v>120</v>
      </c>
    </row>
    <row r="101" spans="1:3" ht="21" x14ac:dyDescent="0.3">
      <c r="A101" s="180">
        <v>900</v>
      </c>
      <c r="B101" s="195" t="s">
        <v>416</v>
      </c>
      <c r="C101" s="180">
        <v>24</v>
      </c>
    </row>
    <row r="102" spans="1:3" ht="21" x14ac:dyDescent="0.3">
      <c r="A102" s="180">
        <v>901</v>
      </c>
      <c r="B102" s="195" t="s">
        <v>417</v>
      </c>
      <c r="C102" s="180">
        <v>480</v>
      </c>
    </row>
    <row r="103" spans="1:3" ht="21" x14ac:dyDescent="0.3">
      <c r="A103" s="180">
        <v>902</v>
      </c>
      <c r="B103" s="201" t="s">
        <v>418</v>
      </c>
      <c r="C103" s="180">
        <v>88</v>
      </c>
    </row>
    <row r="104" spans="1:3" ht="21" x14ac:dyDescent="0.3">
      <c r="A104" s="180">
        <v>908</v>
      </c>
      <c r="B104" s="202" t="s">
        <v>419</v>
      </c>
      <c r="C104" s="180">
        <v>60</v>
      </c>
    </row>
    <row r="105" spans="1:3" ht="21" x14ac:dyDescent="0.3">
      <c r="A105" s="180">
        <v>909</v>
      </c>
      <c r="B105" s="202" t="s">
        <v>420</v>
      </c>
      <c r="C105" s="180">
        <v>228</v>
      </c>
    </row>
    <row r="106" spans="1:3" ht="21" x14ac:dyDescent="0.3">
      <c r="A106" s="180">
        <v>910</v>
      </c>
      <c r="B106" s="195" t="s">
        <v>421</v>
      </c>
      <c r="C106" s="180">
        <v>204</v>
      </c>
    </row>
    <row r="107" spans="1:3" ht="21" x14ac:dyDescent="0.3">
      <c r="A107" s="180">
        <v>911</v>
      </c>
      <c r="B107" s="202" t="s">
        <v>422</v>
      </c>
      <c r="C107" s="180">
        <v>400</v>
      </c>
    </row>
    <row r="108" spans="1:3" ht="21" x14ac:dyDescent="0.3">
      <c r="A108" s="185">
        <v>912</v>
      </c>
      <c r="B108" s="202" t="s">
        <v>423</v>
      </c>
      <c r="C108" s="180">
        <v>24</v>
      </c>
    </row>
    <row r="109" spans="1:3" ht="21" x14ac:dyDescent="0.3">
      <c r="A109" s="176">
        <v>920</v>
      </c>
      <c r="B109" s="195" t="s">
        <v>424</v>
      </c>
      <c r="C109" s="180">
        <v>120</v>
      </c>
    </row>
    <row r="110" spans="1:3" ht="21" x14ac:dyDescent="0.3">
      <c r="A110" s="176">
        <v>922</v>
      </c>
      <c r="B110" s="197" t="s">
        <v>425</v>
      </c>
      <c r="C110" s="180">
        <v>160</v>
      </c>
    </row>
    <row r="111" spans="1:3" ht="21" x14ac:dyDescent="0.3">
      <c r="A111" s="176" t="s">
        <v>330</v>
      </c>
      <c r="B111" s="197" t="s">
        <v>368</v>
      </c>
      <c r="C111" s="180"/>
    </row>
    <row r="112" spans="1:3" ht="21" x14ac:dyDescent="0.3">
      <c r="A112" s="180" t="s">
        <v>331</v>
      </c>
      <c r="B112" s="197" t="s">
        <v>142</v>
      </c>
      <c r="C112" s="180">
        <v>0</v>
      </c>
    </row>
    <row r="113" spans="1:3" ht="21" x14ac:dyDescent="0.3">
      <c r="A113" s="180" t="s">
        <v>332</v>
      </c>
      <c r="B113" s="197" t="s">
        <v>370</v>
      </c>
      <c r="C113" s="180">
        <v>0</v>
      </c>
    </row>
    <row r="114" spans="1:3" ht="21" x14ac:dyDescent="0.3">
      <c r="A114" s="180" t="s">
        <v>333</v>
      </c>
      <c r="B114" s="197" t="s">
        <v>426</v>
      </c>
      <c r="C114" s="180">
        <v>240</v>
      </c>
    </row>
    <row r="115" spans="1:3" ht="21" x14ac:dyDescent="0.3">
      <c r="A115" s="180" t="s">
        <v>334</v>
      </c>
      <c r="B115" s="197" t="s">
        <v>147</v>
      </c>
      <c r="C115" s="180">
        <v>0</v>
      </c>
    </row>
    <row r="116" spans="1:3" ht="21" x14ac:dyDescent="0.3">
      <c r="A116" s="186" t="s">
        <v>335</v>
      </c>
      <c r="B116" s="197" t="s">
        <v>123</v>
      </c>
      <c r="C116" s="180">
        <v>0</v>
      </c>
    </row>
    <row r="117" spans="1:3" ht="21" x14ac:dyDescent="0.3">
      <c r="A117" s="180" t="s">
        <v>336</v>
      </c>
      <c r="B117" s="197" t="s">
        <v>427</v>
      </c>
      <c r="C117" s="180">
        <v>0</v>
      </c>
    </row>
    <row r="118" spans="1:3" ht="21" x14ac:dyDescent="0.3">
      <c r="A118" s="180" t="s">
        <v>337</v>
      </c>
      <c r="B118" s="197" t="s">
        <v>123</v>
      </c>
      <c r="C118" s="180">
        <v>0</v>
      </c>
    </row>
    <row r="119" spans="1:3" ht="21" x14ac:dyDescent="0.3">
      <c r="A119" s="180" t="s">
        <v>216</v>
      </c>
      <c r="B119" s="197" t="s">
        <v>428</v>
      </c>
      <c r="C119" s="180">
        <v>0</v>
      </c>
    </row>
    <row r="120" spans="1:3" ht="21" x14ac:dyDescent="0.3">
      <c r="A120" s="180" t="s">
        <v>338</v>
      </c>
      <c r="B120" s="197" t="s">
        <v>429</v>
      </c>
      <c r="C120" s="180">
        <v>0</v>
      </c>
    </row>
    <row r="121" spans="1:3" ht="21" x14ac:dyDescent="0.3">
      <c r="A121" s="180" t="s">
        <v>339</v>
      </c>
      <c r="B121" s="197" t="s">
        <v>250</v>
      </c>
      <c r="C121" s="180">
        <v>0</v>
      </c>
    </row>
    <row r="122" spans="1:3" ht="21" x14ac:dyDescent="0.3">
      <c r="A122" s="180" t="s">
        <v>340</v>
      </c>
      <c r="B122" s="197" t="s">
        <v>430</v>
      </c>
      <c r="C122" s="180">
        <v>0</v>
      </c>
    </row>
    <row r="123" spans="1:3" ht="21" x14ac:dyDescent="0.3">
      <c r="A123" s="180">
        <v>98</v>
      </c>
      <c r="B123" s="197" t="s">
        <v>431</v>
      </c>
      <c r="C123" s="180"/>
    </row>
    <row r="124" spans="1:3" ht="21" x14ac:dyDescent="0.3">
      <c r="A124" s="180">
        <v>828</v>
      </c>
      <c r="B124" s="197" t="s">
        <v>432</v>
      </c>
      <c r="C124" s="180">
        <v>250</v>
      </c>
    </row>
    <row r="125" spans="1:3" ht="21" x14ac:dyDescent="0.3">
      <c r="A125" s="180">
        <v>830</v>
      </c>
      <c r="B125" s="197" t="s">
        <v>433</v>
      </c>
      <c r="C125" s="180">
        <v>400</v>
      </c>
    </row>
    <row r="126" spans="1:3" ht="21" x14ac:dyDescent="0.3">
      <c r="A126" s="181">
        <v>977</v>
      </c>
      <c r="B126" s="195" t="s">
        <v>435</v>
      </c>
      <c r="C126" s="180"/>
    </row>
    <row r="130" spans="1:3" x14ac:dyDescent="0.25">
      <c r="A130" t="s">
        <v>486</v>
      </c>
      <c r="B130" t="s">
        <v>5</v>
      </c>
    </row>
    <row r="131" spans="1:3" x14ac:dyDescent="0.25">
      <c r="A131" t="s">
        <v>488</v>
      </c>
      <c r="B131" t="s">
        <v>489</v>
      </c>
    </row>
    <row r="132" spans="1:3" x14ac:dyDescent="0.25">
      <c r="A132" t="s">
        <v>490</v>
      </c>
      <c r="B132" t="s">
        <v>491</v>
      </c>
      <c r="C132">
        <v>0</v>
      </c>
    </row>
    <row r="133" spans="1:3" x14ac:dyDescent="0.25">
      <c r="A133" t="s">
        <v>19</v>
      </c>
      <c r="B133" t="s">
        <v>492</v>
      </c>
      <c r="C133">
        <v>0</v>
      </c>
    </row>
    <row r="134" spans="1:3" x14ac:dyDescent="0.25">
      <c r="A134" t="s">
        <v>493</v>
      </c>
      <c r="B134" t="s">
        <v>494</v>
      </c>
    </row>
    <row r="135" spans="1:3" x14ac:dyDescent="0.25">
      <c r="A135" t="s">
        <v>495</v>
      </c>
      <c r="B135" t="s">
        <v>496</v>
      </c>
      <c r="C135">
        <v>0</v>
      </c>
    </row>
    <row r="136" spans="1:3" x14ac:dyDescent="0.25">
      <c r="A136" t="s">
        <v>497</v>
      </c>
      <c r="B136" t="s">
        <v>321</v>
      </c>
    </row>
    <row r="137" spans="1:3" x14ac:dyDescent="0.25">
      <c r="A137" t="s">
        <v>498</v>
      </c>
      <c r="B137" t="s">
        <v>108</v>
      </c>
      <c r="C137">
        <v>0</v>
      </c>
    </row>
    <row r="138" spans="1:3" x14ac:dyDescent="0.25">
      <c r="A138" t="s">
        <v>499</v>
      </c>
      <c r="B138" t="s">
        <v>104</v>
      </c>
      <c r="C138">
        <v>0</v>
      </c>
    </row>
    <row r="139" spans="1:3" x14ac:dyDescent="0.25">
      <c r="A139" t="s">
        <v>500</v>
      </c>
      <c r="B139" t="s">
        <v>501</v>
      </c>
      <c r="C139">
        <v>0</v>
      </c>
    </row>
    <row r="140" spans="1:3" x14ac:dyDescent="0.25">
      <c r="A140" t="s">
        <v>502</v>
      </c>
      <c r="B140" t="s">
        <v>503</v>
      </c>
      <c r="C140">
        <v>0</v>
      </c>
    </row>
    <row r="141" spans="1:3" x14ac:dyDescent="0.25">
      <c r="A141" t="s">
        <v>504</v>
      </c>
      <c r="B141" t="s">
        <v>505</v>
      </c>
      <c r="C141">
        <v>0</v>
      </c>
    </row>
    <row r="142" spans="1:3" x14ac:dyDescent="0.25">
      <c r="A142" t="s">
        <v>506</v>
      </c>
      <c r="B142" t="s">
        <v>507</v>
      </c>
      <c r="C142">
        <v>0</v>
      </c>
    </row>
    <row r="143" spans="1:3" x14ac:dyDescent="0.25">
      <c r="A143" t="s">
        <v>508</v>
      </c>
      <c r="B143" t="s">
        <v>509</v>
      </c>
      <c r="C143">
        <v>0</v>
      </c>
    </row>
    <row r="145" spans="1:2" x14ac:dyDescent="0.25">
      <c r="A145">
        <v>64</v>
      </c>
      <c r="B145" t="s">
        <v>510</v>
      </c>
    </row>
    <row r="146" spans="1:2" x14ac:dyDescent="0.25">
      <c r="A146">
        <v>711</v>
      </c>
      <c r="B146" t="s">
        <v>102</v>
      </c>
    </row>
    <row r="147" spans="1:2" x14ac:dyDescent="0.25">
      <c r="A147">
        <v>750</v>
      </c>
      <c r="B147" t="s">
        <v>511</v>
      </c>
    </row>
    <row r="148" spans="1:2" x14ac:dyDescent="0.25">
      <c r="A148">
        <v>751</v>
      </c>
      <c r="B148" t="s">
        <v>512</v>
      </c>
    </row>
    <row r="149" spans="1:2" x14ac:dyDescent="0.25">
      <c r="A149">
        <v>766</v>
      </c>
      <c r="B149" t="s">
        <v>513</v>
      </c>
    </row>
    <row r="150" spans="1:2" x14ac:dyDescent="0.25">
      <c r="A150">
        <v>756</v>
      </c>
      <c r="B150" t="s">
        <v>514</v>
      </c>
    </row>
    <row r="151" spans="1:2" x14ac:dyDescent="0.25">
      <c r="A151">
        <v>767</v>
      </c>
      <c r="B151" t="s">
        <v>515</v>
      </c>
    </row>
    <row r="152" spans="1:2" x14ac:dyDescent="0.25">
      <c r="A152">
        <v>770</v>
      </c>
      <c r="B152" t="s">
        <v>240</v>
      </c>
    </row>
    <row r="153" spans="1:2" x14ac:dyDescent="0.25">
      <c r="A153">
        <v>790</v>
      </c>
      <c r="B153" t="s">
        <v>239</v>
      </c>
    </row>
    <row r="154" spans="1:2" x14ac:dyDescent="0.25">
      <c r="A154">
        <v>792</v>
      </c>
      <c r="B154" t="s">
        <v>516</v>
      </c>
    </row>
    <row r="155" spans="1:2" x14ac:dyDescent="0.25">
      <c r="A155">
        <v>903</v>
      </c>
      <c r="B155" t="s">
        <v>517</v>
      </c>
    </row>
    <row r="156" spans="1:2" x14ac:dyDescent="0.25">
      <c r="A156">
        <v>904</v>
      </c>
      <c r="B156" t="s">
        <v>518</v>
      </c>
    </row>
    <row r="157" spans="1:2" x14ac:dyDescent="0.25">
      <c r="A157">
        <v>905</v>
      </c>
      <c r="B157" t="s">
        <v>519</v>
      </c>
    </row>
    <row r="158" spans="1:2" x14ac:dyDescent="0.25">
      <c r="A158" t="s">
        <v>520</v>
      </c>
      <c r="B158" t="s">
        <v>521</v>
      </c>
    </row>
    <row r="159" spans="1:2" x14ac:dyDescent="0.25">
      <c r="B159" t="s">
        <v>501</v>
      </c>
    </row>
    <row r="160" spans="1:2" x14ac:dyDescent="0.25">
      <c r="A160" t="s">
        <v>522</v>
      </c>
      <c r="B160" t="s">
        <v>250</v>
      </c>
    </row>
    <row r="161" spans="1:2" x14ac:dyDescent="0.25">
      <c r="A161" t="s">
        <v>231</v>
      </c>
      <c r="B161" t="s">
        <v>523</v>
      </c>
    </row>
    <row r="162" spans="1:2" x14ac:dyDescent="0.25">
      <c r="A162" t="s">
        <v>257</v>
      </c>
      <c r="B162" t="s">
        <v>524</v>
      </c>
    </row>
    <row r="163" spans="1:2" x14ac:dyDescent="0.25">
      <c r="A163" t="s">
        <v>261</v>
      </c>
      <c r="B163" t="s">
        <v>525</v>
      </c>
    </row>
    <row r="164" spans="1:2" x14ac:dyDescent="0.25">
      <c r="A164" t="s">
        <v>220</v>
      </c>
      <c r="B164" t="s">
        <v>526</v>
      </c>
    </row>
    <row r="165" spans="1:2" x14ac:dyDescent="0.25">
      <c r="A165" t="s">
        <v>297</v>
      </c>
      <c r="B165" t="s">
        <v>527</v>
      </c>
    </row>
    <row r="166" spans="1:2" x14ac:dyDescent="0.25">
      <c r="A166" t="s">
        <v>299</v>
      </c>
      <c r="B166" t="s">
        <v>528</v>
      </c>
    </row>
    <row r="167" spans="1:2" x14ac:dyDescent="0.25">
      <c r="A167" t="s">
        <v>529</v>
      </c>
      <c r="B167" t="s">
        <v>530</v>
      </c>
    </row>
    <row r="168" spans="1:2" x14ac:dyDescent="0.25">
      <c r="A168" t="s">
        <v>314</v>
      </c>
      <c r="B168" t="s">
        <v>501</v>
      </c>
    </row>
    <row r="169" spans="1:2" x14ac:dyDescent="0.25">
      <c r="A169" t="s">
        <v>531</v>
      </c>
      <c r="B169" t="s">
        <v>532</v>
      </c>
    </row>
    <row r="170" spans="1:2" x14ac:dyDescent="0.25">
      <c r="A170" t="s">
        <v>533</v>
      </c>
      <c r="B170" t="s">
        <v>534</v>
      </c>
    </row>
    <row r="171" spans="1:2" x14ac:dyDescent="0.25">
      <c r="A171" t="s">
        <v>535</v>
      </c>
      <c r="B171" t="s">
        <v>536</v>
      </c>
    </row>
    <row r="172" spans="1:2" x14ac:dyDescent="0.25">
      <c r="A172" t="s">
        <v>537</v>
      </c>
      <c r="B172" t="s">
        <v>538</v>
      </c>
    </row>
    <row r="173" spans="1:2" x14ac:dyDescent="0.25">
      <c r="A173" t="s">
        <v>539</v>
      </c>
      <c r="B173" t="s">
        <v>315</v>
      </c>
    </row>
    <row r="174" spans="1:2" x14ac:dyDescent="0.25">
      <c r="A174" t="s">
        <v>540</v>
      </c>
      <c r="B174" t="s">
        <v>541</v>
      </c>
    </row>
    <row r="175" spans="1:2" x14ac:dyDescent="0.25">
      <c r="A175" t="s">
        <v>320</v>
      </c>
      <c r="B175" t="s">
        <v>321</v>
      </c>
    </row>
    <row r="176" spans="1:2" x14ac:dyDescent="0.25">
      <c r="A176" t="s">
        <v>322</v>
      </c>
      <c r="B176" t="s">
        <v>542</v>
      </c>
    </row>
    <row r="177" spans="1:2" x14ac:dyDescent="0.25">
      <c r="A177" t="s">
        <v>543</v>
      </c>
      <c r="B177" t="s">
        <v>544</v>
      </c>
    </row>
    <row r="178" spans="1:2" x14ac:dyDescent="0.25">
      <c r="A178">
        <v>838</v>
      </c>
      <c r="B178" t="s">
        <v>545</v>
      </c>
    </row>
    <row r="179" spans="1:2" x14ac:dyDescent="0.25">
      <c r="A179">
        <v>56</v>
      </c>
      <c r="B179" t="s">
        <v>241</v>
      </c>
    </row>
    <row r="180" spans="1:2" x14ac:dyDescent="0.25">
      <c r="A180">
        <v>726</v>
      </c>
      <c r="B180" t="s">
        <v>546</v>
      </c>
    </row>
    <row r="181" spans="1:2" x14ac:dyDescent="0.25">
      <c r="A181">
        <v>781</v>
      </c>
      <c r="B181" t="s">
        <v>547</v>
      </c>
    </row>
    <row r="182" spans="1:2" x14ac:dyDescent="0.25">
      <c r="A182">
        <v>826</v>
      </c>
      <c r="B182" t="s">
        <v>548</v>
      </c>
    </row>
    <row r="183" spans="1:2" x14ac:dyDescent="0.25">
      <c r="A183">
        <v>861</v>
      </c>
      <c r="B183" t="s">
        <v>549</v>
      </c>
    </row>
    <row r="184" spans="1:2" x14ac:dyDescent="0.25">
      <c r="A184">
        <v>1063</v>
      </c>
      <c r="B184" t="s">
        <v>550</v>
      </c>
    </row>
    <row r="185" spans="1:2" x14ac:dyDescent="0.25">
      <c r="A185">
        <v>1064</v>
      </c>
      <c r="B185" t="s">
        <v>551</v>
      </c>
    </row>
    <row r="186" spans="1:2" x14ac:dyDescent="0.25">
      <c r="A186">
        <v>1065</v>
      </c>
      <c r="B186" t="s">
        <v>552</v>
      </c>
    </row>
    <row r="187" spans="1:2" x14ac:dyDescent="0.25">
      <c r="A187">
        <v>1066</v>
      </c>
      <c r="B187" t="s">
        <v>308</v>
      </c>
    </row>
    <row r="188" spans="1:2" x14ac:dyDescent="0.25">
      <c r="A188">
        <v>1067</v>
      </c>
      <c r="B188" t="s">
        <v>553</v>
      </c>
    </row>
    <row r="189" spans="1:2" x14ac:dyDescent="0.25">
      <c r="A189">
        <v>1068</v>
      </c>
      <c r="B189" t="s">
        <v>554</v>
      </c>
    </row>
    <row r="190" spans="1:2" x14ac:dyDescent="0.25">
      <c r="A190">
        <v>1069</v>
      </c>
      <c r="B190" t="s">
        <v>555</v>
      </c>
    </row>
    <row r="191" spans="1:2" x14ac:dyDescent="0.25">
      <c r="A191">
        <v>1070</v>
      </c>
      <c r="B191" t="s">
        <v>556</v>
      </c>
    </row>
    <row r="192" spans="1:2" x14ac:dyDescent="0.25">
      <c r="A192">
        <v>1071</v>
      </c>
      <c r="B192" t="s">
        <v>557</v>
      </c>
    </row>
    <row r="193" spans="1:2" x14ac:dyDescent="0.25">
      <c r="A193">
        <v>1072</v>
      </c>
      <c r="B193" t="s">
        <v>558</v>
      </c>
    </row>
    <row r="194" spans="1:2" x14ac:dyDescent="0.25">
      <c r="A194">
        <v>1076</v>
      </c>
      <c r="B194" t="s">
        <v>559</v>
      </c>
    </row>
    <row r="195" spans="1:2" x14ac:dyDescent="0.25">
      <c r="A195">
        <v>1077</v>
      </c>
      <c r="B195" t="s">
        <v>162</v>
      </c>
    </row>
    <row r="196" spans="1:2" x14ac:dyDescent="0.25">
      <c r="A196">
        <v>1079</v>
      </c>
      <c r="B196" t="s">
        <v>180</v>
      </c>
    </row>
    <row r="197" spans="1:2" x14ac:dyDescent="0.25">
      <c r="A197">
        <v>1080</v>
      </c>
      <c r="B197" t="s">
        <v>560</v>
      </c>
    </row>
    <row r="198" spans="1:2" x14ac:dyDescent="0.25">
      <c r="A198">
        <v>1081</v>
      </c>
      <c r="B198" t="s">
        <v>561</v>
      </c>
    </row>
    <row r="199" spans="1:2" x14ac:dyDescent="0.25">
      <c r="A199">
        <v>1088</v>
      </c>
      <c r="B199" t="s">
        <v>156</v>
      </c>
    </row>
    <row r="200" spans="1:2" x14ac:dyDescent="0.25">
      <c r="A200">
        <v>1089</v>
      </c>
      <c r="B200" t="s">
        <v>178</v>
      </c>
    </row>
    <row r="201" spans="1:2" x14ac:dyDescent="0.25">
      <c r="A201">
        <v>1090</v>
      </c>
      <c r="B201" t="s">
        <v>562</v>
      </c>
    </row>
    <row r="202" spans="1:2" x14ac:dyDescent="0.25">
      <c r="A202">
        <v>1091</v>
      </c>
      <c r="B202" t="s">
        <v>563</v>
      </c>
    </row>
    <row r="203" spans="1:2" x14ac:dyDescent="0.25">
      <c r="A203">
        <v>1092</v>
      </c>
      <c r="B203" t="s">
        <v>564</v>
      </c>
    </row>
    <row r="204" spans="1:2" x14ac:dyDescent="0.25">
      <c r="A204">
        <v>1093</v>
      </c>
      <c r="B204" t="s">
        <v>565</v>
      </c>
    </row>
    <row r="205" spans="1:2" x14ac:dyDescent="0.25">
      <c r="A205">
        <v>1094</v>
      </c>
      <c r="B205" t="s">
        <v>566</v>
      </c>
    </row>
    <row r="206" spans="1:2" x14ac:dyDescent="0.25">
      <c r="A206">
        <v>1095</v>
      </c>
      <c r="B206" t="s">
        <v>567</v>
      </c>
    </row>
    <row r="207" spans="1:2" x14ac:dyDescent="0.25">
      <c r="A207" t="s">
        <v>568</v>
      </c>
      <c r="B207" t="s">
        <v>569</v>
      </c>
    </row>
    <row r="208" spans="1:2" x14ac:dyDescent="0.25">
      <c r="A208" t="s">
        <v>570</v>
      </c>
      <c r="B208" t="s">
        <v>571</v>
      </c>
    </row>
    <row r="209" spans="1:2" x14ac:dyDescent="0.25">
      <c r="A209" t="s">
        <v>572</v>
      </c>
      <c r="B209" t="s">
        <v>573</v>
      </c>
    </row>
    <row r="210" spans="1:2" x14ac:dyDescent="0.25">
      <c r="A210" t="s">
        <v>574</v>
      </c>
      <c r="B210" t="s">
        <v>201</v>
      </c>
    </row>
    <row r="211" spans="1:2" x14ac:dyDescent="0.25">
      <c r="A211">
        <v>9</v>
      </c>
      <c r="B211" t="s">
        <v>575</v>
      </c>
    </row>
    <row r="212" spans="1:2" x14ac:dyDescent="0.25">
      <c r="A212">
        <v>29</v>
      </c>
      <c r="B212" t="s">
        <v>178</v>
      </c>
    </row>
    <row r="213" spans="1:2" x14ac:dyDescent="0.25">
      <c r="A213">
        <v>100</v>
      </c>
      <c r="B213" t="s">
        <v>576</v>
      </c>
    </row>
    <row r="214" spans="1:2" x14ac:dyDescent="0.25">
      <c r="A214">
        <v>101</v>
      </c>
      <c r="B214" t="s">
        <v>156</v>
      </c>
    </row>
    <row r="215" spans="1:2" x14ac:dyDescent="0.25">
      <c r="A215">
        <v>102</v>
      </c>
      <c r="B215" t="s">
        <v>110</v>
      </c>
    </row>
    <row r="216" spans="1:2" x14ac:dyDescent="0.25">
      <c r="A216">
        <v>104</v>
      </c>
      <c r="B216" t="s">
        <v>108</v>
      </c>
    </row>
    <row r="217" spans="1:2" x14ac:dyDescent="0.25">
      <c r="A217">
        <v>277</v>
      </c>
      <c r="B217" t="s">
        <v>380</v>
      </c>
    </row>
    <row r="218" spans="1:2" x14ac:dyDescent="0.25">
      <c r="A218">
        <v>643</v>
      </c>
      <c r="B218" t="s">
        <v>577</v>
      </c>
    </row>
    <row r="219" spans="1:2" x14ac:dyDescent="0.25">
      <c r="A219">
        <v>644</v>
      </c>
      <c r="B219" t="s">
        <v>578</v>
      </c>
    </row>
    <row r="220" spans="1:2" x14ac:dyDescent="0.25">
      <c r="A220">
        <v>651</v>
      </c>
      <c r="B220" t="s">
        <v>579</v>
      </c>
    </row>
    <row r="221" spans="1:2" x14ac:dyDescent="0.25">
      <c r="A221">
        <v>704</v>
      </c>
      <c r="B221" t="s">
        <v>321</v>
      </c>
    </row>
    <row r="222" spans="1:2" x14ac:dyDescent="0.25">
      <c r="A222">
        <v>803</v>
      </c>
      <c r="B222" t="s">
        <v>580</v>
      </c>
    </row>
    <row r="223" spans="1:2" x14ac:dyDescent="0.25">
      <c r="A223">
        <v>815</v>
      </c>
      <c r="B223" t="s">
        <v>581</v>
      </c>
    </row>
    <row r="224" spans="1:2" x14ac:dyDescent="0.25">
      <c r="A224">
        <v>832</v>
      </c>
      <c r="B224" t="s">
        <v>582</v>
      </c>
    </row>
    <row r="225" spans="1:2" x14ac:dyDescent="0.25">
      <c r="A225">
        <v>841</v>
      </c>
      <c r="B225" t="s">
        <v>583</v>
      </c>
    </row>
    <row r="226" spans="1:2" x14ac:dyDescent="0.25">
      <c r="A226">
        <v>866</v>
      </c>
      <c r="B226" t="s">
        <v>584</v>
      </c>
    </row>
    <row r="227" spans="1:2" x14ac:dyDescent="0.25">
      <c r="A227" t="s">
        <v>585</v>
      </c>
      <c r="B227" t="s">
        <v>586</v>
      </c>
    </row>
    <row r="228" spans="1:2" x14ac:dyDescent="0.25">
      <c r="A228">
        <v>962</v>
      </c>
      <c r="B228" t="s">
        <v>587</v>
      </c>
    </row>
    <row r="229" spans="1:2" x14ac:dyDescent="0.25">
      <c r="A229" t="s">
        <v>588</v>
      </c>
      <c r="B229" t="s">
        <v>589</v>
      </c>
    </row>
    <row r="230" spans="1:2" x14ac:dyDescent="0.25">
      <c r="A230" t="s">
        <v>590</v>
      </c>
      <c r="B230" t="s">
        <v>591</v>
      </c>
    </row>
    <row r="231" spans="1:2" x14ac:dyDescent="0.25">
      <c r="A231" t="s">
        <v>592</v>
      </c>
      <c r="B231" t="s">
        <v>127</v>
      </c>
    </row>
    <row r="232" spans="1:2" x14ac:dyDescent="0.25">
      <c r="A232" t="s">
        <v>593</v>
      </c>
      <c r="B232" t="s">
        <v>594</v>
      </c>
    </row>
    <row r="233" spans="1:2" x14ac:dyDescent="0.25">
      <c r="A233" t="s">
        <v>595</v>
      </c>
      <c r="B233" t="s">
        <v>536</v>
      </c>
    </row>
    <row r="234" spans="1:2" x14ac:dyDescent="0.25">
      <c r="A234" t="s">
        <v>596</v>
      </c>
      <c r="B234" t="s">
        <v>536</v>
      </c>
    </row>
    <row r="235" spans="1:2" x14ac:dyDescent="0.25">
      <c r="A235" t="s">
        <v>597</v>
      </c>
      <c r="B235" t="s">
        <v>598</v>
      </c>
    </row>
    <row r="236" spans="1:2" x14ac:dyDescent="0.25">
      <c r="A236" t="s">
        <v>599</v>
      </c>
      <c r="B236" t="s">
        <v>600</v>
      </c>
    </row>
    <row r="237" spans="1:2" x14ac:dyDescent="0.25">
      <c r="A237" t="s">
        <v>601</v>
      </c>
      <c r="B237" t="s">
        <v>602</v>
      </c>
    </row>
    <row r="238" spans="1:2" x14ac:dyDescent="0.25">
      <c r="A238" t="s">
        <v>603</v>
      </c>
      <c r="B238" t="s">
        <v>604</v>
      </c>
    </row>
    <row r="239" spans="1:2" x14ac:dyDescent="0.25">
      <c r="A239" t="s">
        <v>605</v>
      </c>
      <c r="B239" t="s">
        <v>180</v>
      </c>
    </row>
    <row r="240" spans="1:2" x14ac:dyDescent="0.25">
      <c r="A240" t="s">
        <v>606</v>
      </c>
      <c r="B240" t="s">
        <v>379</v>
      </c>
    </row>
    <row r="241" spans="1:2" x14ac:dyDescent="0.25">
      <c r="A241" t="s">
        <v>607</v>
      </c>
      <c r="B241" t="s">
        <v>191</v>
      </c>
    </row>
    <row r="242" spans="1:2" x14ac:dyDescent="0.25">
      <c r="A242" t="s">
        <v>608</v>
      </c>
      <c r="B242" t="s">
        <v>609</v>
      </c>
    </row>
    <row r="243" spans="1:2" x14ac:dyDescent="0.25">
      <c r="A243" t="s">
        <v>610</v>
      </c>
      <c r="B243" t="s">
        <v>611</v>
      </c>
    </row>
    <row r="244" spans="1:2" x14ac:dyDescent="0.25">
      <c r="A244" t="s">
        <v>612</v>
      </c>
      <c r="B244" t="s">
        <v>400</v>
      </c>
    </row>
    <row r="245" spans="1:2" x14ac:dyDescent="0.25">
      <c r="A245" t="s">
        <v>613</v>
      </c>
      <c r="B245" t="s">
        <v>614</v>
      </c>
    </row>
    <row r="246" spans="1:2" x14ac:dyDescent="0.25">
      <c r="A246" t="s">
        <v>615</v>
      </c>
      <c r="B246" t="s">
        <v>616</v>
      </c>
    </row>
    <row r="247" spans="1:2" x14ac:dyDescent="0.25">
      <c r="A247" t="s">
        <v>617</v>
      </c>
      <c r="B247" t="s">
        <v>618</v>
      </c>
    </row>
    <row r="248" spans="1:2" x14ac:dyDescent="0.25">
      <c r="A248" t="s">
        <v>619</v>
      </c>
      <c r="B248" t="s">
        <v>162</v>
      </c>
    </row>
    <row r="249" spans="1:2" x14ac:dyDescent="0.25">
      <c r="A249" t="s">
        <v>620</v>
      </c>
      <c r="B249" t="s">
        <v>621</v>
      </c>
    </row>
    <row r="250" spans="1:2" x14ac:dyDescent="0.25">
      <c r="A250" t="s">
        <v>622</v>
      </c>
      <c r="B250" t="s">
        <v>623</v>
      </c>
    </row>
    <row r="251" spans="1:2" x14ac:dyDescent="0.25">
      <c r="A251" t="s">
        <v>624</v>
      </c>
      <c r="B251" t="s">
        <v>192</v>
      </c>
    </row>
    <row r="252" spans="1:2" x14ac:dyDescent="0.25">
      <c r="A252" t="s">
        <v>625</v>
      </c>
      <c r="B252" t="s">
        <v>626</v>
      </c>
    </row>
    <row r="253" spans="1:2" x14ac:dyDescent="0.25">
      <c r="A253" t="s">
        <v>627</v>
      </c>
      <c r="B253" t="s">
        <v>628</v>
      </c>
    </row>
    <row r="254" spans="1:2" x14ac:dyDescent="0.25">
      <c r="A254" t="s">
        <v>629</v>
      </c>
      <c r="B254" t="s">
        <v>396</v>
      </c>
    </row>
    <row r="255" spans="1:2" x14ac:dyDescent="0.25">
      <c r="A255" t="s">
        <v>630</v>
      </c>
      <c r="B255" t="s">
        <v>631</v>
      </c>
    </row>
    <row r="256" spans="1:2" x14ac:dyDescent="0.25">
      <c r="A256" t="s">
        <v>632</v>
      </c>
      <c r="B256" t="s">
        <v>633</v>
      </c>
    </row>
    <row r="257" spans="1:2" x14ac:dyDescent="0.25">
      <c r="A257" t="s">
        <v>634</v>
      </c>
      <c r="B257" t="s">
        <v>635</v>
      </c>
    </row>
    <row r="258" spans="1:2" x14ac:dyDescent="0.25">
      <c r="A258" t="s">
        <v>636</v>
      </c>
      <c r="B258" t="s">
        <v>637</v>
      </c>
    </row>
    <row r="259" spans="1:2" x14ac:dyDescent="0.25">
      <c r="A259" t="s">
        <v>638</v>
      </c>
      <c r="B259" t="s">
        <v>639</v>
      </c>
    </row>
    <row r="260" spans="1:2" x14ac:dyDescent="0.25">
      <c r="A260" t="s">
        <v>640</v>
      </c>
      <c r="B260" t="s">
        <v>641</v>
      </c>
    </row>
    <row r="261" spans="1:2" x14ac:dyDescent="0.25">
      <c r="A261" t="s">
        <v>642</v>
      </c>
      <c r="B261" t="s">
        <v>175</v>
      </c>
    </row>
    <row r="262" spans="1:2" x14ac:dyDescent="0.25">
      <c r="A262" t="s">
        <v>643</v>
      </c>
      <c r="B262" t="s">
        <v>644</v>
      </c>
    </row>
    <row r="263" spans="1:2" x14ac:dyDescent="0.25">
      <c r="A263" t="s">
        <v>645</v>
      </c>
      <c r="B263" t="s">
        <v>646</v>
      </c>
    </row>
    <row r="264" spans="1:2" x14ac:dyDescent="0.25">
      <c r="A264" t="s">
        <v>647</v>
      </c>
      <c r="B264" t="s">
        <v>648</v>
      </c>
    </row>
    <row r="265" spans="1:2" x14ac:dyDescent="0.25">
      <c r="A265" t="s">
        <v>649</v>
      </c>
      <c r="B265" t="s">
        <v>650</v>
      </c>
    </row>
    <row r="266" spans="1:2" x14ac:dyDescent="0.25">
      <c r="A266" t="s">
        <v>651</v>
      </c>
      <c r="B266" t="s">
        <v>652</v>
      </c>
    </row>
    <row r="267" spans="1:2" x14ac:dyDescent="0.25">
      <c r="A267" t="s">
        <v>653</v>
      </c>
      <c r="B267" t="s">
        <v>654</v>
      </c>
    </row>
    <row r="268" spans="1:2" x14ac:dyDescent="0.25">
      <c r="A268" t="s">
        <v>655</v>
      </c>
      <c r="B268" t="s">
        <v>656</v>
      </c>
    </row>
    <row r="269" spans="1:2" x14ac:dyDescent="0.25">
      <c r="A269">
        <v>1</v>
      </c>
      <c r="B269" t="s">
        <v>657</v>
      </c>
    </row>
    <row r="270" spans="1:2" x14ac:dyDescent="0.25">
      <c r="A270" t="s">
        <v>658</v>
      </c>
      <c r="B270" t="s">
        <v>659</v>
      </c>
    </row>
    <row r="271" spans="1:2" x14ac:dyDescent="0.25">
      <c r="A271" t="s">
        <v>660</v>
      </c>
      <c r="B271" t="s">
        <v>661</v>
      </c>
    </row>
    <row r="272" spans="1:2" x14ac:dyDescent="0.25">
      <c r="A272" t="s">
        <v>662</v>
      </c>
      <c r="B272" t="s">
        <v>663</v>
      </c>
    </row>
    <row r="273" spans="1:2" x14ac:dyDescent="0.25">
      <c r="A273">
        <v>164</v>
      </c>
      <c r="B273" t="s">
        <v>664</v>
      </c>
    </row>
    <row r="274" spans="1:2" x14ac:dyDescent="0.25">
      <c r="A274">
        <v>640</v>
      </c>
      <c r="B274" t="s">
        <v>665</v>
      </c>
    </row>
    <row r="275" spans="1:2" x14ac:dyDescent="0.25">
      <c r="A275">
        <v>785</v>
      </c>
      <c r="B275" t="s">
        <v>666</v>
      </c>
    </row>
    <row r="276" spans="1:2" x14ac:dyDescent="0.25">
      <c r="A276">
        <v>768</v>
      </c>
      <c r="B276" t="s">
        <v>667</v>
      </c>
    </row>
    <row r="277" spans="1:2" x14ac:dyDescent="0.25">
      <c r="A277">
        <v>26</v>
      </c>
      <c r="B277" t="s">
        <v>668</v>
      </c>
    </row>
    <row r="278" spans="1:2" x14ac:dyDescent="0.25">
      <c r="A278">
        <v>28</v>
      </c>
      <c r="B278" t="s">
        <v>669</v>
      </c>
    </row>
    <row r="279" spans="1:2" x14ac:dyDescent="0.25">
      <c r="A279">
        <v>33</v>
      </c>
      <c r="B279" t="s">
        <v>670</v>
      </c>
    </row>
    <row r="280" spans="1:2" x14ac:dyDescent="0.25">
      <c r="A280">
        <v>34</v>
      </c>
      <c r="B280" t="s">
        <v>671</v>
      </c>
    </row>
    <row r="281" spans="1:2" x14ac:dyDescent="0.25">
      <c r="A281">
        <v>36</v>
      </c>
      <c r="B281" t="s">
        <v>672</v>
      </c>
    </row>
    <row r="282" spans="1:2" x14ac:dyDescent="0.25">
      <c r="A282">
        <v>37</v>
      </c>
      <c r="B282" t="s">
        <v>673</v>
      </c>
    </row>
    <row r="283" spans="1:2" x14ac:dyDescent="0.25">
      <c r="A283">
        <v>51</v>
      </c>
      <c r="B283" t="s">
        <v>674</v>
      </c>
    </row>
    <row r="284" spans="1:2" x14ac:dyDescent="0.25">
      <c r="A284">
        <v>62</v>
      </c>
      <c r="B284" t="s">
        <v>675</v>
      </c>
    </row>
    <row r="285" spans="1:2" x14ac:dyDescent="0.25">
      <c r="A285">
        <v>63</v>
      </c>
      <c r="B285" t="s">
        <v>676</v>
      </c>
    </row>
    <row r="286" spans="1:2" x14ac:dyDescent="0.25">
      <c r="A286">
        <v>75</v>
      </c>
      <c r="B286" t="s">
        <v>677</v>
      </c>
    </row>
    <row r="287" spans="1:2" x14ac:dyDescent="0.25">
      <c r="A287">
        <v>96</v>
      </c>
      <c r="B287" t="s">
        <v>678</v>
      </c>
    </row>
    <row r="288" spans="1:2" x14ac:dyDescent="0.25">
      <c r="A288">
        <v>105</v>
      </c>
      <c r="B288" t="s">
        <v>679</v>
      </c>
    </row>
    <row r="289" spans="1:2" x14ac:dyDescent="0.25">
      <c r="A289">
        <v>209</v>
      </c>
      <c r="B289" t="s">
        <v>680</v>
      </c>
    </row>
    <row r="290" spans="1:2" x14ac:dyDescent="0.25">
      <c r="A290">
        <v>276</v>
      </c>
      <c r="B290" t="s">
        <v>173</v>
      </c>
    </row>
    <row r="291" spans="1:2" x14ac:dyDescent="0.25">
      <c r="A291">
        <v>648</v>
      </c>
      <c r="B291" t="s">
        <v>681</v>
      </c>
    </row>
    <row r="292" spans="1:2" x14ac:dyDescent="0.25">
      <c r="A292">
        <v>649</v>
      </c>
      <c r="B292" t="s">
        <v>682</v>
      </c>
    </row>
    <row r="293" spans="1:2" x14ac:dyDescent="0.25">
      <c r="A293">
        <v>652</v>
      </c>
      <c r="B293" t="s">
        <v>683</v>
      </c>
    </row>
    <row r="294" spans="1:2" x14ac:dyDescent="0.25">
      <c r="A294">
        <v>661</v>
      </c>
      <c r="B294" t="s">
        <v>684</v>
      </c>
    </row>
    <row r="295" spans="1:2" x14ac:dyDescent="0.25">
      <c r="A295">
        <v>662</v>
      </c>
      <c r="B295" t="s">
        <v>685</v>
      </c>
    </row>
    <row r="296" spans="1:2" x14ac:dyDescent="0.25">
      <c r="A296">
        <v>663</v>
      </c>
      <c r="B296" t="s">
        <v>686</v>
      </c>
    </row>
    <row r="297" spans="1:2" x14ac:dyDescent="0.25">
      <c r="A297">
        <v>641</v>
      </c>
      <c r="B297" t="s">
        <v>687</v>
      </c>
    </row>
    <row r="298" spans="1:2" x14ac:dyDescent="0.25">
      <c r="A298">
        <v>642</v>
      </c>
      <c r="B298" t="s">
        <v>688</v>
      </c>
    </row>
    <row r="299" spans="1:2" x14ac:dyDescent="0.25">
      <c r="A299">
        <v>645</v>
      </c>
      <c r="B299" t="s">
        <v>689</v>
      </c>
    </row>
    <row r="300" spans="1:2" x14ac:dyDescent="0.25">
      <c r="A300">
        <v>646</v>
      </c>
      <c r="B300" t="s">
        <v>690</v>
      </c>
    </row>
    <row r="301" spans="1:2" x14ac:dyDescent="0.25">
      <c r="A301">
        <v>655</v>
      </c>
      <c r="B301" t="s">
        <v>691</v>
      </c>
    </row>
    <row r="302" spans="1:2" x14ac:dyDescent="0.25">
      <c r="A302">
        <v>656</v>
      </c>
      <c r="B302" t="s">
        <v>692</v>
      </c>
    </row>
    <row r="303" spans="1:2" x14ac:dyDescent="0.25">
      <c r="A303">
        <v>657</v>
      </c>
      <c r="B303" t="s">
        <v>693</v>
      </c>
    </row>
    <row r="304" spans="1:2" x14ac:dyDescent="0.25">
      <c r="A304">
        <v>658</v>
      </c>
      <c r="B304" t="s">
        <v>694</v>
      </c>
    </row>
    <row r="305" spans="1:2" x14ac:dyDescent="0.25">
      <c r="A305">
        <v>659</v>
      </c>
      <c r="B305" t="s">
        <v>695</v>
      </c>
    </row>
    <row r="306" spans="1:2" x14ac:dyDescent="0.25">
      <c r="A306">
        <v>771</v>
      </c>
      <c r="B306" t="s">
        <v>696</v>
      </c>
    </row>
    <row r="307" spans="1:2" x14ac:dyDescent="0.25">
      <c r="A307">
        <v>778</v>
      </c>
      <c r="B307" t="s">
        <v>156</v>
      </c>
    </row>
    <row r="308" spans="1:2" x14ac:dyDescent="0.25">
      <c r="A308" t="s">
        <v>697</v>
      </c>
      <c r="B308" t="s">
        <v>698</v>
      </c>
    </row>
    <row r="309" spans="1:2" x14ac:dyDescent="0.25">
      <c r="A309" t="s">
        <v>699</v>
      </c>
      <c r="B309" t="s">
        <v>700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00"/>
    <pageSetUpPr fitToPage="1"/>
  </sheetPr>
  <dimension ref="A1:AC35"/>
  <sheetViews>
    <sheetView topLeftCell="C4" zoomScale="91" zoomScaleNormal="91" workbookViewId="0">
      <selection activeCell="F21" sqref="F21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10.710937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2</v>
      </c>
      <c r="E7" s="448">
        <f>+IF(D7="","",IF(D7-N7&gt;0,0,N7-D7))</f>
        <v>2.7447999999999997</v>
      </c>
      <c r="F7" s="68">
        <f>+IFERROR(D7/H7,)</f>
        <v>0.4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2.4443575518462315</v>
      </c>
      <c r="Y7" s="436">
        <v>2.9343333333333332E-2</v>
      </c>
      <c r="Z7" s="457">
        <v>30</v>
      </c>
      <c r="AA7" s="457">
        <f>+SUMIFS(E:E,B:$B,R7)</f>
        <v>2.7447999999999997</v>
      </c>
      <c r="AB7" s="458">
        <f t="shared" ref="AB7:AB8" si="2">+SUMIFS(L:L,B:B,R7)</f>
        <v>910.4704097116844</v>
      </c>
      <c r="AC7" s="458">
        <f t="shared" ref="AC7:AC22" si="3">+(AB7*AA7)*Y7</f>
        <v>73.330726555386946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11</v>
      </c>
      <c r="E8" s="448">
        <f t="shared" ref="E8:E15" si="4">+IF(D8="","",IF(D8-N8&gt;0,0,N8-D8))</f>
        <v>30.3538</v>
      </c>
      <c r="F8" s="68">
        <f t="shared" ref="F8:F15" si="5">+IFERROR(D8/H8,)</f>
        <v>0.30555555555555558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0.29405596358118358</v>
      </c>
      <c r="Y8" s="436">
        <v>3.5299999999999997E-3</v>
      </c>
      <c r="Z8" s="457">
        <v>30</v>
      </c>
      <c r="AA8" s="457">
        <f>+SUMIFS(E:E,B:$B,R8)</f>
        <v>2.7447999999999997</v>
      </c>
      <c r="AB8" s="458">
        <f t="shared" si="2"/>
        <v>910.4704097116844</v>
      </c>
      <c r="AC8" s="458">
        <f>+(AB8*AA8)*Y8</f>
        <v>8.8216789074355066</v>
      </c>
    </row>
    <row r="9" spans="1:29" ht="18.7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1" si="7">+AC9/Z9</f>
        <v>24.836184419134394</v>
      </c>
      <c r="Y9" s="436">
        <v>1.7959999999999997E-2</v>
      </c>
      <c r="Z9" s="457">
        <v>30</v>
      </c>
      <c r="AA9" s="457">
        <f>+SUMIFS(E:E,B:$B,R9)*1/4</f>
        <v>15.1769</v>
      </c>
      <c r="AB9" s="458">
        <f>+SUMIFS(L:L,B:B,R9)</f>
        <v>2733.4851936218679</v>
      </c>
      <c r="AC9" s="458">
        <f t="shared" si="3"/>
        <v>745.08553257403184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1</v>
      </c>
      <c r="E10" s="448">
        <f t="shared" si="4"/>
        <v>53.87</v>
      </c>
      <c r="F10" s="68">
        <f t="shared" si="5"/>
        <v>0.1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4.8814994988610474</v>
      </c>
      <c r="Y10" s="436">
        <v>3.5299999999999997E-3</v>
      </c>
      <c r="Z10" s="457">
        <v>30</v>
      </c>
      <c r="AA10" s="457">
        <f>+SUMIFS(E:E,B:$B,R10)*1/4</f>
        <v>15.1769</v>
      </c>
      <c r="AB10" s="458">
        <f t="shared" ref="AB10:AB22" si="8">+SUMIFS(L:L,B:B,R10)</f>
        <v>2733.4851936218679</v>
      </c>
      <c r="AC10" s="458">
        <f t="shared" si="3"/>
        <v>146.44498496583142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0</v>
      </c>
      <c r="E12" s="448">
        <f t="shared" si="4"/>
        <v>14.203199999999999</v>
      </c>
      <c r="F12" s="68">
        <f t="shared" si="5"/>
        <v>0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53.87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0</v>
      </c>
      <c r="E13" s="448">
        <f t="shared" si="4"/>
        <v>139.94999999999999</v>
      </c>
      <c r="F13" s="68">
        <f t="shared" si="5"/>
        <v>0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11</v>
      </c>
      <c r="E14" s="448">
        <f t="shared" si="4"/>
        <v>30.3538</v>
      </c>
      <c r="F14" s="68">
        <f t="shared" si="5"/>
        <v>0.30555555555555558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11.629408</v>
      </c>
      <c r="Y14" s="436">
        <v>1.8013333333333333E-2</v>
      </c>
      <c r="Z14" s="457">
        <v>30</v>
      </c>
      <c r="AA14" s="457">
        <f>+SUMIFS(E:E,B:$B,R14)</f>
        <v>14.203199999999999</v>
      </c>
      <c r="AB14" s="458">
        <f t="shared" si="8"/>
        <v>1363.6363636363637</v>
      </c>
      <c r="AC14" s="458">
        <f t="shared" si="3"/>
        <v>348.88223999999997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5</v>
      </c>
      <c r="E15" s="448">
        <f t="shared" si="4"/>
        <v>0</v>
      </c>
      <c r="F15" s="68">
        <f t="shared" si="5"/>
        <v>0.25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05-12-25'!A15)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2.2789679999999999</v>
      </c>
      <c r="Y15" s="436">
        <v>3.5299999999999997E-3</v>
      </c>
      <c r="Z15" s="457">
        <v>30</v>
      </c>
      <c r="AA15" s="457">
        <f>+SUMIFS(E:E,B:$B,R15)</f>
        <v>14.203199999999999</v>
      </c>
      <c r="AB15" s="458">
        <f t="shared" si="8"/>
        <v>1363.6363636363637</v>
      </c>
      <c r="AC15" s="458">
        <f t="shared" si="3"/>
        <v>68.369039999999998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44.161999999999999</v>
      </c>
      <c r="Y16" s="436">
        <v>3.5499999999999997E-2</v>
      </c>
      <c r="Z16" s="457">
        <v>18</v>
      </c>
      <c r="AA16" s="457">
        <f>+SUMIFS(E:E,B:$B,R16)</f>
        <v>139.94999999999999</v>
      </c>
      <c r="AB16" s="458">
        <f t="shared" si="8"/>
        <v>160</v>
      </c>
      <c r="AC16" s="458">
        <f t="shared" si="3"/>
        <v>794.91599999999994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1.1126024999999999</v>
      </c>
      <c r="Y17" s="436">
        <v>1.5900000000000001E-3</v>
      </c>
      <c r="Z17" s="457">
        <v>32</v>
      </c>
      <c r="AA17" s="457">
        <f>+SUMIFS(E:E,B:$B,R17)</f>
        <v>139.94999999999999</v>
      </c>
      <c r="AB17" s="458">
        <f t="shared" si="8"/>
        <v>160</v>
      </c>
      <c r="AC17" s="458">
        <f t="shared" si="3"/>
        <v>35.603279999999998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74.348437499999946</v>
      </c>
      <c r="Y18" s="436">
        <v>4.6484374999999967E-2</v>
      </c>
      <c r="Z18" s="457">
        <v>14</v>
      </c>
      <c r="AA18" s="457">
        <f>+SUMIFS(E:E,B:$B,R18)</f>
        <v>139.94999999999999</v>
      </c>
      <c r="AB18" s="458">
        <f t="shared" si="8"/>
        <v>160</v>
      </c>
      <c r="AC18" s="458">
        <f t="shared" si="3"/>
        <v>1040.8781249999993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34.987499999999983</v>
      </c>
      <c r="Y19" s="436">
        <v>1.5624999999999993E-2</v>
      </c>
      <c r="Z19" s="457">
        <v>10</v>
      </c>
      <c r="AA19" s="457">
        <f>+SUMIFS(E:E,B:$B,R19)</f>
        <v>139.94999999999999</v>
      </c>
      <c r="AB19" s="458">
        <f t="shared" si="8"/>
        <v>160</v>
      </c>
      <c r="AC19" s="458">
        <f t="shared" si="3"/>
        <v>349.87499999999983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74.508553257403179</v>
      </c>
      <c r="Y20" s="436">
        <v>1.7959999999999997E-2</v>
      </c>
      <c r="Z20" s="457">
        <v>30</v>
      </c>
      <c r="AA20" s="457">
        <f>+SUMIFS(E:E,B:$B,R20)*3/4</f>
        <v>45.530699999999996</v>
      </c>
      <c r="AB20" s="458">
        <f t="shared" si="8"/>
        <v>2733.4851936218679</v>
      </c>
      <c r="AC20" s="458">
        <f t="shared" si="3"/>
        <v>2235.2565977220952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14.644498496583141</v>
      </c>
      <c r="Y21" s="436">
        <v>3.5299999999999997E-3</v>
      </c>
      <c r="Z21" s="457">
        <v>30</v>
      </c>
      <c r="AA21" s="457">
        <f>+SUMIFS(E:E,B:$B,R21)*3/4</f>
        <v>45.530699999999996</v>
      </c>
      <c r="AB21" s="458">
        <f t="shared" si="8"/>
        <v>2733.4851936218679</v>
      </c>
      <c r="AC21" s="458">
        <f t="shared" si="3"/>
        <v>439.33495489749424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>+AC22/Z22</f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0D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3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AC35"/>
  <sheetViews>
    <sheetView zoomScale="85" zoomScaleNormal="85" workbookViewId="0">
      <selection activeCell="D16" sqref="D16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2</v>
      </c>
      <c r="E7" s="448">
        <f>+IF(D7="","",IF(D7-N7&gt;0,0,N7-D7))</f>
        <v>2.7447999999999997</v>
      </c>
      <c r="F7" s="68">
        <f>+IFERROR(D7/H7,)</f>
        <v>0.4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2.4443575518462315</v>
      </c>
      <c r="Y7" s="436">
        <v>2.9343333333333332E-2</v>
      </c>
      <c r="Z7" s="457">
        <v>30</v>
      </c>
      <c r="AA7" s="457">
        <f>+SUMIFS(E:E,B:$B,R7)</f>
        <v>2.7447999999999997</v>
      </c>
      <c r="AB7" s="458">
        <f t="shared" ref="AB7:AB8" si="2">+SUMIFS(L:L,B:B,R7)</f>
        <v>910.4704097116844</v>
      </c>
      <c r="AC7" s="458">
        <f t="shared" ref="AC7:AC22" si="3">+(AB7*AA7)*Y7</f>
        <v>73.330726555386946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22</v>
      </c>
      <c r="E8" s="448">
        <f t="shared" ref="E8:E15" si="4">+IF(D8="","",IF(D8-N8&gt;0,0,N8-D8))</f>
        <v>19.3538</v>
      </c>
      <c r="F8" s="68">
        <f t="shared" ref="F8:F15" si="5">+IFERROR(D8/H8,)</f>
        <v>0.61111111111111116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0.29405596358118358</v>
      </c>
      <c r="Y8" s="436">
        <v>3.5299999999999997E-3</v>
      </c>
      <c r="Z8" s="457">
        <v>30</v>
      </c>
      <c r="AA8" s="457">
        <f>+SUMIFS(E:E,B:$B,R8)</f>
        <v>2.7447999999999997</v>
      </c>
      <c r="AB8" s="458">
        <f t="shared" si="2"/>
        <v>910.4704097116844</v>
      </c>
      <c r="AC8" s="458">
        <f>+(AB8*AA8)*Y8</f>
        <v>8.8216789074355066</v>
      </c>
    </row>
    <row r="9" spans="1:29" ht="37.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+AC9/Z9</f>
        <v>24.836184419134394</v>
      </c>
      <c r="Y9" s="436">
        <v>1.7959999999999997E-2</v>
      </c>
      <c r="Z9" s="457">
        <v>30</v>
      </c>
      <c r="AA9" s="457">
        <f>+SUMIFS(E:E,B:$B,R9)*1/4</f>
        <v>15.1769</v>
      </c>
      <c r="AB9" s="458">
        <f>+SUMIFS(L:L,B:B,R9)</f>
        <v>2733.4851936218679</v>
      </c>
      <c r="AC9" s="458">
        <f t="shared" si="3"/>
        <v>745.08553257403184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1</v>
      </c>
      <c r="E10" s="448">
        <f t="shared" si="4"/>
        <v>53.87</v>
      </c>
      <c r="F10" s="68">
        <f t="shared" si="5"/>
        <v>0.1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4.8814994988610474</v>
      </c>
      <c r="Y10" s="436">
        <v>3.5299999999999997E-3</v>
      </c>
      <c r="Z10" s="457">
        <v>30</v>
      </c>
      <c r="AA10" s="457">
        <f>+SUMIFS(E:E,B:$B,R10)*1/4</f>
        <v>15.1769</v>
      </c>
      <c r="AB10" s="458">
        <f t="shared" ref="AB10:AB22" si="8">+SUMIFS(L:L,B:B,R10)</f>
        <v>2733.4851936218679</v>
      </c>
      <c r="AC10" s="458">
        <f t="shared" si="3"/>
        <v>146.44498496583142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0</v>
      </c>
      <c r="E12" s="448">
        <f t="shared" si="4"/>
        <v>14.203199999999999</v>
      </c>
      <c r="F12" s="68">
        <f t="shared" si="5"/>
        <v>0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53.87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30</v>
      </c>
      <c r="E13" s="448">
        <f t="shared" si="4"/>
        <v>109.94999999999999</v>
      </c>
      <c r="F13" s="68">
        <f t="shared" si="5"/>
        <v>0.55555555555555558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0</v>
      </c>
      <c r="E14" s="448">
        <f t="shared" si="4"/>
        <v>41.3538</v>
      </c>
      <c r="F14" s="68">
        <f t="shared" si="5"/>
        <v>0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11.629408</v>
      </c>
      <c r="Y14" s="436">
        <v>1.8013333333333333E-2</v>
      </c>
      <c r="Z14" s="457">
        <v>30</v>
      </c>
      <c r="AA14" s="457">
        <f>+SUMIFS(E:E,B:$B,R14)</f>
        <v>14.203199999999999</v>
      </c>
      <c r="AB14" s="458">
        <f t="shared" si="8"/>
        <v>1363.6363636363637</v>
      </c>
      <c r="AC14" s="458">
        <f t="shared" si="3"/>
        <v>348.88223999999997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5</v>
      </c>
      <c r="E15" s="448">
        <f t="shared" si="4"/>
        <v>0</v>
      </c>
      <c r="F15" s="68">
        <f t="shared" si="5"/>
        <v>0.25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28-11'!A15)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2.2789679999999999</v>
      </c>
      <c r="Y15" s="436">
        <v>3.5299999999999997E-3</v>
      </c>
      <c r="Z15" s="457">
        <v>30</v>
      </c>
      <c r="AA15" s="457">
        <f>+SUMIFS(E:E,B:$B,R15)</f>
        <v>14.203199999999999</v>
      </c>
      <c r="AB15" s="458">
        <f t="shared" si="8"/>
        <v>1363.6363636363637</v>
      </c>
      <c r="AC15" s="458">
        <f t="shared" si="3"/>
        <v>68.369039999999998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34.69533333333333</v>
      </c>
      <c r="Y16" s="436">
        <v>3.5499999999999997E-2</v>
      </c>
      <c r="Z16" s="457">
        <v>18</v>
      </c>
      <c r="AA16" s="457">
        <f>+SUMIFS(E:E,B:$B,R16)</f>
        <v>109.94999999999999</v>
      </c>
      <c r="AB16" s="458">
        <f t="shared" si="8"/>
        <v>160</v>
      </c>
      <c r="AC16" s="458">
        <f t="shared" si="3"/>
        <v>624.51599999999996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0.8741025</v>
      </c>
      <c r="Y17" s="436">
        <v>1.5900000000000001E-3</v>
      </c>
      <c r="Z17" s="457">
        <v>32</v>
      </c>
      <c r="AA17" s="457">
        <f>+SUMIFS(E:E,B:$B,R17)</f>
        <v>109.94999999999999</v>
      </c>
      <c r="AB17" s="458">
        <f t="shared" si="8"/>
        <v>160</v>
      </c>
      <c r="AC17" s="458">
        <f t="shared" si="3"/>
        <v>27.97128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58.410937499999953</v>
      </c>
      <c r="Y18" s="436">
        <v>4.6484374999999967E-2</v>
      </c>
      <c r="Z18" s="457">
        <v>14</v>
      </c>
      <c r="AA18" s="457">
        <f>+SUMIFS(E:E,B:$B,R18)</f>
        <v>109.94999999999999</v>
      </c>
      <c r="AB18" s="458">
        <f t="shared" si="8"/>
        <v>160</v>
      </c>
      <c r="AC18" s="458">
        <f t="shared" si="3"/>
        <v>817.75312499999939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27.48749999999999</v>
      </c>
      <c r="Y19" s="436">
        <v>1.5624999999999993E-2</v>
      </c>
      <c r="Z19" s="457">
        <v>10</v>
      </c>
      <c r="AA19" s="457">
        <f>+SUMIFS(E:E,B:$B,R19)</f>
        <v>109.94999999999999</v>
      </c>
      <c r="AB19" s="458">
        <f t="shared" si="8"/>
        <v>160</v>
      </c>
      <c r="AC19" s="458">
        <f t="shared" si="3"/>
        <v>274.87499999999989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74.508553257403179</v>
      </c>
      <c r="Y20" s="436">
        <v>1.7959999999999997E-2</v>
      </c>
      <c r="Z20" s="457">
        <v>30</v>
      </c>
      <c r="AA20" s="457">
        <f>+SUMIFS(E:E,B:$B,R20)*3/4</f>
        <v>45.530699999999996</v>
      </c>
      <c r="AB20" s="458">
        <f t="shared" si="8"/>
        <v>2733.4851936218679</v>
      </c>
      <c r="AC20" s="458">
        <f t="shared" si="3"/>
        <v>2235.2565977220952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14.644498496583141</v>
      </c>
      <c r="Y21" s="436">
        <v>3.5299999999999997E-3</v>
      </c>
      <c r="Z21" s="457">
        <v>30</v>
      </c>
      <c r="AA21" s="457">
        <f>+SUMIFS(E:E,B:$B,R21)*3/4</f>
        <v>45.530699999999996</v>
      </c>
      <c r="AB21" s="458">
        <f t="shared" si="8"/>
        <v>2733.4851936218679</v>
      </c>
      <c r="AC21" s="458">
        <f t="shared" si="3"/>
        <v>439.33495489749424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0E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3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A1:AC35"/>
  <sheetViews>
    <sheetView zoomScale="85" zoomScaleNormal="85" workbookViewId="0">
      <selection activeCell="D7" sqref="D7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0</v>
      </c>
      <c r="E7" s="448">
        <f>+IF(D7="","",IF(D7-N7&gt;0,0,N7-D7))</f>
        <v>4.7447999999999997</v>
      </c>
      <c r="F7" s="68">
        <f>+IFERROR(D7/H7,)</f>
        <v>0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4.2254399999999999</v>
      </c>
      <c r="Y7" s="436">
        <v>2.9343333333333332E-2</v>
      </c>
      <c r="Z7" s="457">
        <v>30</v>
      </c>
      <c r="AA7" s="457">
        <f>+SUMIFS(E:E,B:$B,R7)</f>
        <v>4.7447999999999997</v>
      </c>
      <c r="AB7" s="458">
        <f t="shared" ref="AB7:AB8" si="2">+SUMIFS(L:L,B:B,R7)</f>
        <v>910.4704097116844</v>
      </c>
      <c r="AC7" s="458">
        <f t="shared" ref="AC7:AC22" si="3">+(AB7*AA7)*Y7</f>
        <v>126.7632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9</v>
      </c>
      <c r="E8" s="448">
        <f t="shared" ref="E8:E15" si="4">+IF(D8="","",IF(D8-N8&gt;0,0,N8-D8))</f>
        <v>32.3538</v>
      </c>
      <c r="F8" s="68">
        <f t="shared" ref="F8:F15" si="5">+IFERROR(D8/H8,)</f>
        <v>0.25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0.50831999999999999</v>
      </c>
      <c r="Y8" s="436">
        <v>3.5299999999999997E-3</v>
      </c>
      <c r="Z8" s="457">
        <v>30</v>
      </c>
      <c r="AA8" s="457">
        <f>+SUMIFS(E:E,B:$B,R8)</f>
        <v>4.7447999999999997</v>
      </c>
      <c r="AB8" s="458">
        <f t="shared" si="2"/>
        <v>910.4704097116844</v>
      </c>
      <c r="AC8" s="458">
        <f>+(AB8*AA8)*Y8</f>
        <v>15.249599999999999</v>
      </c>
    </row>
    <row r="9" spans="1:29" ht="37.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+AC9/Z9</f>
        <v>26.472630888382682</v>
      </c>
      <c r="Y9" s="436">
        <v>1.7959999999999997E-2</v>
      </c>
      <c r="Z9" s="457">
        <v>30</v>
      </c>
      <c r="AA9" s="457">
        <f>+SUMIFS(E:E,B:$B,R9)*1/4</f>
        <v>16.1769</v>
      </c>
      <c r="AB9" s="458">
        <f>+SUMIFS(L:L,B:B,R9)</f>
        <v>2733.4851936218679</v>
      </c>
      <c r="AC9" s="458">
        <f t="shared" si="3"/>
        <v>794.17892665148042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3</v>
      </c>
      <c r="E10" s="448">
        <f t="shared" si="4"/>
        <v>51.87</v>
      </c>
      <c r="F10" s="68">
        <f t="shared" si="5"/>
        <v>0.3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5.203139589977221</v>
      </c>
      <c r="Y10" s="436">
        <v>3.5299999999999997E-3</v>
      </c>
      <c r="Z10" s="457">
        <v>30</v>
      </c>
      <c r="AA10" s="457">
        <f>+SUMIFS(E:E,B:$B,R10)*1/4</f>
        <v>16.1769</v>
      </c>
      <c r="AB10" s="458">
        <f t="shared" ref="AB10:AB22" si="8">+SUMIFS(L:L,B:B,R10)</f>
        <v>2733.4851936218679</v>
      </c>
      <c r="AC10" s="458">
        <f t="shared" si="3"/>
        <v>156.09418769931662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0</v>
      </c>
      <c r="E12" s="448">
        <f t="shared" si="4"/>
        <v>14.203199999999999</v>
      </c>
      <c r="F12" s="68">
        <f t="shared" si="5"/>
        <v>0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51.87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30</v>
      </c>
      <c r="E13" s="448">
        <f t="shared" si="4"/>
        <v>109.94999999999999</v>
      </c>
      <c r="F13" s="68">
        <f t="shared" si="5"/>
        <v>0.55555555555555558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9</v>
      </c>
      <c r="E14" s="448">
        <f t="shared" si="4"/>
        <v>32.3538</v>
      </c>
      <c r="F14" s="68">
        <f t="shared" si="5"/>
        <v>0.25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11.629408</v>
      </c>
      <c r="Y14" s="436">
        <v>1.8013333333333333E-2</v>
      </c>
      <c r="Z14" s="457">
        <v>30</v>
      </c>
      <c r="AA14" s="457">
        <f>+SUMIFS(E:E,B:$B,R14)</f>
        <v>14.203199999999999</v>
      </c>
      <c r="AB14" s="458">
        <f t="shared" si="8"/>
        <v>1363.6363636363637</v>
      </c>
      <c r="AC14" s="458">
        <f t="shared" si="3"/>
        <v>348.88223999999997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5</v>
      </c>
      <c r="E15" s="448">
        <f t="shared" si="4"/>
        <v>0</v>
      </c>
      <c r="F15" s="68">
        <f t="shared" si="5"/>
        <v>0.25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Vacio 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2.2789679999999999</v>
      </c>
      <c r="Y15" s="436">
        <v>3.5299999999999997E-3</v>
      </c>
      <c r="Z15" s="457">
        <v>30</v>
      </c>
      <c r="AA15" s="457">
        <f>+SUMIFS(E:E,B:$B,R15)</f>
        <v>14.203199999999999</v>
      </c>
      <c r="AB15" s="458">
        <f t="shared" si="8"/>
        <v>1363.6363636363637</v>
      </c>
      <c r="AC15" s="458">
        <f t="shared" si="3"/>
        <v>68.369039999999998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34.69533333333333</v>
      </c>
      <c r="Y16" s="436">
        <v>3.5499999999999997E-2</v>
      </c>
      <c r="Z16" s="457">
        <v>18</v>
      </c>
      <c r="AA16" s="457">
        <f>+SUMIFS(E:E,B:$B,R16)</f>
        <v>109.94999999999999</v>
      </c>
      <c r="AB16" s="458">
        <f t="shared" si="8"/>
        <v>160</v>
      </c>
      <c r="AC16" s="458">
        <f t="shared" si="3"/>
        <v>624.51599999999996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0.8741025</v>
      </c>
      <c r="Y17" s="436">
        <v>1.5900000000000001E-3</v>
      </c>
      <c r="Z17" s="457">
        <v>32</v>
      </c>
      <c r="AA17" s="457">
        <f>+SUMIFS(E:E,B:$B,R17)</f>
        <v>109.94999999999999</v>
      </c>
      <c r="AB17" s="458">
        <f t="shared" si="8"/>
        <v>160</v>
      </c>
      <c r="AC17" s="458">
        <f t="shared" si="3"/>
        <v>27.97128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58.410937499999953</v>
      </c>
      <c r="Y18" s="436">
        <v>4.6484374999999967E-2</v>
      </c>
      <c r="Z18" s="457">
        <v>14</v>
      </c>
      <c r="AA18" s="457">
        <f>+SUMIFS(E:E,B:$B,R18)</f>
        <v>109.94999999999999</v>
      </c>
      <c r="AB18" s="458">
        <f t="shared" si="8"/>
        <v>160</v>
      </c>
      <c r="AC18" s="458">
        <f t="shared" si="3"/>
        <v>817.75312499999939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27.48749999999999</v>
      </c>
      <c r="Y19" s="436">
        <v>1.5624999999999993E-2</v>
      </c>
      <c r="Z19" s="457">
        <v>10</v>
      </c>
      <c r="AA19" s="457">
        <f>+SUMIFS(E:E,B:$B,R19)</f>
        <v>109.94999999999999</v>
      </c>
      <c r="AB19" s="458">
        <f t="shared" si="8"/>
        <v>160</v>
      </c>
      <c r="AC19" s="458">
        <f t="shared" si="3"/>
        <v>274.87499999999989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79.417892665148031</v>
      </c>
      <c r="Y20" s="436">
        <v>1.7959999999999997E-2</v>
      </c>
      <c r="Z20" s="457">
        <v>30</v>
      </c>
      <c r="AA20" s="457">
        <f>+SUMIFS(E:E,B:$B,R20)*3/4</f>
        <v>48.530699999999996</v>
      </c>
      <c r="AB20" s="458">
        <f t="shared" si="8"/>
        <v>2733.4851936218679</v>
      </c>
      <c r="AC20" s="458">
        <f t="shared" si="3"/>
        <v>2382.536779954441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15.60941876993166</v>
      </c>
      <c r="Y21" s="436">
        <v>3.5299999999999997E-3</v>
      </c>
      <c r="Z21" s="457">
        <v>30</v>
      </c>
      <c r="AA21" s="457">
        <f>+SUMIFS(E:E,B:$B,R21)*3/4</f>
        <v>48.530699999999996</v>
      </c>
      <c r="AB21" s="458">
        <f t="shared" si="8"/>
        <v>2733.4851936218679</v>
      </c>
      <c r="AC21" s="458">
        <f t="shared" si="3"/>
        <v>468.28256309794978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0F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AC35"/>
  <sheetViews>
    <sheetView topLeftCell="A4" zoomScale="85" zoomScaleNormal="85" workbookViewId="0">
      <selection activeCell="Q6" sqref="Q6:V10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4.710937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7.5703125" style="283" customWidth="1"/>
    <col min="21" max="21" width="24.85546875" style="283" bestFit="1" customWidth="1"/>
    <col min="22" max="22" width="9.5703125" style="283" customWidth="1"/>
    <col min="26" max="26" width="6.85546875" customWidth="1"/>
    <col min="28" max="28" width="7.28515625" customWidth="1"/>
    <col min="29" max="29" width="8.140625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2</v>
      </c>
      <c r="E7" s="448">
        <f>+IF(D7="","",IF(D7-N7&gt;0,0,N7-D7))</f>
        <v>2.7447999999999997</v>
      </c>
      <c r="F7" s="68">
        <f>+IFERROR(D7/H7,)</f>
        <v>0.4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+IFERROR(AC7/Z7,"")</f>
        <v>2.4443575518462315</v>
      </c>
      <c r="Y7" s="436">
        <v>2.9343333333333332E-2</v>
      </c>
      <c r="Z7" s="457">
        <v>30</v>
      </c>
      <c r="AA7" s="457">
        <f>+SUMIFS(E:E,B:$B,R7)</f>
        <v>2.7447999999999997</v>
      </c>
      <c r="AB7" s="458">
        <f t="shared" ref="AB7:AB8" si="2">+SUMIFS(L:L,B:B,R7)</f>
        <v>910.4704097116844</v>
      </c>
      <c r="AC7" s="458">
        <f t="shared" ref="AC7:AC22" si="3">+(AB7*AA7)*Y7</f>
        <v>73.330726555386946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12</v>
      </c>
      <c r="E8" s="448">
        <f t="shared" ref="E8:E15" si="4">+IF(D8="","",IF(D8-N8&gt;0,0,N8-D8))</f>
        <v>29.3538</v>
      </c>
      <c r="F8" s="68">
        <f t="shared" ref="F8:F15" si="5">+IFERROR(D8/H8,)</f>
        <v>0.33333333333333331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+IFERROR(AC8/Z8,"")</f>
        <v>0.29405596358118358</v>
      </c>
      <c r="Y8" s="436">
        <v>3.5299999999999997E-3</v>
      </c>
      <c r="Z8" s="457">
        <v>30</v>
      </c>
      <c r="AA8" s="457">
        <f>+SUMIFS(E:E,B:$B,R8)</f>
        <v>2.7447999999999997</v>
      </c>
      <c r="AB8" s="458">
        <f t="shared" si="2"/>
        <v>910.4704097116844</v>
      </c>
      <c r="AC8" s="458">
        <f>+(AB8*AA8)*Y8</f>
        <v>8.8216789074355066</v>
      </c>
    </row>
    <row r="9" spans="1:29" ht="18.75" x14ac:dyDescent="0.3">
      <c r="A9" s="449" t="s">
        <v>22</v>
      </c>
      <c r="B9" s="106">
        <v>654</v>
      </c>
      <c r="C9" s="69" t="s">
        <v>23</v>
      </c>
      <c r="D9" s="447">
        <v>1</v>
      </c>
      <c r="E9" s="448">
        <f t="shared" si="4"/>
        <v>2.9215999999999998</v>
      </c>
      <c r="F9" s="68">
        <f t="shared" si="5"/>
        <v>0.2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466">
        <f>+I9/K9</f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+IFERROR(AC9/Z9,"")</f>
        <v>24.017961184510245</v>
      </c>
      <c r="Y9" s="436">
        <v>1.7959999999999997E-2</v>
      </c>
      <c r="Z9" s="457">
        <v>30</v>
      </c>
      <c r="AA9" s="457">
        <f>+SUMIFS(E:E,B:$B,R9)*1/4</f>
        <v>14.6769</v>
      </c>
      <c r="AB9" s="458">
        <f>+SUMIFS(L:L,B:B,R9)</f>
        <v>2733.4851936218679</v>
      </c>
      <c r="AC9" s="458">
        <f t="shared" si="3"/>
        <v>720.53883553530738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1</v>
      </c>
      <c r="E10" s="448">
        <f t="shared" si="4"/>
        <v>53.87</v>
      </c>
      <c r="F10" s="68">
        <f t="shared" si="5"/>
        <v>0.1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466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4.720679453302961</v>
      </c>
      <c r="Y10" s="436">
        <v>3.5299999999999997E-3</v>
      </c>
      <c r="Z10" s="457">
        <v>30</v>
      </c>
      <c r="AA10" s="457">
        <f>+SUMIFS(E:E,B:$B,R10)*1/4</f>
        <v>14.6769</v>
      </c>
      <c r="AB10" s="458">
        <f t="shared" ref="AB10:AB22" si="8">+SUMIFS(L:L,B:B,R10)</f>
        <v>2733.4851936218679</v>
      </c>
      <c r="AC10" s="458">
        <f t="shared" si="3"/>
        <v>141.62038359908883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466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str">
        <f t="shared" si="7"/>
        <v/>
      </c>
      <c r="Y11" s="461"/>
      <c r="Z11" s="457"/>
      <c r="AA11" s="457">
        <f>+SUMIFS(E:E,B:$B,R11)</f>
        <v>2.9215999999999998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0</v>
      </c>
      <c r="E12" s="448">
        <f t="shared" si="4"/>
        <v>14.203199999999999</v>
      </c>
      <c r="F12" s="68">
        <f t="shared" si="5"/>
        <v>0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str">
        <f t="shared" si="7"/>
        <v/>
      </c>
      <c r="Y12" s="461"/>
      <c r="Z12" s="457"/>
      <c r="AA12" s="457">
        <f>+SUMIFS(E:E,B:$B,R12)</f>
        <v>53.87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30</v>
      </c>
      <c r="E13" s="448">
        <f t="shared" si="4"/>
        <v>109.94999999999999</v>
      </c>
      <c r="F13" s="68">
        <f t="shared" si="5"/>
        <v>0.55555555555555558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str">
        <f t="shared" si="7"/>
        <v/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12</v>
      </c>
      <c r="E14" s="448">
        <f t="shared" si="4"/>
        <v>29.3538</v>
      </c>
      <c r="F14" s="68">
        <f t="shared" si="5"/>
        <v>0.33333333333333331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11.629408</v>
      </c>
      <c r="Y14" s="436">
        <v>1.8013333333333333E-2</v>
      </c>
      <c r="Z14" s="457">
        <v>30</v>
      </c>
      <c r="AA14" s="457">
        <f>+SUMIFS(E:E,B:$B,R14)</f>
        <v>14.203199999999999</v>
      </c>
      <c r="AB14" s="458">
        <f t="shared" si="8"/>
        <v>1363.6363636363637</v>
      </c>
      <c r="AC14" s="458">
        <f t="shared" si="3"/>
        <v>348.88223999999997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5</v>
      </c>
      <c r="E15" s="448">
        <f t="shared" si="4"/>
        <v>0</v>
      </c>
      <c r="F15" s="68">
        <f t="shared" si="5"/>
        <v>0.25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20-11'!A15)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2.2789679999999999</v>
      </c>
      <c r="Y15" s="436">
        <v>3.5299999999999997E-3</v>
      </c>
      <c r="Z15" s="457">
        <v>30</v>
      </c>
      <c r="AA15" s="457">
        <f>+SUMIFS(E:E,B:$B,R15)</f>
        <v>14.203199999999999</v>
      </c>
      <c r="AB15" s="458">
        <f t="shared" si="8"/>
        <v>1363.6363636363637</v>
      </c>
      <c r="AC15" s="458">
        <f t="shared" si="3"/>
        <v>68.369039999999998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34.69533333333333</v>
      </c>
      <c r="Y16" s="436">
        <v>3.5499999999999997E-2</v>
      </c>
      <c r="Z16" s="457">
        <v>18</v>
      </c>
      <c r="AA16" s="457">
        <f>+SUMIFS(E:E,B:$B,R16)</f>
        <v>109.94999999999999</v>
      </c>
      <c r="AB16" s="458">
        <f t="shared" si="8"/>
        <v>160</v>
      </c>
      <c r="AC16" s="458">
        <f t="shared" si="3"/>
        <v>624.51599999999996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0.8741025</v>
      </c>
      <c r="Y17" s="436">
        <v>1.5900000000000001E-3</v>
      </c>
      <c r="Z17" s="457">
        <v>32</v>
      </c>
      <c r="AA17" s="457">
        <f>+SUMIFS(E:E,B:$B,R17)</f>
        <v>109.94999999999999</v>
      </c>
      <c r="AB17" s="458">
        <f t="shared" si="8"/>
        <v>160</v>
      </c>
      <c r="AC17" s="458">
        <f t="shared" si="3"/>
        <v>27.97128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58.410937499999953</v>
      </c>
      <c r="Y18" s="436">
        <v>4.6484374999999967E-2</v>
      </c>
      <c r="Z18" s="457">
        <v>14</v>
      </c>
      <c r="AA18" s="457">
        <f>+SUMIFS(E:E,B:$B,R18)</f>
        <v>109.94999999999999</v>
      </c>
      <c r="AB18" s="458">
        <f t="shared" si="8"/>
        <v>160</v>
      </c>
      <c r="AC18" s="458">
        <f t="shared" si="3"/>
        <v>817.75312499999939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27.48749999999999</v>
      </c>
      <c r="Y19" s="436">
        <v>1.5624999999999993E-2</v>
      </c>
      <c r="Z19" s="457">
        <v>10</v>
      </c>
      <c r="AA19" s="457">
        <f>+SUMIFS(E:E,B:$B,R19)</f>
        <v>109.94999999999999</v>
      </c>
      <c r="AB19" s="458">
        <f t="shared" si="8"/>
        <v>160</v>
      </c>
      <c r="AC19" s="458">
        <f t="shared" si="3"/>
        <v>274.87499999999989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72.053883553530738</v>
      </c>
      <c r="Y20" s="436">
        <v>1.7959999999999997E-2</v>
      </c>
      <c r="Z20" s="457">
        <v>30</v>
      </c>
      <c r="AA20" s="457">
        <f>+SUMIFS(E:E,B:$B,R20)*3/4</f>
        <v>44.030699999999996</v>
      </c>
      <c r="AB20" s="458">
        <f t="shared" si="8"/>
        <v>2733.4851936218679</v>
      </c>
      <c r="AC20" s="458">
        <f t="shared" si="3"/>
        <v>2161.616506605922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14.16203835990888</v>
      </c>
      <c r="Y21" s="436">
        <v>3.5299999999999997E-3</v>
      </c>
      <c r="Z21" s="457">
        <v>30</v>
      </c>
      <c r="AA21" s="457">
        <f>+SUMIFS(E:E,B:$B,R21)*3/4</f>
        <v>44.030699999999996</v>
      </c>
      <c r="AB21" s="458">
        <f t="shared" si="8"/>
        <v>2733.4851936218679</v>
      </c>
      <c r="AC21" s="458">
        <f t="shared" si="3"/>
        <v>424.86115079726642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str">
        <f t="shared" si="7"/>
        <v/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10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C35"/>
  <sheetViews>
    <sheetView zoomScale="85" zoomScaleNormal="85" workbookViewId="0">
      <selection activeCell="D7" sqref="D7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0</v>
      </c>
      <c r="E7" s="448">
        <f>+IF(D7="","",IF(D7-N7&gt;0,0,N7-D7))</f>
        <v>4.7447999999999997</v>
      </c>
      <c r="F7" s="68">
        <f>+IFERROR(D7/H7,)</f>
        <v>0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4.2254399999999999</v>
      </c>
      <c r="Y7" s="436">
        <v>2.9343333333333332E-2</v>
      </c>
      <c r="Z7" s="457">
        <v>30</v>
      </c>
      <c r="AA7" s="457">
        <f>+SUMIFS(E:E,B:$B,R7)</f>
        <v>4.7447999999999997</v>
      </c>
      <c r="AB7" s="458">
        <f t="shared" ref="AB7:AB8" si="2">+SUMIFS(L:L,B:B,R7)</f>
        <v>910.4704097116844</v>
      </c>
      <c r="AC7" s="458">
        <f t="shared" ref="AC7:AC22" si="3">+(AB7*AA7)*Y7</f>
        <v>126.7632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9</v>
      </c>
      <c r="E8" s="448">
        <f t="shared" ref="E8:E15" si="4">+IF(D8="","",IF(D8-N8&gt;0,0,N8-D8))</f>
        <v>32.3538</v>
      </c>
      <c r="F8" s="68">
        <f t="shared" ref="F8:F15" si="5">+IFERROR(D8/H8,)</f>
        <v>0.25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0.50831999999999999</v>
      </c>
      <c r="Y8" s="436">
        <v>3.5299999999999997E-3</v>
      </c>
      <c r="Z8" s="457">
        <v>30</v>
      </c>
      <c r="AA8" s="457">
        <f>+SUMIFS(E:E,B:$B,R8)</f>
        <v>4.7447999999999997</v>
      </c>
      <c r="AB8" s="458">
        <f t="shared" si="2"/>
        <v>910.4704097116844</v>
      </c>
      <c r="AC8" s="458">
        <f>+(AB8*AA8)*Y8</f>
        <v>15.249599999999999</v>
      </c>
    </row>
    <row r="9" spans="1:29" ht="37.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+AC9/Z9</f>
        <v>26.472630888382682</v>
      </c>
      <c r="Y9" s="436">
        <v>1.7959999999999997E-2</v>
      </c>
      <c r="Z9" s="457">
        <v>30</v>
      </c>
      <c r="AA9" s="457">
        <f>+SUMIFS(E:E,B:$B,R9)*1/4</f>
        <v>16.1769</v>
      </c>
      <c r="AB9" s="458">
        <f>+SUMIFS(L:L,B:B,R9)</f>
        <v>2733.4851936218679</v>
      </c>
      <c r="AC9" s="458">
        <f t="shared" si="3"/>
        <v>794.17892665148042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3</v>
      </c>
      <c r="E10" s="448">
        <f t="shared" si="4"/>
        <v>51.87</v>
      </c>
      <c r="F10" s="68">
        <f t="shared" si="5"/>
        <v>0.3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5.203139589977221</v>
      </c>
      <c r="Y10" s="436">
        <v>3.5299999999999997E-3</v>
      </c>
      <c r="Z10" s="457">
        <v>30</v>
      </c>
      <c r="AA10" s="457">
        <f>+SUMIFS(E:E,B:$B,R10)*1/4</f>
        <v>16.1769</v>
      </c>
      <c r="AB10" s="458">
        <f t="shared" ref="AB10:AB22" si="8">+SUMIFS(L:L,B:B,R10)</f>
        <v>2733.4851936218679</v>
      </c>
      <c r="AC10" s="458">
        <f t="shared" si="3"/>
        <v>156.09418769931662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0</v>
      </c>
      <c r="E12" s="448">
        <f t="shared" si="4"/>
        <v>14.203199999999999</v>
      </c>
      <c r="F12" s="68">
        <f t="shared" si="5"/>
        <v>0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51.87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30</v>
      </c>
      <c r="E13" s="448">
        <f t="shared" si="4"/>
        <v>109.94999999999999</v>
      </c>
      <c r="F13" s="68">
        <f t="shared" si="5"/>
        <v>0.55555555555555558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9</v>
      </c>
      <c r="E14" s="448">
        <f t="shared" si="4"/>
        <v>32.3538</v>
      </c>
      <c r="F14" s="68">
        <f t="shared" si="5"/>
        <v>0.25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11.629408</v>
      </c>
      <c r="Y14" s="436">
        <v>1.8013333333333333E-2</v>
      </c>
      <c r="Z14" s="457">
        <v>30</v>
      </c>
      <c r="AA14" s="457">
        <f>+SUMIFS(E:E,B:$B,R14)</f>
        <v>14.203199999999999</v>
      </c>
      <c r="AB14" s="458">
        <f t="shared" si="8"/>
        <v>1363.6363636363637</v>
      </c>
      <c r="AC14" s="458">
        <f t="shared" si="3"/>
        <v>348.88223999999997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5</v>
      </c>
      <c r="E15" s="448">
        <f t="shared" si="4"/>
        <v>0</v>
      </c>
      <c r="F15" s="68">
        <f t="shared" si="5"/>
        <v>0.25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16-10-25'!A15)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2.2789679999999999</v>
      </c>
      <c r="Y15" s="436">
        <v>3.5299999999999997E-3</v>
      </c>
      <c r="Z15" s="457">
        <v>30</v>
      </c>
      <c r="AA15" s="457">
        <f>+SUMIFS(E:E,B:$B,R15)</f>
        <v>14.203199999999999</v>
      </c>
      <c r="AB15" s="458">
        <f t="shared" si="8"/>
        <v>1363.6363636363637</v>
      </c>
      <c r="AC15" s="458">
        <f t="shared" si="3"/>
        <v>68.369039999999998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34.69533333333333</v>
      </c>
      <c r="Y16" s="436">
        <v>3.5499999999999997E-2</v>
      </c>
      <c r="Z16" s="457">
        <v>18</v>
      </c>
      <c r="AA16" s="457">
        <f>+SUMIFS(E:E,B:$B,R16)</f>
        <v>109.94999999999999</v>
      </c>
      <c r="AB16" s="458">
        <f t="shared" si="8"/>
        <v>160</v>
      </c>
      <c r="AC16" s="458">
        <f t="shared" si="3"/>
        <v>624.51599999999996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0.8741025</v>
      </c>
      <c r="Y17" s="436">
        <v>1.5900000000000001E-3</v>
      </c>
      <c r="Z17" s="457">
        <v>32</v>
      </c>
      <c r="AA17" s="457">
        <f>+SUMIFS(E:E,B:$B,R17)</f>
        <v>109.94999999999999</v>
      </c>
      <c r="AB17" s="458">
        <f t="shared" si="8"/>
        <v>160</v>
      </c>
      <c r="AC17" s="458">
        <f t="shared" si="3"/>
        <v>27.97128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58.410937499999953</v>
      </c>
      <c r="Y18" s="436">
        <v>4.6484374999999967E-2</v>
      </c>
      <c r="Z18" s="457">
        <v>14</v>
      </c>
      <c r="AA18" s="457">
        <f>+SUMIFS(E:E,B:$B,R18)</f>
        <v>109.94999999999999</v>
      </c>
      <c r="AB18" s="458">
        <f t="shared" si="8"/>
        <v>160</v>
      </c>
      <c r="AC18" s="458">
        <f t="shared" si="3"/>
        <v>817.75312499999939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27.48749999999999</v>
      </c>
      <c r="Y19" s="436">
        <v>1.5624999999999993E-2</v>
      </c>
      <c r="Z19" s="457">
        <v>10</v>
      </c>
      <c r="AA19" s="457">
        <f>+SUMIFS(E:E,B:$B,R19)</f>
        <v>109.94999999999999</v>
      </c>
      <c r="AB19" s="458">
        <f t="shared" si="8"/>
        <v>160</v>
      </c>
      <c r="AC19" s="458">
        <f t="shared" si="3"/>
        <v>274.87499999999989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79.417892665148031</v>
      </c>
      <c r="Y20" s="436">
        <v>1.7959999999999997E-2</v>
      </c>
      <c r="Z20" s="457">
        <v>30</v>
      </c>
      <c r="AA20" s="457">
        <f>+SUMIFS(E:E,B:$B,R20)*3/4</f>
        <v>48.530699999999996</v>
      </c>
      <c r="AB20" s="458">
        <f t="shared" si="8"/>
        <v>2733.4851936218679</v>
      </c>
      <c r="AC20" s="458">
        <f t="shared" si="3"/>
        <v>2382.536779954441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15.60941876993166</v>
      </c>
      <c r="Y21" s="436">
        <v>3.5299999999999997E-3</v>
      </c>
      <c r="Z21" s="457">
        <v>30</v>
      </c>
      <c r="AA21" s="457">
        <f>+SUMIFS(E:E,B:$B,R21)*3/4</f>
        <v>48.530699999999996</v>
      </c>
      <c r="AB21" s="458">
        <f t="shared" si="8"/>
        <v>2733.4851936218679</v>
      </c>
      <c r="AC21" s="458">
        <f t="shared" si="3"/>
        <v>468.28256309794978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11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</sheetPr>
  <dimension ref="A1:AC35"/>
  <sheetViews>
    <sheetView zoomScale="85" zoomScaleNormal="85" workbookViewId="0">
      <selection activeCell="E17" sqref="E17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0</v>
      </c>
      <c r="E7" s="448">
        <f>+IF(D7="","",IF(D7-N7&gt;0,0,N7-D7))</f>
        <v>4.7447999999999997</v>
      </c>
      <c r="F7" s="68">
        <f>+IFERROR(D7/H7,)</f>
        <v>0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4.2254399999999999</v>
      </c>
      <c r="Y7" s="436">
        <v>2.9343333333333332E-2</v>
      </c>
      <c r="Z7" s="457">
        <v>30</v>
      </c>
      <c r="AA7" s="457">
        <f>+SUMIFS(E:E,B:$B,R7)</f>
        <v>4.7447999999999997</v>
      </c>
      <c r="AB7" s="458">
        <f t="shared" ref="AB7:AB8" si="2">+SUMIFS(L:L,B:B,R7)</f>
        <v>910.4704097116844</v>
      </c>
      <c r="AC7" s="458">
        <f t="shared" ref="AC7:AC22" si="3">+(AB7*AA7)*Y7</f>
        <v>126.7632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9</v>
      </c>
      <c r="E8" s="448">
        <f t="shared" ref="E8:E15" si="4">+IF(D8="","",IF(D8-N8&gt;0,0,N8-D8))</f>
        <v>32.3538</v>
      </c>
      <c r="F8" s="68">
        <f t="shared" ref="F8:F15" si="5">+IFERROR(D8/H8,)</f>
        <v>0.25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0.50831999999999999</v>
      </c>
      <c r="Y8" s="436">
        <v>3.5299999999999997E-3</v>
      </c>
      <c r="Z8" s="457">
        <v>30</v>
      </c>
      <c r="AA8" s="457">
        <f>+SUMIFS(E:E,B:$B,R8)</f>
        <v>4.7447999999999997</v>
      </c>
      <c r="AB8" s="458">
        <f t="shared" si="2"/>
        <v>910.4704097116844</v>
      </c>
      <c r="AC8" s="458">
        <f>+(AB8*AA8)*Y8</f>
        <v>15.249599999999999</v>
      </c>
    </row>
    <row r="9" spans="1:29" ht="37.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+AC9/Z9</f>
        <v>26.472630888382682</v>
      </c>
      <c r="Y9" s="436">
        <v>1.7959999999999997E-2</v>
      </c>
      <c r="Z9" s="457">
        <v>30</v>
      </c>
      <c r="AA9" s="457">
        <f>+SUMIFS(E:E,B:$B,R9)*1/4</f>
        <v>16.1769</v>
      </c>
      <c r="AB9" s="458">
        <f>+SUMIFS(L:L,B:B,R9)</f>
        <v>2733.4851936218679</v>
      </c>
      <c r="AC9" s="458">
        <f t="shared" si="3"/>
        <v>794.17892665148042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3</v>
      </c>
      <c r="E10" s="448">
        <f t="shared" si="4"/>
        <v>51.87</v>
      </c>
      <c r="F10" s="68">
        <f t="shared" si="5"/>
        <v>0.3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5.203139589977221</v>
      </c>
      <c r="Y10" s="436">
        <v>3.5299999999999997E-3</v>
      </c>
      <c r="Z10" s="457">
        <v>30</v>
      </c>
      <c r="AA10" s="457">
        <f>+SUMIFS(E:E,B:$B,R10)*1/4</f>
        <v>16.1769</v>
      </c>
      <c r="AB10" s="458">
        <f t="shared" ref="AB10:AB22" si="8">+SUMIFS(L:L,B:B,R10)</f>
        <v>2733.4851936218679</v>
      </c>
      <c r="AC10" s="458">
        <f t="shared" si="3"/>
        <v>156.09418769931662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0</v>
      </c>
      <c r="E12" s="448">
        <f>+IF(D12="","",IF(D12-N12&gt;0,0,N12-D12))</f>
        <v>14.203199999999999</v>
      </c>
      <c r="F12" s="68">
        <f>+IFERROR(D12/H12,)</f>
        <v>0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51.87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24</v>
      </c>
      <c r="E13" s="448">
        <f>+IF(D13="","",IF(D13-N13&gt;0,0,N13-D13))</f>
        <v>75.384782608695645</v>
      </c>
      <c r="F13" s="68">
        <f t="shared" si="5"/>
        <v>0.44444444444444442</v>
      </c>
      <c r="G13" s="92"/>
      <c r="H13" s="96">
        <v>54</v>
      </c>
      <c r="I13" s="39">
        <v>14.72</v>
      </c>
      <c r="J13" s="39">
        <f t="shared" si="0"/>
        <v>8111.0204081632655</v>
      </c>
      <c r="K13" s="451">
        <v>9.8000000000000004E-2</v>
      </c>
      <c r="L13" s="39">
        <f t="shared" si="1"/>
        <v>150.20408163265307</v>
      </c>
      <c r="M13" s="39">
        <f>IFERROR(VLOOKUP(B13,'Estadistica Madre CH 23-01'!A:C,3,0),+VLOOKUP(B13,'Estadistica Madre LK 23-01 '!A:C,3,0))</f>
        <v>7464</v>
      </c>
      <c r="N13" s="122">
        <f>2*M13/L13</f>
        <v>99.384782608695645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9</v>
      </c>
      <c r="E14" s="448">
        <f>+IF(D14="","",IF(D14-N14&gt;0,0,N14-D14))</f>
        <v>32.3538</v>
      </c>
      <c r="F14" s="68">
        <f>+IFERROR(D14/H14,)</f>
        <v>0.25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11.629408</v>
      </c>
      <c r="Y14" s="436">
        <v>1.8013333333333333E-2</v>
      </c>
      <c r="Z14" s="457">
        <v>30</v>
      </c>
      <c r="AA14" s="457">
        <f>+SUMIFS(E:E,B:$B,R14)</f>
        <v>14.203199999999999</v>
      </c>
      <c r="AB14" s="458">
        <f t="shared" si="8"/>
        <v>1363.6363636363637</v>
      </c>
      <c r="AC14" s="458">
        <f t="shared" si="3"/>
        <v>348.88223999999997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5</v>
      </c>
      <c r="E15" s="448">
        <f t="shared" si="4"/>
        <v>0</v>
      </c>
      <c r="F15" s="68">
        <f t="shared" si="5"/>
        <v>0.25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09-10'!A15)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2.2789679999999999</v>
      </c>
      <c r="Y15" s="436">
        <v>3.5299999999999997E-3</v>
      </c>
      <c r="Z15" s="457">
        <v>30</v>
      </c>
      <c r="AA15" s="457">
        <f>+SUMIFS(E:E,B:$B,R15)</f>
        <v>14.203199999999999</v>
      </c>
      <c r="AB15" s="458">
        <f t="shared" si="8"/>
        <v>1363.6363636363637</v>
      </c>
      <c r="AC15" s="458">
        <f t="shared" si="3"/>
        <v>68.369039999999998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22.331673469387752</v>
      </c>
      <c r="Y16" s="436">
        <v>3.5499999999999997E-2</v>
      </c>
      <c r="Z16" s="457">
        <v>18</v>
      </c>
      <c r="AA16" s="457">
        <f>+SUMIFS(E:E,B:$B,R16)</f>
        <v>75.384782608695645</v>
      </c>
      <c r="AB16" s="458">
        <f t="shared" si="8"/>
        <v>150.20408163265307</v>
      </c>
      <c r="AC16" s="458">
        <f t="shared" si="3"/>
        <v>401.97012244897951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0.56261663265306117</v>
      </c>
      <c r="Y17" s="436">
        <v>1.5900000000000001E-3</v>
      </c>
      <c r="Z17" s="457">
        <v>32</v>
      </c>
      <c r="AA17" s="457">
        <f>+SUMIFS(E:E,B:$B,R17)</f>
        <v>75.384782608695645</v>
      </c>
      <c r="AB17" s="458">
        <f t="shared" si="8"/>
        <v>150.20408163265307</v>
      </c>
      <c r="AC17" s="458">
        <f t="shared" si="3"/>
        <v>18.003732244897957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37.596237244897928</v>
      </c>
      <c r="Y18" s="436">
        <v>4.6484374999999967E-2</v>
      </c>
      <c r="Z18" s="457">
        <v>14</v>
      </c>
      <c r="AA18" s="457">
        <f>+SUMIFS(E:E,B:$B,R18)</f>
        <v>75.384782608695645</v>
      </c>
      <c r="AB18" s="458">
        <f t="shared" si="8"/>
        <v>150.20408163265307</v>
      </c>
      <c r="AC18" s="458">
        <f t="shared" si="3"/>
        <v>526.34732142857104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17.692346938775501</v>
      </c>
      <c r="Y19" s="436">
        <v>1.5624999999999993E-2</v>
      </c>
      <c r="Z19" s="457">
        <v>10</v>
      </c>
      <c r="AA19" s="457">
        <f>+SUMIFS(E:E,B:$B,R19)</f>
        <v>75.384782608695645</v>
      </c>
      <c r="AB19" s="458">
        <f t="shared" si="8"/>
        <v>150.20408163265307</v>
      </c>
      <c r="AC19" s="458">
        <f t="shared" si="3"/>
        <v>176.92346938775501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79.417892665148031</v>
      </c>
      <c r="Y20" s="436">
        <v>1.7959999999999997E-2</v>
      </c>
      <c r="Z20" s="457">
        <v>30</v>
      </c>
      <c r="AA20" s="457">
        <f>+SUMIFS(E:E,B:$B,R20)*3/4</f>
        <v>48.530699999999996</v>
      </c>
      <c r="AB20" s="458">
        <f t="shared" si="8"/>
        <v>2733.4851936218679</v>
      </c>
      <c r="AC20" s="458">
        <f t="shared" si="3"/>
        <v>2382.536779954441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15.60941876993166</v>
      </c>
      <c r="Y21" s="436">
        <v>3.5299999999999997E-3</v>
      </c>
      <c r="Z21" s="457">
        <v>30</v>
      </c>
      <c r="AA21" s="457">
        <f>+SUMIFS(E:E,B:$B,R21)*3/4</f>
        <v>48.530699999999996</v>
      </c>
      <c r="AB21" s="458">
        <f t="shared" si="8"/>
        <v>2733.4851936218679</v>
      </c>
      <c r="AC21" s="458">
        <f t="shared" si="3"/>
        <v>468.28256309794978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12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A1:AC35"/>
  <sheetViews>
    <sheetView zoomScale="85" zoomScaleNormal="85" workbookViewId="0">
      <selection activeCell="E18" sqref="E18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0</v>
      </c>
      <c r="E7" s="448">
        <f>+IF(D7="","",IF(D7-N7&gt;0,0,N7-D7))</f>
        <v>4.7447999999999997</v>
      </c>
      <c r="F7" s="68">
        <f>+IFERROR(D7/H7,)</f>
        <v>0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4.2254399999999999</v>
      </c>
      <c r="Y7" s="436">
        <v>2.9343333333333332E-2</v>
      </c>
      <c r="Z7" s="457">
        <v>30</v>
      </c>
      <c r="AA7" s="457">
        <f>+SUMIFS(E:E,B:$B,R7)</f>
        <v>4.7447999999999997</v>
      </c>
      <c r="AB7" s="458">
        <f t="shared" ref="AB7:AB8" si="2">+SUMIFS(L:L,B:B,R7)</f>
        <v>910.4704097116844</v>
      </c>
      <c r="AC7" s="458">
        <f t="shared" ref="AC7:AC22" si="3">+(AB7*AA7)*Y7</f>
        <v>126.7632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9</v>
      </c>
      <c r="E8" s="448">
        <f>+IF(D8="","",IF(D8-N8&gt;0,0,N8-D8))</f>
        <v>32.3538</v>
      </c>
      <c r="F8" s="68">
        <f t="shared" ref="F8:F15" si="4">+IFERROR(D8/H8,)</f>
        <v>0.25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5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0.50831999999999999</v>
      </c>
      <c r="Y8" s="436">
        <v>3.5299999999999997E-3</v>
      </c>
      <c r="Z8" s="457">
        <v>30</v>
      </c>
      <c r="AA8" s="457">
        <f>+SUMIFS(E:E,B:$B,R8)</f>
        <v>4.7447999999999997</v>
      </c>
      <c r="AB8" s="458">
        <f t="shared" si="2"/>
        <v>910.4704097116844</v>
      </c>
      <c r="AC8" s="458">
        <f>+(AB8*AA8)*Y8</f>
        <v>15.249599999999999</v>
      </c>
    </row>
    <row r="9" spans="1:29" ht="37.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ref="E9:E15" si="6">+IF(D9="","",IF(D9-N9&gt;0,0,N9-D9))</f>
        <v>3.9215999999999998</v>
      </c>
      <c r="F9" s="68">
        <f t="shared" si="4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5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+AC9/Z9</f>
        <v>26.472630888382682</v>
      </c>
      <c r="Y9" s="436">
        <v>1.7959999999999997E-2</v>
      </c>
      <c r="Z9" s="457">
        <v>30</v>
      </c>
      <c r="AA9" s="457">
        <f>+SUMIFS(E:E,B:$B,R9)*1/4</f>
        <v>16.1769</v>
      </c>
      <c r="AB9" s="458">
        <f>+SUMIFS(L:L,B:B,R9)</f>
        <v>2733.4851936218679</v>
      </c>
      <c r="AC9" s="458">
        <f t="shared" si="3"/>
        <v>794.17892665148042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3</v>
      </c>
      <c r="E10" s="448">
        <f t="shared" si="6"/>
        <v>51.87</v>
      </c>
      <c r="F10" s="68">
        <f t="shared" si="4"/>
        <v>0.3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5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5.203139589977221</v>
      </c>
      <c r="Y10" s="436">
        <v>3.5299999999999997E-3</v>
      </c>
      <c r="Z10" s="457">
        <v>30</v>
      </c>
      <c r="AA10" s="457">
        <f>+SUMIFS(E:E,B:$B,R10)*1/4</f>
        <v>16.1769</v>
      </c>
      <c r="AB10" s="458">
        <f t="shared" ref="AB10:AB22" si="8">+SUMIFS(L:L,B:B,R10)</f>
        <v>2733.4851936218679</v>
      </c>
      <c r="AC10" s="458">
        <f t="shared" si="3"/>
        <v>156.09418769931662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6"/>
        <v>37.1</v>
      </c>
      <c r="F11" s="68">
        <f t="shared" si="4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5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0</v>
      </c>
      <c r="E12" s="448">
        <f t="shared" si="6"/>
        <v>14.203199999999999</v>
      </c>
      <c r="F12" s="68">
        <f t="shared" si="4"/>
        <v>0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5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51.87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35</v>
      </c>
      <c r="E13" s="448">
        <f t="shared" si="6"/>
        <v>114.28</v>
      </c>
      <c r="F13" s="68">
        <f t="shared" si="4"/>
        <v>0.64814814814814814</v>
      </c>
      <c r="G13" s="92"/>
      <c r="H13" s="96">
        <v>54</v>
      </c>
      <c r="I13" s="39">
        <v>14.7</v>
      </c>
      <c r="J13" s="39">
        <f t="shared" si="0"/>
        <v>8100</v>
      </c>
      <c r="K13" s="451">
        <v>9.8000000000000004E-2</v>
      </c>
      <c r="L13" s="39">
        <f>+I13/K13</f>
        <v>150</v>
      </c>
      <c r="M13" s="39">
        <f>IFERROR(VLOOKUP(B13,'Estadistica Madre CH 23-01'!A:C,3,0),+VLOOKUP(B13,'Estadistica Madre LK 23-01 '!A:C,3,0))</f>
        <v>7464</v>
      </c>
      <c r="N13" s="122">
        <f>3*M13/L13</f>
        <v>149.28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9</v>
      </c>
      <c r="E14" s="448">
        <f t="shared" si="6"/>
        <v>32.3538</v>
      </c>
      <c r="F14" s="68">
        <f t="shared" si="4"/>
        <v>0.25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5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11.629408</v>
      </c>
      <c r="Y14" s="436">
        <v>1.8013333333333333E-2</v>
      </c>
      <c r="Z14" s="457">
        <v>30</v>
      </c>
      <c r="AA14" s="457">
        <f>+SUMIFS(E:E,B:$B,R14)</f>
        <v>14.203199999999999</v>
      </c>
      <c r="AB14" s="458">
        <f t="shared" si="8"/>
        <v>1363.6363636363637</v>
      </c>
      <c r="AC14" s="458">
        <f t="shared" si="3"/>
        <v>348.88223999999997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5</v>
      </c>
      <c r="E15" s="448">
        <f t="shared" si="6"/>
        <v>0</v>
      </c>
      <c r="F15" s="68">
        <f t="shared" si="4"/>
        <v>0.25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'!A:A,'23-10-25'!A15)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2.2789679999999999</v>
      </c>
      <c r="Y15" s="436">
        <v>3.5299999999999997E-3</v>
      </c>
      <c r="Z15" s="457">
        <v>30</v>
      </c>
      <c r="AA15" s="457">
        <f>+SUMIFS(E:E,B:$B,R15)</f>
        <v>14.203199999999999</v>
      </c>
      <c r="AB15" s="458">
        <f t="shared" si="8"/>
        <v>1363.6363636363637</v>
      </c>
      <c r="AC15" s="458">
        <f t="shared" si="3"/>
        <v>68.369039999999998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33.807833333333328</v>
      </c>
      <c r="Y16" s="436">
        <v>3.5499999999999997E-2</v>
      </c>
      <c r="Z16" s="457">
        <v>18</v>
      </c>
      <c r="AA16" s="457">
        <f>+SUMIFS(E:E,B:$B,R16)</f>
        <v>114.28</v>
      </c>
      <c r="AB16" s="458">
        <f t="shared" si="8"/>
        <v>150</v>
      </c>
      <c r="AC16" s="458">
        <f t="shared" si="3"/>
        <v>608.54099999999994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0.85174312500000005</v>
      </c>
      <c r="Y17" s="436">
        <v>1.5900000000000001E-3</v>
      </c>
      <c r="Z17" s="457">
        <v>32</v>
      </c>
      <c r="AA17" s="457">
        <f>+SUMIFS(E:E,B:$B,R17)</f>
        <v>114.28</v>
      </c>
      <c r="AB17" s="458">
        <f t="shared" si="8"/>
        <v>150</v>
      </c>
      <c r="AC17" s="458">
        <f t="shared" si="3"/>
        <v>27.255780000000001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56.916796874999953</v>
      </c>
      <c r="Y18" s="436">
        <v>4.6484374999999967E-2</v>
      </c>
      <c r="Z18" s="457">
        <v>14</v>
      </c>
      <c r="AA18" s="457">
        <f>+SUMIFS(E:E,B:$B,R18)</f>
        <v>114.28</v>
      </c>
      <c r="AB18" s="458">
        <f t="shared" si="8"/>
        <v>150</v>
      </c>
      <c r="AC18" s="458">
        <f t="shared" si="3"/>
        <v>796.83515624999939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26.78437499999999</v>
      </c>
      <c r="Y19" s="436">
        <v>1.5624999999999993E-2</v>
      </c>
      <c r="Z19" s="457">
        <v>10</v>
      </c>
      <c r="AA19" s="457">
        <f>+SUMIFS(E:E,B:$B,R19)</f>
        <v>114.28</v>
      </c>
      <c r="AB19" s="458">
        <f t="shared" si="8"/>
        <v>150</v>
      </c>
      <c r="AC19" s="458">
        <f t="shared" si="3"/>
        <v>267.84374999999989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79.417892665148031</v>
      </c>
      <c r="Y20" s="436">
        <v>1.7959999999999997E-2</v>
      </c>
      <c r="Z20" s="457">
        <v>30</v>
      </c>
      <c r="AA20" s="457">
        <f>+SUMIFS(E:E,B:$B,R20)*3/4</f>
        <v>48.530699999999996</v>
      </c>
      <c r="AB20" s="458">
        <f t="shared" si="8"/>
        <v>2733.4851936218679</v>
      </c>
      <c r="AC20" s="458">
        <f t="shared" si="3"/>
        <v>2382.536779954441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15.60941876993166</v>
      </c>
      <c r="Y21" s="436">
        <v>3.5299999999999997E-3</v>
      </c>
      <c r="Z21" s="457">
        <v>30</v>
      </c>
      <c r="AA21" s="457">
        <f>+SUMIFS(E:E,B:$B,R21)*3/4</f>
        <v>48.530699999999996</v>
      </c>
      <c r="AB21" s="458">
        <f t="shared" si="8"/>
        <v>2733.4851936218679</v>
      </c>
      <c r="AC21" s="458">
        <f t="shared" si="3"/>
        <v>468.28256309794978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13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FF00"/>
  </sheetPr>
  <dimension ref="A1:AC35"/>
  <sheetViews>
    <sheetView zoomScale="85" zoomScaleNormal="85" workbookViewId="0">
      <selection activeCell="H17" sqref="H17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0</v>
      </c>
      <c r="E7" s="448">
        <f>+IF(D7="","",IF(D7-N7&gt;0,0,N7-D7))</f>
        <v>4.7447999999999997</v>
      </c>
      <c r="F7" s="68">
        <f>+IFERROR(D7/H7,)</f>
        <v>0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4.2254399999999999</v>
      </c>
      <c r="Y7" s="436">
        <v>2.9343333333333332E-2</v>
      </c>
      <c r="Z7" s="457">
        <v>30</v>
      </c>
      <c r="AA7" s="457">
        <f>+SUMIFS(E:E,B:$B,R7)</f>
        <v>4.7447999999999997</v>
      </c>
      <c r="AB7" s="458">
        <f t="shared" ref="AB7:AB8" si="2">+SUMIFS(L:L,B:B,R7)</f>
        <v>910.4704097116844</v>
      </c>
      <c r="AC7" s="458">
        <f t="shared" ref="AC7:AC22" si="3">+(AB7*AA7)*Y7</f>
        <v>126.7632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16</v>
      </c>
      <c r="E8" s="448">
        <f t="shared" ref="E8:E15" si="4">+IF(D8="","",IF(D8-N8&gt;0,0,N8-D8))</f>
        <v>25.3538</v>
      </c>
      <c r="F8" s="68">
        <f t="shared" ref="F8:F15" si="5">+IFERROR(D8/H8,)</f>
        <v>0.44444444444444442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0.50831999999999999</v>
      </c>
      <c r="Y8" s="436">
        <v>3.5299999999999997E-3</v>
      </c>
      <c r="Z8" s="457">
        <v>30</v>
      </c>
      <c r="AA8" s="457">
        <f>+SUMIFS(E:E,B:$B,R8)</f>
        <v>4.7447999999999997</v>
      </c>
      <c r="AB8" s="458">
        <f t="shared" si="2"/>
        <v>910.4704097116844</v>
      </c>
      <c r="AC8" s="458">
        <f>+(AB8*AA8)*Y8</f>
        <v>15.249599999999999</v>
      </c>
    </row>
    <row r="9" spans="1:29" ht="37.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+AC9/Z9</f>
        <v>20.745068246013663</v>
      </c>
      <c r="Y9" s="436">
        <v>1.7959999999999997E-2</v>
      </c>
      <c r="Z9" s="457">
        <v>30</v>
      </c>
      <c r="AA9" s="457">
        <f>+SUMIFS(E:E,B:$B,R9)*1/4</f>
        <v>12.6769</v>
      </c>
      <c r="AB9" s="458">
        <f>+SUMIFS(L:L,B:B,R9)</f>
        <v>2733.4851936218679</v>
      </c>
      <c r="AC9" s="458">
        <f t="shared" si="3"/>
        <v>622.35204738040989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1</v>
      </c>
      <c r="E10" s="448">
        <f t="shared" si="4"/>
        <v>53.87</v>
      </c>
      <c r="F10" s="68">
        <f t="shared" si="5"/>
        <v>0.1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4.0773992710706146</v>
      </c>
      <c r="Y10" s="436">
        <v>3.5299999999999997E-3</v>
      </c>
      <c r="Z10" s="457">
        <v>30</v>
      </c>
      <c r="AA10" s="457">
        <f>+SUMIFS(E:E,B:$B,R10)*1/4</f>
        <v>12.6769</v>
      </c>
      <c r="AB10" s="458">
        <f t="shared" ref="AB10:AB22" si="8">+SUMIFS(L:L,B:B,R10)</f>
        <v>2733.4851936218679</v>
      </c>
      <c r="AC10" s="458">
        <f t="shared" si="3"/>
        <v>122.32197813211843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3</v>
      </c>
      <c r="E12" s="448">
        <f t="shared" si="4"/>
        <v>11.203199999999999</v>
      </c>
      <c r="F12" s="68">
        <f t="shared" si="5"/>
        <v>0.375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53.87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35</v>
      </c>
      <c r="E13" s="448">
        <f t="shared" si="4"/>
        <v>104.94999999999999</v>
      </c>
      <c r="F13" s="68">
        <f t="shared" si="5"/>
        <v>0.64814814814814814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16</v>
      </c>
      <c r="E14" s="448">
        <f t="shared" si="4"/>
        <v>25.3538</v>
      </c>
      <c r="F14" s="68">
        <f t="shared" si="5"/>
        <v>0.44444444444444442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9.1730443636363628</v>
      </c>
      <c r="Y14" s="436">
        <v>1.8013333333333333E-2</v>
      </c>
      <c r="Z14" s="457">
        <v>30</v>
      </c>
      <c r="AA14" s="457">
        <f>+SUMIFS(E:E,B:$B,R14)</f>
        <v>11.203199999999999</v>
      </c>
      <c r="AB14" s="458">
        <f t="shared" si="8"/>
        <v>1363.6363636363637</v>
      </c>
      <c r="AC14" s="458">
        <f t="shared" si="3"/>
        <v>275.19133090909088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5</v>
      </c>
      <c r="E15" s="448">
        <f t="shared" si="4"/>
        <v>0</v>
      </c>
      <c r="F15" s="68">
        <f t="shared" si="5"/>
        <v>0.25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30-10'!A15)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1.7976043636363634</v>
      </c>
      <c r="Y15" s="436">
        <v>3.5299999999999997E-3</v>
      </c>
      <c r="Z15" s="457">
        <v>30</v>
      </c>
      <c r="AA15" s="457">
        <f>+SUMIFS(E:E,B:$B,R15)</f>
        <v>11.203199999999999</v>
      </c>
      <c r="AB15" s="458">
        <f t="shared" si="8"/>
        <v>1363.6363636363637</v>
      </c>
      <c r="AC15" s="458">
        <f t="shared" si="3"/>
        <v>53.928130909090903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33.117555555555555</v>
      </c>
      <c r="Y16" s="436">
        <v>3.5499999999999997E-2</v>
      </c>
      <c r="Z16" s="457">
        <v>18</v>
      </c>
      <c r="AA16" s="457">
        <f>+SUMIFS(E:E,B:$B,R16)</f>
        <v>104.94999999999999</v>
      </c>
      <c r="AB16" s="458">
        <f t="shared" si="8"/>
        <v>160</v>
      </c>
      <c r="AC16" s="458">
        <f t="shared" si="3"/>
        <v>596.11599999999999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0.83435250000000005</v>
      </c>
      <c r="Y17" s="436">
        <v>1.5900000000000001E-3</v>
      </c>
      <c r="Z17" s="457">
        <v>32</v>
      </c>
      <c r="AA17" s="457">
        <f>+SUMIFS(E:E,B:$B,R17)</f>
        <v>104.94999999999999</v>
      </c>
      <c r="AB17" s="458">
        <f t="shared" si="8"/>
        <v>160</v>
      </c>
      <c r="AC17" s="458">
        <f t="shared" si="3"/>
        <v>26.699280000000002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55.754687499999953</v>
      </c>
      <c r="Y18" s="436">
        <v>4.6484374999999967E-2</v>
      </c>
      <c r="Z18" s="457">
        <v>14</v>
      </c>
      <c r="AA18" s="457">
        <f>+SUMIFS(E:E,B:$B,R18)</f>
        <v>104.94999999999999</v>
      </c>
      <c r="AB18" s="458">
        <f t="shared" si="8"/>
        <v>160</v>
      </c>
      <c r="AC18" s="458">
        <f t="shared" si="3"/>
        <v>780.56562499999939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26.23749999999999</v>
      </c>
      <c r="Y19" s="436">
        <v>1.5624999999999993E-2</v>
      </c>
      <c r="Z19" s="457">
        <v>10</v>
      </c>
      <c r="AA19" s="457">
        <f>+SUMIFS(E:E,B:$B,R19)</f>
        <v>104.94999999999999</v>
      </c>
      <c r="AB19" s="458">
        <f t="shared" si="8"/>
        <v>160</v>
      </c>
      <c r="AC19" s="458">
        <f t="shared" si="3"/>
        <v>262.37499999999989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62.235204738040991</v>
      </c>
      <c r="Y20" s="436">
        <v>1.7959999999999997E-2</v>
      </c>
      <c r="Z20" s="457">
        <v>30</v>
      </c>
      <c r="AA20" s="457">
        <f>+SUMIFS(E:E,B:$B,R20)*3/4</f>
        <v>38.030699999999996</v>
      </c>
      <c r="AB20" s="458">
        <f t="shared" si="8"/>
        <v>2733.4851936218679</v>
      </c>
      <c r="AC20" s="458">
        <f t="shared" si="3"/>
        <v>1867.0561421412297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12.232197813211844</v>
      </c>
      <c r="Y21" s="436">
        <v>3.5299999999999997E-3</v>
      </c>
      <c r="Z21" s="457">
        <v>30</v>
      </c>
      <c r="AA21" s="457">
        <f>+SUMIFS(E:E,B:$B,R21)*3/4</f>
        <v>38.030699999999996</v>
      </c>
      <c r="AB21" s="458">
        <f t="shared" si="8"/>
        <v>2733.4851936218679</v>
      </c>
      <c r="AC21" s="458">
        <f t="shared" si="3"/>
        <v>366.96593439635529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14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FF00"/>
  </sheetPr>
  <dimension ref="A1:AC35"/>
  <sheetViews>
    <sheetView zoomScale="85" zoomScaleNormal="85" workbookViewId="0">
      <selection activeCell="D17" sqref="D17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0</v>
      </c>
      <c r="E7" s="448">
        <f>+IF(D7="","",IF(D7-N7&gt;0,0,N7-D7))</f>
        <v>4.7447999999999997</v>
      </c>
      <c r="F7" s="68">
        <f>+IFERROR(D7/H7,)</f>
        <v>0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4.2254399999999999</v>
      </c>
      <c r="Y7" s="436">
        <v>2.9343333333333332E-2</v>
      </c>
      <c r="Z7" s="457">
        <v>30</v>
      </c>
      <c r="AA7" s="457">
        <f>+SUMIFS(E:E,B:$B,R7)</f>
        <v>4.7447999999999997</v>
      </c>
      <c r="AB7" s="458">
        <f t="shared" ref="AB7:AB8" si="2">+SUMIFS(L:L,B:B,R7)</f>
        <v>910.4704097116844</v>
      </c>
      <c r="AC7" s="458">
        <f t="shared" ref="AC7:AC22" si="3">+(AB7*AA7)*Y7</f>
        <v>126.7632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16</v>
      </c>
      <c r="E8" s="448">
        <f t="shared" ref="E8:E15" si="4">+IF(D8="","",IF(D8-N8&gt;0,0,N8-D8))</f>
        <v>25.3538</v>
      </c>
      <c r="F8" s="68">
        <f t="shared" ref="F8:F15" si="5">+IFERROR(D8/H8,)</f>
        <v>0.44444444444444442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0.50831999999999999</v>
      </c>
      <c r="Y8" s="436">
        <v>3.5299999999999997E-3</v>
      </c>
      <c r="Z8" s="457">
        <v>30</v>
      </c>
      <c r="AA8" s="457">
        <f>+SUMIFS(E:E,B:$B,R8)</f>
        <v>4.7447999999999997</v>
      </c>
      <c r="AB8" s="458">
        <f t="shared" si="2"/>
        <v>910.4704097116844</v>
      </c>
      <c r="AC8" s="458">
        <f>+(AB8*AA8)*Y8</f>
        <v>15.249599999999999</v>
      </c>
    </row>
    <row r="9" spans="1:29" ht="37.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+AC9/Z9</f>
        <v>20.745068246013663</v>
      </c>
      <c r="Y9" s="436">
        <v>1.7959999999999997E-2</v>
      </c>
      <c r="Z9" s="457">
        <v>30</v>
      </c>
      <c r="AA9" s="457">
        <f>+SUMIFS(E:E,B:$B,R9)*1/4</f>
        <v>12.6769</v>
      </c>
      <c r="AB9" s="458">
        <f>+SUMIFS(L:L,B:B,R9)</f>
        <v>2733.4851936218679</v>
      </c>
      <c r="AC9" s="458">
        <f t="shared" si="3"/>
        <v>622.35204738040989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1</v>
      </c>
      <c r="E10" s="448">
        <f t="shared" si="4"/>
        <v>53.87</v>
      </c>
      <c r="F10" s="68">
        <f t="shared" si="5"/>
        <v>0.1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4.0773992710706146</v>
      </c>
      <c r="Y10" s="436">
        <v>3.5299999999999997E-3</v>
      </c>
      <c r="Z10" s="457">
        <v>30</v>
      </c>
      <c r="AA10" s="457">
        <f>+SUMIFS(E:E,B:$B,R10)*1/4</f>
        <v>12.6769</v>
      </c>
      <c r="AB10" s="458">
        <f t="shared" ref="AB10:AB22" si="8">+SUMIFS(L:L,B:B,R10)</f>
        <v>2733.4851936218679</v>
      </c>
      <c r="AC10" s="458">
        <f t="shared" si="3"/>
        <v>122.32197813211843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3</v>
      </c>
      <c r="E12" s="448">
        <f t="shared" si="4"/>
        <v>11.203199999999999</v>
      </c>
      <c r="F12" s="68">
        <f t="shared" si="5"/>
        <v>0.375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53.87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0</v>
      </c>
      <c r="E13" s="448">
        <f t="shared" si="4"/>
        <v>139.94999999999999</v>
      </c>
      <c r="F13" s="68">
        <f t="shared" si="5"/>
        <v>0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16</v>
      </c>
      <c r="E14" s="448">
        <f t="shared" si="4"/>
        <v>25.3538</v>
      </c>
      <c r="F14" s="68">
        <f t="shared" si="5"/>
        <v>0.44444444444444442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9.1730443636363628</v>
      </c>
      <c r="Y14" s="436">
        <v>1.8013333333333333E-2</v>
      </c>
      <c r="Z14" s="457">
        <v>30</v>
      </c>
      <c r="AA14" s="457">
        <f>+SUMIFS(E:E,B:$B,R14)</f>
        <v>11.203199999999999</v>
      </c>
      <c r="AB14" s="458">
        <f t="shared" si="8"/>
        <v>1363.6363636363637</v>
      </c>
      <c r="AC14" s="458">
        <f t="shared" si="3"/>
        <v>275.19133090909088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5</v>
      </c>
      <c r="E15" s="448">
        <f t="shared" si="4"/>
        <v>0</v>
      </c>
      <c r="F15" s="68">
        <f t="shared" si="5"/>
        <v>0.25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06-11'!A15)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1.7976043636363634</v>
      </c>
      <c r="Y15" s="436">
        <v>3.5299999999999997E-3</v>
      </c>
      <c r="Z15" s="457">
        <v>30</v>
      </c>
      <c r="AA15" s="457">
        <f>+SUMIFS(E:E,B:$B,R15)</f>
        <v>11.203199999999999</v>
      </c>
      <c r="AB15" s="458">
        <f t="shared" si="8"/>
        <v>1363.6363636363637</v>
      </c>
      <c r="AC15" s="458">
        <f t="shared" si="3"/>
        <v>53.928130909090903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44.161999999999999</v>
      </c>
      <c r="Y16" s="436">
        <v>3.5499999999999997E-2</v>
      </c>
      <c r="Z16" s="457">
        <v>18</v>
      </c>
      <c r="AA16" s="457">
        <f>+SUMIFS(E:E,B:$B,R16)</f>
        <v>139.94999999999999</v>
      </c>
      <c r="AB16" s="458">
        <f t="shared" si="8"/>
        <v>160</v>
      </c>
      <c r="AC16" s="458">
        <f t="shared" si="3"/>
        <v>794.91599999999994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1.1126024999999999</v>
      </c>
      <c r="Y17" s="436">
        <v>1.5900000000000001E-3</v>
      </c>
      <c r="Z17" s="457">
        <v>32</v>
      </c>
      <c r="AA17" s="457">
        <f>+SUMIFS(E:E,B:$B,R17)</f>
        <v>139.94999999999999</v>
      </c>
      <c r="AB17" s="458">
        <f t="shared" si="8"/>
        <v>160</v>
      </c>
      <c r="AC17" s="458">
        <f t="shared" si="3"/>
        <v>35.603279999999998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74.348437499999946</v>
      </c>
      <c r="Y18" s="436">
        <v>4.6484374999999967E-2</v>
      </c>
      <c r="Z18" s="457">
        <v>14</v>
      </c>
      <c r="AA18" s="457">
        <f>+SUMIFS(E:E,B:$B,R18)</f>
        <v>139.94999999999999</v>
      </c>
      <c r="AB18" s="458">
        <f t="shared" si="8"/>
        <v>160</v>
      </c>
      <c r="AC18" s="458">
        <f t="shared" si="3"/>
        <v>1040.8781249999993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34.987499999999983</v>
      </c>
      <c r="Y19" s="436">
        <v>1.5624999999999993E-2</v>
      </c>
      <c r="Z19" s="457">
        <v>10</v>
      </c>
      <c r="AA19" s="457">
        <f>+SUMIFS(E:E,B:$B,R19)</f>
        <v>139.94999999999999</v>
      </c>
      <c r="AB19" s="458">
        <f t="shared" si="8"/>
        <v>160</v>
      </c>
      <c r="AC19" s="458">
        <f t="shared" si="3"/>
        <v>349.87499999999983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62.235204738040991</v>
      </c>
      <c r="Y20" s="436">
        <v>1.7959999999999997E-2</v>
      </c>
      <c r="Z20" s="457">
        <v>30</v>
      </c>
      <c r="AA20" s="457">
        <f>+SUMIFS(E:E,B:$B,R20)*3/4</f>
        <v>38.030699999999996</v>
      </c>
      <c r="AB20" s="458">
        <f t="shared" si="8"/>
        <v>2733.4851936218679</v>
      </c>
      <c r="AC20" s="458">
        <f t="shared" si="3"/>
        <v>1867.0561421412297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12.232197813211844</v>
      </c>
      <c r="Y21" s="436">
        <v>3.5299999999999997E-3</v>
      </c>
      <c r="Z21" s="457">
        <v>30</v>
      </c>
      <c r="AA21" s="457">
        <f>+SUMIFS(E:E,B:$B,R21)*3/4</f>
        <v>38.030699999999996</v>
      </c>
      <c r="AB21" s="458">
        <f t="shared" si="8"/>
        <v>2733.4851936218679</v>
      </c>
      <c r="AC21" s="458">
        <f t="shared" si="3"/>
        <v>366.96593439635529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15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18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FF00"/>
    <pageSetUpPr fitToPage="1"/>
  </sheetPr>
  <dimension ref="A1:AE50"/>
  <sheetViews>
    <sheetView zoomScale="70" zoomScaleNormal="70" workbookViewId="0">
      <selection activeCell="H7" sqref="H7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customWidth="1"/>
    <col min="5" max="5" width="9.140625" customWidth="1"/>
    <col min="6" max="6" width="8.28515625" customWidth="1"/>
    <col min="7" max="7" width="10.42578125" customWidth="1"/>
    <col min="8" max="8" width="8.42578125" customWidth="1"/>
    <col min="9" max="10" width="8.7109375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0</v>
      </c>
      <c r="G7" s="111" t="s">
        <v>15</v>
      </c>
      <c r="H7" s="73"/>
      <c r="I7" s="72">
        <f t="shared" ref="I7:I23" si="0">H7*W7</f>
        <v>0</v>
      </c>
      <c r="J7" s="72">
        <f t="shared" ref="J7:J23" si="1">+I7/Y7</f>
        <v>0</v>
      </c>
      <c r="K7" s="72">
        <f t="shared" ref="K7:K23" si="2">IF(V7-H7&lt;0,0,V7-H7)</f>
        <v>5</v>
      </c>
      <c r="L7" s="75">
        <f t="shared" ref="L7:L23" si="3">+IF(X7-J7&lt;0,"",X7-J7)</f>
        <v>4552.3520485584222</v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/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</v>
      </c>
      <c r="G9" s="112" t="s">
        <v>28</v>
      </c>
      <c r="H9" s="327"/>
      <c r="I9" s="117">
        <f>H9*W9</f>
        <v>0</v>
      </c>
      <c r="J9" s="117">
        <f>+I9/Y9</f>
        <v>0</v>
      </c>
      <c r="K9" s="117">
        <f>IF(V9-H9&lt;0,0,(V9-H9)*1/4)</f>
        <v>9</v>
      </c>
      <c r="L9" s="328">
        <f>+IF(X9-J9&lt;0,"",X9-J9)</f>
        <v>49202.733485193625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/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/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/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</v>
      </c>
      <c r="G22" s="111" t="s">
        <v>30</v>
      </c>
      <c r="H22" s="73"/>
      <c r="I22" s="72">
        <f t="shared" si="0"/>
        <v>0</v>
      </c>
      <c r="J22" s="72">
        <f t="shared" si="1"/>
        <v>0</v>
      </c>
      <c r="K22" s="72">
        <f t="shared" si="2"/>
        <v>4</v>
      </c>
      <c r="L22" s="75">
        <f t="shared" si="3"/>
        <v>5454.545454545455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68"/>
      <c r="E23" s="68"/>
      <c r="F23" s="68">
        <f>+I23/(V23*W23)</f>
        <v>0</v>
      </c>
      <c r="G23" s="106" t="s">
        <v>702</v>
      </c>
      <c r="H23" s="66"/>
      <c r="I23" s="67">
        <f t="shared" si="0"/>
        <v>0</v>
      </c>
      <c r="J23" s="67">
        <f t="shared" si="1"/>
        <v>0</v>
      </c>
      <c r="K23" s="67">
        <f t="shared" si="2"/>
        <v>54</v>
      </c>
      <c r="L23" s="77">
        <f t="shared" si="3"/>
        <v>8640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329"/>
      <c r="E24" s="329"/>
      <c r="F24" s="329">
        <f>+I24/(V24*W24)</f>
        <v>0</v>
      </c>
      <c r="G24" s="112" t="s">
        <v>28</v>
      </c>
      <c r="H24" s="327"/>
      <c r="I24" s="117">
        <f>H24*W24</f>
        <v>0</v>
      </c>
      <c r="J24" s="117">
        <f>+I24/Y24</f>
        <v>0</v>
      </c>
      <c r="K24" s="117">
        <f>IF(V24-H24&lt;0,0,(V24-H24)*3/4)</f>
        <v>27</v>
      </c>
      <c r="L24" s="328">
        <f>+IF(X24-J24&lt;0,"",X24-J24)</f>
        <v>49202.733485193625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117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0</v>
      </c>
      <c r="G29" s="231" t="s">
        <v>444</v>
      </c>
      <c r="H29" s="234"/>
      <c r="I29" s="235">
        <f>+H29*X29</f>
        <v>0</v>
      </c>
      <c r="J29" s="235">
        <f>IF(AB29-I29&lt;0,0,AB29-I29)</f>
        <v>18.652702702702705</v>
      </c>
      <c r="K29" s="236">
        <f>IF(AC29-H29&lt;0,0,AC29-H29)</f>
        <v>0.93263513513513541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Vacio'!G29)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  <row r="33" spans="1:12" ht="15.75" thickBot="1" x14ac:dyDescent="0.3"/>
    <row r="34" spans="1:12" ht="75" x14ac:dyDescent="0.3">
      <c r="A34" s="426" t="s">
        <v>708</v>
      </c>
      <c r="B34" s="427" t="s">
        <v>710</v>
      </c>
      <c r="C34" s="427" t="s">
        <v>5</v>
      </c>
      <c r="D34" s="428" t="s">
        <v>728</v>
      </c>
      <c r="E34" s="424" t="s">
        <v>729</v>
      </c>
      <c r="F34" s="44" t="s">
        <v>713</v>
      </c>
      <c r="G34" s="44" t="s">
        <v>731</v>
      </c>
      <c r="H34" s="44" t="s">
        <v>38</v>
      </c>
      <c r="I34" s="44" t="s">
        <v>730</v>
      </c>
      <c r="J34" s="44" t="s">
        <v>11</v>
      </c>
      <c r="K34" s="44" t="s">
        <v>732</v>
      </c>
      <c r="L34" s="433" t="s">
        <v>733</v>
      </c>
    </row>
    <row r="35" spans="1:12" ht="93.75" x14ac:dyDescent="0.3">
      <c r="A35" s="76" t="s">
        <v>97</v>
      </c>
      <c r="B35" s="53">
        <v>500</v>
      </c>
      <c r="C35" s="435" t="s">
        <v>16</v>
      </c>
      <c r="D35" s="441" t="s">
        <v>15</v>
      </c>
      <c r="E35" s="438" t="s">
        <v>714</v>
      </c>
      <c r="F35" s="429" t="s">
        <v>715</v>
      </c>
      <c r="G35" s="436">
        <v>2.9343333333333332E-2</v>
      </c>
      <c r="H35" s="430">
        <v>30</v>
      </c>
      <c r="I35" s="430">
        <f>+SUMIFS($L$1:$L$28,$B$1:$B$28,B35,$A$1:$A$28,A35)</f>
        <v>0</v>
      </c>
      <c r="J35" s="431">
        <f t="shared" ref="J35:J50" si="9">+SUMIFS(AB:AB,B:B,B35,A:A,A35)</f>
        <v>0</v>
      </c>
      <c r="K35" s="431">
        <f>+(J35*I35)*G35</f>
        <v>0</v>
      </c>
      <c r="L35" s="432">
        <f>+K35/H35</f>
        <v>0</v>
      </c>
    </row>
    <row r="36" spans="1:12" ht="37.5" x14ac:dyDescent="0.3">
      <c r="A36" s="76" t="s">
        <v>97</v>
      </c>
      <c r="B36" s="53">
        <v>500</v>
      </c>
      <c r="C36" s="435" t="s">
        <v>16</v>
      </c>
      <c r="D36" s="441" t="s">
        <v>15</v>
      </c>
      <c r="E36" s="438" t="s">
        <v>711</v>
      </c>
      <c r="F36" s="429" t="s">
        <v>712</v>
      </c>
      <c r="G36" s="436">
        <v>3.5299999999999997E-3</v>
      </c>
      <c r="H36" s="430">
        <v>30</v>
      </c>
      <c r="I36" s="430">
        <f t="shared" ref="I36:I50" si="10">+SUMIFS($L$1:$L$28,$B$1:$B$28,B36,$A$1:$A$28,A36)</f>
        <v>0</v>
      </c>
      <c r="J36" s="431">
        <f t="shared" si="9"/>
        <v>0</v>
      </c>
      <c r="K36" s="431">
        <f t="shared" ref="K36:K50" si="11">+(J36*I36)*G36</f>
        <v>0</v>
      </c>
      <c r="L36" s="432">
        <f t="shared" ref="L36:L50" si="12">+K36/H36</f>
        <v>0</v>
      </c>
    </row>
    <row r="37" spans="1:12" ht="93.75" x14ac:dyDescent="0.3">
      <c r="A37" s="76" t="s">
        <v>97</v>
      </c>
      <c r="B37" s="53">
        <v>506</v>
      </c>
      <c r="C37" s="435" t="s">
        <v>29</v>
      </c>
      <c r="D37" s="441" t="s">
        <v>28</v>
      </c>
      <c r="E37" s="438" t="s">
        <v>718</v>
      </c>
      <c r="F37" s="429" t="s">
        <v>719</v>
      </c>
      <c r="G37" s="436">
        <v>1.7959999999999997E-2</v>
      </c>
      <c r="H37" s="430">
        <v>30</v>
      </c>
      <c r="I37" s="430">
        <f t="shared" si="10"/>
        <v>0</v>
      </c>
      <c r="J37" s="431">
        <f t="shared" si="9"/>
        <v>0</v>
      </c>
      <c r="K37" s="431">
        <f t="shared" si="11"/>
        <v>0</v>
      </c>
      <c r="L37" s="432">
        <f t="shared" si="12"/>
        <v>0</v>
      </c>
    </row>
    <row r="38" spans="1:12" ht="37.5" x14ac:dyDescent="0.3">
      <c r="A38" s="76" t="s">
        <v>97</v>
      </c>
      <c r="B38" s="53">
        <v>506</v>
      </c>
      <c r="C38" s="435" t="s">
        <v>29</v>
      </c>
      <c r="D38" s="441" t="s">
        <v>28</v>
      </c>
      <c r="E38" s="438" t="s">
        <v>711</v>
      </c>
      <c r="F38" s="429" t="s">
        <v>712</v>
      </c>
      <c r="G38" s="436">
        <v>3.5299999999999997E-3</v>
      </c>
      <c r="H38" s="430">
        <v>30</v>
      </c>
      <c r="I38" s="430">
        <f t="shared" si="10"/>
        <v>0</v>
      </c>
      <c r="J38" s="431">
        <f t="shared" si="9"/>
        <v>0</v>
      </c>
      <c r="K38" s="431">
        <f t="shared" si="11"/>
        <v>0</v>
      </c>
      <c r="L38" s="432">
        <f t="shared" si="12"/>
        <v>0</v>
      </c>
    </row>
    <row r="39" spans="1:12" ht="18.75" x14ac:dyDescent="0.3">
      <c r="A39" s="76" t="s">
        <v>53</v>
      </c>
      <c r="B39" s="53">
        <v>654</v>
      </c>
      <c r="C39" s="435" t="s">
        <v>23</v>
      </c>
      <c r="D39" s="441" t="s">
        <v>22</v>
      </c>
      <c r="E39" s="439"/>
      <c r="F39" s="425"/>
      <c r="G39" s="423"/>
      <c r="H39" s="430"/>
      <c r="I39" s="430">
        <f t="shared" si="10"/>
        <v>0</v>
      </c>
      <c r="J39" s="431">
        <f t="shared" si="9"/>
        <v>0</v>
      </c>
      <c r="K39" s="431">
        <f t="shared" si="11"/>
        <v>0</v>
      </c>
      <c r="L39" s="432" t="e">
        <f t="shared" si="12"/>
        <v>#DIV/0!</v>
      </c>
    </row>
    <row r="40" spans="1:12" ht="18.75" x14ac:dyDescent="0.3">
      <c r="A40" s="76" t="s">
        <v>53</v>
      </c>
      <c r="B40" s="53">
        <v>558</v>
      </c>
      <c r="C40" s="435" t="s">
        <v>25</v>
      </c>
      <c r="D40" s="441" t="s">
        <v>24</v>
      </c>
      <c r="E40" s="439"/>
      <c r="F40" s="425"/>
      <c r="G40" s="423"/>
      <c r="H40" s="430"/>
      <c r="I40" s="430">
        <f t="shared" si="10"/>
        <v>0</v>
      </c>
      <c r="J40" s="431">
        <f t="shared" si="9"/>
        <v>0</v>
      </c>
      <c r="K40" s="431">
        <f t="shared" si="11"/>
        <v>0</v>
      </c>
      <c r="L40" s="432" t="e">
        <f t="shared" si="12"/>
        <v>#DIV/0!</v>
      </c>
    </row>
    <row r="41" spans="1:12" ht="18.75" x14ac:dyDescent="0.3">
      <c r="A41" s="76" t="s">
        <v>53</v>
      </c>
      <c r="B41" s="53">
        <v>557</v>
      </c>
      <c r="C41" s="435" t="s">
        <v>27</v>
      </c>
      <c r="D41" s="441" t="s">
        <v>26</v>
      </c>
      <c r="E41" s="439"/>
      <c r="F41" s="425"/>
      <c r="G41" s="423"/>
      <c r="H41" s="430"/>
      <c r="I41" s="430">
        <f t="shared" si="10"/>
        <v>0</v>
      </c>
      <c r="J41" s="431">
        <f t="shared" si="9"/>
        <v>0</v>
      </c>
      <c r="K41" s="431">
        <f t="shared" si="11"/>
        <v>0</v>
      </c>
      <c r="L41" s="432" t="e">
        <f t="shared" si="12"/>
        <v>#DIV/0!</v>
      </c>
    </row>
    <row r="42" spans="1:12" ht="18.75" x14ac:dyDescent="0.3">
      <c r="A42" s="76" t="s">
        <v>86</v>
      </c>
      <c r="B42" s="53">
        <v>510</v>
      </c>
      <c r="C42" s="435" t="s">
        <v>31</v>
      </c>
      <c r="D42" s="441" t="s">
        <v>30</v>
      </c>
      <c r="E42" s="438" t="s">
        <v>716</v>
      </c>
      <c r="F42" s="66" t="s">
        <v>717</v>
      </c>
      <c r="G42" s="436">
        <v>1.8013333333333333E-2</v>
      </c>
      <c r="H42" s="430">
        <v>30</v>
      </c>
      <c r="I42" s="430">
        <f t="shared" si="10"/>
        <v>0</v>
      </c>
      <c r="J42" s="431">
        <f t="shared" si="9"/>
        <v>0</v>
      </c>
      <c r="K42" s="431">
        <f t="shared" si="11"/>
        <v>0</v>
      </c>
      <c r="L42" s="432">
        <f t="shared" si="12"/>
        <v>0</v>
      </c>
    </row>
    <row r="43" spans="1:12" ht="37.5" x14ac:dyDescent="0.3">
      <c r="A43" s="76" t="s">
        <v>86</v>
      </c>
      <c r="B43" s="53">
        <v>510</v>
      </c>
      <c r="C43" s="435" t="s">
        <v>31</v>
      </c>
      <c r="D43" s="441" t="s">
        <v>30</v>
      </c>
      <c r="E43" s="438" t="s">
        <v>711</v>
      </c>
      <c r="F43" s="429" t="s">
        <v>712</v>
      </c>
      <c r="G43" s="436">
        <v>3.5299999999999997E-3</v>
      </c>
      <c r="H43" s="430">
        <v>30</v>
      </c>
      <c r="I43" s="430">
        <f t="shared" si="10"/>
        <v>0</v>
      </c>
      <c r="J43" s="431">
        <f t="shared" si="9"/>
        <v>0</v>
      </c>
      <c r="K43" s="431">
        <f t="shared" si="11"/>
        <v>0</v>
      </c>
      <c r="L43" s="432">
        <f t="shared" si="12"/>
        <v>0</v>
      </c>
    </row>
    <row r="44" spans="1:12" ht="18.75" x14ac:dyDescent="0.3">
      <c r="A44" s="76" t="s">
        <v>86</v>
      </c>
      <c r="B44" s="53">
        <v>544</v>
      </c>
      <c r="C44" s="435" t="s">
        <v>474</v>
      </c>
      <c r="D44" s="441" t="s">
        <v>702</v>
      </c>
      <c r="E44" s="438" t="s">
        <v>722</v>
      </c>
      <c r="F44" s="66" t="s">
        <v>723</v>
      </c>
      <c r="G44" s="436">
        <v>3.5499999999999997E-2</v>
      </c>
      <c r="H44" s="430">
        <v>18</v>
      </c>
      <c r="I44" s="430">
        <f t="shared" si="10"/>
        <v>0</v>
      </c>
      <c r="J44" s="431">
        <f t="shared" si="9"/>
        <v>0</v>
      </c>
      <c r="K44" s="431">
        <f t="shared" si="11"/>
        <v>0</v>
      </c>
      <c r="L44" s="432">
        <f t="shared" si="12"/>
        <v>0</v>
      </c>
    </row>
    <row r="45" spans="1:12" ht="18.75" x14ac:dyDescent="0.3">
      <c r="A45" s="76" t="s">
        <v>86</v>
      </c>
      <c r="B45" s="53">
        <v>544</v>
      </c>
      <c r="C45" s="435" t="s">
        <v>474</v>
      </c>
      <c r="D45" s="441" t="s">
        <v>702</v>
      </c>
      <c r="E45" s="440" t="s">
        <v>720</v>
      </c>
      <c r="F45" s="437" t="s">
        <v>721</v>
      </c>
      <c r="G45" s="436">
        <v>1.5900000000000001E-3</v>
      </c>
      <c r="H45" s="430">
        <v>32</v>
      </c>
      <c r="I45" s="430">
        <f t="shared" si="10"/>
        <v>0</v>
      </c>
      <c r="J45" s="431">
        <f t="shared" si="9"/>
        <v>0</v>
      </c>
      <c r="K45" s="431">
        <f t="shared" si="11"/>
        <v>0</v>
      </c>
      <c r="L45" s="432">
        <f t="shared" si="12"/>
        <v>0</v>
      </c>
    </row>
    <row r="46" spans="1:12" ht="18.75" x14ac:dyDescent="0.3">
      <c r="A46" s="76" t="s">
        <v>86</v>
      </c>
      <c r="B46" s="53">
        <v>544</v>
      </c>
      <c r="C46" s="435" t="s">
        <v>474</v>
      </c>
      <c r="D46" s="441" t="s">
        <v>702</v>
      </c>
      <c r="E46" s="440" t="s">
        <v>726</v>
      </c>
      <c r="F46" s="437" t="s">
        <v>724</v>
      </c>
      <c r="G46" s="436">
        <v>4.6484374999999967E-2</v>
      </c>
      <c r="H46" s="430">
        <v>14</v>
      </c>
      <c r="I46" s="430">
        <f t="shared" si="10"/>
        <v>0</v>
      </c>
      <c r="J46" s="431">
        <f t="shared" si="9"/>
        <v>0</v>
      </c>
      <c r="K46" s="431">
        <f>+(J46*I46)*G46</f>
        <v>0</v>
      </c>
      <c r="L46" s="432">
        <f t="shared" si="12"/>
        <v>0</v>
      </c>
    </row>
    <row r="47" spans="1:12" ht="18.75" x14ac:dyDescent="0.3">
      <c r="A47" s="76" t="s">
        <v>86</v>
      </c>
      <c r="B47" s="53">
        <v>544</v>
      </c>
      <c r="C47" s="435" t="s">
        <v>474</v>
      </c>
      <c r="D47" s="441" t="s">
        <v>702</v>
      </c>
      <c r="E47" s="440" t="s">
        <v>727</v>
      </c>
      <c r="F47" s="437" t="s">
        <v>725</v>
      </c>
      <c r="G47" s="436">
        <v>1.5624999999999993E-2</v>
      </c>
      <c r="H47" s="430">
        <v>10</v>
      </c>
      <c r="I47" s="430">
        <f t="shared" si="10"/>
        <v>0</v>
      </c>
      <c r="J47" s="431">
        <f t="shared" si="9"/>
        <v>0</v>
      </c>
      <c r="K47" s="431">
        <f t="shared" si="11"/>
        <v>0</v>
      </c>
      <c r="L47" s="432">
        <f t="shared" si="12"/>
        <v>0</v>
      </c>
    </row>
    <row r="48" spans="1:12" ht="93.75" x14ac:dyDescent="0.3">
      <c r="A48" s="76" t="s">
        <v>86</v>
      </c>
      <c r="B48" s="53">
        <v>506</v>
      </c>
      <c r="C48" s="435" t="s">
        <v>29</v>
      </c>
      <c r="D48" s="441" t="s">
        <v>28</v>
      </c>
      <c r="E48" s="438" t="s">
        <v>718</v>
      </c>
      <c r="F48" s="429" t="s">
        <v>719</v>
      </c>
      <c r="G48" s="436">
        <v>1.7959999999999997E-2</v>
      </c>
      <c r="H48" s="430">
        <v>30</v>
      </c>
      <c r="I48" s="430">
        <f t="shared" si="10"/>
        <v>0</v>
      </c>
      <c r="J48" s="431">
        <f t="shared" si="9"/>
        <v>0</v>
      </c>
      <c r="K48" s="431">
        <f t="shared" si="11"/>
        <v>0</v>
      </c>
      <c r="L48" s="432">
        <f t="shared" si="12"/>
        <v>0</v>
      </c>
    </row>
    <row r="49" spans="1:12" ht="37.5" x14ac:dyDescent="0.3">
      <c r="A49" s="76" t="s">
        <v>86</v>
      </c>
      <c r="B49" s="53">
        <v>506</v>
      </c>
      <c r="C49" s="435" t="s">
        <v>29</v>
      </c>
      <c r="D49" s="441" t="s">
        <v>28</v>
      </c>
      <c r="E49" s="438" t="s">
        <v>711</v>
      </c>
      <c r="F49" s="429" t="s">
        <v>712</v>
      </c>
      <c r="G49" s="436">
        <v>3.5299999999999997E-3</v>
      </c>
      <c r="H49" s="430">
        <v>30</v>
      </c>
      <c r="I49" s="430">
        <f t="shared" si="10"/>
        <v>0</v>
      </c>
      <c r="J49" s="431">
        <f t="shared" si="9"/>
        <v>0</v>
      </c>
      <c r="K49" s="431">
        <f t="shared" si="11"/>
        <v>0</v>
      </c>
      <c r="L49" s="432">
        <f t="shared" si="12"/>
        <v>0</v>
      </c>
    </row>
    <row r="50" spans="1:12" ht="19.5" thickBot="1" x14ac:dyDescent="0.35">
      <c r="A50" s="78" t="s">
        <v>707</v>
      </c>
      <c r="B50" s="217" t="s">
        <v>457</v>
      </c>
      <c r="C50" s="442" t="s">
        <v>445</v>
      </c>
      <c r="D50" s="443" t="s">
        <v>444</v>
      </c>
      <c r="E50" s="439"/>
      <c r="F50" s="425"/>
      <c r="G50" s="423"/>
      <c r="H50" s="423"/>
      <c r="I50" s="430">
        <f t="shared" si="10"/>
        <v>0</v>
      </c>
      <c r="J50" s="431">
        <f t="shared" si="9"/>
        <v>0</v>
      </c>
      <c r="K50" s="431">
        <f t="shared" si="11"/>
        <v>0</v>
      </c>
      <c r="L50" s="432" t="e">
        <f t="shared" si="12"/>
        <v>#DIV/0!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93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  <pageSetUpPr fitToPage="1"/>
  </sheetPr>
  <dimension ref="A1:AC35"/>
  <sheetViews>
    <sheetView topLeftCell="C4" zoomScale="85" zoomScaleNormal="85" workbookViewId="0">
      <selection activeCell="L20" sqref="L20"/>
    </sheetView>
  </sheetViews>
  <sheetFormatPr baseColWidth="10" defaultRowHeight="15" x14ac:dyDescent="0.25"/>
  <cols>
    <col min="1" max="1" width="10.7109375" customWidth="1"/>
    <col min="2" max="2" width="6" customWidth="1"/>
    <col min="3" max="3" width="28.85546875" customWidth="1"/>
    <col min="4" max="4" width="8.42578125" style="444" customWidth="1"/>
    <col min="5" max="5" width="9.42578125" style="444" customWidth="1"/>
    <col min="6" max="6" width="8.85546875" style="444" customWidth="1"/>
    <col min="7" max="7" width="1.140625" customWidth="1"/>
    <col min="8" max="8" width="8.140625" customWidth="1"/>
    <col min="9" max="9" width="8" customWidth="1"/>
    <col min="10" max="10" width="9.85546875" customWidth="1"/>
    <col min="11" max="11" width="8.28515625" style="110" customWidth="1"/>
    <col min="12" max="12" width="8.42578125" customWidth="1"/>
    <col min="13" max="13" width="9.5703125" customWidth="1"/>
    <col min="14" max="14" width="8.28515625" customWidth="1"/>
    <col min="15" max="15" width="8.85546875" bestFit="1" customWidth="1"/>
    <col min="16" max="16" width="8.85546875" style="283" bestFit="1" customWidth="1"/>
    <col min="17" max="17" width="8.7109375" style="283" bestFit="1" customWidth="1"/>
    <col min="18" max="18" width="7.28515625" style="283" customWidth="1"/>
    <col min="19" max="19" width="24.85546875" style="283" customWidth="1"/>
    <col min="20" max="20" width="9.7109375" style="283" customWidth="1"/>
    <col min="21" max="21" width="24.85546875" style="283" bestFit="1" customWidth="1"/>
    <col min="22" max="22" width="9.5703125" style="283" customWidth="1"/>
  </cols>
  <sheetData>
    <row r="1" spans="1:29" ht="27.6" customHeight="1" x14ac:dyDescent="0.25">
      <c r="K1"/>
    </row>
    <row r="2" spans="1:29" ht="24.75" customHeight="1" thickBot="1" x14ac:dyDescent="0.3">
      <c r="K2"/>
    </row>
    <row r="3" spans="1:29" ht="24.75" customHeight="1" thickBot="1" x14ac:dyDescent="0.45">
      <c r="A3" s="505"/>
      <c r="B3" s="505"/>
      <c r="C3" s="505"/>
      <c r="D3" s="505"/>
      <c r="E3" s="506"/>
      <c r="K3"/>
    </row>
    <row r="4" spans="1:29" ht="24.75" customHeight="1" thickBot="1" x14ac:dyDescent="0.4">
      <c r="A4" s="507"/>
      <c r="B4" s="508"/>
      <c r="C4" s="454">
        <f ca="1">+TODAY()</f>
        <v>46101</v>
      </c>
    </row>
    <row r="5" spans="1:29" ht="42.6" customHeight="1" thickBot="1" x14ac:dyDescent="0.45">
      <c r="A5" s="507"/>
      <c r="B5" s="508"/>
      <c r="C5" s="453"/>
      <c r="H5" s="509" t="s">
        <v>740</v>
      </c>
      <c r="I5" s="510"/>
      <c r="J5" s="510"/>
      <c r="K5" s="510"/>
      <c r="L5" s="510"/>
      <c r="M5" s="510"/>
      <c r="N5" s="511"/>
      <c r="P5" s="512" t="s">
        <v>737</v>
      </c>
      <c r="Q5" s="513"/>
      <c r="R5" s="513"/>
      <c r="S5" s="513"/>
      <c r="T5" s="513"/>
      <c r="U5" s="513"/>
      <c r="V5" s="514"/>
      <c r="Y5" s="502" t="s">
        <v>739</v>
      </c>
      <c r="Z5" s="503"/>
      <c r="AA5" s="503"/>
      <c r="AB5" s="503"/>
      <c r="AC5" s="504"/>
    </row>
    <row r="6" spans="1:29" ht="58.9" customHeight="1" thickBot="1" x14ac:dyDescent="0.3">
      <c r="A6" s="445" t="s">
        <v>4</v>
      </c>
      <c r="B6" s="15" t="s">
        <v>3</v>
      </c>
      <c r="C6" s="4" t="s">
        <v>5</v>
      </c>
      <c r="D6" s="445" t="s">
        <v>438</v>
      </c>
      <c r="E6" s="446" t="s">
        <v>68</v>
      </c>
      <c r="F6" s="445" t="s">
        <v>76</v>
      </c>
      <c r="G6" s="91"/>
      <c r="H6" s="207" t="s">
        <v>63</v>
      </c>
      <c r="I6" s="154" t="s">
        <v>38</v>
      </c>
      <c r="J6" s="154" t="s">
        <v>58</v>
      </c>
      <c r="K6" s="154" t="s">
        <v>10</v>
      </c>
      <c r="L6" s="154" t="s">
        <v>11</v>
      </c>
      <c r="M6" s="154" t="s">
        <v>14</v>
      </c>
      <c r="N6" s="208" t="s">
        <v>738</v>
      </c>
      <c r="P6" s="102" t="s">
        <v>708</v>
      </c>
      <c r="Q6" s="104" t="s">
        <v>728</v>
      </c>
      <c r="R6" s="103" t="s">
        <v>710</v>
      </c>
      <c r="S6" s="103" t="s">
        <v>5</v>
      </c>
      <c r="T6" s="464" t="s">
        <v>729</v>
      </c>
      <c r="U6" s="103" t="s">
        <v>713</v>
      </c>
      <c r="V6" s="465" t="s">
        <v>741</v>
      </c>
      <c r="Y6" s="103" t="s">
        <v>731</v>
      </c>
      <c r="Z6" s="103" t="s">
        <v>38</v>
      </c>
      <c r="AA6" s="103" t="s">
        <v>730</v>
      </c>
      <c r="AB6" s="103" t="s">
        <v>11</v>
      </c>
      <c r="AC6" s="103" t="s">
        <v>732</v>
      </c>
    </row>
    <row r="7" spans="1:29" ht="37.5" x14ac:dyDescent="0.3">
      <c r="A7" s="449" t="s">
        <v>15</v>
      </c>
      <c r="B7" s="106">
        <v>500</v>
      </c>
      <c r="C7" s="69" t="s">
        <v>16</v>
      </c>
      <c r="D7" s="447">
        <v>0</v>
      </c>
      <c r="E7" s="448">
        <f>+IF(D7="","",IF(D7-N7&gt;0,0,N7-D7))</f>
        <v>4.7447999999999997</v>
      </c>
      <c r="F7" s="68">
        <f>+IFERROR(D7/H7,)</f>
        <v>0</v>
      </c>
      <c r="G7" s="92"/>
      <c r="H7" s="131">
        <v>5</v>
      </c>
      <c r="I7" s="137">
        <v>30</v>
      </c>
      <c r="J7" s="137">
        <f t="shared" ref="J7:J14" si="0">+H7*L7</f>
        <v>4552.3520485584222</v>
      </c>
      <c r="K7" s="450">
        <v>3.295E-2</v>
      </c>
      <c r="L7" s="39">
        <f t="shared" ref="L7:L14" si="1">+I7/K7</f>
        <v>910.4704097116844</v>
      </c>
      <c r="M7" s="137">
        <f>IFERROR(VLOOKUP(B7,'Estadistica Madre CH 23-01'!A:C,3,0),+VLOOKUP(B7,'Estadistica Madre LK 23-01 '!A:C,3,0))</f>
        <v>1440</v>
      </c>
      <c r="N7" s="141">
        <f>3*M7/L7</f>
        <v>4.7447999999999997</v>
      </c>
      <c r="P7" s="455" t="s">
        <v>97</v>
      </c>
      <c r="Q7" s="456" t="s">
        <v>15</v>
      </c>
      <c r="R7" s="66">
        <v>500</v>
      </c>
      <c r="S7" s="66" t="s">
        <v>16</v>
      </c>
      <c r="T7" s="438" t="s">
        <v>714</v>
      </c>
      <c r="U7" s="429" t="s">
        <v>715</v>
      </c>
      <c r="V7" s="432">
        <f>+AC7/Z7</f>
        <v>4.2254399999999999</v>
      </c>
      <c r="Y7" s="436">
        <v>2.9343333333333332E-2</v>
      </c>
      <c r="Z7" s="457">
        <v>30</v>
      </c>
      <c r="AA7" s="457">
        <f>+SUMIFS(E:E,B:$B,R7)</f>
        <v>4.7447999999999997</v>
      </c>
      <c r="AB7" s="458">
        <f t="shared" ref="AB7:AB8" si="2">+SUMIFS(L:L,B:B,R7)</f>
        <v>910.4704097116844</v>
      </c>
      <c r="AC7" s="458">
        <f t="shared" ref="AC7:AC22" si="3">+(AB7*AA7)*Y7</f>
        <v>126.7632</v>
      </c>
    </row>
    <row r="8" spans="1:29" ht="21.2" customHeight="1" x14ac:dyDescent="0.3">
      <c r="A8" s="449" t="s">
        <v>28</v>
      </c>
      <c r="B8" s="106">
        <v>506</v>
      </c>
      <c r="C8" s="69" t="s">
        <v>29</v>
      </c>
      <c r="D8" s="447">
        <v>9</v>
      </c>
      <c r="E8" s="448">
        <f t="shared" ref="E8:E15" si="4">+IF(D8="","",IF(D8-N8&gt;0,0,N8-D8))</f>
        <v>32.3538</v>
      </c>
      <c r="F8" s="68">
        <f t="shared" ref="F8:F15" si="5">+IFERROR(D8/H8,)</f>
        <v>0.25</v>
      </c>
      <c r="G8" s="92"/>
      <c r="H8" s="96">
        <v>36</v>
      </c>
      <c r="I8" s="39">
        <v>30</v>
      </c>
      <c r="J8" s="39">
        <f t="shared" si="0"/>
        <v>49202.733485193625</v>
      </c>
      <c r="K8" s="451">
        <v>2.1950000000000001E-2</v>
      </c>
      <c r="L8" s="39">
        <f t="shared" si="1"/>
        <v>1366.7425968109339</v>
      </c>
      <c r="M8" s="39">
        <f>IFERROR(VLOOKUP(B8,'Estadistica Madre CH 23-01'!A:C,3,0),+VLOOKUP(B8,'Estadistica Madre LK 23-01 '!A:C,3,0))</f>
        <v>18840</v>
      </c>
      <c r="N8" s="122">
        <f t="shared" ref="N8:N14" si="6">3*M8/L8</f>
        <v>41.3538</v>
      </c>
      <c r="P8" s="455" t="s">
        <v>97</v>
      </c>
      <c r="Q8" s="456" t="s">
        <v>15</v>
      </c>
      <c r="R8" s="66">
        <v>500</v>
      </c>
      <c r="S8" s="66" t="s">
        <v>16</v>
      </c>
      <c r="T8" s="438" t="s">
        <v>711</v>
      </c>
      <c r="U8" s="429" t="s">
        <v>712</v>
      </c>
      <c r="V8" s="432">
        <f>+AC8/Z8</f>
        <v>0.50831999999999999</v>
      </c>
      <c r="Y8" s="436">
        <v>3.5299999999999997E-3</v>
      </c>
      <c r="Z8" s="457">
        <v>30</v>
      </c>
      <c r="AA8" s="457">
        <f>+SUMIFS(E:E,B:$B,R8)</f>
        <v>4.7447999999999997</v>
      </c>
      <c r="AB8" s="458">
        <f t="shared" si="2"/>
        <v>910.4704097116844</v>
      </c>
      <c r="AC8" s="458">
        <f>+(AB8*AA8)*Y8</f>
        <v>15.249599999999999</v>
      </c>
    </row>
    <row r="9" spans="1:29" ht="18.75" x14ac:dyDescent="0.3">
      <c r="A9" s="449" t="s">
        <v>22</v>
      </c>
      <c r="B9" s="106">
        <v>654</v>
      </c>
      <c r="C9" s="69" t="s">
        <v>23</v>
      </c>
      <c r="D9" s="447">
        <v>0</v>
      </c>
      <c r="E9" s="448">
        <f t="shared" si="4"/>
        <v>3.9215999999999998</v>
      </c>
      <c r="F9" s="68">
        <f t="shared" si="5"/>
        <v>0</v>
      </c>
      <c r="G9" s="92"/>
      <c r="H9" s="96">
        <v>5</v>
      </c>
      <c r="I9" s="121">
        <v>15</v>
      </c>
      <c r="J9" s="39">
        <f t="shared" si="0"/>
        <v>3488.3720930232562</v>
      </c>
      <c r="K9" s="451">
        <v>2.1499999999999998E-2</v>
      </c>
      <c r="L9" s="39">
        <f t="shared" si="1"/>
        <v>697.67441860465124</v>
      </c>
      <c r="M9" s="39">
        <f>IFERROR(VLOOKUP(B9,'Estadistica Madre CH 23-01'!A:C,3,0),+VLOOKUP(B9,'Estadistica Madre LK 23-01 '!A:C,3,0))</f>
        <v>912</v>
      </c>
      <c r="N9" s="122">
        <f t="shared" si="6"/>
        <v>3.9215999999999998</v>
      </c>
      <c r="P9" s="455" t="s">
        <v>97</v>
      </c>
      <c r="Q9" s="456" t="s">
        <v>28</v>
      </c>
      <c r="R9" s="66">
        <v>506</v>
      </c>
      <c r="S9" s="66" t="s">
        <v>29</v>
      </c>
      <c r="T9" s="438" t="s">
        <v>718</v>
      </c>
      <c r="U9" s="429" t="s">
        <v>719</v>
      </c>
      <c r="V9" s="432">
        <f t="shared" ref="V9:V22" si="7">+AC9/Z9</f>
        <v>26.472630888382682</v>
      </c>
      <c r="Y9" s="436">
        <v>1.7959999999999997E-2</v>
      </c>
      <c r="Z9" s="457">
        <v>30</v>
      </c>
      <c r="AA9" s="457">
        <f>+SUMIFS(E:E,B:$B,R9)*1/4</f>
        <v>16.1769</v>
      </c>
      <c r="AB9" s="458">
        <f>+SUMIFS(L:L,B:B,R9)</f>
        <v>2733.4851936218679</v>
      </c>
      <c r="AC9" s="458">
        <f t="shared" si="3"/>
        <v>794.17892665148042</v>
      </c>
    </row>
    <row r="10" spans="1:29" ht="18.75" x14ac:dyDescent="0.3">
      <c r="A10" s="449" t="s">
        <v>24</v>
      </c>
      <c r="B10" s="106">
        <v>558</v>
      </c>
      <c r="C10" s="69" t="s">
        <v>25</v>
      </c>
      <c r="D10" s="447">
        <v>3</v>
      </c>
      <c r="E10" s="448">
        <f t="shared" si="4"/>
        <v>51.87</v>
      </c>
      <c r="F10" s="68">
        <f t="shared" si="5"/>
        <v>0.3</v>
      </c>
      <c r="G10" s="92"/>
      <c r="H10" s="96">
        <v>10</v>
      </c>
      <c r="I10" s="121">
        <v>1.8</v>
      </c>
      <c r="J10" s="39">
        <f t="shared" si="0"/>
        <v>1161.2903225806454</v>
      </c>
      <c r="K10" s="451">
        <v>1.55E-2</v>
      </c>
      <c r="L10" s="39">
        <f t="shared" si="1"/>
        <v>116.12903225806453</v>
      </c>
      <c r="M10" s="39">
        <f>IFERROR(VLOOKUP(B10,'Estadistica Madre CH 23-01'!A:C,3,0),+VLOOKUP(B10,'Estadistica Madre LK 23-01 '!A:C,3,0))</f>
        <v>2124</v>
      </c>
      <c r="N10" s="122">
        <f t="shared" si="6"/>
        <v>54.87</v>
      </c>
      <c r="P10" s="455" t="s">
        <v>97</v>
      </c>
      <c r="Q10" s="456" t="s">
        <v>28</v>
      </c>
      <c r="R10" s="66">
        <v>506</v>
      </c>
      <c r="S10" s="66" t="s">
        <v>29</v>
      </c>
      <c r="T10" s="438" t="s">
        <v>711</v>
      </c>
      <c r="U10" s="429" t="s">
        <v>712</v>
      </c>
      <c r="V10" s="432">
        <f t="shared" si="7"/>
        <v>5.203139589977221</v>
      </c>
      <c r="Y10" s="436">
        <v>3.5299999999999997E-3</v>
      </c>
      <c r="Z10" s="457">
        <v>30</v>
      </c>
      <c r="AA10" s="457">
        <f>+SUMIFS(E:E,B:$B,R10)*1/4</f>
        <v>16.1769</v>
      </c>
      <c r="AB10" s="458">
        <f t="shared" ref="AB10:AB22" si="8">+SUMIFS(L:L,B:B,R10)</f>
        <v>2733.4851936218679</v>
      </c>
      <c r="AC10" s="458">
        <f t="shared" si="3"/>
        <v>156.09418769931662</v>
      </c>
    </row>
    <row r="11" spans="1:29" ht="21.2" customHeight="1" x14ac:dyDescent="0.3">
      <c r="A11" s="449" t="s">
        <v>26</v>
      </c>
      <c r="B11" s="106">
        <v>557</v>
      </c>
      <c r="C11" s="69" t="s">
        <v>27</v>
      </c>
      <c r="D11" s="447">
        <v>0</v>
      </c>
      <c r="E11" s="448">
        <f t="shared" si="4"/>
        <v>37.1</v>
      </c>
      <c r="F11" s="68">
        <f t="shared" si="5"/>
        <v>0</v>
      </c>
      <c r="G11" s="92"/>
      <c r="H11" s="96">
        <v>1</v>
      </c>
      <c r="I11" s="121">
        <v>1.8</v>
      </c>
      <c r="J11" s="39">
        <f t="shared" si="0"/>
        <v>113.20754716981132</v>
      </c>
      <c r="K11" s="451">
        <v>1.5900000000000001E-2</v>
      </c>
      <c r="L11" s="39">
        <f t="shared" si="1"/>
        <v>113.20754716981132</v>
      </c>
      <c r="M11" s="39">
        <f>IFERROR(VLOOKUP(B11,'Estadistica Madre CH 23-01'!A:C,3,0),+VLOOKUP(B11,'Estadistica Madre LK 23-01 '!A:C,3,0))</f>
        <v>1400</v>
      </c>
      <c r="N11" s="122">
        <f t="shared" si="6"/>
        <v>37.1</v>
      </c>
      <c r="P11" s="455" t="s">
        <v>53</v>
      </c>
      <c r="Q11" s="456" t="s">
        <v>22</v>
      </c>
      <c r="R11" s="66">
        <v>654</v>
      </c>
      <c r="S11" s="66" t="s">
        <v>23</v>
      </c>
      <c r="T11" s="459"/>
      <c r="U11" s="460"/>
      <c r="V11" s="432" t="e">
        <f t="shared" si="7"/>
        <v>#DIV/0!</v>
      </c>
      <c r="Y11" s="461"/>
      <c r="Z11" s="457"/>
      <c r="AA11" s="457">
        <f>+SUMIFS(E:E,B:$B,R11)</f>
        <v>3.9215999999999998</v>
      </c>
      <c r="AB11" s="458">
        <f t="shared" si="8"/>
        <v>697.67441860465124</v>
      </c>
      <c r="AC11" s="458">
        <f t="shared" si="3"/>
        <v>0</v>
      </c>
    </row>
    <row r="12" spans="1:29" ht="18.75" x14ac:dyDescent="0.3">
      <c r="A12" s="449" t="s">
        <v>30</v>
      </c>
      <c r="B12" s="106">
        <v>510</v>
      </c>
      <c r="C12" s="69" t="s">
        <v>31</v>
      </c>
      <c r="D12" s="447">
        <v>2</v>
      </c>
      <c r="E12" s="448">
        <f t="shared" si="4"/>
        <v>12.203199999999999</v>
      </c>
      <c r="F12" s="68">
        <f t="shared" si="5"/>
        <v>0.25</v>
      </c>
      <c r="G12" s="92"/>
      <c r="H12" s="96">
        <v>8</v>
      </c>
      <c r="I12" s="39">
        <v>30</v>
      </c>
      <c r="J12" s="39">
        <f t="shared" si="0"/>
        <v>10909.09090909091</v>
      </c>
      <c r="K12" s="451">
        <v>2.1999999999999999E-2</v>
      </c>
      <c r="L12" s="39">
        <f t="shared" si="1"/>
        <v>1363.6363636363637</v>
      </c>
      <c r="M12" s="39">
        <f>IFERROR(VLOOKUP(B12,'Estadistica Madre CH 23-01'!A:C,3,0),+VLOOKUP(B12,'Estadistica Madre LK 23-01 '!A:C,3,0))</f>
        <v>6456</v>
      </c>
      <c r="N12" s="122">
        <f t="shared" si="6"/>
        <v>14.203199999999999</v>
      </c>
      <c r="P12" s="455" t="s">
        <v>53</v>
      </c>
      <c r="Q12" s="456" t="s">
        <v>24</v>
      </c>
      <c r="R12" s="66">
        <v>558</v>
      </c>
      <c r="S12" s="66" t="s">
        <v>25</v>
      </c>
      <c r="T12" s="459"/>
      <c r="U12" s="460"/>
      <c r="V12" s="432" t="e">
        <f t="shared" si="7"/>
        <v>#DIV/0!</v>
      </c>
      <c r="Y12" s="461"/>
      <c r="Z12" s="457"/>
      <c r="AA12" s="457">
        <f>+SUMIFS(E:E,B:$B,R12)</f>
        <v>51.87</v>
      </c>
      <c r="AB12" s="458">
        <f t="shared" si="8"/>
        <v>116.12903225806453</v>
      </c>
      <c r="AC12" s="458">
        <f t="shared" si="3"/>
        <v>0</v>
      </c>
    </row>
    <row r="13" spans="1:29" ht="18.75" x14ac:dyDescent="0.3">
      <c r="A13" s="449" t="s">
        <v>702</v>
      </c>
      <c r="B13" s="106">
        <v>544</v>
      </c>
      <c r="C13" s="69" t="s">
        <v>474</v>
      </c>
      <c r="D13" s="447">
        <v>1</v>
      </c>
      <c r="E13" s="448">
        <f t="shared" si="4"/>
        <v>138.94999999999999</v>
      </c>
      <c r="F13" s="68">
        <f t="shared" si="5"/>
        <v>1.8518518518518517E-2</v>
      </c>
      <c r="G13" s="92"/>
      <c r="H13" s="96">
        <v>54</v>
      </c>
      <c r="I13" s="39">
        <v>15.68</v>
      </c>
      <c r="J13" s="39">
        <f t="shared" si="0"/>
        <v>8640</v>
      </c>
      <c r="K13" s="451">
        <v>9.8000000000000004E-2</v>
      </c>
      <c r="L13" s="39">
        <f t="shared" si="1"/>
        <v>160</v>
      </c>
      <c r="M13" s="39">
        <f>IFERROR(VLOOKUP(B13,'Estadistica Madre CH 23-01'!A:C,3,0),+VLOOKUP(B13,'Estadistica Madre LK 23-01 '!A:C,3,0))</f>
        <v>7464</v>
      </c>
      <c r="N13" s="122">
        <f t="shared" si="6"/>
        <v>139.94999999999999</v>
      </c>
      <c r="P13" s="455" t="s">
        <v>53</v>
      </c>
      <c r="Q13" s="456" t="s">
        <v>26</v>
      </c>
      <c r="R13" s="66">
        <v>557</v>
      </c>
      <c r="S13" s="66" t="s">
        <v>27</v>
      </c>
      <c r="T13" s="459"/>
      <c r="U13" s="460"/>
      <c r="V13" s="432" t="e">
        <f t="shared" si="7"/>
        <v>#DIV/0!</v>
      </c>
      <c r="Y13" s="461"/>
      <c r="Z13" s="457"/>
      <c r="AA13" s="457">
        <f>+SUMIFS(E:E,B:$B,R13)</f>
        <v>37.1</v>
      </c>
      <c r="AB13" s="458">
        <f t="shared" si="8"/>
        <v>113.20754716981132</v>
      </c>
      <c r="AC13" s="458">
        <f t="shared" si="3"/>
        <v>0</v>
      </c>
    </row>
    <row r="14" spans="1:29" ht="21.2" customHeight="1" x14ac:dyDescent="0.3">
      <c r="A14" s="449" t="s">
        <v>28</v>
      </c>
      <c r="B14" s="106">
        <v>506</v>
      </c>
      <c r="C14" s="69" t="s">
        <v>29</v>
      </c>
      <c r="D14" s="447">
        <v>9</v>
      </c>
      <c r="E14" s="448">
        <f t="shared" si="4"/>
        <v>32.3538</v>
      </c>
      <c r="F14" s="68">
        <f t="shared" si="5"/>
        <v>0.25</v>
      </c>
      <c r="G14" s="92"/>
      <c r="H14" s="96">
        <v>36</v>
      </c>
      <c r="I14" s="39">
        <v>30</v>
      </c>
      <c r="J14" s="39">
        <f t="shared" si="0"/>
        <v>49202.733485193625</v>
      </c>
      <c r="K14" s="451">
        <v>2.1950000000000001E-2</v>
      </c>
      <c r="L14" s="39">
        <f t="shared" si="1"/>
        <v>1366.7425968109339</v>
      </c>
      <c r="M14" s="39">
        <f>IFERROR(VLOOKUP(B14,'Estadistica Madre CH 23-01'!A:C,3,0),+VLOOKUP(B14,'Estadistica Madre LK 23-01 '!A:C,3,0))</f>
        <v>18840</v>
      </c>
      <c r="N14" s="122">
        <f t="shared" si="6"/>
        <v>41.3538</v>
      </c>
      <c r="P14" s="455" t="s">
        <v>86</v>
      </c>
      <c r="Q14" s="456" t="s">
        <v>30</v>
      </c>
      <c r="R14" s="66">
        <v>510</v>
      </c>
      <c r="S14" s="66" t="s">
        <v>31</v>
      </c>
      <c r="T14" s="438" t="s">
        <v>716</v>
      </c>
      <c r="U14" s="66" t="s">
        <v>717</v>
      </c>
      <c r="V14" s="432">
        <f t="shared" si="7"/>
        <v>9.9918322424242412</v>
      </c>
      <c r="Y14" s="436">
        <v>1.8013333333333333E-2</v>
      </c>
      <c r="Z14" s="457">
        <v>30</v>
      </c>
      <c r="AA14" s="457">
        <f>+SUMIFS(E:E,B:$B,R14)</f>
        <v>12.203199999999999</v>
      </c>
      <c r="AB14" s="458">
        <f t="shared" si="8"/>
        <v>1363.6363636363637</v>
      </c>
      <c r="AC14" s="458">
        <f t="shared" si="3"/>
        <v>299.75496727272724</v>
      </c>
    </row>
    <row r="15" spans="1:29" ht="19.5" thickBot="1" x14ac:dyDescent="0.35">
      <c r="A15" s="449" t="s">
        <v>444</v>
      </c>
      <c r="B15" s="106" t="s">
        <v>457</v>
      </c>
      <c r="C15" s="69" t="s">
        <v>445</v>
      </c>
      <c r="D15" s="447">
        <v>5</v>
      </c>
      <c r="E15" s="448">
        <f t="shared" si="4"/>
        <v>0</v>
      </c>
      <c r="F15" s="68">
        <f t="shared" si="5"/>
        <v>0.25</v>
      </c>
      <c r="G15" s="92"/>
      <c r="H15" s="98">
        <v>20</v>
      </c>
      <c r="I15" s="117">
        <f>+H15*J15</f>
        <v>400</v>
      </c>
      <c r="J15" s="117">
        <v>20</v>
      </c>
      <c r="K15" s="452">
        <v>12.867567567567571</v>
      </c>
      <c r="L15" s="119">
        <f>+SUMIFS('Consumo '!E:E,'Consumo '!A:A,'Garage 02-10'!A15)</f>
        <v>9224</v>
      </c>
      <c r="M15" s="119">
        <f>+K15*1.5</f>
        <v>19.301351351351357</v>
      </c>
      <c r="N15" s="127">
        <f>3*M15/L15</f>
        <v>6.2775427205175706E-3</v>
      </c>
      <c r="P15" s="455" t="s">
        <v>86</v>
      </c>
      <c r="Q15" s="456" t="s">
        <v>30</v>
      </c>
      <c r="R15" s="66">
        <v>510</v>
      </c>
      <c r="S15" s="66" t="s">
        <v>31</v>
      </c>
      <c r="T15" s="438" t="s">
        <v>711</v>
      </c>
      <c r="U15" s="429" t="s">
        <v>712</v>
      </c>
      <c r="V15" s="432">
        <f t="shared" si="7"/>
        <v>1.9580589090909089</v>
      </c>
      <c r="Y15" s="436">
        <v>3.5299999999999997E-3</v>
      </c>
      <c r="Z15" s="457">
        <v>30</v>
      </c>
      <c r="AA15" s="457">
        <f>+SUMIFS(E:E,B:$B,R15)</f>
        <v>12.203199999999999</v>
      </c>
      <c r="AB15" s="458">
        <f t="shared" si="8"/>
        <v>1363.6363636363637</v>
      </c>
      <c r="AC15" s="458">
        <f t="shared" si="3"/>
        <v>58.741767272727266</v>
      </c>
    </row>
    <row r="16" spans="1:29" ht="18.75" x14ac:dyDescent="0.25">
      <c r="P16" s="455" t="s">
        <v>86</v>
      </c>
      <c r="Q16" s="456" t="s">
        <v>702</v>
      </c>
      <c r="R16" s="66">
        <v>544</v>
      </c>
      <c r="S16" s="66" t="s">
        <v>474</v>
      </c>
      <c r="T16" s="438" t="s">
        <v>722</v>
      </c>
      <c r="U16" s="66" t="s">
        <v>723</v>
      </c>
      <c r="V16" s="432">
        <f t="shared" si="7"/>
        <v>43.846444444444437</v>
      </c>
      <c r="Y16" s="436">
        <v>3.5499999999999997E-2</v>
      </c>
      <c r="Z16" s="457">
        <v>18</v>
      </c>
      <c r="AA16" s="457">
        <f>+SUMIFS(E:E,B:$B,R16)</f>
        <v>138.94999999999999</v>
      </c>
      <c r="AB16" s="458">
        <f t="shared" si="8"/>
        <v>160</v>
      </c>
      <c r="AC16" s="458">
        <f t="shared" si="3"/>
        <v>789.23599999999988</v>
      </c>
    </row>
    <row r="17" spans="16:29" ht="18.75" x14ac:dyDescent="0.25">
      <c r="P17" s="455" t="s">
        <v>86</v>
      </c>
      <c r="Q17" s="456" t="s">
        <v>702</v>
      </c>
      <c r="R17" s="66">
        <v>544</v>
      </c>
      <c r="S17" s="66" t="s">
        <v>474</v>
      </c>
      <c r="T17" s="440" t="s">
        <v>720</v>
      </c>
      <c r="U17" s="437" t="s">
        <v>721</v>
      </c>
      <c r="V17" s="432">
        <f t="shared" si="7"/>
        <v>1.1046525</v>
      </c>
      <c r="Y17" s="436">
        <v>1.5900000000000001E-3</v>
      </c>
      <c r="Z17" s="457">
        <v>32</v>
      </c>
      <c r="AA17" s="457">
        <f>+SUMIFS(E:E,B:$B,R17)</f>
        <v>138.94999999999999</v>
      </c>
      <c r="AB17" s="458">
        <f t="shared" si="8"/>
        <v>160</v>
      </c>
      <c r="AC17" s="458">
        <f t="shared" si="3"/>
        <v>35.348880000000001</v>
      </c>
    </row>
    <row r="18" spans="16:29" ht="18.75" x14ac:dyDescent="0.25">
      <c r="P18" s="455" t="s">
        <v>86</v>
      </c>
      <c r="Q18" s="456" t="s">
        <v>702</v>
      </c>
      <c r="R18" s="66">
        <v>544</v>
      </c>
      <c r="S18" s="66" t="s">
        <v>474</v>
      </c>
      <c r="T18" s="440" t="s">
        <v>726</v>
      </c>
      <c r="U18" s="437" t="s">
        <v>724</v>
      </c>
      <c r="V18" s="432">
        <f t="shared" si="7"/>
        <v>73.817187499999946</v>
      </c>
      <c r="Y18" s="436">
        <v>4.6484374999999967E-2</v>
      </c>
      <c r="Z18" s="457">
        <v>14</v>
      </c>
      <c r="AA18" s="457">
        <f>+SUMIFS(E:E,B:$B,R18)</f>
        <v>138.94999999999999</v>
      </c>
      <c r="AB18" s="458">
        <f t="shared" si="8"/>
        <v>160</v>
      </c>
      <c r="AC18" s="458">
        <f t="shared" si="3"/>
        <v>1033.4406249999993</v>
      </c>
    </row>
    <row r="19" spans="16:29" s="434" customFormat="1" ht="18.75" x14ac:dyDescent="0.25">
      <c r="P19" s="455" t="s">
        <v>86</v>
      </c>
      <c r="Q19" s="456" t="s">
        <v>702</v>
      </c>
      <c r="R19" s="66">
        <v>544</v>
      </c>
      <c r="S19" s="66" t="s">
        <v>474</v>
      </c>
      <c r="T19" s="440" t="s">
        <v>727</v>
      </c>
      <c r="U19" s="437" t="s">
        <v>725</v>
      </c>
      <c r="V19" s="432">
        <f t="shared" si="7"/>
        <v>34.737499999999983</v>
      </c>
      <c r="Y19" s="436">
        <v>1.5624999999999993E-2</v>
      </c>
      <c r="Z19" s="457">
        <v>10</v>
      </c>
      <c r="AA19" s="457">
        <f>+SUMIFS(E:E,B:$B,R19)</f>
        <v>138.94999999999999</v>
      </c>
      <c r="AB19" s="458">
        <f t="shared" si="8"/>
        <v>160</v>
      </c>
      <c r="AC19" s="458">
        <f t="shared" si="3"/>
        <v>347.37499999999983</v>
      </c>
    </row>
    <row r="20" spans="16:29" ht="18.600000000000001" customHeight="1" x14ac:dyDescent="0.25">
      <c r="P20" s="455" t="s">
        <v>86</v>
      </c>
      <c r="Q20" s="456" t="s">
        <v>28</v>
      </c>
      <c r="R20" s="66">
        <v>506</v>
      </c>
      <c r="S20" s="66" t="s">
        <v>29</v>
      </c>
      <c r="T20" s="438" t="s">
        <v>718</v>
      </c>
      <c r="U20" s="429" t="s">
        <v>719</v>
      </c>
      <c r="V20" s="432">
        <f t="shared" si="7"/>
        <v>79.417892665148031</v>
      </c>
      <c r="Y20" s="436">
        <v>1.7959999999999997E-2</v>
      </c>
      <c r="Z20" s="457">
        <v>30</v>
      </c>
      <c r="AA20" s="457">
        <f>+SUMIFS(E:E,B:$B,R20)*3/4</f>
        <v>48.530699999999996</v>
      </c>
      <c r="AB20" s="458">
        <f t="shared" si="8"/>
        <v>2733.4851936218679</v>
      </c>
      <c r="AC20" s="458">
        <f t="shared" si="3"/>
        <v>2382.536779954441</v>
      </c>
    </row>
    <row r="21" spans="16:29" ht="18.600000000000001" customHeight="1" x14ac:dyDescent="0.25">
      <c r="P21" s="455" t="s">
        <v>86</v>
      </c>
      <c r="Q21" s="456" t="s">
        <v>28</v>
      </c>
      <c r="R21" s="66">
        <v>506</v>
      </c>
      <c r="S21" s="66" t="s">
        <v>29</v>
      </c>
      <c r="T21" s="438" t="s">
        <v>711</v>
      </c>
      <c r="U21" s="429" t="s">
        <v>712</v>
      </c>
      <c r="V21" s="432">
        <f t="shared" si="7"/>
        <v>15.60941876993166</v>
      </c>
      <c r="Y21" s="436">
        <v>3.5299999999999997E-3</v>
      </c>
      <c r="Z21" s="457">
        <v>30</v>
      </c>
      <c r="AA21" s="457">
        <f>+SUMIFS(E:E,B:$B,R21)*3/4</f>
        <v>48.530699999999996</v>
      </c>
      <c r="AB21" s="458">
        <f t="shared" si="8"/>
        <v>2733.4851936218679</v>
      </c>
      <c r="AC21" s="458">
        <f t="shared" si="3"/>
        <v>468.28256309794978</v>
      </c>
    </row>
    <row r="22" spans="16:29" ht="18.600000000000001" customHeight="1" thickBot="1" x14ac:dyDescent="0.3">
      <c r="P22" s="462" t="s">
        <v>707</v>
      </c>
      <c r="Q22" s="463" t="s">
        <v>444</v>
      </c>
      <c r="R22" s="327" t="s">
        <v>457</v>
      </c>
      <c r="S22" s="327" t="s">
        <v>445</v>
      </c>
      <c r="T22" s="459"/>
      <c r="U22" s="460"/>
      <c r="V22" s="432" t="e">
        <f t="shared" si="7"/>
        <v>#DIV/0!</v>
      </c>
      <c r="Y22" s="461"/>
      <c r="Z22" s="461"/>
      <c r="AA22" s="457">
        <f>+SUMIFS(E:E,B:$B,R22)</f>
        <v>0</v>
      </c>
      <c r="AB22" s="458">
        <f t="shared" si="8"/>
        <v>9224</v>
      </c>
      <c r="AC22" s="458">
        <f t="shared" si="3"/>
        <v>0</v>
      </c>
    </row>
    <row r="23" spans="16:29" ht="18.600000000000001" customHeight="1" x14ac:dyDescent="0.25"/>
    <row r="24" spans="16:29" ht="18.600000000000001" customHeight="1" x14ac:dyDescent="0.25"/>
    <row r="25" spans="16:29" ht="18.600000000000001" customHeight="1" x14ac:dyDescent="0.25"/>
    <row r="26" spans="16:29" ht="18.600000000000001" customHeight="1" x14ac:dyDescent="0.25"/>
    <row r="27" spans="16:29" ht="18.600000000000001" customHeight="1" x14ac:dyDescent="0.25"/>
    <row r="28" spans="16:29" ht="18.600000000000001" customHeight="1" x14ac:dyDescent="0.25"/>
    <row r="29" spans="16:29" ht="18.600000000000001" customHeight="1" x14ac:dyDescent="0.25"/>
    <row r="30" spans="16:29" ht="18.600000000000001" customHeight="1" x14ac:dyDescent="0.25"/>
    <row r="31" spans="16:29" ht="18.600000000000001" customHeight="1" x14ac:dyDescent="0.25"/>
    <row r="32" spans="16:29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N15" xr:uid="{00000000-0009-0000-0000-000017000000}"/>
  <mergeCells count="6">
    <mergeCell ref="Y5:AC5"/>
    <mergeCell ref="A3:E3"/>
    <mergeCell ref="A4:B4"/>
    <mergeCell ref="A5:B5"/>
    <mergeCell ref="H5:N5"/>
    <mergeCell ref="P5:V5"/>
  </mergeCells>
  <printOptions horizontalCentered="1" verticalCentered="1"/>
  <pageMargins left="0.23622047244094491" right="0.23622047244094491" top="0.15748031496062992" bottom="7.874015748031496E-2" header="0" footer="0"/>
  <pageSetup paperSize="9" scale="31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  <pageSetUpPr fitToPage="1"/>
  </sheetPr>
  <dimension ref="A1:AD35"/>
  <sheetViews>
    <sheetView topLeftCell="A4" zoomScale="85" zoomScaleNormal="85" workbookViewId="0">
      <selection activeCell="T30" sqref="A28:T30"/>
    </sheetView>
  </sheetViews>
  <sheetFormatPr baseColWidth="10" defaultRowHeight="15" x14ac:dyDescent="0.25"/>
  <cols>
    <col min="1" max="2" width="10.7109375" customWidth="1"/>
    <col min="3" max="3" width="6" customWidth="1"/>
    <col min="4" max="4" width="28.85546875" customWidth="1"/>
    <col min="5" max="5" width="8.42578125" style="444" customWidth="1"/>
    <col min="6" max="6" width="9.42578125" style="444" customWidth="1"/>
    <col min="7" max="7" width="8.85546875" style="444" customWidth="1"/>
    <col min="8" max="8" width="1.140625" customWidth="1"/>
    <col min="9" max="9" width="8.140625" customWidth="1"/>
    <col min="10" max="10" width="8" customWidth="1"/>
    <col min="11" max="11" width="9.85546875" customWidth="1"/>
    <col min="12" max="12" width="8.28515625" style="110" customWidth="1"/>
    <col min="13" max="13" width="8.42578125" customWidth="1"/>
    <col min="14" max="14" width="9.5703125" customWidth="1"/>
    <col min="15" max="15" width="8.28515625" customWidth="1"/>
    <col min="16" max="16" width="8.85546875" bestFit="1" customWidth="1"/>
    <col min="17" max="17" width="8.85546875" style="283" bestFit="1" customWidth="1"/>
    <col min="18" max="18" width="8.7109375" style="283" bestFit="1" customWidth="1"/>
    <col min="19" max="19" width="7.28515625" style="283" customWidth="1"/>
    <col min="20" max="20" width="24.85546875" style="283" customWidth="1"/>
    <col min="21" max="21" width="9.7109375" style="283" customWidth="1"/>
    <col min="22" max="22" width="24.85546875" style="283" bestFit="1" customWidth="1"/>
    <col min="23" max="23" width="9.5703125" style="283" customWidth="1"/>
  </cols>
  <sheetData>
    <row r="1" spans="1:30" ht="27.6" customHeight="1" x14ac:dyDescent="0.25">
      <c r="L1"/>
    </row>
    <row r="2" spans="1:30" ht="24.75" customHeight="1" thickBot="1" x14ac:dyDescent="0.3">
      <c r="L2"/>
    </row>
    <row r="3" spans="1:30" ht="24.75" customHeight="1" thickBot="1" x14ac:dyDescent="0.45">
      <c r="A3" s="515" t="s">
        <v>734</v>
      </c>
      <c r="B3" s="505"/>
      <c r="C3" s="505"/>
      <c r="D3" s="505"/>
      <c r="E3" s="505"/>
      <c r="F3" s="506"/>
      <c r="L3"/>
    </row>
    <row r="4" spans="1:30" ht="24.75" customHeight="1" thickBot="1" x14ac:dyDescent="0.4">
      <c r="A4" s="516" t="s">
        <v>735</v>
      </c>
      <c r="B4" s="507"/>
      <c r="C4" s="508"/>
      <c r="D4" s="454">
        <f ca="1">+TODAY()</f>
        <v>46101</v>
      </c>
    </row>
    <row r="5" spans="1:30" ht="42.6" customHeight="1" thickBot="1" x14ac:dyDescent="0.45">
      <c r="A5" s="516" t="s">
        <v>736</v>
      </c>
      <c r="B5" s="507"/>
      <c r="C5" s="508"/>
      <c r="D5" s="453"/>
      <c r="I5" s="509" t="s">
        <v>740</v>
      </c>
      <c r="J5" s="510"/>
      <c r="K5" s="510"/>
      <c r="L5" s="510"/>
      <c r="M5" s="510"/>
      <c r="N5" s="510"/>
      <c r="O5" s="511"/>
      <c r="Q5" s="512" t="s">
        <v>737</v>
      </c>
      <c r="R5" s="513"/>
      <c r="S5" s="513"/>
      <c r="T5" s="513"/>
      <c r="U5" s="513"/>
      <c r="V5" s="513"/>
      <c r="W5" s="514"/>
      <c r="Z5" s="502" t="s">
        <v>739</v>
      </c>
      <c r="AA5" s="503"/>
      <c r="AB5" s="503"/>
      <c r="AC5" s="503"/>
      <c r="AD5" s="504"/>
    </row>
    <row r="6" spans="1:30" ht="58.9" customHeight="1" thickBot="1" x14ac:dyDescent="0.3">
      <c r="A6" s="15" t="s">
        <v>709</v>
      </c>
      <c r="B6" s="445" t="s">
        <v>4</v>
      </c>
      <c r="C6" s="15" t="s">
        <v>3</v>
      </c>
      <c r="D6" s="4" t="s">
        <v>5</v>
      </c>
      <c r="E6" s="445" t="s">
        <v>438</v>
      </c>
      <c r="F6" s="446" t="s">
        <v>68</v>
      </c>
      <c r="G6" s="445" t="s">
        <v>76</v>
      </c>
      <c r="H6" s="91"/>
      <c r="I6" s="207" t="s">
        <v>63</v>
      </c>
      <c r="J6" s="154" t="s">
        <v>38</v>
      </c>
      <c r="K6" s="154" t="s">
        <v>58</v>
      </c>
      <c r="L6" s="154" t="s">
        <v>10</v>
      </c>
      <c r="M6" s="154" t="s">
        <v>11</v>
      </c>
      <c r="N6" s="154" t="s">
        <v>14</v>
      </c>
      <c r="O6" s="208" t="s">
        <v>738</v>
      </c>
      <c r="Q6" s="102" t="s">
        <v>708</v>
      </c>
      <c r="R6" s="104" t="s">
        <v>728</v>
      </c>
      <c r="S6" s="103" t="s">
        <v>710</v>
      </c>
      <c r="T6" s="103" t="s">
        <v>5</v>
      </c>
      <c r="U6" s="464" t="s">
        <v>729</v>
      </c>
      <c r="V6" s="103" t="s">
        <v>713</v>
      </c>
      <c r="W6" s="465" t="s">
        <v>741</v>
      </c>
      <c r="Z6" s="103" t="s">
        <v>731</v>
      </c>
      <c r="AA6" s="103" t="s">
        <v>38</v>
      </c>
      <c r="AB6" s="103" t="s">
        <v>730</v>
      </c>
      <c r="AC6" s="103" t="s">
        <v>11</v>
      </c>
      <c r="AD6" s="103" t="s">
        <v>732</v>
      </c>
    </row>
    <row r="7" spans="1:30" ht="37.5" x14ac:dyDescent="0.3">
      <c r="A7" s="106" t="s">
        <v>97</v>
      </c>
      <c r="B7" s="449" t="s">
        <v>15</v>
      </c>
      <c r="C7" s="106">
        <v>500</v>
      </c>
      <c r="D7" s="69" t="s">
        <v>16</v>
      </c>
      <c r="E7" s="447">
        <v>0</v>
      </c>
      <c r="F7" s="448">
        <f t="shared" ref="F7:F15" si="0">IF(AND(A7="Carlos",C7=506),IF(I7-E7&lt;0,0,(I7-E7)*3/4),IF(AND(A7="Martin",C7=506),IF(I7-E7&lt;0,0,(I7-E7)*1/4),IF(I7-E7&lt;0,0,I7-E7)))</f>
        <v>5</v>
      </c>
      <c r="G7" s="68">
        <f>+IFERROR(E7/I7,#REF!/K7)</f>
        <v>0</v>
      </c>
      <c r="H7" s="92"/>
      <c r="I7" s="131">
        <v>5</v>
      </c>
      <c r="J7" s="137">
        <v>30</v>
      </c>
      <c r="K7" s="137">
        <f t="shared" ref="K7:K14" si="1">+I7*M7</f>
        <v>4552.3520485584222</v>
      </c>
      <c r="L7" s="450">
        <v>3.295E-2</v>
      </c>
      <c r="M7" s="39">
        <f t="shared" ref="M7:M14" si="2">+J7/L7</f>
        <v>910.4704097116844</v>
      </c>
      <c r="N7" s="137">
        <f>IFERROR(VLOOKUP(C7,'Estadistica Madre CH 23-01'!A:C,3,0),+VLOOKUP(C7,'Estadistica Madre LK 23-01 '!A:C,3,0))</f>
        <v>1440</v>
      </c>
      <c r="O7" s="141">
        <f>3*N7/M7</f>
        <v>4.7447999999999997</v>
      </c>
      <c r="Q7" s="455" t="s">
        <v>97</v>
      </c>
      <c r="R7" s="456" t="s">
        <v>15</v>
      </c>
      <c r="S7" s="66">
        <v>500</v>
      </c>
      <c r="T7" s="66" t="s">
        <v>16</v>
      </c>
      <c r="U7" s="438" t="s">
        <v>714</v>
      </c>
      <c r="V7" s="429" t="s">
        <v>715</v>
      </c>
      <c r="W7" s="432">
        <f t="shared" ref="W7:W22" si="3">+AD7/AA7</f>
        <v>4.4527061203844207</v>
      </c>
      <c r="Z7" s="436">
        <v>2.9343333333333332E-2</v>
      </c>
      <c r="AA7" s="457">
        <v>30</v>
      </c>
      <c r="AB7" s="457">
        <f>+SUMIFS(F:F,C:$C,S7,$A:$A,Q7)</f>
        <v>5</v>
      </c>
      <c r="AC7" s="458">
        <f t="shared" ref="AC7:AC22" si="4">+SUMIFS(M:M,C:C,S7,A:A,Q7)</f>
        <v>910.4704097116844</v>
      </c>
      <c r="AD7" s="458">
        <f t="shared" ref="AD7:AD22" si="5">+(AC7*AB7)*Z7</f>
        <v>133.58118361153262</v>
      </c>
    </row>
    <row r="8" spans="1:30" ht="21.2" customHeight="1" x14ac:dyDescent="0.3">
      <c r="A8" s="106" t="s">
        <v>97</v>
      </c>
      <c r="B8" s="449" t="s">
        <v>28</v>
      </c>
      <c r="C8" s="106">
        <v>506</v>
      </c>
      <c r="D8" s="69" t="s">
        <v>29</v>
      </c>
      <c r="E8" s="447">
        <v>5</v>
      </c>
      <c r="F8" s="448">
        <f t="shared" si="0"/>
        <v>7.75</v>
      </c>
      <c r="G8" s="68">
        <f>+IFERROR(E8/I8,#REF!/K8)</f>
        <v>0.1388888888888889</v>
      </c>
      <c r="H8" s="92"/>
      <c r="I8" s="96">
        <v>36</v>
      </c>
      <c r="J8" s="39">
        <v>30</v>
      </c>
      <c r="K8" s="39">
        <f t="shared" si="1"/>
        <v>49202.733485193625</v>
      </c>
      <c r="L8" s="451">
        <v>2.1950000000000001E-2</v>
      </c>
      <c r="M8" s="39">
        <f t="shared" si="2"/>
        <v>1366.7425968109339</v>
      </c>
      <c r="N8" s="39">
        <f>IFERROR(VLOOKUP(C8,'Estadistica Madre CH 23-01'!A:C,3,0),+VLOOKUP(C8,'Estadistica Madre LK 23-01 '!A:C,3,0))</f>
        <v>18840</v>
      </c>
      <c r="O8" s="122">
        <f t="shared" ref="O8:O14" si="6">3*N8/M8</f>
        <v>41.3538</v>
      </c>
      <c r="Q8" s="455" t="s">
        <v>97</v>
      </c>
      <c r="R8" s="456" t="s">
        <v>15</v>
      </c>
      <c r="S8" s="66">
        <v>500</v>
      </c>
      <c r="T8" s="66" t="s">
        <v>16</v>
      </c>
      <c r="U8" s="438" t="s">
        <v>711</v>
      </c>
      <c r="V8" s="429" t="s">
        <v>712</v>
      </c>
      <c r="W8" s="432">
        <f t="shared" si="3"/>
        <v>0.53566009104704093</v>
      </c>
      <c r="Z8" s="436">
        <v>3.5299999999999997E-3</v>
      </c>
      <c r="AA8" s="457">
        <v>30</v>
      </c>
      <c r="AB8" s="457">
        <f>+SUMIFS(F:F,C:$C,S8,$A:$A,Q8)</f>
        <v>5</v>
      </c>
      <c r="AC8" s="458">
        <f t="shared" si="4"/>
        <v>910.4704097116844</v>
      </c>
      <c r="AD8" s="458">
        <f t="shared" si="5"/>
        <v>16.06980273141123</v>
      </c>
    </row>
    <row r="9" spans="1:30" ht="18.75" x14ac:dyDescent="0.3">
      <c r="A9" s="106" t="s">
        <v>53</v>
      </c>
      <c r="B9" s="449" t="s">
        <v>22</v>
      </c>
      <c r="C9" s="106">
        <v>654</v>
      </c>
      <c r="D9" s="69" t="s">
        <v>23</v>
      </c>
      <c r="E9" s="447">
        <v>0</v>
      </c>
      <c r="F9" s="448">
        <f t="shared" si="0"/>
        <v>5</v>
      </c>
      <c r="G9" s="68">
        <f>+IFERROR(E9/I9,#REF!/K9)</f>
        <v>0</v>
      </c>
      <c r="H9" s="92"/>
      <c r="I9" s="96">
        <v>5</v>
      </c>
      <c r="J9" s="121">
        <v>15</v>
      </c>
      <c r="K9" s="39">
        <f t="shared" si="1"/>
        <v>3488.3720930232562</v>
      </c>
      <c r="L9" s="451">
        <v>2.1499999999999998E-2</v>
      </c>
      <c r="M9" s="39">
        <f t="shared" si="2"/>
        <v>697.67441860465124</v>
      </c>
      <c r="N9" s="39">
        <f>IFERROR(VLOOKUP(C9,'Estadistica Madre CH 23-01'!A:C,3,0),+VLOOKUP(C9,'Estadistica Madre LK 23-01 '!A:C,3,0))</f>
        <v>912</v>
      </c>
      <c r="O9" s="122">
        <f t="shared" si="6"/>
        <v>3.9215999999999998</v>
      </c>
      <c r="Q9" s="455" t="s">
        <v>97</v>
      </c>
      <c r="R9" s="456" t="s">
        <v>28</v>
      </c>
      <c r="S9" s="66">
        <v>506</v>
      </c>
      <c r="T9" s="66" t="s">
        <v>29</v>
      </c>
      <c r="U9" s="438" t="s">
        <v>718</v>
      </c>
      <c r="V9" s="429" t="s">
        <v>719</v>
      </c>
      <c r="W9" s="432">
        <f t="shared" si="3"/>
        <v>6.3412300683371292</v>
      </c>
      <c r="Z9" s="436">
        <v>1.7959999999999997E-2</v>
      </c>
      <c r="AA9" s="457">
        <v>30</v>
      </c>
      <c r="AB9" s="457">
        <f>+SUMIFS(F:F,C:$C,S9,$A:$A,Q9)</f>
        <v>7.75</v>
      </c>
      <c r="AC9" s="458">
        <f t="shared" si="4"/>
        <v>1366.7425968109339</v>
      </c>
      <c r="AD9" s="458">
        <f t="shared" si="5"/>
        <v>190.23690205011388</v>
      </c>
    </row>
    <row r="10" spans="1:30" ht="18.75" x14ac:dyDescent="0.3">
      <c r="A10" s="106" t="s">
        <v>53</v>
      </c>
      <c r="B10" s="449" t="s">
        <v>24</v>
      </c>
      <c r="C10" s="106">
        <v>558</v>
      </c>
      <c r="D10" s="69" t="s">
        <v>25</v>
      </c>
      <c r="E10" s="447">
        <v>3</v>
      </c>
      <c r="F10" s="448">
        <f t="shared" si="0"/>
        <v>7</v>
      </c>
      <c r="G10" s="68">
        <f>+IFERROR(E10/I10,#REF!/K10)</f>
        <v>0.3</v>
      </c>
      <c r="H10" s="92"/>
      <c r="I10" s="96">
        <v>10</v>
      </c>
      <c r="J10" s="121">
        <v>1.8</v>
      </c>
      <c r="K10" s="39">
        <f t="shared" si="1"/>
        <v>1161.2903225806454</v>
      </c>
      <c r="L10" s="451">
        <v>1.55E-2</v>
      </c>
      <c r="M10" s="39">
        <f t="shared" si="2"/>
        <v>116.12903225806453</v>
      </c>
      <c r="N10" s="39">
        <f>IFERROR(VLOOKUP(C10,'Estadistica Madre CH 23-01'!A:C,3,0),+VLOOKUP(C10,'Estadistica Madre LK 23-01 '!A:C,3,0))</f>
        <v>2124</v>
      </c>
      <c r="O10" s="122">
        <f t="shared" si="6"/>
        <v>54.87</v>
      </c>
      <c r="Q10" s="455" t="s">
        <v>97</v>
      </c>
      <c r="R10" s="456" t="s">
        <v>28</v>
      </c>
      <c r="S10" s="66">
        <v>506</v>
      </c>
      <c r="T10" s="66" t="s">
        <v>29</v>
      </c>
      <c r="U10" s="438" t="s">
        <v>711</v>
      </c>
      <c r="V10" s="429" t="s">
        <v>712</v>
      </c>
      <c r="W10" s="432">
        <f t="shared" si="3"/>
        <v>1.2463553530751708</v>
      </c>
      <c r="Z10" s="436">
        <v>3.5299999999999997E-3</v>
      </c>
      <c r="AA10" s="457">
        <v>30</v>
      </c>
      <c r="AB10" s="457">
        <f>+SUMIFS(F:F,C:$C,S10,$A:$A,Q10)</f>
        <v>7.75</v>
      </c>
      <c r="AC10" s="458">
        <f t="shared" si="4"/>
        <v>1366.7425968109339</v>
      </c>
      <c r="AD10" s="458">
        <f t="shared" si="5"/>
        <v>37.390660592255124</v>
      </c>
    </row>
    <row r="11" spans="1:30" ht="21.2" customHeight="1" x14ac:dyDescent="0.3">
      <c r="A11" s="106" t="s">
        <v>53</v>
      </c>
      <c r="B11" s="449" t="s">
        <v>26</v>
      </c>
      <c r="C11" s="106">
        <v>557</v>
      </c>
      <c r="D11" s="69" t="s">
        <v>27</v>
      </c>
      <c r="E11" s="447">
        <v>0</v>
      </c>
      <c r="F11" s="448">
        <f t="shared" si="0"/>
        <v>1</v>
      </c>
      <c r="G11" s="68">
        <f>+IFERROR(E11/I11,#REF!/K11)</f>
        <v>0</v>
      </c>
      <c r="H11" s="92"/>
      <c r="I11" s="96">
        <v>1</v>
      </c>
      <c r="J11" s="121">
        <v>1.8</v>
      </c>
      <c r="K11" s="39">
        <f t="shared" si="1"/>
        <v>113.20754716981132</v>
      </c>
      <c r="L11" s="451">
        <v>1.5900000000000001E-2</v>
      </c>
      <c r="M11" s="39">
        <f t="shared" si="2"/>
        <v>113.20754716981132</v>
      </c>
      <c r="N11" s="39">
        <f>IFERROR(VLOOKUP(C11,'Estadistica Madre CH 23-01'!A:C,3,0),+VLOOKUP(C11,'Estadistica Madre LK 23-01 '!A:C,3,0))</f>
        <v>1400</v>
      </c>
      <c r="O11" s="122">
        <f t="shared" si="6"/>
        <v>37.1</v>
      </c>
      <c r="Q11" s="455" t="s">
        <v>53</v>
      </c>
      <c r="R11" s="456" t="s">
        <v>22</v>
      </c>
      <c r="S11" s="66">
        <v>654</v>
      </c>
      <c r="T11" s="66" t="s">
        <v>23</v>
      </c>
      <c r="U11" s="459"/>
      <c r="V11" s="460"/>
      <c r="W11" s="432" t="e">
        <f t="shared" si="3"/>
        <v>#DIV/0!</v>
      </c>
      <c r="Z11" s="461"/>
      <c r="AA11" s="457"/>
      <c r="AB11" s="457">
        <f>+SUMIFS(F:F,C:$C,S11,$A:$A,Q11)</f>
        <v>5</v>
      </c>
      <c r="AC11" s="458">
        <f t="shared" si="4"/>
        <v>697.67441860465124</v>
      </c>
      <c r="AD11" s="458">
        <f t="shared" si="5"/>
        <v>0</v>
      </c>
    </row>
    <row r="12" spans="1:30" ht="18.75" x14ac:dyDescent="0.3">
      <c r="A12" s="106" t="s">
        <v>86</v>
      </c>
      <c r="B12" s="449" t="s">
        <v>30</v>
      </c>
      <c r="C12" s="106">
        <v>510</v>
      </c>
      <c r="D12" s="69" t="s">
        <v>31</v>
      </c>
      <c r="E12" s="447">
        <v>1</v>
      </c>
      <c r="F12" s="448">
        <f t="shared" si="0"/>
        <v>7</v>
      </c>
      <c r="G12" s="68">
        <f>+IFERROR(E12/I12,#REF!/K12)</f>
        <v>0.125</v>
      </c>
      <c r="H12" s="92"/>
      <c r="I12" s="96">
        <v>8</v>
      </c>
      <c r="J12" s="39">
        <v>30</v>
      </c>
      <c r="K12" s="39">
        <f t="shared" si="1"/>
        <v>10909.09090909091</v>
      </c>
      <c r="L12" s="451">
        <v>2.1999999999999999E-2</v>
      </c>
      <c r="M12" s="39">
        <f t="shared" si="2"/>
        <v>1363.6363636363637</v>
      </c>
      <c r="N12" s="39">
        <f>IFERROR(VLOOKUP(C12,'Estadistica Madre CH 23-01'!A:C,3,0),+VLOOKUP(C12,'Estadistica Madre LK 23-01 '!A:C,3,0))</f>
        <v>6456</v>
      </c>
      <c r="O12" s="122">
        <f t="shared" si="6"/>
        <v>14.203199999999999</v>
      </c>
      <c r="Q12" s="455" t="s">
        <v>53</v>
      </c>
      <c r="R12" s="456" t="s">
        <v>24</v>
      </c>
      <c r="S12" s="66">
        <v>558</v>
      </c>
      <c r="T12" s="66" t="s">
        <v>25</v>
      </c>
      <c r="U12" s="459"/>
      <c r="V12" s="460"/>
      <c r="W12" s="432" t="e">
        <f t="shared" si="3"/>
        <v>#DIV/0!</v>
      </c>
      <c r="Z12" s="461"/>
      <c r="AA12" s="457"/>
      <c r="AB12" s="457">
        <f>+SUMIFS(F:F,C:$C,S12,$A:$A,Q12)</f>
        <v>7</v>
      </c>
      <c r="AC12" s="458">
        <f t="shared" si="4"/>
        <v>116.12903225806453</v>
      </c>
      <c r="AD12" s="458">
        <f t="shared" si="5"/>
        <v>0</v>
      </c>
    </row>
    <row r="13" spans="1:30" ht="18.75" x14ac:dyDescent="0.3">
      <c r="A13" s="106" t="s">
        <v>86</v>
      </c>
      <c r="B13" s="449" t="s">
        <v>702</v>
      </c>
      <c r="C13" s="106">
        <v>544</v>
      </c>
      <c r="D13" s="69" t="s">
        <v>474</v>
      </c>
      <c r="E13" s="447">
        <v>1</v>
      </c>
      <c r="F13" s="448">
        <f t="shared" si="0"/>
        <v>53</v>
      </c>
      <c r="G13" s="68">
        <f>+IFERROR(E13/I13,#REF!/K13)</f>
        <v>1.8518518518518517E-2</v>
      </c>
      <c r="H13" s="92"/>
      <c r="I13" s="96">
        <v>54</v>
      </c>
      <c r="J13" s="39">
        <v>15.68</v>
      </c>
      <c r="K13" s="39">
        <f t="shared" si="1"/>
        <v>8640</v>
      </c>
      <c r="L13" s="451">
        <v>9.8000000000000004E-2</v>
      </c>
      <c r="M13" s="39">
        <f t="shared" si="2"/>
        <v>160</v>
      </c>
      <c r="N13" s="39">
        <f>IFERROR(VLOOKUP(C13,'Estadistica Madre CH 23-01'!A:C,3,0),+VLOOKUP(C13,'Estadistica Madre LK 23-01 '!A:C,3,0))</f>
        <v>7464</v>
      </c>
      <c r="O13" s="122">
        <f t="shared" si="6"/>
        <v>139.94999999999999</v>
      </c>
      <c r="Q13" s="455" t="s">
        <v>53</v>
      </c>
      <c r="R13" s="456" t="s">
        <v>26</v>
      </c>
      <c r="S13" s="66">
        <v>557</v>
      </c>
      <c r="T13" s="66" t="s">
        <v>27</v>
      </c>
      <c r="U13" s="459"/>
      <c r="V13" s="460"/>
      <c r="W13" s="432" t="e">
        <f t="shared" si="3"/>
        <v>#DIV/0!</v>
      </c>
      <c r="Z13" s="461"/>
      <c r="AA13" s="457"/>
      <c r="AB13" s="457">
        <f>+SUMIFS(F:F,C:$C,S13,$A:$A,Q13)</f>
        <v>1</v>
      </c>
      <c r="AC13" s="458">
        <f t="shared" si="4"/>
        <v>113.20754716981132</v>
      </c>
      <c r="AD13" s="458">
        <f t="shared" si="5"/>
        <v>0</v>
      </c>
    </row>
    <row r="14" spans="1:30" ht="21.2" customHeight="1" x14ac:dyDescent="0.3">
      <c r="A14" s="106" t="s">
        <v>86</v>
      </c>
      <c r="B14" s="449" t="s">
        <v>28</v>
      </c>
      <c r="C14" s="106">
        <v>506</v>
      </c>
      <c r="D14" s="69" t="s">
        <v>29</v>
      </c>
      <c r="E14" s="447">
        <v>5</v>
      </c>
      <c r="F14" s="448">
        <f t="shared" si="0"/>
        <v>23.25</v>
      </c>
      <c r="G14" s="68">
        <f>+IFERROR(E14/I14,#REF!/K14)</f>
        <v>0.1388888888888889</v>
      </c>
      <c r="H14" s="92"/>
      <c r="I14" s="96">
        <v>36</v>
      </c>
      <c r="J14" s="39">
        <v>30</v>
      </c>
      <c r="K14" s="39">
        <f t="shared" si="1"/>
        <v>49202.733485193625</v>
      </c>
      <c r="L14" s="451">
        <v>2.1950000000000001E-2</v>
      </c>
      <c r="M14" s="39">
        <f t="shared" si="2"/>
        <v>1366.7425968109339</v>
      </c>
      <c r="N14" s="39">
        <f>IFERROR(VLOOKUP(C14,'Estadistica Madre CH 23-01'!A:C,3,0),+VLOOKUP(C14,'Estadistica Madre LK 23-01 '!A:C,3,0))</f>
        <v>18840</v>
      </c>
      <c r="O14" s="122">
        <f t="shared" si="6"/>
        <v>41.3538</v>
      </c>
      <c r="Q14" s="455" t="s">
        <v>86</v>
      </c>
      <c r="R14" s="456" t="s">
        <v>30</v>
      </c>
      <c r="S14" s="66">
        <v>510</v>
      </c>
      <c r="T14" s="66" t="s">
        <v>31</v>
      </c>
      <c r="U14" s="438" t="s">
        <v>716</v>
      </c>
      <c r="V14" s="66" t="s">
        <v>717</v>
      </c>
      <c r="W14" s="432">
        <f t="shared" si="3"/>
        <v>5.7315151515151515</v>
      </c>
      <c r="Z14" s="436">
        <v>1.8013333333333333E-2</v>
      </c>
      <c r="AA14" s="457">
        <v>30</v>
      </c>
      <c r="AB14" s="457">
        <f>+SUMIFS(F:F,C:$C,S14,$A:$A,Q14)</f>
        <v>7</v>
      </c>
      <c r="AC14" s="458">
        <f t="shared" si="4"/>
        <v>1363.6363636363637</v>
      </c>
      <c r="AD14" s="458">
        <f t="shared" si="5"/>
        <v>171.94545454545454</v>
      </c>
    </row>
    <row r="15" spans="1:30" ht="19.5" thickBot="1" x14ac:dyDescent="0.35">
      <c r="A15" s="106" t="s">
        <v>707</v>
      </c>
      <c r="B15" s="449" t="s">
        <v>444</v>
      </c>
      <c r="C15" s="106" t="s">
        <v>457</v>
      </c>
      <c r="D15" s="69" t="s">
        <v>445</v>
      </c>
      <c r="E15" s="447">
        <v>5</v>
      </c>
      <c r="F15" s="448">
        <f t="shared" si="0"/>
        <v>15</v>
      </c>
      <c r="G15" s="68">
        <f>+IFERROR(E15/I15,#REF!/K15)</f>
        <v>0.25</v>
      </c>
      <c r="H15" s="92"/>
      <c r="I15" s="98">
        <v>20</v>
      </c>
      <c r="J15" s="117">
        <f>+I15*K15</f>
        <v>400</v>
      </c>
      <c r="K15" s="117">
        <v>20</v>
      </c>
      <c r="L15" s="452">
        <v>12.867567567567571</v>
      </c>
      <c r="M15" s="119">
        <f>+SUMIFS('Consumo '!E:E,'Consumo '!A:A,'Garage 25-9'!B15)</f>
        <v>9224</v>
      </c>
      <c r="N15" s="119">
        <f>+L15*1.5</f>
        <v>19.301351351351357</v>
      </c>
      <c r="O15" s="127">
        <f>3*N15/M15</f>
        <v>6.2775427205175706E-3</v>
      </c>
      <c r="Q15" s="455" t="s">
        <v>86</v>
      </c>
      <c r="R15" s="456" t="s">
        <v>30</v>
      </c>
      <c r="S15" s="66">
        <v>510</v>
      </c>
      <c r="T15" s="66" t="s">
        <v>31</v>
      </c>
      <c r="U15" s="438" t="s">
        <v>711</v>
      </c>
      <c r="V15" s="429" t="s">
        <v>712</v>
      </c>
      <c r="W15" s="432">
        <f t="shared" si="3"/>
        <v>1.1231818181818183</v>
      </c>
      <c r="Z15" s="436">
        <v>3.5299999999999997E-3</v>
      </c>
      <c r="AA15" s="457">
        <v>30</v>
      </c>
      <c r="AB15" s="457">
        <f>+SUMIFS(F:F,C:$C,S15,$A:$A,Q15)</f>
        <v>7</v>
      </c>
      <c r="AC15" s="458">
        <f t="shared" si="4"/>
        <v>1363.6363636363637</v>
      </c>
      <c r="AD15" s="458">
        <f t="shared" si="5"/>
        <v>33.695454545454545</v>
      </c>
    </row>
    <row r="16" spans="1:30" ht="18.75" x14ac:dyDescent="0.25">
      <c r="Q16" s="455" t="s">
        <v>86</v>
      </c>
      <c r="R16" s="456" t="s">
        <v>702</v>
      </c>
      <c r="S16" s="66">
        <v>544</v>
      </c>
      <c r="T16" s="66" t="s">
        <v>474</v>
      </c>
      <c r="U16" s="438" t="s">
        <v>722</v>
      </c>
      <c r="V16" s="66" t="s">
        <v>723</v>
      </c>
      <c r="W16" s="432">
        <f t="shared" si="3"/>
        <v>16.724444444444444</v>
      </c>
      <c r="Z16" s="436">
        <v>3.5499999999999997E-2</v>
      </c>
      <c r="AA16" s="457">
        <v>18</v>
      </c>
      <c r="AB16" s="457">
        <f>+SUMIFS(F:F,C:$C,S16,$A:$A,Q16)</f>
        <v>53</v>
      </c>
      <c r="AC16" s="458">
        <f t="shared" si="4"/>
        <v>160</v>
      </c>
      <c r="AD16" s="458">
        <f t="shared" si="5"/>
        <v>301.03999999999996</v>
      </c>
    </row>
    <row r="17" spans="17:30" ht="18.75" x14ac:dyDescent="0.25">
      <c r="Q17" s="455" t="s">
        <v>86</v>
      </c>
      <c r="R17" s="456" t="s">
        <v>702</v>
      </c>
      <c r="S17" s="66">
        <v>544</v>
      </c>
      <c r="T17" s="66" t="s">
        <v>474</v>
      </c>
      <c r="U17" s="440" t="s">
        <v>720</v>
      </c>
      <c r="V17" s="437" t="s">
        <v>721</v>
      </c>
      <c r="W17" s="432">
        <f t="shared" si="3"/>
        <v>0.42135</v>
      </c>
      <c r="Z17" s="436">
        <v>1.5900000000000001E-3</v>
      </c>
      <c r="AA17" s="457">
        <v>32</v>
      </c>
      <c r="AB17" s="457">
        <f>+SUMIFS(F:F,C:$C,S17,$A:$A,Q17)</f>
        <v>53</v>
      </c>
      <c r="AC17" s="458">
        <f t="shared" si="4"/>
        <v>160</v>
      </c>
      <c r="AD17" s="458">
        <f t="shared" si="5"/>
        <v>13.4832</v>
      </c>
    </row>
    <row r="18" spans="17:30" ht="18.75" x14ac:dyDescent="0.25">
      <c r="Q18" s="455" t="s">
        <v>86</v>
      </c>
      <c r="R18" s="456" t="s">
        <v>702</v>
      </c>
      <c r="S18" s="66">
        <v>544</v>
      </c>
      <c r="T18" s="66" t="s">
        <v>474</v>
      </c>
      <c r="U18" s="440" t="s">
        <v>726</v>
      </c>
      <c r="V18" s="437" t="s">
        <v>724</v>
      </c>
      <c r="W18" s="432">
        <f t="shared" si="3"/>
        <v>28.156249999999979</v>
      </c>
      <c r="Z18" s="436">
        <v>4.6484374999999967E-2</v>
      </c>
      <c r="AA18" s="457">
        <v>14</v>
      </c>
      <c r="AB18" s="457">
        <f>+SUMIFS(F:F,C:$C,S18,$A:$A,Q18)</f>
        <v>53</v>
      </c>
      <c r="AC18" s="458">
        <f t="shared" si="4"/>
        <v>160</v>
      </c>
      <c r="AD18" s="458">
        <f t="shared" si="5"/>
        <v>394.18749999999972</v>
      </c>
    </row>
    <row r="19" spans="17:30" s="434" customFormat="1" ht="18.75" x14ac:dyDescent="0.25">
      <c r="Q19" s="455" t="s">
        <v>86</v>
      </c>
      <c r="R19" s="456" t="s">
        <v>702</v>
      </c>
      <c r="S19" s="66">
        <v>544</v>
      </c>
      <c r="T19" s="66" t="s">
        <v>474</v>
      </c>
      <c r="U19" s="440" t="s">
        <v>727</v>
      </c>
      <c r="V19" s="437" t="s">
        <v>725</v>
      </c>
      <c r="W19" s="432">
        <f t="shared" si="3"/>
        <v>13.249999999999995</v>
      </c>
      <c r="Z19" s="436">
        <v>1.5624999999999993E-2</v>
      </c>
      <c r="AA19" s="457">
        <v>10</v>
      </c>
      <c r="AB19" s="457">
        <f>+SUMIFS(F:F,C:$C,S19,$A:$A,Q19)</f>
        <v>53</v>
      </c>
      <c r="AC19" s="458">
        <f t="shared" si="4"/>
        <v>160</v>
      </c>
      <c r="AD19" s="458">
        <f t="shared" si="5"/>
        <v>132.49999999999994</v>
      </c>
    </row>
    <row r="20" spans="17:30" ht="18.600000000000001" customHeight="1" x14ac:dyDescent="0.25">
      <c r="Q20" s="455" t="s">
        <v>86</v>
      </c>
      <c r="R20" s="456" t="s">
        <v>28</v>
      </c>
      <c r="S20" s="66">
        <v>506</v>
      </c>
      <c r="T20" s="66" t="s">
        <v>29</v>
      </c>
      <c r="U20" s="438" t="s">
        <v>718</v>
      </c>
      <c r="V20" s="429" t="s">
        <v>719</v>
      </c>
      <c r="W20" s="432">
        <f t="shared" si="3"/>
        <v>19.023690205011388</v>
      </c>
      <c r="Z20" s="436">
        <v>1.7959999999999997E-2</v>
      </c>
      <c r="AA20" s="457">
        <v>30</v>
      </c>
      <c r="AB20" s="457">
        <f>+SUMIFS(F:F,C:$C,S20,$A:$A,Q20)</f>
        <v>23.25</v>
      </c>
      <c r="AC20" s="458">
        <f t="shared" si="4"/>
        <v>1366.7425968109339</v>
      </c>
      <c r="AD20" s="458">
        <f t="shared" si="5"/>
        <v>570.71070615034159</v>
      </c>
    </row>
    <row r="21" spans="17:30" ht="18.600000000000001" customHeight="1" x14ac:dyDescent="0.25">
      <c r="Q21" s="455" t="s">
        <v>86</v>
      </c>
      <c r="R21" s="456" t="s">
        <v>28</v>
      </c>
      <c r="S21" s="66">
        <v>506</v>
      </c>
      <c r="T21" s="66" t="s">
        <v>29</v>
      </c>
      <c r="U21" s="438" t="s">
        <v>711</v>
      </c>
      <c r="V21" s="429" t="s">
        <v>712</v>
      </c>
      <c r="W21" s="432">
        <f t="shared" si="3"/>
        <v>3.7390660592255123</v>
      </c>
      <c r="Z21" s="436">
        <v>3.5299999999999997E-3</v>
      </c>
      <c r="AA21" s="457">
        <v>30</v>
      </c>
      <c r="AB21" s="457">
        <f>+SUMIFS(F:F,C:$C,S21,$A:$A,Q21)</f>
        <v>23.25</v>
      </c>
      <c r="AC21" s="458">
        <f t="shared" si="4"/>
        <v>1366.7425968109339</v>
      </c>
      <c r="AD21" s="458">
        <f t="shared" si="5"/>
        <v>112.17198177676536</v>
      </c>
    </row>
    <row r="22" spans="17:30" ht="18.600000000000001" customHeight="1" thickBot="1" x14ac:dyDescent="0.3">
      <c r="Q22" s="462" t="s">
        <v>707</v>
      </c>
      <c r="R22" s="463" t="s">
        <v>444</v>
      </c>
      <c r="S22" s="327" t="s">
        <v>457</v>
      </c>
      <c r="T22" s="327" t="s">
        <v>445</v>
      </c>
      <c r="U22" s="459"/>
      <c r="V22" s="460"/>
      <c r="W22" s="432" t="e">
        <f t="shared" si="3"/>
        <v>#DIV/0!</v>
      </c>
      <c r="Z22" s="461"/>
      <c r="AA22" s="461"/>
      <c r="AB22" s="457">
        <f>+SUMIFS(F:F,C:$C,S22,$A:$A,Q22)</f>
        <v>15</v>
      </c>
      <c r="AC22" s="458">
        <f t="shared" si="4"/>
        <v>9224</v>
      </c>
      <c r="AD22" s="458">
        <f t="shared" si="5"/>
        <v>0</v>
      </c>
    </row>
    <row r="23" spans="17:30" ht="18.600000000000001" customHeight="1" x14ac:dyDescent="0.25"/>
    <row r="24" spans="17:30" ht="18.600000000000001" customHeight="1" x14ac:dyDescent="0.25"/>
    <row r="25" spans="17:30" ht="18.600000000000001" customHeight="1" x14ac:dyDescent="0.25"/>
    <row r="26" spans="17:30" ht="18.600000000000001" customHeight="1" x14ac:dyDescent="0.25"/>
    <row r="27" spans="17:30" ht="18.600000000000001" customHeight="1" x14ac:dyDescent="0.25"/>
    <row r="28" spans="17:30" ht="18.600000000000001" customHeight="1" x14ac:dyDescent="0.25"/>
    <row r="29" spans="17:30" ht="18.600000000000001" customHeight="1" x14ac:dyDescent="0.25"/>
    <row r="30" spans="17:30" ht="18.600000000000001" customHeight="1" x14ac:dyDescent="0.25"/>
    <row r="31" spans="17:30" ht="18.600000000000001" customHeight="1" x14ac:dyDescent="0.25"/>
    <row r="32" spans="17:30" ht="18.600000000000001" customHeight="1" x14ac:dyDescent="0.25"/>
    <row r="33" ht="18.600000000000001" customHeight="1" x14ac:dyDescent="0.25"/>
    <row r="34" ht="18.600000000000001" customHeight="1" x14ac:dyDescent="0.25"/>
    <row r="35" ht="18.600000000000001" customHeight="1" x14ac:dyDescent="0.25"/>
  </sheetData>
  <autoFilter ref="A6:O15" xr:uid="{00000000-0009-0000-0000-000018000000}"/>
  <mergeCells count="6">
    <mergeCell ref="Z5:AD5"/>
    <mergeCell ref="A3:F3"/>
    <mergeCell ref="I5:O5"/>
    <mergeCell ref="A4:C4"/>
    <mergeCell ref="A5:C5"/>
    <mergeCell ref="Q5:W5"/>
  </mergeCells>
  <printOptions horizontalCentered="1" verticalCentered="1"/>
  <pageMargins left="0.23622047244094491" right="0.23622047244094491" top="0.15748031496062992" bottom="7.874015748031496E-2" header="0" footer="0"/>
  <pageSetup paperSize="9" scale="32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AE31"/>
  <sheetViews>
    <sheetView zoomScale="70" zoomScaleNormal="70" workbookViewId="0">
      <selection activeCell="C34" sqref="C34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hidden="1" customWidth="1"/>
    <col min="5" max="5" width="9.140625" hidden="1" customWidth="1"/>
    <col min="6" max="6" width="8.28515625" hidden="1" customWidth="1"/>
    <col min="7" max="7" width="10.42578125" hidden="1" customWidth="1"/>
    <col min="8" max="8" width="8.42578125" hidden="1" customWidth="1"/>
    <col min="9" max="9" width="8.7109375" hidden="1" customWidth="1"/>
    <col min="10" max="10" width="9.28515625" hidden="1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v>45904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0</v>
      </c>
      <c r="G7" s="111" t="s">
        <v>15</v>
      </c>
      <c r="H7" s="73">
        <v>0</v>
      </c>
      <c r="I7" s="72">
        <f t="shared" ref="I7:I23" si="0">H7*W7</f>
        <v>0</v>
      </c>
      <c r="J7" s="72">
        <f t="shared" ref="J7:J23" si="1">+I7/Y7</f>
        <v>0</v>
      </c>
      <c r="K7" s="72">
        <f t="shared" ref="K7:K23" si="2">IF(V7-H7&lt;0,0,V7-H7)</f>
        <v>5</v>
      </c>
      <c r="L7" s="75">
        <f t="shared" ref="L7:L23" si="3">+IF(X7-J7&lt;0,"",X7-J7)</f>
        <v>4552.3520485584222</v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</v>
      </c>
      <c r="G9" s="112" t="s">
        <v>28</v>
      </c>
      <c r="H9" s="327">
        <v>0</v>
      </c>
      <c r="I9" s="117">
        <f>H9*W9</f>
        <v>0</v>
      </c>
      <c r="J9" s="117">
        <f>+I9/Y9</f>
        <v>0</v>
      </c>
      <c r="K9" s="117">
        <f>IF(V9-H9&lt;0,0,(V9-H9)*1/4)</f>
        <v>9</v>
      </c>
      <c r="L9" s="328">
        <f>+IF(X9-J9&lt;0,"",X9-J9)</f>
        <v>49202.733485193625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0.30000000000000004</v>
      </c>
      <c r="G15" s="106" t="s">
        <v>24</v>
      </c>
      <c r="H15" s="66">
        <v>3</v>
      </c>
      <c r="I15" s="67">
        <f t="shared" si="0"/>
        <v>5.4</v>
      </c>
      <c r="J15" s="67">
        <f t="shared" ref="J15:J16" si="7">H15*AA15</f>
        <v>2160</v>
      </c>
      <c r="K15" s="67">
        <f t="shared" si="2"/>
        <v>7</v>
      </c>
      <c r="L15" s="77">
        <f t="shared" si="3"/>
        <v>5040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</v>
      </c>
      <c r="G22" s="111" t="s">
        <v>30</v>
      </c>
      <c r="H22" s="73">
        <v>0</v>
      </c>
      <c r="I22" s="72">
        <f t="shared" si="0"/>
        <v>0</v>
      </c>
      <c r="J22" s="72">
        <f t="shared" si="1"/>
        <v>0</v>
      </c>
      <c r="K22" s="72">
        <f t="shared" si="2"/>
        <v>4</v>
      </c>
      <c r="L22" s="75">
        <f t="shared" si="3"/>
        <v>5454.545454545455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68"/>
      <c r="E23" s="68"/>
      <c r="F23" s="68">
        <f>+I23/(V23*W23)</f>
        <v>0.57407407407407407</v>
      </c>
      <c r="G23" s="106" t="s">
        <v>702</v>
      </c>
      <c r="H23" s="66">
        <v>31</v>
      </c>
      <c r="I23" s="67">
        <f t="shared" si="0"/>
        <v>486.08</v>
      </c>
      <c r="J23" s="67">
        <f t="shared" si="1"/>
        <v>4960</v>
      </c>
      <c r="K23" s="67">
        <f t="shared" si="2"/>
        <v>23</v>
      </c>
      <c r="L23" s="77">
        <f t="shared" si="3"/>
        <v>3680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329"/>
      <c r="E24" s="329"/>
      <c r="F24" s="329">
        <f>+I24/(V24*W24)</f>
        <v>0</v>
      </c>
      <c r="G24" s="112" t="s">
        <v>28</v>
      </c>
      <c r="H24" s="327">
        <v>0</v>
      </c>
      <c r="I24" s="117">
        <f>H24*W24</f>
        <v>0</v>
      </c>
      <c r="J24" s="117">
        <f>+I24/Y24</f>
        <v>0</v>
      </c>
      <c r="K24" s="117">
        <f>IF(V24-H24&lt;0,0,(V24-H24)*3/4)</f>
        <v>27</v>
      </c>
      <c r="L24" s="328">
        <f>+IF(X24-J24&lt;0,"",X24-J24)</f>
        <v>49202.733485193625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117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8.0417300586828926</v>
      </c>
      <c r="G29" s="231" t="s">
        <v>444</v>
      </c>
      <c r="H29" s="234">
        <v>5</v>
      </c>
      <c r="I29" s="235">
        <f>+H29*X29</f>
        <v>100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11 (2)'!G29)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120" fitToHeight="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  <pageSetUpPr fitToPage="1"/>
  </sheetPr>
  <dimension ref="A1:AE31"/>
  <sheetViews>
    <sheetView topLeftCell="A13" zoomScale="70" zoomScaleNormal="70" workbookViewId="0">
      <selection activeCell="AJ16" sqref="AJ16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customWidth="1"/>
    <col min="5" max="5" width="9.140625" style="403" customWidth="1"/>
    <col min="6" max="6" width="8.28515625" customWidth="1"/>
    <col min="7" max="7" width="10.42578125" customWidth="1"/>
    <col min="8" max="8" width="8.42578125" customWidth="1"/>
    <col min="9" max="10" width="8.7109375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413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414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415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416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17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21" x14ac:dyDescent="0.35">
      <c r="B7" s="70">
        <v>500</v>
      </c>
      <c r="C7" s="71" t="s">
        <v>16</v>
      </c>
      <c r="D7" s="74"/>
      <c r="E7" s="420">
        <v>2</v>
      </c>
      <c r="F7" s="74">
        <f>+I7/(V7*W7)</f>
        <v>0.6</v>
      </c>
      <c r="G7" s="111" t="s">
        <v>15</v>
      </c>
      <c r="H7" s="73">
        <v>3</v>
      </c>
      <c r="I7" s="72">
        <f t="shared" ref="I7:I23" si="0">H7*W7</f>
        <v>90</v>
      </c>
      <c r="J7" s="72">
        <f t="shared" ref="J7:J23" si="1">+I7/Y7</f>
        <v>2731.411229135053</v>
      </c>
      <c r="K7" s="72">
        <f t="shared" ref="K7:K23" si="2">IF(V7-H7&lt;0,0,V7-H7)</f>
        <v>2</v>
      </c>
      <c r="L7" s="75">
        <f t="shared" ref="L7:L23" si="3">+IF(X7-J7&lt;0,"",X7-J7)</f>
        <v>1820.9408194233692</v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21" x14ac:dyDescent="0.35">
      <c r="B8" s="76">
        <v>706</v>
      </c>
      <c r="C8" s="69" t="s">
        <v>18</v>
      </c>
      <c r="D8" s="68"/>
      <c r="E8" s="421">
        <v>12</v>
      </c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75" thickBot="1" x14ac:dyDescent="0.4">
      <c r="B9" s="78">
        <v>506</v>
      </c>
      <c r="C9" s="79" t="s">
        <v>29</v>
      </c>
      <c r="D9" s="329"/>
      <c r="E9" s="422">
        <v>7</v>
      </c>
      <c r="F9" s="329">
        <f>+I9/(V9*W9)</f>
        <v>0.19444444444444445</v>
      </c>
      <c r="G9" s="112" t="s">
        <v>28</v>
      </c>
      <c r="H9" s="327">
        <v>7</v>
      </c>
      <c r="I9" s="117">
        <f>H9*W9</f>
        <v>210</v>
      </c>
      <c r="J9" s="117">
        <f>+I9/Y9</f>
        <v>9567.1981776765369</v>
      </c>
      <c r="K9" s="117">
        <f>IF(V9-H9&lt;0,0,(V9-H9)*1/4)</f>
        <v>7.25</v>
      </c>
      <c r="L9" s="328">
        <f>+IF(X9-J9&lt;0,"",X9-J9)</f>
        <v>39635.535307517086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415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416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418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21" x14ac:dyDescent="0.35">
      <c r="B14" s="70">
        <v>654</v>
      </c>
      <c r="C14" s="71" t="s">
        <v>23</v>
      </c>
      <c r="D14" s="74"/>
      <c r="E14" s="420">
        <v>5</v>
      </c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21" x14ac:dyDescent="0.35">
      <c r="B15" s="76">
        <v>558</v>
      </c>
      <c r="C15" s="69" t="s">
        <v>25</v>
      </c>
      <c r="D15" s="68"/>
      <c r="E15" s="421">
        <v>10</v>
      </c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4">
      <c r="B16" s="78">
        <v>557</v>
      </c>
      <c r="C16" s="79" t="s">
        <v>27</v>
      </c>
      <c r="D16" s="329"/>
      <c r="E16" s="422">
        <v>1</v>
      </c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415"/>
      <c r="F19" s="163"/>
    </row>
    <row r="20" spans="1:31" ht="117" thickBot="1" x14ac:dyDescent="0.35">
      <c r="C20" s="161" t="s">
        <v>86</v>
      </c>
      <c r="D20" s="162" t="s">
        <v>1</v>
      </c>
      <c r="E20" s="416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17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21" x14ac:dyDescent="0.35">
      <c r="B22" s="70">
        <v>510</v>
      </c>
      <c r="C22" s="71" t="s">
        <v>31</v>
      </c>
      <c r="D22" s="74"/>
      <c r="E22" s="420"/>
      <c r="F22" s="74">
        <f>+I22/(V22*W22)</f>
        <v>1</v>
      </c>
      <c r="G22" s="111" t="s">
        <v>30</v>
      </c>
      <c r="H22" s="73">
        <v>4</v>
      </c>
      <c r="I22" s="72">
        <f t="shared" si="0"/>
        <v>120</v>
      </c>
      <c r="J22" s="72">
        <f t="shared" si="1"/>
        <v>5454.545454545455</v>
      </c>
      <c r="K22" s="72">
        <f t="shared" si="2"/>
        <v>0</v>
      </c>
      <c r="L22" s="75">
        <f t="shared" si="3"/>
        <v>0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21.75" thickBot="1" x14ac:dyDescent="0.4">
      <c r="B23" s="76">
        <v>544</v>
      </c>
      <c r="C23" s="69" t="s">
        <v>474</v>
      </c>
      <c r="D23" s="168"/>
      <c r="E23" s="421">
        <v>23</v>
      </c>
      <c r="F23" s="68">
        <f>+I23/(V23*W23)</f>
        <v>0.57407407407407407</v>
      </c>
      <c r="G23" s="106" t="s">
        <v>702</v>
      </c>
      <c r="H23" s="66">
        <v>31</v>
      </c>
      <c r="I23" s="67">
        <f t="shared" si="0"/>
        <v>486.08</v>
      </c>
      <c r="J23" s="67">
        <f t="shared" si="1"/>
        <v>4960</v>
      </c>
      <c r="K23" s="67">
        <f t="shared" si="2"/>
        <v>23</v>
      </c>
      <c r="L23" s="77">
        <f t="shared" si="3"/>
        <v>3680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4">
      <c r="B24" s="78">
        <v>506</v>
      </c>
      <c r="C24" s="79" t="s">
        <v>29</v>
      </c>
      <c r="D24" s="408"/>
      <c r="E24" s="422">
        <v>22</v>
      </c>
      <c r="F24" s="329">
        <f>+I24/(V24*W24)</f>
        <v>0.19444444444444445</v>
      </c>
      <c r="G24" s="112" t="s">
        <v>28</v>
      </c>
      <c r="H24" s="327">
        <v>7</v>
      </c>
      <c r="I24" s="117">
        <f>H24*W24</f>
        <v>210</v>
      </c>
      <c r="J24" s="117">
        <f>+I24/Y24</f>
        <v>9567.1981776765369</v>
      </c>
      <c r="K24" s="117">
        <f>IF(V24-H24&lt;0,0,(V24-H24)*3/4)</f>
        <v>21.75</v>
      </c>
      <c r="L24" s="328">
        <f>+IF(X24-J24&lt;0,"",X24-J24)</f>
        <v>39635.535307517086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415"/>
      <c r="F26" s="163"/>
    </row>
    <row r="27" spans="1:31" ht="117" thickBot="1" x14ac:dyDescent="0.35">
      <c r="C27" s="216" t="s">
        <v>446</v>
      </c>
      <c r="D27" s="162" t="s">
        <v>1</v>
      </c>
      <c r="E27" s="4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17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410"/>
      <c r="F29" s="233">
        <f>+I29/(X29*Z29)</f>
        <v>4.8250380352097357</v>
      </c>
      <c r="G29" s="231" t="s">
        <v>444</v>
      </c>
      <c r="H29" s="234">
        <v>3</v>
      </c>
      <c r="I29" s="235">
        <f>+H29*X29</f>
        <v>60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10-07-25'!G29)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1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42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FF00"/>
    <pageSetUpPr fitToPage="1"/>
  </sheetPr>
  <dimension ref="A1:AE31"/>
  <sheetViews>
    <sheetView zoomScale="70" zoomScaleNormal="70" workbookViewId="0">
      <selection activeCell="H30" sqref="H30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customWidth="1"/>
    <col min="5" max="5" width="9.140625" customWidth="1"/>
    <col min="6" max="6" width="8.28515625" customWidth="1"/>
    <col min="7" max="7" width="10.42578125" customWidth="1"/>
    <col min="8" max="8" width="8.42578125" customWidth="1"/>
    <col min="9" max="10" width="8.7109375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0.6</v>
      </c>
      <c r="G7" s="111" t="s">
        <v>15</v>
      </c>
      <c r="H7" s="73">
        <v>3</v>
      </c>
      <c r="I7" s="72">
        <f t="shared" ref="I7:I22" si="0">H7*W7</f>
        <v>90</v>
      </c>
      <c r="J7" s="72">
        <f t="shared" ref="J7:J22" si="1">+I7/Y7</f>
        <v>2731.411229135053</v>
      </c>
      <c r="K7" s="72">
        <f t="shared" ref="K7:K22" si="2">IF(V7-H7&lt;0,0,V7-H7)</f>
        <v>2</v>
      </c>
      <c r="L7" s="75">
        <f t="shared" ref="L7:L22" si="3">+IF(X7-J7&lt;0,"",X7-J7)</f>
        <v>1820.9408194233692</v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0.27777777777777779</v>
      </c>
      <c r="G9" s="112" t="s">
        <v>28</v>
      </c>
      <c r="H9" s="327">
        <v>10</v>
      </c>
      <c r="I9" s="117">
        <f>H9*W9</f>
        <v>300</v>
      </c>
      <c r="J9" s="117">
        <f>+I9/Y9</f>
        <v>13667.425968109339</v>
      </c>
      <c r="K9" s="117">
        <f>IF(V9-H9&lt;0,0,(V9-H9)*1/4)</f>
        <v>6.5</v>
      </c>
      <c r="L9" s="328">
        <f>+IF(X9-J9&lt;0,"",X9-J9)</f>
        <v>35535.307517084286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2</v>
      </c>
      <c r="G22" s="111" t="s">
        <v>30</v>
      </c>
      <c r="H22" s="73">
        <v>8</v>
      </c>
      <c r="I22" s="72">
        <f t="shared" si="0"/>
        <v>240</v>
      </c>
      <c r="J22" s="72">
        <f t="shared" si="1"/>
        <v>10909.09090909091</v>
      </c>
      <c r="K22" s="72">
        <f t="shared" si="2"/>
        <v>0</v>
      </c>
      <c r="L22" s="75" t="str">
        <f t="shared" si="3"/>
        <v/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68"/>
      <c r="E23" s="68"/>
      <c r="F23" s="68">
        <f>+I23/(V23*W23)</f>
        <v>0.57407407407407407</v>
      </c>
      <c r="G23" s="106" t="s">
        <v>702</v>
      </c>
      <c r="H23" s="66">
        <v>31</v>
      </c>
      <c r="I23" s="67">
        <f t="shared" ref="I23" si="9">H23*W23</f>
        <v>486.08</v>
      </c>
      <c r="J23" s="67">
        <f t="shared" ref="J23" si="10">+I23/Y23</f>
        <v>4960</v>
      </c>
      <c r="K23" s="67">
        <f t="shared" ref="K23" si="11">IF(V23-H23&lt;0,0,V23-H23)</f>
        <v>23</v>
      </c>
      <c r="L23" s="77">
        <f t="shared" ref="L23" si="12">+IF(X23-J23&lt;0,"",X23-J23)</f>
        <v>3680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329"/>
      <c r="E24" s="329"/>
      <c r="F24" s="329">
        <f>+I24/(V24*W24)</f>
        <v>0</v>
      </c>
      <c r="G24" s="112" t="s">
        <v>28</v>
      </c>
      <c r="H24" s="327">
        <v>0</v>
      </c>
      <c r="I24" s="117">
        <f>H24*W24</f>
        <v>0</v>
      </c>
      <c r="J24" s="117">
        <f>+I24/Y24</f>
        <v>0</v>
      </c>
      <c r="K24" s="117">
        <f>IF(V24-H24&lt;0,0,(V24-H24)*3/4)</f>
        <v>27</v>
      </c>
      <c r="L24" s="328">
        <f>+IF(X24-J24&lt;0,"",X24-J24)</f>
        <v>49202.733485193625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117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11.25842208215605</v>
      </c>
      <c r="G29" s="231" t="s">
        <v>444</v>
      </c>
      <c r="H29" s="234">
        <v>7</v>
      </c>
      <c r="I29" s="235">
        <f>+H29*X29</f>
        <v>140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18-06-25'!G29)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93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FF00"/>
    <pageSetUpPr fitToPage="1"/>
  </sheetPr>
  <dimension ref="A1:AE31"/>
  <sheetViews>
    <sheetView topLeftCell="A7" zoomScale="70" zoomScaleNormal="70" workbookViewId="0">
      <selection activeCell="L23" sqref="L23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customWidth="1"/>
    <col min="5" max="5" width="9.140625" customWidth="1"/>
    <col min="6" max="6" width="8.28515625" customWidth="1"/>
    <col min="7" max="7" width="10.42578125" customWidth="1"/>
    <col min="8" max="8" width="8.42578125" customWidth="1"/>
    <col min="9" max="9" width="8.7109375" customWidth="1"/>
    <col min="10" max="10" width="11.7109375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0</v>
      </c>
      <c r="G7" s="111" t="s">
        <v>15</v>
      </c>
      <c r="H7" s="73">
        <v>0</v>
      </c>
      <c r="I7" s="72">
        <f t="shared" ref="I7:I23" si="0">H7*W7</f>
        <v>0</v>
      </c>
      <c r="J7" s="72">
        <f t="shared" ref="J7:J23" si="1">+I7/Y7</f>
        <v>0</v>
      </c>
      <c r="K7" s="72">
        <f t="shared" ref="K7:K23" si="2">IF(V7-H7&lt;0,0,V7-H7)</f>
        <v>5</v>
      </c>
      <c r="L7" s="75">
        <f t="shared" ref="L7:L23" si="3">+IF(X7-J7&lt;0,"",X7-J7)</f>
        <v>4552.3520485584222</v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0.25</v>
      </c>
      <c r="G8" s="106" t="s">
        <v>17</v>
      </c>
      <c r="H8" s="66">
        <v>3</v>
      </c>
      <c r="I8" s="67">
        <f t="shared" si="0"/>
        <v>90</v>
      </c>
      <c r="J8" s="67">
        <f t="shared" si="1"/>
        <v>4100.2277904328021</v>
      </c>
      <c r="K8" s="67">
        <f t="shared" si="2"/>
        <v>9</v>
      </c>
      <c r="L8" s="77">
        <f t="shared" si="3"/>
        <v>12300.683371298406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0.30555555555555558</v>
      </c>
      <c r="G9" s="112" t="s">
        <v>28</v>
      </c>
      <c r="H9" s="327">
        <v>11</v>
      </c>
      <c r="I9" s="117">
        <f>H9*W9</f>
        <v>330</v>
      </c>
      <c r="J9" s="117">
        <f>+I9/Y9</f>
        <v>15034.168564920274</v>
      </c>
      <c r="K9" s="117">
        <f>IF(V9-H9&lt;0,0,(V9-H9)*1/4)</f>
        <v>6.25</v>
      </c>
      <c r="L9" s="328">
        <f>+IF(X9-J9&lt;0,"",X9-J9)</f>
        <v>34168.564920273348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0.5</v>
      </c>
      <c r="G22" s="111" t="s">
        <v>30</v>
      </c>
      <c r="H22" s="73">
        <v>2</v>
      </c>
      <c r="I22" s="72">
        <f t="shared" si="0"/>
        <v>60</v>
      </c>
      <c r="J22" s="72">
        <f t="shared" si="1"/>
        <v>2727.2727272727275</v>
      </c>
      <c r="K22" s="72">
        <f t="shared" si="2"/>
        <v>2</v>
      </c>
      <c r="L22" s="75">
        <f t="shared" si="3"/>
        <v>2727.2727272727275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68"/>
      <c r="E23" s="68"/>
      <c r="F23" s="68">
        <f>+I23/(V23*W23)</f>
        <v>0</v>
      </c>
      <c r="G23" s="106" t="s">
        <v>702</v>
      </c>
      <c r="H23" s="66">
        <v>0</v>
      </c>
      <c r="I23" s="67">
        <f t="shared" si="0"/>
        <v>0</v>
      </c>
      <c r="J23" s="67">
        <f t="shared" si="1"/>
        <v>0</v>
      </c>
      <c r="K23" s="67">
        <f t="shared" si="2"/>
        <v>54</v>
      </c>
      <c r="L23" s="77">
        <f t="shared" si="3"/>
        <v>8640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329"/>
      <c r="E24" s="329"/>
      <c r="F24" s="329">
        <f>+I24/(V24*W24)</f>
        <v>0</v>
      </c>
      <c r="G24" s="112" t="s">
        <v>28</v>
      </c>
      <c r="H24" s="327"/>
      <c r="I24" s="117">
        <f>H24*W24</f>
        <v>0</v>
      </c>
      <c r="J24" s="117">
        <f>+I24/Y24</f>
        <v>0</v>
      </c>
      <c r="K24" s="117">
        <f>IF(V24-H24&lt;0,0,(V24-H24)*3/4)</f>
        <v>27</v>
      </c>
      <c r="L24" s="328">
        <f>+IF(X24-J24&lt;0,"",X24-J24)</f>
        <v>49202.733485193625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117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11.25842208215605</v>
      </c>
      <c r="G29" s="231" t="s">
        <v>444</v>
      </c>
      <c r="H29" s="234">
        <v>7</v>
      </c>
      <c r="I29" s="235">
        <f>+H29*X29</f>
        <v>140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29-05'!G29)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93" fitToHeight="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FF00"/>
    <pageSetUpPr fitToPage="1"/>
  </sheetPr>
  <dimension ref="A1:AE31"/>
  <sheetViews>
    <sheetView zoomScale="70" zoomScaleNormal="70" workbookViewId="0">
      <selection activeCell="C13" sqref="C13:C15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2.28515625" style="403" customWidth="1"/>
    <col min="5" max="5" width="9.140625" style="403" customWidth="1"/>
    <col min="6" max="6" width="8.28515625" customWidth="1"/>
    <col min="7" max="7" width="10.42578125" customWidth="1"/>
    <col min="8" max="8" width="8.42578125" customWidth="1"/>
    <col min="9" max="9" width="8.7109375" customWidth="1"/>
    <col min="10" max="10" width="9.85546875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402"/>
      <c r="E1" s="402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42">
        <f ca="1">+TODAY()</f>
        <v>46101</v>
      </c>
      <c r="E2" s="411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404"/>
      <c r="E4" s="404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405" t="s">
        <v>1</v>
      </c>
      <c r="E5" s="405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06" t="s">
        <v>68</v>
      </c>
      <c r="E6" s="406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407">
        <v>5</v>
      </c>
      <c r="E7" s="407"/>
      <c r="F7" s="74">
        <f>+I7/(V7*W7)</f>
        <v>0</v>
      </c>
      <c r="G7" s="111" t="s">
        <v>15</v>
      </c>
      <c r="H7" s="73">
        <v>0</v>
      </c>
      <c r="I7" s="72">
        <f t="shared" ref="I7:I23" si="0">H7*W7</f>
        <v>0</v>
      </c>
      <c r="J7" s="72">
        <f t="shared" ref="J7:J23" si="1">+I7/Y7</f>
        <v>0</v>
      </c>
      <c r="K7" s="72">
        <f t="shared" ref="K7:K23" si="2">IF(V7-H7&lt;0,0,V7-H7)</f>
        <v>5</v>
      </c>
      <c r="L7" s="75">
        <f>+IF(X7-J7&lt;0,"",X7-J7)</f>
        <v>4552.3520485584222</v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168">
        <v>9</v>
      </c>
      <c r="E8" s="168"/>
      <c r="F8" s="68">
        <f>+I8/(V8*W8)</f>
        <v>0.25</v>
      </c>
      <c r="G8" s="106" t="s">
        <v>17</v>
      </c>
      <c r="H8" s="66">
        <v>3</v>
      </c>
      <c r="I8" s="67">
        <f t="shared" si="0"/>
        <v>90</v>
      </c>
      <c r="J8" s="67">
        <f t="shared" si="1"/>
        <v>4100.2277904328021</v>
      </c>
      <c r="K8" s="67">
        <f t="shared" si="2"/>
        <v>9</v>
      </c>
      <c r="L8" s="77">
        <f t="shared" ref="L8:L23" si="3">+IF(X8-J8&lt;0,"",X8-J8)</f>
        <v>12300.683371298406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408"/>
      <c r="E9" s="408"/>
      <c r="F9" s="329">
        <f>+I9/(V9*W9)</f>
        <v>0.69444444444444442</v>
      </c>
      <c r="G9" s="112" t="s">
        <v>28</v>
      </c>
      <c r="H9" s="327">
        <v>25</v>
      </c>
      <c r="I9" s="117">
        <f>H9*W9</f>
        <v>750</v>
      </c>
      <c r="J9" s="117">
        <f>+I9/Y9</f>
        <v>34168.564920273348</v>
      </c>
      <c r="K9" s="117">
        <f>IF(V9-H9&lt;0,0,(V9-H9)*1/4)</f>
        <v>2.75</v>
      </c>
      <c r="L9" s="328">
        <f>+IF(X9-J9&lt;0,"",X9-J9)</f>
        <v>15034.168564920277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404"/>
      <c r="E11" s="404"/>
      <c r="F11" s="163"/>
      <c r="G11" s="163"/>
      <c r="L11"/>
    </row>
    <row r="12" spans="2:31" ht="117" thickBot="1" x14ac:dyDescent="0.35">
      <c r="C12" s="161" t="s">
        <v>53</v>
      </c>
      <c r="D12" s="405" t="s">
        <v>1</v>
      </c>
      <c r="E12" s="405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409" t="s">
        <v>59</v>
      </c>
      <c r="E13" s="409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407">
        <v>3600</v>
      </c>
      <c r="E14" s="407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168">
        <v>7200</v>
      </c>
      <c r="E15" s="1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408">
        <v>720</v>
      </c>
      <c r="E16" s="408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404"/>
      <c r="E19" s="404"/>
      <c r="F19" s="163"/>
    </row>
    <row r="20" spans="1:31" ht="117" thickBot="1" x14ac:dyDescent="0.35">
      <c r="C20" s="161" t="s">
        <v>86</v>
      </c>
      <c r="D20" s="405" t="s">
        <v>1</v>
      </c>
      <c r="E20" s="405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06" t="s">
        <v>59</v>
      </c>
      <c r="E21" s="406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407"/>
      <c r="E22" s="407"/>
      <c r="F22" s="74">
        <f>+I22/(V22*W22)</f>
        <v>0</v>
      </c>
      <c r="G22" s="111" t="s">
        <v>30</v>
      </c>
      <c r="H22" s="73">
        <v>0</v>
      </c>
      <c r="I22" s="72">
        <f t="shared" si="0"/>
        <v>0</v>
      </c>
      <c r="J22" s="72">
        <f t="shared" si="1"/>
        <v>0</v>
      </c>
      <c r="K22" s="72">
        <f t="shared" si="2"/>
        <v>4</v>
      </c>
      <c r="L22" s="75">
        <f t="shared" si="3"/>
        <v>5454.545454545455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168"/>
      <c r="E23" s="168"/>
      <c r="F23" s="68">
        <f>+I23/(V23*W23)</f>
        <v>0.25925925925925924</v>
      </c>
      <c r="G23" s="106" t="s">
        <v>702</v>
      </c>
      <c r="H23" s="66">
        <v>14</v>
      </c>
      <c r="I23" s="67">
        <f t="shared" si="0"/>
        <v>219.51999999999998</v>
      </c>
      <c r="J23" s="67">
        <f t="shared" si="1"/>
        <v>2239.9999999999995</v>
      </c>
      <c r="K23" s="67">
        <f t="shared" si="2"/>
        <v>40</v>
      </c>
      <c r="L23" s="77">
        <f t="shared" si="3"/>
        <v>6400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408"/>
      <c r="E24" s="408"/>
      <c r="F24" s="329">
        <f>+I24/(V24*W24)</f>
        <v>0</v>
      </c>
      <c r="G24" s="112" t="s">
        <v>28</v>
      </c>
      <c r="H24" s="327">
        <v>0</v>
      </c>
      <c r="I24" s="117">
        <f>H24*W24</f>
        <v>0</v>
      </c>
      <c r="J24" s="117">
        <f>+I24/Y24</f>
        <v>0</v>
      </c>
      <c r="K24" s="117">
        <f>IF(V24-H24&lt;0,0,(V24-H24))</f>
        <v>36</v>
      </c>
      <c r="L24" s="328">
        <f>+IF(X24-J24&lt;0,"",X24-J24)</f>
        <v>49202.733485193625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404"/>
      <c r="E26" s="404"/>
      <c r="F26" s="163"/>
    </row>
    <row r="27" spans="1:31" ht="117" thickBot="1" x14ac:dyDescent="0.35">
      <c r="C27" s="216" t="s">
        <v>446</v>
      </c>
      <c r="D27" s="405" t="s">
        <v>1</v>
      </c>
      <c r="E27" s="412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06" t="s">
        <v>442</v>
      </c>
      <c r="E28" s="406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410"/>
      <c r="E29" s="410"/>
      <c r="F29" s="233">
        <f>+I29/(X29*Z29)</f>
        <v>12.866768093892629</v>
      </c>
      <c r="G29" s="231" t="s">
        <v>444</v>
      </c>
      <c r="H29" s="234">
        <v>8</v>
      </c>
      <c r="I29" s="235">
        <f>+H29*X29</f>
        <v>160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23-05'!G29)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168"/>
      <c r="E31" s="1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93" fitToHeight="0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FF00"/>
    <pageSetUpPr fitToPage="1"/>
  </sheetPr>
  <dimension ref="A1:AE31"/>
  <sheetViews>
    <sheetView topLeftCell="A19" zoomScale="70" zoomScaleNormal="70" workbookViewId="0">
      <selection activeCell="H30" sqref="H30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customWidth="1"/>
    <col min="5" max="5" width="9.140625" customWidth="1"/>
    <col min="6" max="6" width="8.28515625" customWidth="1"/>
    <col min="7" max="7" width="10.42578125" customWidth="1"/>
    <col min="8" max="8" width="8.42578125" customWidth="1"/>
    <col min="9" max="9" width="8.7109375" customWidth="1"/>
    <col min="10" max="10" width="11.42578125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0</v>
      </c>
      <c r="G7" s="111" t="s">
        <v>15</v>
      </c>
      <c r="H7" s="73">
        <v>0</v>
      </c>
      <c r="I7" s="72">
        <f t="shared" ref="I7:I23" si="0">H7*W7</f>
        <v>0</v>
      </c>
      <c r="J7" s="72">
        <f t="shared" ref="J7:J23" si="1">+I7/Y7</f>
        <v>0</v>
      </c>
      <c r="K7" s="72">
        <f t="shared" ref="K7:K23" si="2">IF(V7-H7&lt;0,0,V7-H7)</f>
        <v>5</v>
      </c>
      <c r="L7" s="75">
        <f t="shared" ref="L7:L23" si="3">+IF(X7-J7&lt;0,"",X7-J7)</f>
        <v>4552.3520485584222</v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0.25</v>
      </c>
      <c r="G8" s="106" t="s">
        <v>17</v>
      </c>
      <c r="H8" s="66">
        <v>3</v>
      </c>
      <c r="I8" s="67">
        <f t="shared" si="0"/>
        <v>90</v>
      </c>
      <c r="J8" s="67">
        <f t="shared" si="1"/>
        <v>4100.2277904328021</v>
      </c>
      <c r="K8" s="67">
        <f t="shared" si="2"/>
        <v>9</v>
      </c>
      <c r="L8" s="77">
        <f t="shared" si="3"/>
        <v>12300.683371298406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0.69444444444444442</v>
      </c>
      <c r="G9" s="112" t="s">
        <v>28</v>
      </c>
      <c r="H9" s="327">
        <v>25</v>
      </c>
      <c r="I9" s="117">
        <f>H9*W9</f>
        <v>750</v>
      </c>
      <c r="J9" s="117">
        <f>+I9/Y9</f>
        <v>34168.564920273348</v>
      </c>
      <c r="K9" s="117">
        <f>IF(V9-H9&lt;0,0,(V9-H9)*1/4)</f>
        <v>2.75</v>
      </c>
      <c r="L9" s="328">
        <f>+IF(X9-J9&lt;0,"",X9-J9)</f>
        <v>15034.168564920277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</v>
      </c>
      <c r="G22" s="111" t="s">
        <v>30</v>
      </c>
      <c r="H22" s="73">
        <v>0</v>
      </c>
      <c r="I22" s="72">
        <f t="shared" si="0"/>
        <v>0</v>
      </c>
      <c r="J22" s="72">
        <f t="shared" si="1"/>
        <v>0</v>
      </c>
      <c r="K22" s="72">
        <f t="shared" si="2"/>
        <v>4</v>
      </c>
      <c r="L22" s="75">
        <f t="shared" si="3"/>
        <v>5454.545454545455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68"/>
      <c r="E23" s="68"/>
      <c r="F23" s="68">
        <f>+I23/(V23*W23)</f>
        <v>0.27777777777777773</v>
      </c>
      <c r="G23" s="106" t="s">
        <v>702</v>
      </c>
      <c r="H23" s="66">
        <v>15</v>
      </c>
      <c r="I23" s="67">
        <f t="shared" si="0"/>
        <v>235.2</v>
      </c>
      <c r="J23" s="67">
        <f t="shared" si="1"/>
        <v>2400</v>
      </c>
      <c r="K23" s="67">
        <f t="shared" si="2"/>
        <v>39</v>
      </c>
      <c r="L23" s="77">
        <f t="shared" si="3"/>
        <v>6240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329"/>
      <c r="E24" s="329"/>
      <c r="F24" s="329">
        <f>+I24/(V24*W24)</f>
        <v>0</v>
      </c>
      <c r="G24" s="112" t="s">
        <v>28</v>
      </c>
      <c r="H24" s="327">
        <v>0</v>
      </c>
      <c r="I24" s="117">
        <f>H24*W24</f>
        <v>0</v>
      </c>
      <c r="J24" s="117">
        <f>+I24/Y24</f>
        <v>0</v>
      </c>
      <c r="K24" s="117">
        <f>IF(V24-H24&lt;0,0,(V24-H24)*3/4)</f>
        <v>27</v>
      </c>
      <c r="L24" s="328">
        <f>+IF(X24-J24&lt;0,"",X24-J24)</f>
        <v>49202.733485193625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117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12.866768093892629</v>
      </c>
      <c r="G29" s="231" t="s">
        <v>444</v>
      </c>
      <c r="H29" s="234">
        <v>8</v>
      </c>
      <c r="I29" s="235">
        <f>+H29*X29</f>
        <v>160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15-05'!G29)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93" fitToHeight="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FFFF00"/>
  </sheetPr>
  <dimension ref="A1:AE31"/>
  <sheetViews>
    <sheetView topLeftCell="A16" zoomScale="70" zoomScaleNormal="70" workbookViewId="0">
      <selection activeCell="AG16" sqref="AG16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customWidth="1"/>
    <col min="5" max="5" width="9.140625" customWidth="1"/>
    <col min="6" max="6" width="8.28515625" customWidth="1"/>
    <col min="7" max="7" width="10.42578125" customWidth="1"/>
    <col min="8" max="8" width="8.42578125" customWidth="1"/>
    <col min="9" max="9" width="8.7109375" hidden="1" customWidth="1"/>
    <col min="10" max="10" width="12" hidden="1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0.4</v>
      </c>
      <c r="G7" s="111" t="s">
        <v>15</v>
      </c>
      <c r="H7" s="73">
        <v>2</v>
      </c>
      <c r="I7" s="72">
        <f t="shared" ref="I7:I23" si="0">H7*W7</f>
        <v>60</v>
      </c>
      <c r="J7" s="72">
        <f t="shared" ref="J7:J23" si="1">+I7/Y7</f>
        <v>1820.9408194233688</v>
      </c>
      <c r="K7" s="72">
        <f t="shared" ref="K7:K23" si="2">IF(V7-H7&lt;0,0,V7-H7)</f>
        <v>3</v>
      </c>
      <c r="L7" s="75">
        <f t="shared" ref="L7:L23" si="3">+IF(X7-J7&lt;0,"",X7-J7)</f>
        <v>2731.4112291350534</v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0.33333333333333331</v>
      </c>
      <c r="G9" s="112" t="s">
        <v>28</v>
      </c>
      <c r="H9" s="327">
        <v>12</v>
      </c>
      <c r="I9" s="117">
        <f>H9*W9</f>
        <v>360</v>
      </c>
      <c r="J9" s="117">
        <f>+I9/Y9</f>
        <v>16400.911161731208</v>
      </c>
      <c r="K9" s="117">
        <f>IF(V9-H9&lt;0,0,(V9-H9)*1/4)</f>
        <v>6</v>
      </c>
      <c r="L9" s="328">
        <f>+IF(X9-J9&lt;0,"",X9-J9)</f>
        <v>32801.822323462417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72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5">
        <v>5454.545454545455</v>
      </c>
      <c r="E22" s="72">
        <v>4</v>
      </c>
      <c r="F22" s="74">
        <f>+I22/(V22*W22)</f>
        <v>0</v>
      </c>
      <c r="G22" s="111" t="s">
        <v>30</v>
      </c>
      <c r="H22" s="73">
        <v>0</v>
      </c>
      <c r="I22" s="72">
        <f t="shared" si="0"/>
        <v>0</v>
      </c>
      <c r="J22" s="72">
        <f t="shared" si="1"/>
        <v>0</v>
      </c>
      <c r="K22" s="72">
        <f t="shared" si="2"/>
        <v>4</v>
      </c>
      <c r="L22" s="75">
        <f t="shared" si="3"/>
        <v>5454.545454545455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77">
        <v>6240</v>
      </c>
      <c r="E23" s="67">
        <v>39</v>
      </c>
      <c r="F23" s="68">
        <f>+I23/(V23*W23)</f>
        <v>0.27777777777777773</v>
      </c>
      <c r="G23" s="106" t="s">
        <v>702</v>
      </c>
      <c r="H23" s="66">
        <v>15</v>
      </c>
      <c r="I23" s="67">
        <f t="shared" si="0"/>
        <v>235.2</v>
      </c>
      <c r="J23" s="67">
        <f t="shared" si="1"/>
        <v>2400</v>
      </c>
      <c r="K23" s="67">
        <f t="shared" si="2"/>
        <v>39</v>
      </c>
      <c r="L23" s="77">
        <f t="shared" si="3"/>
        <v>6240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328">
        <v>32801.822323462417</v>
      </c>
      <c r="E24" s="117">
        <v>18</v>
      </c>
      <c r="F24" s="329">
        <f>+I24/(V24*W24)</f>
        <v>0.33333333333333331</v>
      </c>
      <c r="G24" s="112" t="s">
        <v>28</v>
      </c>
      <c r="H24" s="327">
        <v>12</v>
      </c>
      <c r="I24" s="117">
        <f>H24*W24</f>
        <v>360</v>
      </c>
      <c r="J24" s="117">
        <f>+I24/Y24</f>
        <v>16400.911161731208</v>
      </c>
      <c r="K24" s="117">
        <f>IF(V24-H24&lt;0,0,(V24-H24)*3/4)</f>
        <v>18</v>
      </c>
      <c r="L24" s="328">
        <f>+IF(X24-J24&lt;0,"",X24-J24)</f>
        <v>32801.822323462417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117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12.866768093892629</v>
      </c>
      <c r="G29" s="231" t="s">
        <v>444</v>
      </c>
      <c r="H29" s="234">
        <v>8</v>
      </c>
      <c r="I29" s="235">
        <f>+H29*X29</f>
        <v>160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28-04'!G29)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140" fitToHeight="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FFFF00"/>
    <pageSetUpPr fitToPage="1"/>
  </sheetPr>
  <dimension ref="A1:AE31"/>
  <sheetViews>
    <sheetView topLeftCell="A13" zoomScale="70" zoomScaleNormal="70" workbookViewId="0">
      <selection activeCell="W7" sqref="W7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customWidth="1"/>
    <col min="5" max="5" width="9.140625" customWidth="1"/>
    <col min="6" max="6" width="8.28515625" customWidth="1"/>
    <col min="7" max="7" width="10.42578125" customWidth="1"/>
    <col min="8" max="8" width="8.42578125" customWidth="1"/>
    <col min="9" max="10" width="8.7109375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customWidth="1"/>
    <col min="24" max="24" width="11.140625" customWidth="1"/>
    <col min="25" max="25" width="14.140625" style="110" customWidth="1"/>
    <col min="26" max="26" width="8.28515625" customWidth="1"/>
    <col min="27" max="27" width="10" customWidth="1"/>
    <col min="28" max="28" width="11.42578125" customWidth="1"/>
    <col min="29" max="29" width="11.28515625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5.75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1.2</v>
      </c>
      <c r="G7" s="111" t="s">
        <v>15</v>
      </c>
      <c r="H7" s="73">
        <v>6</v>
      </c>
      <c r="I7" s="72">
        <f t="shared" ref="I7:I23" si="0">H7*W7</f>
        <v>180</v>
      </c>
      <c r="J7" s="72">
        <f t="shared" ref="J7:J23" si="1">+I7/Y7</f>
        <v>5363.5280095351609</v>
      </c>
      <c r="K7" s="72">
        <f t="shared" ref="K7:K23" si="2">IF(V7-H7&lt;0,0,V7-H7)</f>
        <v>0</v>
      </c>
      <c r="L7" s="75" t="str">
        <f t="shared" ref="L7:L23" si="3">+IF(X7-J7&lt;0,"",X7-J7)</f>
        <v/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4469.6066746126344</v>
      </c>
      <c r="Y7" s="336">
        <f>+Z7/1000</f>
        <v>3.356E-2</v>
      </c>
      <c r="Z7" s="337">
        <v>33.56</v>
      </c>
      <c r="AA7" s="87">
        <f>+W7/Y7</f>
        <v>893.92133492252685</v>
      </c>
      <c r="AB7" s="87">
        <f>IFERROR(VLOOKUP(B7,'Estadistica Madre CH 23-01'!A:C,3,0),+VLOOKUP(B7,'Estadistica Madre LK 23-01 '!A:C,3,0))</f>
        <v>1440</v>
      </c>
      <c r="AC7" s="356">
        <f>4*AB7/AA7</f>
        <v>6.4435199999999995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8.3333333333333329E-2</v>
      </c>
      <c r="G9" s="112" t="s">
        <v>28</v>
      </c>
      <c r="H9" s="327">
        <v>3</v>
      </c>
      <c r="I9" s="117">
        <f>H9*W9</f>
        <v>90</v>
      </c>
      <c r="J9" s="117">
        <f>+I9/Y9</f>
        <v>4100.2277904328021</v>
      </c>
      <c r="K9" s="117">
        <f>IF(V9-H9&lt;0,0,(V9-H9)*1/4)</f>
        <v>8.25</v>
      </c>
      <c r="L9" s="328">
        <f>+IF(X9-J9&lt;0,"",X9-J9)</f>
        <v>45102.505694760825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84.95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0.5</v>
      </c>
      <c r="G22" s="111" t="s">
        <v>30</v>
      </c>
      <c r="H22" s="73">
        <v>2</v>
      </c>
      <c r="I22" s="72">
        <f t="shared" si="0"/>
        <v>60</v>
      </c>
      <c r="J22" s="72">
        <f t="shared" si="1"/>
        <v>2727.2727272727275</v>
      </c>
      <c r="K22" s="72">
        <f t="shared" si="2"/>
        <v>2</v>
      </c>
      <c r="L22" s="75">
        <f t="shared" si="3"/>
        <v>2727.2727272727275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68"/>
      <c r="E23" s="68"/>
      <c r="F23" s="68">
        <f>+I23/(V23*W23)</f>
        <v>0.27777777777777773</v>
      </c>
      <c r="G23" s="106" t="s">
        <v>702</v>
      </c>
      <c r="H23" s="66">
        <v>15</v>
      </c>
      <c r="I23" s="67">
        <f t="shared" si="0"/>
        <v>235.2</v>
      </c>
      <c r="J23" s="67">
        <f t="shared" si="1"/>
        <v>2400</v>
      </c>
      <c r="K23" s="67">
        <f t="shared" si="2"/>
        <v>39</v>
      </c>
      <c r="L23" s="77">
        <f t="shared" si="3"/>
        <v>6240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329"/>
      <c r="E24" s="329"/>
      <c r="F24" s="329">
        <f>+I24/(V24*W24)</f>
        <v>0</v>
      </c>
      <c r="G24" s="112" t="s">
        <v>28</v>
      </c>
      <c r="H24" s="327"/>
      <c r="I24" s="117">
        <f>H24*W24</f>
        <v>0</v>
      </c>
      <c r="J24" s="117">
        <f>+I24/Y24</f>
        <v>0</v>
      </c>
      <c r="K24" s="117">
        <f>IF(V24-H24&lt;0,0,(V24-H24)*3/4)</f>
        <v>27</v>
      </c>
      <c r="L24" s="328">
        <f>+IF(X24-J24&lt;0,"",X24-J24)</f>
        <v>49202.733485193625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24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12.866768093892629</v>
      </c>
      <c r="G29" s="231" t="s">
        <v>444</v>
      </c>
      <c r="H29" s="234">
        <v>8</v>
      </c>
      <c r="I29" s="235">
        <f>+H29*X29</f>
        <v>160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14-04'!G29)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93" fitToHeight="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FF00"/>
  </sheetPr>
  <dimension ref="A1:AE31"/>
  <sheetViews>
    <sheetView topLeftCell="A13" zoomScale="70" zoomScaleNormal="70" workbookViewId="0">
      <selection activeCell="AF2" sqref="AF2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hidden="1" customWidth="1"/>
    <col min="5" max="5" width="9.140625" hidden="1" customWidth="1"/>
    <col min="6" max="6" width="8.28515625" hidden="1" customWidth="1"/>
    <col min="7" max="7" width="10.42578125" hidden="1" customWidth="1"/>
    <col min="8" max="8" width="8.42578125" customWidth="1"/>
    <col min="9" max="10" width="8.7109375" hidden="1" customWidth="1"/>
    <col min="11" max="11" width="9.42578125" customWidth="1"/>
    <col min="12" max="12" width="12.140625" style="110" hidden="1" customWidth="1"/>
    <col min="13" max="13" width="1.140625" hidden="1" customWidth="1"/>
    <col min="14" max="14" width="7.28515625" hidden="1" customWidth="1"/>
    <col min="15" max="15" width="8.7109375" hidden="1" customWidth="1"/>
    <col min="16" max="16" width="7.28515625" hidden="1" customWidth="1"/>
    <col min="17" max="17" width="8.28515625" hidden="1" customWidth="1"/>
    <col min="18" max="18" width="1.140625" hidden="1" customWidth="1"/>
    <col min="19" max="19" width="9" hidden="1" customWidth="1"/>
    <col min="20" max="20" width="8.7109375" hidden="1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H2" s="401">
        <f ca="1">TODAY()</f>
        <v>46101</v>
      </c>
      <c r="J2" s="1"/>
      <c r="K2" s="3" t="s">
        <v>55</v>
      </c>
      <c r="L2" s="3"/>
    </row>
    <row r="3" spans="2:31" ht="24.75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1.2</v>
      </c>
      <c r="G7" s="111" t="s">
        <v>15</v>
      </c>
      <c r="H7" s="73">
        <v>6</v>
      </c>
      <c r="I7" s="72">
        <f t="shared" ref="I7:I23" si="0">H7*W7</f>
        <v>180</v>
      </c>
      <c r="J7" s="72">
        <f t="shared" ref="J7:J23" si="1">+I7/Y7</f>
        <v>5462.8224582701059</v>
      </c>
      <c r="K7" s="72">
        <f t="shared" ref="K7:K23" si="2">IF(V7-H7&lt;0,0,V7-H7)</f>
        <v>0</v>
      </c>
      <c r="L7" s="75" t="str">
        <f t="shared" ref="L7:L23" si="3">+IF(X7-J7&lt;0,"",X7-J7)</f>
        <v/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8.3333333333333329E-2</v>
      </c>
      <c r="G9" s="112" t="s">
        <v>28</v>
      </c>
      <c r="H9" s="327">
        <v>3</v>
      </c>
      <c r="I9" s="117">
        <f>H9*W9</f>
        <v>90</v>
      </c>
      <c r="J9" s="117">
        <f>+I9/Y9</f>
        <v>4100.2277904328021</v>
      </c>
      <c r="K9" s="117">
        <f>IF(V9-H9&lt;0,0,(V9-H9)*1/4)</f>
        <v>8.25</v>
      </c>
      <c r="L9" s="328">
        <f>+IF(X9-J9&lt;0,"",X9-J9)</f>
        <v>45102.505694760825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0.5</v>
      </c>
      <c r="G22" s="111" t="s">
        <v>30</v>
      </c>
      <c r="H22" s="73">
        <v>2</v>
      </c>
      <c r="I22" s="72">
        <f t="shared" si="0"/>
        <v>60</v>
      </c>
      <c r="J22" s="72">
        <f t="shared" si="1"/>
        <v>2727.2727272727275</v>
      </c>
      <c r="K22" s="72">
        <f t="shared" si="2"/>
        <v>2</v>
      </c>
      <c r="L22" s="75">
        <f t="shared" si="3"/>
        <v>2727.2727272727275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68"/>
      <c r="E23" s="68"/>
      <c r="F23" s="68">
        <f>+I23/(V23*W23)</f>
        <v>0.27777777777777773</v>
      </c>
      <c r="G23" s="106" t="s">
        <v>702</v>
      </c>
      <c r="H23" s="66">
        <v>15</v>
      </c>
      <c r="I23" s="67">
        <f t="shared" si="0"/>
        <v>235.2</v>
      </c>
      <c r="J23" s="67">
        <f t="shared" si="1"/>
        <v>2400</v>
      </c>
      <c r="K23" s="67">
        <f t="shared" si="2"/>
        <v>39</v>
      </c>
      <c r="L23" s="77">
        <f t="shared" si="3"/>
        <v>6240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329"/>
      <c r="E24" s="329"/>
      <c r="F24" s="329">
        <f>+I24/(V24*W24)</f>
        <v>0</v>
      </c>
      <c r="G24" s="112" t="s">
        <v>28</v>
      </c>
      <c r="H24" s="327">
        <v>0</v>
      </c>
      <c r="I24" s="117">
        <f>H24*W24</f>
        <v>0</v>
      </c>
      <c r="J24" s="117">
        <f>+I24/Y24</f>
        <v>0</v>
      </c>
      <c r="K24" s="117">
        <f>+IF(V9-H9&lt;0,0,(V9-H9)*0.75)</f>
        <v>24.75</v>
      </c>
      <c r="L24" s="328">
        <f>+IF(X24-J24&lt;0,"",X24-J24)</f>
        <v>49202.733485193625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117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11.25842208215605</v>
      </c>
      <c r="G29" s="231" t="s">
        <v>444</v>
      </c>
      <c r="H29" s="234">
        <v>7</v>
      </c>
      <c r="I29" s="235">
        <f>+H29*X29</f>
        <v>140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10-04'!G29)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" right="0" top="0" bottom="0" header="0" footer="0"/>
  <pageSetup paperSize="9" fitToHeight="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FFFF00"/>
    <pageSetUpPr fitToPage="1"/>
  </sheetPr>
  <dimension ref="A1:AH30"/>
  <sheetViews>
    <sheetView topLeftCell="A25" zoomScale="70" zoomScaleNormal="70" workbookViewId="0">
      <selection activeCell="H7" sqref="H7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customWidth="1"/>
    <col min="5" max="5" width="9.140625" customWidth="1"/>
    <col min="6" max="6" width="8.28515625" customWidth="1"/>
    <col min="7" max="7" width="10.42578125" customWidth="1"/>
    <col min="8" max="8" width="8.42578125" customWidth="1"/>
    <col min="9" max="9" width="8.7109375" hidden="1" customWidth="1"/>
    <col min="10" max="10" width="9.85546875" hidden="1" customWidth="1"/>
    <col min="11" max="11" width="9.42578125" customWidth="1"/>
    <col min="12" max="12" width="12.140625" style="110" hidden="1" customWidth="1"/>
    <col min="13" max="13" width="1.140625" hidden="1" customWidth="1"/>
    <col min="14" max="14" width="7.28515625" hidden="1" customWidth="1"/>
    <col min="15" max="15" width="8.7109375" hidden="1" customWidth="1"/>
    <col min="16" max="16" width="7.28515625" hidden="1" customWidth="1"/>
    <col min="17" max="17" width="8.28515625" hidden="1" customWidth="1"/>
    <col min="18" max="18" width="1.140625" hidden="1" customWidth="1"/>
    <col min="19" max="19" width="9" hidden="1" customWidth="1"/>
    <col min="20" max="20" width="8.7109375" hidden="1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4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4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4" ht="24.75" hidden="1" customHeight="1" x14ac:dyDescent="0.3">
      <c r="H3" s="1"/>
      <c r="I3" s="1"/>
      <c r="J3" s="1"/>
      <c r="K3" s="3"/>
      <c r="L3" s="3"/>
    </row>
    <row r="4" spans="2:34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4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  <c r="AH5" t="s">
        <v>706</v>
      </c>
    </row>
    <row r="6" spans="2:34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4" ht="18.75" x14ac:dyDescent="0.3">
      <c r="B7" s="70">
        <v>500</v>
      </c>
      <c r="C7" s="71" t="s">
        <v>16</v>
      </c>
      <c r="D7" s="74"/>
      <c r="E7" s="74"/>
      <c r="F7" s="74">
        <f>+I7/(V7*W7)</f>
        <v>1.2</v>
      </c>
      <c r="G7" s="111" t="s">
        <v>15</v>
      </c>
      <c r="H7" s="73">
        <v>6</v>
      </c>
      <c r="I7" s="72">
        <f t="shared" ref="I7:I23" si="0">H7*W7</f>
        <v>180</v>
      </c>
      <c r="J7" s="72">
        <f t="shared" ref="J7:J23" si="1">+I7/Y7</f>
        <v>5462.8224582701059</v>
      </c>
      <c r="K7" s="72">
        <f t="shared" ref="K7:K23" si="2">IF(V7-H7&lt;0,0,V7-H7)</f>
        <v>0</v>
      </c>
      <c r="L7" s="75" t="str">
        <f t="shared" ref="L7:L23" si="3">+IF(X7-J7&lt;0,"",X7-J7)</f>
        <v/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4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4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0.22222222222222221</v>
      </c>
      <c r="G9" s="112" t="s">
        <v>28</v>
      </c>
      <c r="H9" s="327">
        <v>8</v>
      </c>
      <c r="I9" s="117">
        <f>H9*W9</f>
        <v>240</v>
      </c>
      <c r="J9" s="117">
        <f>+I9/Y9</f>
        <v>10933.940774487472</v>
      </c>
      <c r="K9" s="117">
        <f>IF(V9-H9&lt;0,0,V9-H9)</f>
        <v>28</v>
      </c>
      <c r="L9" s="328">
        <f>+IF(X9-J9&lt;0,"",X9-J9)</f>
        <v>38268.792710706155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4" ht="6" customHeight="1" x14ac:dyDescent="0.25">
      <c r="L10"/>
    </row>
    <row r="11" spans="2:34" ht="24" thickBot="1" x14ac:dyDescent="0.4">
      <c r="C11" s="166" t="s">
        <v>96</v>
      </c>
      <c r="D11" s="163"/>
      <c r="E11" s="163"/>
      <c r="F11" s="163"/>
      <c r="G11" s="163"/>
      <c r="L11"/>
    </row>
    <row r="12" spans="2:34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4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4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4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4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53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1.5</v>
      </c>
      <c r="G22" s="111" t="s">
        <v>30</v>
      </c>
      <c r="H22" s="73">
        <v>6</v>
      </c>
      <c r="I22" s="72">
        <f t="shared" si="0"/>
        <v>180</v>
      </c>
      <c r="J22" s="72">
        <f t="shared" si="1"/>
        <v>8181.818181818182</v>
      </c>
      <c r="K22" s="72">
        <f t="shared" si="2"/>
        <v>0</v>
      </c>
      <c r="L22" s="75" t="str">
        <f t="shared" si="3"/>
        <v/>
      </c>
      <c r="M22" s="92"/>
      <c r="N22" s="330"/>
      <c r="O22" s="87"/>
      <c r="P22" s="87"/>
      <c r="Q22" s="331"/>
      <c r="R22" s="92"/>
      <c r="S22" s="332"/>
      <c r="T22" s="331"/>
      <c r="U22" s="92"/>
      <c r="V22" s="332">
        <v>4</v>
      </c>
      <c r="W22" s="87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8">
        <v>544</v>
      </c>
      <c r="C23" s="79" t="s">
        <v>474</v>
      </c>
      <c r="D23" s="329"/>
      <c r="E23" s="329"/>
      <c r="F23" s="329">
        <f>+I23/(V23*W23)</f>
        <v>0.27777777777777773</v>
      </c>
      <c r="G23" s="112" t="s">
        <v>702</v>
      </c>
      <c r="H23" s="327">
        <v>15</v>
      </c>
      <c r="I23" s="117">
        <f t="shared" si="0"/>
        <v>235.2</v>
      </c>
      <c r="J23" s="117">
        <f t="shared" si="1"/>
        <v>2400</v>
      </c>
      <c r="K23" s="117">
        <f t="shared" si="2"/>
        <v>39</v>
      </c>
      <c r="L23" s="328">
        <f t="shared" si="3"/>
        <v>6240</v>
      </c>
      <c r="M23" s="92"/>
      <c r="N23" s="135"/>
      <c r="O23" s="119"/>
      <c r="P23" s="119"/>
      <c r="Q23" s="130"/>
      <c r="R23" s="92"/>
      <c r="S23" s="98"/>
      <c r="T23" s="130"/>
      <c r="U23" s="92"/>
      <c r="V23" s="98">
        <v>54</v>
      </c>
      <c r="W23" s="119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6" customHeight="1" x14ac:dyDescent="0.25"/>
    <row r="25" spans="1:31" ht="24" thickBot="1" x14ac:dyDescent="0.4">
      <c r="C25" s="166" t="s">
        <v>96</v>
      </c>
      <c r="D25" s="163"/>
      <c r="E25" s="163"/>
      <c r="F25" s="163"/>
    </row>
    <row r="26" spans="1:31" ht="117" thickBot="1" x14ac:dyDescent="0.35">
      <c r="C26" s="216" t="s">
        <v>446</v>
      </c>
      <c r="D26" s="162" t="s">
        <v>1</v>
      </c>
      <c r="E26" s="319"/>
      <c r="F26" s="320"/>
      <c r="V26" s="346" t="s">
        <v>73</v>
      </c>
      <c r="W26" s="325"/>
      <c r="X26" s="325"/>
      <c r="Y26" s="325"/>
      <c r="Z26" s="325"/>
      <c r="AA26" s="325"/>
      <c r="AB26" s="325"/>
      <c r="AC26" s="325"/>
      <c r="AD26" s="325"/>
      <c r="AE26" s="326"/>
    </row>
    <row r="27" spans="1:31" ht="56.45" customHeight="1" thickBot="1" x14ac:dyDescent="0.3">
      <c r="A27" s="15" t="s">
        <v>458</v>
      </c>
      <c r="B27" s="15" t="s">
        <v>3</v>
      </c>
      <c r="C27" s="4" t="s">
        <v>5</v>
      </c>
      <c r="D27" s="4" t="s">
        <v>442</v>
      </c>
      <c r="E27" s="4" t="s">
        <v>443</v>
      </c>
      <c r="F27" s="4" t="s">
        <v>76</v>
      </c>
      <c r="G27" s="4" t="s">
        <v>4</v>
      </c>
      <c r="H27" s="4" t="s">
        <v>447</v>
      </c>
      <c r="I27" s="4" t="s">
        <v>6</v>
      </c>
      <c r="J27" s="18" t="s">
        <v>54</v>
      </c>
      <c r="K27" s="18" t="s">
        <v>443</v>
      </c>
      <c r="L27" s="153" t="s">
        <v>59</v>
      </c>
      <c r="M27" s="91"/>
      <c r="N27" s="133" t="s">
        <v>75</v>
      </c>
      <c r="O27" s="133" t="s">
        <v>69</v>
      </c>
      <c r="P27" s="6" t="s">
        <v>70</v>
      </c>
      <c r="Q27" s="138" t="s">
        <v>74</v>
      </c>
      <c r="R27" s="91"/>
      <c r="S27" s="133" t="s">
        <v>71</v>
      </c>
      <c r="T27" s="6" t="s">
        <v>72</v>
      </c>
      <c r="U27" s="91"/>
      <c r="V27" s="207" t="s">
        <v>448</v>
      </c>
      <c r="W27" s="154" t="s">
        <v>450</v>
      </c>
      <c r="X27" s="154" t="s">
        <v>449</v>
      </c>
      <c r="Y27" s="154" t="s">
        <v>451</v>
      </c>
      <c r="Z27" s="154" t="s">
        <v>452</v>
      </c>
      <c r="AA27" s="154" t="s">
        <v>14</v>
      </c>
      <c r="AB27" s="154" t="s">
        <v>455</v>
      </c>
      <c r="AC27" s="154" t="s">
        <v>456</v>
      </c>
      <c r="AD27" s="138"/>
      <c r="AE27" s="6" t="s">
        <v>454</v>
      </c>
    </row>
    <row r="28" spans="1:31" ht="19.5" thickBot="1" x14ac:dyDescent="0.35">
      <c r="A28" s="230">
        <v>1300500</v>
      </c>
      <c r="B28" s="231" t="s">
        <v>457</v>
      </c>
      <c r="C28" s="232" t="s">
        <v>445</v>
      </c>
      <c r="D28" s="233"/>
      <c r="E28" s="233"/>
      <c r="F28" s="233">
        <f>+I28/(X28*Z28)</f>
        <v>12.866768093892629</v>
      </c>
      <c r="G28" s="231" t="s">
        <v>444</v>
      </c>
      <c r="H28" s="234">
        <v>8</v>
      </c>
      <c r="I28" s="235">
        <f>+H28*X28</f>
        <v>160</v>
      </c>
      <c r="J28" s="235">
        <f>IF(AB28-I28&lt;0,0,AB28-I28)</f>
        <v>0</v>
      </c>
      <c r="K28" s="236">
        <f>IF(AC28-H28&lt;0,0,AC28-H28)</f>
        <v>0</v>
      </c>
      <c r="M28" s="92"/>
      <c r="N28" s="244"/>
      <c r="O28" s="240"/>
      <c r="P28" s="240"/>
      <c r="Q28" s="243"/>
      <c r="R28" s="92"/>
      <c r="S28" s="237"/>
      <c r="T28" s="243"/>
      <c r="U28" s="92"/>
      <c r="V28" s="237"/>
      <c r="W28" s="235">
        <f>+V28*X28</f>
        <v>0</v>
      </c>
      <c r="X28" s="235">
        <v>20</v>
      </c>
      <c r="Y28" s="238">
        <f>+SUMIFS('Consumo '!F:F,'Consumo '!A:A,G28)</f>
        <v>12.435135135135138</v>
      </c>
      <c r="Z28" s="239">
        <f>+Y28/X28</f>
        <v>0.6217567567567569</v>
      </c>
      <c r="AA28" s="240">
        <f>+SUMIFS('Consumo '!E:E,'Consumo '!A:A,'Garage 31-03'!G28)</f>
        <v>9224</v>
      </c>
      <c r="AB28" s="240">
        <f>+Y28*1.5</f>
        <v>18.652702702702705</v>
      </c>
      <c r="AC28" s="241">
        <f>+Z28*1.5</f>
        <v>0.93263513513513541</v>
      </c>
      <c r="AD28" s="241"/>
      <c r="AE28" s="242" t="s">
        <v>446</v>
      </c>
    </row>
    <row r="29" spans="1:31" ht="23.25" x14ac:dyDescent="0.35">
      <c r="C29" s="215" t="s">
        <v>98</v>
      </c>
    </row>
    <row r="30" spans="1:31" ht="18.75" x14ac:dyDescent="0.3">
      <c r="B30" s="106" t="s">
        <v>20</v>
      </c>
      <c r="C30" s="69" t="s">
        <v>21</v>
      </c>
      <c r="D30" s="68"/>
      <c r="E30" s="68"/>
      <c r="F30" s="68">
        <f>+I30/(V30*W30)</f>
        <v>0</v>
      </c>
      <c r="G30" s="68"/>
      <c r="H30" s="66"/>
      <c r="I30" s="67">
        <f>H30*W30</f>
        <v>0</v>
      </c>
      <c r="J30" s="67">
        <f>+I30/Y30</f>
        <v>0</v>
      </c>
      <c r="K30" s="67">
        <f>IF(V30-H30&lt;0,0,V30-H30)</f>
        <v>5</v>
      </c>
      <c r="L30" s="67">
        <f>+IF(X30-J30&lt;0,"",X30-J30)</f>
        <v>6833.7129840546695</v>
      </c>
      <c r="M30" s="92"/>
      <c r="N30" s="134"/>
      <c r="O30" s="39"/>
      <c r="P30" s="39"/>
      <c r="Q30" s="128"/>
      <c r="R30" s="92"/>
      <c r="S30" s="96"/>
      <c r="T30" s="128"/>
      <c r="U30" s="92"/>
      <c r="V30" s="96">
        <v>5</v>
      </c>
      <c r="W30" s="39">
        <v>30</v>
      </c>
      <c r="X30" s="39">
        <f>+V30*AA30</f>
        <v>6833.7129840546695</v>
      </c>
      <c r="Y30" s="94">
        <f>+Z30/1000</f>
        <v>2.1950000000000001E-2</v>
      </c>
      <c r="Z30" s="121">
        <v>21.95</v>
      </c>
      <c r="AA30" s="39">
        <f>+W30/Y30</f>
        <v>1366.7425968109339</v>
      </c>
      <c r="AB30" s="39">
        <f>IFERROR(VLOOKUP(706,'Estadistica Madre CH 23-01'!A:C,3,0),+VLOOKUP(B30,'Estadistica Madre LK 23-01 '!A:C,3,0))</f>
        <v>2400</v>
      </c>
      <c r="AC30" s="122">
        <f>1.5*AB30/AA30</f>
        <v>2.6339999999999999</v>
      </c>
      <c r="AD30" s="122"/>
      <c r="AE30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93" fitToHeight="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FFFF00"/>
    <pageSetUpPr fitToPage="1"/>
  </sheetPr>
  <dimension ref="A1:AE30"/>
  <sheetViews>
    <sheetView topLeftCell="A23" zoomScale="70" zoomScaleNormal="70" workbookViewId="0">
      <selection activeCell="B2" sqref="B2:V23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hidden="1" customWidth="1"/>
    <col min="5" max="5" width="9.140625" hidden="1" customWidth="1"/>
    <col min="6" max="6" width="8.28515625" customWidth="1"/>
    <col min="7" max="7" width="10.42578125" customWidth="1"/>
    <col min="8" max="8" width="8.42578125" customWidth="1"/>
    <col min="9" max="10" width="8.7109375" customWidth="1"/>
    <col min="11" max="11" width="9.42578125" customWidth="1"/>
    <col min="12" max="12" width="12.140625" style="110" customWidth="1"/>
    <col min="13" max="13" width="1.140625" hidden="1" customWidth="1"/>
    <col min="14" max="14" width="7.28515625" hidden="1" customWidth="1"/>
    <col min="15" max="15" width="8.7109375" hidden="1" customWidth="1"/>
    <col min="16" max="16" width="7.28515625" hidden="1" customWidth="1"/>
    <col min="17" max="17" width="8.28515625" hidden="1" customWidth="1"/>
    <col min="18" max="18" width="1.140625" hidden="1" customWidth="1"/>
    <col min="19" max="19" width="9" hidden="1" customWidth="1"/>
    <col min="20" max="20" width="8.7109375" hidden="1" customWidth="1"/>
    <col min="21" max="21" width="1.140625" hidden="1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v>45741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hidden="1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3" si="0">H7*W7</f>
        <v>240</v>
      </c>
      <c r="J7" s="72">
        <f t="shared" ref="J7:J23" si="1">+I7/Y7</f>
        <v>7283.7632776934752</v>
      </c>
      <c r="K7" s="72">
        <f t="shared" ref="K7:K23" si="2">IF(V7-H7&lt;0,0,V7-H7)</f>
        <v>0</v>
      </c>
      <c r="L7" s="75" t="str">
        <f t="shared" ref="L7:L23" si="3">+IF(X7-J7&lt;0,"",X7-J7)</f>
        <v/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0.19444444444444445</v>
      </c>
      <c r="G9" s="112" t="s">
        <v>28</v>
      </c>
      <c r="H9" s="327">
        <v>7</v>
      </c>
      <c r="I9" s="117">
        <f>H9*W9</f>
        <v>210</v>
      </c>
      <c r="J9" s="117">
        <f>+I9/Y9</f>
        <v>9567.1981776765369</v>
      </c>
      <c r="K9" s="117">
        <f>IF(V9-H9&lt;0,0,V9-H9)</f>
        <v>29</v>
      </c>
      <c r="L9" s="328">
        <f>+IF(X9-J9&lt;0,"",X9-J9)</f>
        <v>39635.535307517086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53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1.5</v>
      </c>
      <c r="G22" s="111" t="s">
        <v>30</v>
      </c>
      <c r="H22" s="73">
        <v>6</v>
      </c>
      <c r="I22" s="72">
        <f t="shared" si="0"/>
        <v>180</v>
      </c>
      <c r="J22" s="72">
        <f t="shared" si="1"/>
        <v>8181.818181818182</v>
      </c>
      <c r="K22" s="72">
        <f t="shared" si="2"/>
        <v>0</v>
      </c>
      <c r="L22" s="75" t="str">
        <f t="shared" si="3"/>
        <v/>
      </c>
      <c r="M22" s="92"/>
      <c r="N22" s="330"/>
      <c r="O22" s="87"/>
      <c r="P22" s="87"/>
      <c r="Q22" s="331"/>
      <c r="R22" s="92"/>
      <c r="S22" s="332"/>
      <c r="T22" s="331"/>
      <c r="U22" s="92"/>
      <c r="V22" s="332">
        <v>4</v>
      </c>
      <c r="W22" s="87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8">
        <v>544</v>
      </c>
      <c r="C23" s="79" t="s">
        <v>474</v>
      </c>
      <c r="D23" s="329"/>
      <c r="E23" s="329"/>
      <c r="F23" s="329">
        <f>+I23/(V23*W23)</f>
        <v>0.27777777777777773</v>
      </c>
      <c r="G23" s="112" t="s">
        <v>702</v>
      </c>
      <c r="H23" s="327">
        <v>15</v>
      </c>
      <c r="I23" s="117">
        <f t="shared" si="0"/>
        <v>235.2</v>
      </c>
      <c r="J23" s="117">
        <f t="shared" si="1"/>
        <v>2400</v>
      </c>
      <c r="K23" s="117">
        <f t="shared" si="2"/>
        <v>39</v>
      </c>
      <c r="L23" s="328">
        <f t="shared" si="3"/>
        <v>6240</v>
      </c>
      <c r="M23" s="92"/>
      <c r="N23" s="135"/>
      <c r="O23" s="119"/>
      <c r="P23" s="119"/>
      <c r="Q23" s="130"/>
      <c r="R23" s="92"/>
      <c r="S23" s="98"/>
      <c r="T23" s="130"/>
      <c r="U23" s="92"/>
      <c r="V23" s="98">
        <v>54</v>
      </c>
      <c r="W23" s="119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6" customHeight="1" x14ac:dyDescent="0.25"/>
    <row r="25" spans="1:31" ht="24" thickBot="1" x14ac:dyDescent="0.4">
      <c r="C25" s="166" t="s">
        <v>96</v>
      </c>
      <c r="D25" s="163"/>
      <c r="E25" s="163"/>
      <c r="F25" s="163"/>
    </row>
    <row r="26" spans="1:31" ht="117" thickBot="1" x14ac:dyDescent="0.35">
      <c r="C26" s="216" t="s">
        <v>446</v>
      </c>
      <c r="D26" s="162" t="s">
        <v>1</v>
      </c>
      <c r="E26" s="319"/>
      <c r="F26" s="320"/>
      <c r="V26" s="346" t="s">
        <v>73</v>
      </c>
      <c r="W26" s="325"/>
      <c r="X26" s="325"/>
      <c r="Y26" s="325"/>
      <c r="Z26" s="325"/>
      <c r="AA26" s="325"/>
      <c r="AB26" s="325"/>
      <c r="AC26" s="325"/>
      <c r="AD26" s="325"/>
      <c r="AE26" s="326"/>
    </row>
    <row r="27" spans="1:31" ht="56.45" customHeight="1" thickBot="1" x14ac:dyDescent="0.3">
      <c r="A27" s="15" t="s">
        <v>458</v>
      </c>
      <c r="B27" s="15" t="s">
        <v>3</v>
      </c>
      <c r="C27" s="4" t="s">
        <v>5</v>
      </c>
      <c r="D27" s="4" t="s">
        <v>442</v>
      </c>
      <c r="E27" s="4" t="s">
        <v>443</v>
      </c>
      <c r="F27" s="4" t="s">
        <v>76</v>
      </c>
      <c r="G27" s="4" t="s">
        <v>4</v>
      </c>
      <c r="H27" s="4" t="s">
        <v>447</v>
      </c>
      <c r="I27" s="4" t="s">
        <v>6</v>
      </c>
      <c r="J27" s="18" t="s">
        <v>54</v>
      </c>
      <c r="K27" s="18" t="s">
        <v>443</v>
      </c>
      <c r="L27" s="153" t="s">
        <v>59</v>
      </c>
      <c r="M27" s="91"/>
      <c r="N27" s="133" t="s">
        <v>75</v>
      </c>
      <c r="O27" s="133" t="s">
        <v>69</v>
      </c>
      <c r="P27" s="6" t="s">
        <v>70</v>
      </c>
      <c r="Q27" s="138" t="s">
        <v>74</v>
      </c>
      <c r="R27" s="91"/>
      <c r="S27" s="133" t="s">
        <v>71</v>
      </c>
      <c r="T27" s="6" t="s">
        <v>72</v>
      </c>
      <c r="U27" s="91"/>
      <c r="V27" s="207" t="s">
        <v>448</v>
      </c>
      <c r="W27" s="154" t="s">
        <v>450</v>
      </c>
      <c r="X27" s="154" t="s">
        <v>449</v>
      </c>
      <c r="Y27" s="154" t="s">
        <v>451</v>
      </c>
      <c r="Z27" s="154" t="s">
        <v>452</v>
      </c>
      <c r="AA27" s="154" t="s">
        <v>14</v>
      </c>
      <c r="AB27" s="154" t="s">
        <v>455</v>
      </c>
      <c r="AC27" s="154" t="s">
        <v>456</v>
      </c>
      <c r="AD27" s="138"/>
      <c r="AE27" s="6" t="s">
        <v>454</v>
      </c>
    </row>
    <row r="28" spans="1:31" ht="19.5" thickBot="1" x14ac:dyDescent="0.35">
      <c r="A28" s="230">
        <v>1300500</v>
      </c>
      <c r="B28" s="231" t="s">
        <v>457</v>
      </c>
      <c r="C28" s="232" t="s">
        <v>445</v>
      </c>
      <c r="D28" s="233"/>
      <c r="E28" s="233"/>
      <c r="F28" s="233">
        <f>+I28/(X28*Z28)</f>
        <v>12.866768093892629</v>
      </c>
      <c r="G28" s="231" t="s">
        <v>444</v>
      </c>
      <c r="H28" s="234">
        <v>8</v>
      </c>
      <c r="I28" s="235">
        <f>+H28*X28</f>
        <v>160</v>
      </c>
      <c r="J28" s="235">
        <f>IF(AB28-I28&lt;0,0,AB28-I28)</f>
        <v>0</v>
      </c>
      <c r="K28" s="236">
        <f>IF(AC28-H28&lt;0,0,AC28-H28)</f>
        <v>0</v>
      </c>
      <c r="M28" s="92"/>
      <c r="N28" s="244"/>
      <c r="O28" s="240"/>
      <c r="P28" s="240"/>
      <c r="Q28" s="243"/>
      <c r="R28" s="92"/>
      <c r="S28" s="237"/>
      <c r="T28" s="243"/>
      <c r="U28" s="92"/>
      <c r="V28" s="237"/>
      <c r="W28" s="235">
        <f>+V28*X28</f>
        <v>0</v>
      </c>
      <c r="X28" s="235">
        <v>20</v>
      </c>
      <c r="Y28" s="238">
        <f>+SUMIFS('Consumo '!F:F,'Consumo '!A:A,G28)</f>
        <v>12.435135135135138</v>
      </c>
      <c r="Z28" s="239">
        <f>+Y28/X28</f>
        <v>0.6217567567567569</v>
      </c>
      <c r="AA28" s="240">
        <f>+SUMIFS('Consumo '!E:E,'Consumo '!A:A,'Garage 25-03'!G28)</f>
        <v>9224</v>
      </c>
      <c r="AB28" s="240">
        <f>+Y28*1.5</f>
        <v>18.652702702702705</v>
      </c>
      <c r="AC28" s="241">
        <f>+Z28*1.5</f>
        <v>0.93263513513513541</v>
      </c>
      <c r="AD28" s="241"/>
      <c r="AE28" s="242" t="s">
        <v>446</v>
      </c>
    </row>
    <row r="29" spans="1:31" ht="23.25" x14ac:dyDescent="0.35">
      <c r="C29" s="215" t="s">
        <v>98</v>
      </c>
    </row>
    <row r="30" spans="1:31" ht="18.75" x14ac:dyDescent="0.3">
      <c r="B30" s="106" t="s">
        <v>20</v>
      </c>
      <c r="C30" s="69" t="s">
        <v>21</v>
      </c>
      <c r="D30" s="68"/>
      <c r="E30" s="68"/>
      <c r="F30" s="68">
        <f>+I30/(V30*W30)</f>
        <v>0.8</v>
      </c>
      <c r="G30" s="68"/>
      <c r="H30" s="66">
        <v>4</v>
      </c>
      <c r="I30" s="67">
        <f>H30*W30</f>
        <v>120</v>
      </c>
      <c r="J30" s="67">
        <f>+I30/Y30</f>
        <v>5466.9703872437358</v>
      </c>
      <c r="K30" s="67">
        <f>IF(V30-H30&lt;0,0,V30-H30)</f>
        <v>1</v>
      </c>
      <c r="L30" s="67">
        <f>+IF(X30-J30&lt;0,"",X30-J30)</f>
        <v>1366.7425968109337</v>
      </c>
      <c r="M30" s="92"/>
      <c r="N30" s="134"/>
      <c r="O30" s="39"/>
      <c r="P30" s="39"/>
      <c r="Q30" s="128"/>
      <c r="R30" s="92"/>
      <c r="S30" s="96"/>
      <c r="T30" s="128"/>
      <c r="U30" s="92"/>
      <c r="V30" s="96">
        <v>5</v>
      </c>
      <c r="W30" s="39">
        <v>30</v>
      </c>
      <c r="X30" s="39">
        <f>+V30*AA30</f>
        <v>6833.7129840546695</v>
      </c>
      <c r="Y30" s="94">
        <f>+Z30/1000</f>
        <v>2.1950000000000001E-2</v>
      </c>
      <c r="Z30" s="121">
        <v>21.95</v>
      </c>
      <c r="AA30" s="39">
        <f>+W30/Y30</f>
        <v>1366.7425968109339</v>
      </c>
      <c r="AB30" s="39">
        <f>IFERROR(VLOOKUP(706,'Estadistica Madre CH 23-01'!A:C,3,0),+VLOOKUP(B30,'Estadistica Madre LK 23-01 '!A:C,3,0))</f>
        <v>2400</v>
      </c>
      <c r="AC30" s="122">
        <f>1.5*AB30/AA30</f>
        <v>2.6339999999999999</v>
      </c>
      <c r="AD30" s="122"/>
      <c r="AE30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82" fitToHeight="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FFFF00"/>
  </sheetPr>
  <dimension ref="A1:AE31"/>
  <sheetViews>
    <sheetView zoomScale="70" zoomScaleNormal="70" workbookViewId="0">
      <selection activeCell="AB21" sqref="AB21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hidden="1" customWidth="1"/>
    <col min="5" max="5" width="9.140625" hidden="1" customWidth="1"/>
    <col min="6" max="6" width="8.28515625" hidden="1" customWidth="1"/>
    <col min="7" max="7" width="10.7109375" customWidth="1"/>
    <col min="8" max="8" width="8.42578125" customWidth="1"/>
    <col min="9" max="10" width="8.7109375" hidden="1" customWidth="1"/>
    <col min="11" max="11" width="9.42578125" customWidth="1"/>
    <col min="12" max="12" width="12.140625" style="110" hidden="1" customWidth="1"/>
    <col min="13" max="13" width="1.140625" hidden="1" customWidth="1"/>
    <col min="14" max="14" width="7.28515625" hidden="1" customWidth="1"/>
    <col min="15" max="15" width="8.7109375" hidden="1" customWidth="1"/>
    <col min="16" max="16" width="7.28515625" hidden="1" customWidth="1"/>
    <col min="17" max="17" width="8.28515625" hidden="1" customWidth="1"/>
    <col min="18" max="18" width="1.140625" hidden="1" customWidth="1"/>
    <col min="19" max="19" width="9" hidden="1" customWidth="1"/>
    <col min="20" max="20" width="8.7109375" hidden="1" customWidth="1"/>
    <col min="21" max="21" width="1.140625" hidden="1" customWidth="1"/>
    <col min="22" max="22" width="8.140625" hidden="1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customWidth="1"/>
    <col min="28" max="28" width="11.42578125" customWidth="1"/>
    <col min="29" max="29" width="11.28515625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323" t="s">
        <v>95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1.6" hidden="1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21.6" hidden="1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21.6" hidden="1" customHeight="1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4" si="0">H7*W7</f>
        <v>240</v>
      </c>
      <c r="J7" s="72">
        <f t="shared" ref="J7:J24" si="1">+I7/Y7</f>
        <v>7283.7632776934752</v>
      </c>
      <c r="K7" s="72">
        <f t="shared" ref="K7:K24" si="2">IF(V7-H7&lt;0,0,V7-H7)</f>
        <v>0</v>
      </c>
      <c r="L7" s="75" t="str">
        <f t="shared" ref="L7:L24" si="3">+IF(X7-J7&lt;0,"",X7-J7)</f>
        <v/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21.6" hidden="1" customHeight="1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4" si="4">+V8*AA8</f>
        <v>16400.911161731208</v>
      </c>
      <c r="Y8" s="94">
        <f t="shared" ref="Y8:Y24" si="5">+Z8/1000</f>
        <v>2.1950000000000001E-2</v>
      </c>
      <c r="Z8" s="121">
        <v>21.95</v>
      </c>
      <c r="AA8" s="39">
        <f t="shared" ref="AA8:AA24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6" hidden="1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</v>
      </c>
      <c r="G9" s="112" t="s">
        <v>28</v>
      </c>
      <c r="H9" s="327">
        <v>0</v>
      </c>
      <c r="I9" s="117">
        <f>H9*W9</f>
        <v>0</v>
      </c>
      <c r="J9" s="117">
        <f>+I9/Y9</f>
        <v>0</v>
      </c>
      <c r="K9" s="117">
        <v>10</v>
      </c>
      <c r="L9" s="328">
        <f>+IF(X9-J9&lt;0,"",X9-J9)</f>
        <v>49202.733485193625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21.6" hidden="1" customHeight="1" x14ac:dyDescent="0.25">
      <c r="L10"/>
    </row>
    <row r="11" spans="2:31" ht="21.6" hidden="1" customHeight="1" thickBot="1" x14ac:dyDescent="0.4">
      <c r="C11" s="166" t="s">
        <v>96</v>
      </c>
      <c r="D11" s="163"/>
      <c r="E11" s="163"/>
      <c r="F11" s="163"/>
      <c r="G11" s="163"/>
      <c r="L11"/>
    </row>
    <row r="12" spans="2:31" ht="21.6" hidden="1" customHeight="1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21.6" hidden="1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21.6" hidden="1" customHeight="1" x14ac:dyDescent="0.3">
      <c r="B14" s="70">
        <v>654</v>
      </c>
      <c r="C14" s="71" t="s">
        <v>23</v>
      </c>
      <c r="D14" s="74"/>
      <c r="E14" s="74"/>
      <c r="F14" s="74">
        <f>+I14/(V14*W14)</f>
        <v>0.4</v>
      </c>
      <c r="G14" s="111" t="s">
        <v>22</v>
      </c>
      <c r="H14" s="73">
        <v>2</v>
      </c>
      <c r="I14" s="72">
        <f t="shared" si="0"/>
        <v>30.959999999999997</v>
      </c>
      <c r="J14" s="72">
        <f>H14*AA14</f>
        <v>1440</v>
      </c>
      <c r="K14" s="72">
        <f t="shared" si="2"/>
        <v>3</v>
      </c>
      <c r="L14" s="75">
        <f t="shared" si="3"/>
        <v>2160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21.6" hidden="1" customHeight="1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6" hidden="1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hidden="1" customHeight="1" x14ac:dyDescent="0.25"/>
    <row r="18" spans="1:31" ht="6" hidden="1" customHeight="1" x14ac:dyDescent="0.25"/>
    <row r="19" spans="1:31" ht="24" hidden="1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53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</v>
      </c>
      <c r="G22" s="111" t="s">
        <v>30</v>
      </c>
      <c r="H22" s="73">
        <v>0</v>
      </c>
      <c r="I22" s="72">
        <f t="shared" si="0"/>
        <v>0</v>
      </c>
      <c r="J22" s="72">
        <f t="shared" si="1"/>
        <v>0</v>
      </c>
      <c r="K22" s="72">
        <f t="shared" si="2"/>
        <v>4</v>
      </c>
      <c r="L22" s="75">
        <f t="shared" si="3"/>
        <v>5454.545454545455</v>
      </c>
      <c r="M22" s="92"/>
      <c r="N22" s="330"/>
      <c r="O22" s="87"/>
      <c r="P22" s="87"/>
      <c r="Q22" s="331"/>
      <c r="R22" s="92"/>
      <c r="S22" s="332"/>
      <c r="T22" s="331"/>
      <c r="U22" s="92"/>
      <c r="V22" s="332">
        <v>4</v>
      </c>
      <c r="W22" s="87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4" si="8">1.5*AB22/AA22</f>
        <v>7.1015999999999995</v>
      </c>
      <c r="AD22" s="338"/>
      <c r="AE22" s="107" t="s">
        <v>86</v>
      </c>
    </row>
    <row r="23" spans="1:31" ht="19.5" thickBot="1" x14ac:dyDescent="0.35">
      <c r="B23" s="383">
        <v>506</v>
      </c>
      <c r="C23" s="79" t="s">
        <v>29</v>
      </c>
      <c r="D23" s="384"/>
      <c r="E23" s="384"/>
      <c r="F23" s="384">
        <f>+I23/(V23*W23)</f>
        <v>0</v>
      </c>
      <c r="G23" s="112" t="s">
        <v>28</v>
      </c>
      <c r="H23" s="385">
        <v>0</v>
      </c>
      <c r="I23" s="386">
        <f>H23*W23</f>
        <v>0</v>
      </c>
      <c r="J23" s="386">
        <f>+I23/Y23</f>
        <v>0</v>
      </c>
      <c r="K23" s="386">
        <v>26</v>
      </c>
      <c r="L23" s="387">
        <f>+IF(X23-J23&lt;0,"",X23-J23)</f>
        <v>49202.733485193625</v>
      </c>
      <c r="M23" s="92"/>
      <c r="N23" s="388"/>
      <c r="O23" s="389"/>
      <c r="P23" s="389"/>
      <c r="Q23" s="390"/>
      <c r="R23" s="92"/>
      <c r="S23" s="391"/>
      <c r="T23" s="390"/>
      <c r="U23" s="92"/>
      <c r="V23" s="391">
        <v>36</v>
      </c>
      <c r="W23" s="389">
        <v>30</v>
      </c>
      <c r="X23" s="389">
        <f>+V23*AA23</f>
        <v>49202.733485193625</v>
      </c>
      <c r="Y23" s="392">
        <f>+Z23/1000</f>
        <v>2.1950000000000001E-2</v>
      </c>
      <c r="Z23" s="393">
        <v>21.95</v>
      </c>
      <c r="AA23" s="389">
        <f>+W23/Y23</f>
        <v>1366.7425968109339</v>
      </c>
      <c r="AB23" s="389">
        <f>IFERROR(VLOOKUP(B23,'Estadistica Madre CH 23-01'!A:C,3,0),+VLOOKUP(B23,'Estadistica Madre LK 23-01 '!A:C,3,0))</f>
        <v>18840</v>
      </c>
      <c r="AC23" s="394">
        <f>4.1*AB23/AA23</f>
        <v>56.516860000000001</v>
      </c>
      <c r="AD23" s="394"/>
      <c r="AE23" s="395" t="s">
        <v>86</v>
      </c>
    </row>
    <row r="24" spans="1:31" ht="19.5" thickBot="1" x14ac:dyDescent="0.35">
      <c r="B24" s="78">
        <v>544</v>
      </c>
      <c r="C24" s="79" t="s">
        <v>474</v>
      </c>
      <c r="D24" s="329"/>
      <c r="E24" s="329"/>
      <c r="F24" s="329">
        <f>+I24/(V24*W24)</f>
        <v>0.27777777777777773</v>
      </c>
      <c r="G24" s="112" t="s">
        <v>702</v>
      </c>
      <c r="H24" s="327">
        <v>15</v>
      </c>
      <c r="I24" s="117">
        <f t="shared" si="0"/>
        <v>235.2</v>
      </c>
      <c r="J24" s="117">
        <f t="shared" si="1"/>
        <v>2400</v>
      </c>
      <c r="K24" s="117">
        <f t="shared" si="2"/>
        <v>39</v>
      </c>
      <c r="L24" s="328">
        <f t="shared" si="3"/>
        <v>6240</v>
      </c>
      <c r="M24" s="92"/>
      <c r="N24" s="135"/>
      <c r="O24" s="119"/>
      <c r="P24" s="119"/>
      <c r="Q24" s="130"/>
      <c r="R24" s="92"/>
      <c r="S24" s="98"/>
      <c r="T24" s="130"/>
      <c r="U24" s="92"/>
      <c r="V24" s="98">
        <v>54</v>
      </c>
      <c r="W24" s="119">
        <v>15.68</v>
      </c>
      <c r="X24" s="119">
        <f t="shared" si="4"/>
        <v>8640</v>
      </c>
      <c r="Y24" s="99">
        <f t="shared" si="5"/>
        <v>9.8000000000000004E-2</v>
      </c>
      <c r="Z24" s="125">
        <v>98</v>
      </c>
      <c r="AA24" s="119">
        <f t="shared" si="6"/>
        <v>160</v>
      </c>
      <c r="AB24" s="119">
        <f>IFERROR(VLOOKUP(B24,'Estadistica Madre CH 23-01'!A:C,3,0),+VLOOKUP(B24,'Estadistica Madre LK 23-01 '!A:C,3,0))</f>
        <v>7464</v>
      </c>
      <c r="AC24" s="126">
        <f t="shared" si="8"/>
        <v>69.974999999999994</v>
      </c>
      <c r="AD24" s="126"/>
      <c r="AE24" s="109" t="s">
        <v>86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24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14.475114105629208</v>
      </c>
      <c r="G29" s="231" t="s">
        <v>444</v>
      </c>
      <c r="H29" s="234">
        <v>9</v>
      </c>
      <c r="I29" s="235">
        <f>+H29*X29</f>
        <v>180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17-03'!G29)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0.6</v>
      </c>
      <c r="G31" s="68"/>
      <c r="H31" s="66">
        <v>3</v>
      </c>
      <c r="I31" s="67">
        <f>H31*W31</f>
        <v>90</v>
      </c>
      <c r="J31" s="67">
        <f>+I31/Y31</f>
        <v>4100.2277904328021</v>
      </c>
      <c r="K31" s="67">
        <f>IF(V31-H31&lt;0,0,V31-H31)</f>
        <v>2</v>
      </c>
      <c r="L31" s="67">
        <f>+IF(X31-J31&lt;0,"",X31-J31)</f>
        <v>2733.4851936218674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3.937007874015748E-2" right="3.937007874015748E-2" top="0.15748031496062992" bottom="7.874015748031496E-2" header="0" footer="0"/>
  <pageSetup paperSize="9" scale="90" fitToHeight="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0"/>
    <pageSetUpPr fitToPage="1"/>
  </sheetPr>
  <dimension ref="A1:AE30"/>
  <sheetViews>
    <sheetView topLeftCell="A14" zoomScale="55" zoomScaleNormal="55" workbookViewId="0">
      <selection activeCell="AL10" sqref="AL10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hidden="1" customWidth="1"/>
    <col min="5" max="5" width="9.140625" hidden="1" customWidth="1"/>
    <col min="6" max="6" width="8.28515625" hidden="1" customWidth="1"/>
    <col min="7" max="7" width="13.28515625" customWidth="1"/>
    <col min="8" max="8" width="8.42578125" customWidth="1"/>
    <col min="9" max="9" width="8.7109375" hidden="1" customWidth="1"/>
    <col min="10" max="10" width="11.28515625" hidden="1" customWidth="1"/>
    <col min="11" max="11" width="9.42578125" customWidth="1"/>
    <col min="12" max="12" width="12.140625" style="110" hidden="1" customWidth="1"/>
    <col min="13" max="13" width="1.140625" hidden="1" customWidth="1"/>
    <col min="14" max="14" width="7.28515625" hidden="1" customWidth="1"/>
    <col min="15" max="15" width="8.7109375" hidden="1" customWidth="1"/>
    <col min="16" max="16" width="7.28515625" hidden="1" customWidth="1"/>
    <col min="17" max="17" width="8.28515625" hidden="1" customWidth="1"/>
    <col min="18" max="18" width="1.140625" hidden="1" customWidth="1"/>
    <col min="19" max="19" width="9" hidden="1" customWidth="1"/>
    <col min="20" max="20" width="8.7109375" hidden="1" customWidth="1"/>
    <col min="21" max="21" width="1.140625" hidden="1" customWidth="1"/>
    <col min="22" max="22" width="8.140625" customWidth="1"/>
    <col min="23" max="23" width="8" hidden="1" customWidth="1"/>
    <col min="24" max="24" width="11.140625" hidden="1" customWidth="1"/>
    <col min="25" max="25" width="14.140625" style="110" customWidth="1"/>
    <col min="26" max="26" width="8.28515625" hidden="1" customWidth="1"/>
    <col min="27" max="27" width="10" customWidth="1"/>
    <col min="28" max="28" width="11.42578125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95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8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3" si="0">H7*W7</f>
        <v>240</v>
      </c>
      <c r="J7" s="72">
        <f t="shared" ref="J7:J23" si="1">+I7/Y7</f>
        <v>7283.7632776934752</v>
      </c>
      <c r="K7" s="72">
        <f t="shared" ref="K7:K23" si="2">IF(V7-H7&lt;0,0,V7-H7)</f>
        <v>0</v>
      </c>
      <c r="L7" s="75" t="str">
        <f t="shared" ref="L7:L23" si="3">+IF(X7-J7&lt;0,"",X7-J7)</f>
        <v/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</v>
      </c>
      <c r="G9" s="112" t="s">
        <v>28</v>
      </c>
      <c r="H9" s="327">
        <v>0</v>
      </c>
      <c r="I9" s="117">
        <f>H9*W9</f>
        <v>0</v>
      </c>
      <c r="J9" s="117">
        <f>+I9/Y9</f>
        <v>0</v>
      </c>
      <c r="K9" s="117">
        <f>IF(V9-H9&lt;0,0,V9-H9)</f>
        <v>36</v>
      </c>
      <c r="L9" s="328">
        <f>+IF(X9-J9&lt;0,"",X9-J9)</f>
        <v>49202.733485193625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53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0.5</v>
      </c>
      <c r="G22" s="111" t="s">
        <v>30</v>
      </c>
      <c r="H22" s="73">
        <v>2</v>
      </c>
      <c r="I22" s="72">
        <f t="shared" si="0"/>
        <v>60</v>
      </c>
      <c r="J22" s="72">
        <f t="shared" si="1"/>
        <v>2727.2727272727275</v>
      </c>
      <c r="K22" s="72">
        <f t="shared" si="2"/>
        <v>2</v>
      </c>
      <c r="L22" s="75">
        <f t="shared" si="3"/>
        <v>2727.2727272727275</v>
      </c>
      <c r="M22" s="92"/>
      <c r="N22" s="330"/>
      <c r="O22" s="87"/>
      <c r="P22" s="87"/>
      <c r="Q22" s="331"/>
      <c r="R22" s="92"/>
      <c r="S22" s="332"/>
      <c r="T22" s="331"/>
      <c r="U22" s="92"/>
      <c r="V22" s="332">
        <v>4</v>
      </c>
      <c r="W22" s="87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8">
        <v>544</v>
      </c>
      <c r="C23" s="79" t="s">
        <v>474</v>
      </c>
      <c r="D23" s="329"/>
      <c r="E23" s="329"/>
      <c r="F23" s="329">
        <f>+I23/(V23*W23)</f>
        <v>0.27777777777777773</v>
      </c>
      <c r="G23" s="112" t="s">
        <v>702</v>
      </c>
      <c r="H23" s="327">
        <v>15</v>
      </c>
      <c r="I23" s="117">
        <f t="shared" si="0"/>
        <v>235.2</v>
      </c>
      <c r="J23" s="117">
        <f t="shared" si="1"/>
        <v>2400</v>
      </c>
      <c r="K23" s="117">
        <f t="shared" si="2"/>
        <v>39</v>
      </c>
      <c r="L23" s="328">
        <f t="shared" si="3"/>
        <v>6240</v>
      </c>
      <c r="M23" s="92"/>
      <c r="N23" s="135"/>
      <c r="O23" s="119"/>
      <c r="P23" s="119"/>
      <c r="Q23" s="130"/>
      <c r="R23" s="92"/>
      <c r="S23" s="98"/>
      <c r="T23" s="130"/>
      <c r="U23" s="92"/>
      <c r="V23" s="98">
        <v>54</v>
      </c>
      <c r="W23" s="119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6" customHeight="1" x14ac:dyDescent="0.25"/>
    <row r="25" spans="1:31" ht="24" thickBot="1" x14ac:dyDescent="0.4">
      <c r="C25" s="166" t="s">
        <v>96</v>
      </c>
      <c r="D25" s="163"/>
      <c r="E25" s="163"/>
      <c r="F25" s="163"/>
    </row>
    <row r="26" spans="1:31" ht="24" thickBot="1" x14ac:dyDescent="0.35">
      <c r="C26" s="216" t="s">
        <v>446</v>
      </c>
      <c r="D26" s="162" t="s">
        <v>1</v>
      </c>
      <c r="E26" s="319"/>
      <c r="F26" s="320"/>
      <c r="V26" s="346" t="s">
        <v>73</v>
      </c>
      <c r="W26" s="325"/>
      <c r="X26" s="325"/>
      <c r="Y26" s="325"/>
      <c r="Z26" s="325"/>
      <c r="AA26" s="325"/>
      <c r="AB26" s="325"/>
      <c r="AC26" s="325"/>
      <c r="AD26" s="325"/>
      <c r="AE26" s="326"/>
    </row>
    <row r="27" spans="1:31" ht="56.45" customHeight="1" thickBot="1" x14ac:dyDescent="0.3">
      <c r="A27" s="15" t="s">
        <v>458</v>
      </c>
      <c r="B27" s="15" t="s">
        <v>3</v>
      </c>
      <c r="C27" s="4" t="s">
        <v>5</v>
      </c>
      <c r="D27" s="4" t="s">
        <v>442</v>
      </c>
      <c r="E27" s="4" t="s">
        <v>443</v>
      </c>
      <c r="F27" s="4" t="s">
        <v>76</v>
      </c>
      <c r="G27" s="4" t="s">
        <v>4</v>
      </c>
      <c r="H27" s="4" t="s">
        <v>447</v>
      </c>
      <c r="I27" s="4" t="s">
        <v>6</v>
      </c>
      <c r="J27" s="18" t="s">
        <v>54</v>
      </c>
      <c r="K27" s="18" t="s">
        <v>443</v>
      </c>
      <c r="L27" s="153" t="s">
        <v>59</v>
      </c>
      <c r="M27" s="91"/>
      <c r="N27" s="133" t="s">
        <v>75</v>
      </c>
      <c r="O27" s="133" t="s">
        <v>69</v>
      </c>
      <c r="P27" s="6" t="s">
        <v>70</v>
      </c>
      <c r="Q27" s="138" t="s">
        <v>74</v>
      </c>
      <c r="R27" s="91"/>
      <c r="S27" s="133" t="s">
        <v>71</v>
      </c>
      <c r="T27" s="6" t="s">
        <v>72</v>
      </c>
      <c r="U27" s="91"/>
      <c r="V27" s="207" t="s">
        <v>448</v>
      </c>
      <c r="W27" s="154" t="s">
        <v>450</v>
      </c>
      <c r="X27" s="154" t="s">
        <v>449</v>
      </c>
      <c r="Y27" s="154" t="s">
        <v>451</v>
      </c>
      <c r="Z27" s="154" t="s">
        <v>452</v>
      </c>
      <c r="AA27" s="154" t="s">
        <v>14</v>
      </c>
      <c r="AB27" s="154" t="s">
        <v>455</v>
      </c>
      <c r="AC27" s="154" t="s">
        <v>456</v>
      </c>
      <c r="AD27" s="138"/>
      <c r="AE27" s="6" t="s">
        <v>454</v>
      </c>
    </row>
    <row r="28" spans="1:31" ht="19.5" thickBot="1" x14ac:dyDescent="0.35">
      <c r="A28" s="230">
        <v>1300500</v>
      </c>
      <c r="B28" s="231" t="s">
        <v>457</v>
      </c>
      <c r="C28" s="232" t="s">
        <v>445</v>
      </c>
      <c r="D28" s="233"/>
      <c r="E28" s="233"/>
      <c r="F28" s="233">
        <f>+I28/(X28*Z28)</f>
        <v>14.475114105629208</v>
      </c>
      <c r="G28" s="231" t="s">
        <v>444</v>
      </c>
      <c r="H28" s="234">
        <v>9</v>
      </c>
      <c r="I28" s="235">
        <f>+H28*X28</f>
        <v>180</v>
      </c>
      <c r="J28" s="235">
        <f>IF(AB28-I28&lt;0,0,AB28-I28)</f>
        <v>0</v>
      </c>
      <c r="K28" s="236">
        <f>IF(AC28-H28&lt;0,0,AC28-H28)</f>
        <v>0</v>
      </c>
      <c r="M28" s="92"/>
      <c r="N28" s="244"/>
      <c r="O28" s="240"/>
      <c r="P28" s="240"/>
      <c r="Q28" s="243"/>
      <c r="R28" s="92"/>
      <c r="S28" s="237"/>
      <c r="T28" s="243"/>
      <c r="U28" s="92"/>
      <c r="V28" s="237"/>
      <c r="W28" s="235">
        <f>+V28*X28</f>
        <v>0</v>
      </c>
      <c r="X28" s="235">
        <v>20</v>
      </c>
      <c r="Y28" s="238">
        <f>+SUMIFS('Consumo '!F:F,'Consumo '!A:A,G28)</f>
        <v>12.435135135135138</v>
      </c>
      <c r="Z28" s="239">
        <f>+Y28/X28</f>
        <v>0.6217567567567569</v>
      </c>
      <c r="AA28" s="240">
        <f>+SUMIFS('Consumo '!E:E,'Consumo '!A:A,'Garage 10-03'!G28)</f>
        <v>9224</v>
      </c>
      <c r="AB28" s="240">
        <f>+Y28*1.5</f>
        <v>18.652702702702705</v>
      </c>
      <c r="AC28" s="241">
        <f>+Z28*1.5</f>
        <v>0.93263513513513541</v>
      </c>
      <c r="AD28" s="241"/>
      <c r="AE28" s="242" t="s">
        <v>446</v>
      </c>
    </row>
    <row r="29" spans="1:31" ht="23.25" x14ac:dyDescent="0.35">
      <c r="C29" s="215" t="s">
        <v>98</v>
      </c>
    </row>
    <row r="30" spans="1:31" ht="18.75" x14ac:dyDescent="0.3">
      <c r="B30" s="106" t="s">
        <v>20</v>
      </c>
      <c r="C30" s="69" t="s">
        <v>21</v>
      </c>
      <c r="D30" s="68"/>
      <c r="E30" s="68"/>
      <c r="F30" s="68">
        <f>+I30/(V30*W30)</f>
        <v>0.8</v>
      </c>
      <c r="G30" s="68"/>
      <c r="H30" s="66">
        <v>4</v>
      </c>
      <c r="I30" s="67">
        <f>H30*W30</f>
        <v>120</v>
      </c>
      <c r="J30" s="67">
        <f>+I30/Y30</f>
        <v>5466.9703872437358</v>
      </c>
      <c r="K30" s="67">
        <f>IF(V30-H30&lt;0,0,V30-H30)</f>
        <v>1</v>
      </c>
      <c r="L30" s="67">
        <f>+IF(X30-J30&lt;0,"",X30-J30)</f>
        <v>1366.7425968109337</v>
      </c>
      <c r="M30" s="92"/>
      <c r="N30" s="134"/>
      <c r="O30" s="39"/>
      <c r="P30" s="39"/>
      <c r="Q30" s="128"/>
      <c r="R30" s="92"/>
      <c r="S30" s="96"/>
      <c r="T30" s="128"/>
      <c r="U30" s="92"/>
      <c r="V30" s="96">
        <v>5</v>
      </c>
      <c r="W30" s="39">
        <v>30</v>
      </c>
      <c r="X30" s="39">
        <f>+V30*AA30</f>
        <v>6833.7129840546695</v>
      </c>
      <c r="Y30" s="94">
        <f>+Z30/1000</f>
        <v>2.1950000000000001E-2</v>
      </c>
      <c r="Z30" s="121">
        <v>21.95</v>
      </c>
      <c r="AA30" s="39">
        <f>+W30/Y30</f>
        <v>1366.7425968109339</v>
      </c>
      <c r="AB30" s="39">
        <f>IFERROR(VLOOKUP(706,'Estadistica Madre CH 23-01'!A:C,3,0),+VLOOKUP(B30,'Estadistica Madre LK 23-01 '!A:C,3,0))</f>
        <v>2400</v>
      </c>
      <c r="AC30" s="122">
        <f>1.5*AB30/AA30</f>
        <v>2.6339999999999999</v>
      </c>
      <c r="AD30" s="122"/>
      <c r="AE30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82" fitToHeight="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AE30"/>
  <sheetViews>
    <sheetView topLeftCell="A8" zoomScale="40" zoomScaleNormal="40" workbookViewId="0">
      <selection activeCell="AU11" sqref="AU11:AU12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hidden="1" customWidth="1"/>
    <col min="5" max="5" width="9.140625" hidden="1" customWidth="1"/>
    <col min="6" max="6" width="8.28515625" customWidth="1"/>
    <col min="7" max="7" width="9" customWidth="1"/>
    <col min="8" max="8" width="8.42578125" customWidth="1"/>
    <col min="9" max="10" width="8.7109375" hidden="1" customWidth="1"/>
    <col min="11" max="11" width="9.42578125" customWidth="1"/>
    <col min="12" max="12" width="12.140625" style="110" hidden="1" customWidth="1"/>
    <col min="13" max="13" width="1.140625" hidden="1" customWidth="1"/>
    <col min="14" max="14" width="7.28515625" hidden="1" customWidth="1"/>
    <col min="15" max="15" width="8.7109375" hidden="1" customWidth="1"/>
    <col min="16" max="16" width="7.28515625" hidden="1" customWidth="1"/>
    <col min="17" max="17" width="8.28515625" hidden="1" customWidth="1"/>
    <col min="18" max="18" width="1.140625" hidden="1" customWidth="1"/>
    <col min="19" max="19" width="9" hidden="1" customWidth="1"/>
    <col min="20" max="20" width="8.7109375" hidden="1" customWidth="1"/>
    <col min="21" max="21" width="1.140625" hidden="1" customWidth="1"/>
    <col min="22" max="22" width="8.140625" hidden="1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style="110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323" t="s">
        <v>95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4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71"/>
      <c r="AD5" s="325"/>
      <c r="AE5" s="326"/>
    </row>
    <row r="6" spans="2:31" ht="77.45" customHeight="1" thickBot="1" x14ac:dyDescent="0.35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8" t="s">
        <v>54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72" t="s">
        <v>475</v>
      </c>
      <c r="AD6" s="140" t="s">
        <v>80</v>
      </c>
      <c r="AE6" s="4" t="s">
        <v>46</v>
      </c>
    </row>
    <row r="7" spans="2:31" ht="18.75" hidden="1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3" si="0">H7*W7</f>
        <v>240</v>
      </c>
      <c r="J7" s="72">
        <f t="shared" ref="J7:J23" si="1">+I7/Y7</f>
        <v>7283.7632776934752</v>
      </c>
      <c r="K7" s="72">
        <f t="shared" ref="K7:K23" si="2">IF(V7-H7&lt;0,0,V7-H7)</f>
        <v>0</v>
      </c>
      <c r="L7" s="75" t="str">
        <f t="shared" ref="L7:L23" si="3">+IF(X7-J7&lt;0,"",X7-J7)</f>
        <v/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73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8.3333333333333329E-2</v>
      </c>
      <c r="G8" s="106" t="s">
        <v>17</v>
      </c>
      <c r="H8" s="66">
        <v>1</v>
      </c>
      <c r="I8" s="67">
        <f t="shared" si="0"/>
        <v>30</v>
      </c>
      <c r="J8" s="67">
        <f t="shared" si="1"/>
        <v>1366.7425968109339</v>
      </c>
      <c r="K8" s="67">
        <f t="shared" si="2"/>
        <v>11</v>
      </c>
      <c r="L8" s="77">
        <f t="shared" si="3"/>
        <v>15034.168564920274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374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0.1111111111111111</v>
      </c>
      <c r="G9" s="112" t="s">
        <v>28</v>
      </c>
      <c r="H9" s="327">
        <v>4</v>
      </c>
      <c r="I9" s="117">
        <f>H9*W9</f>
        <v>120</v>
      </c>
      <c r="J9" s="117">
        <f>+I9/Y9</f>
        <v>5466.9703872437358</v>
      </c>
      <c r="K9" s="117">
        <f>IF(V9-H9&lt;0,0,V9-H9)</f>
        <v>32</v>
      </c>
      <c r="L9" s="328">
        <f>+IF(X9-J9&lt;0,"",X9-J9)</f>
        <v>43735.763097949886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375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4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71"/>
      <c r="AD12" s="325"/>
      <c r="AE12" s="326"/>
    </row>
    <row r="13" spans="2:31" ht="69.599999999999994" customHeight="1" thickBot="1" x14ac:dyDescent="0.35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54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376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77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0.1</v>
      </c>
      <c r="G15" s="106" t="s">
        <v>24</v>
      </c>
      <c r="H15" s="66">
        <v>1</v>
      </c>
      <c r="I15" s="67">
        <f t="shared" si="0"/>
        <v>1.8</v>
      </c>
      <c r="J15" s="67">
        <f t="shared" ref="J15:J16" si="7">H15*AA15</f>
        <v>720</v>
      </c>
      <c r="K15" s="67">
        <f t="shared" si="2"/>
        <v>9</v>
      </c>
      <c r="L15" s="77">
        <f t="shared" si="3"/>
        <v>6480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378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3</v>
      </c>
      <c r="G16" s="112" t="s">
        <v>26</v>
      </c>
      <c r="H16" s="327">
        <v>3</v>
      </c>
      <c r="I16" s="117">
        <f t="shared" si="0"/>
        <v>5.4</v>
      </c>
      <c r="J16" s="117">
        <f t="shared" si="7"/>
        <v>2160</v>
      </c>
      <c r="K16" s="117">
        <f t="shared" si="2"/>
        <v>0</v>
      </c>
      <c r="L16" s="328" t="str">
        <f t="shared" si="3"/>
        <v/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379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4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71"/>
      <c r="AD20" s="325"/>
      <c r="AE20" s="326"/>
    </row>
    <row r="21" spans="1:31" ht="71.650000000000006" customHeight="1" thickBot="1" x14ac:dyDescent="0.35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80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0.5</v>
      </c>
      <c r="G22" s="111" t="s">
        <v>30</v>
      </c>
      <c r="H22" s="73">
        <v>2</v>
      </c>
      <c r="I22" s="72">
        <f t="shared" si="0"/>
        <v>60</v>
      </c>
      <c r="J22" s="72">
        <f t="shared" si="1"/>
        <v>2727.2727272727275</v>
      </c>
      <c r="K22" s="72">
        <f t="shared" si="2"/>
        <v>2</v>
      </c>
      <c r="L22" s="75">
        <f t="shared" si="3"/>
        <v>2727.2727272727275</v>
      </c>
      <c r="M22" s="92"/>
      <c r="N22" s="330"/>
      <c r="O22" s="87"/>
      <c r="P22" s="87"/>
      <c r="Q22" s="331"/>
      <c r="R22" s="92"/>
      <c r="S22" s="332"/>
      <c r="T22" s="331"/>
      <c r="U22" s="92"/>
      <c r="V22" s="332">
        <v>4</v>
      </c>
      <c r="W22" s="87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81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8">
        <v>544</v>
      </c>
      <c r="C23" s="79" t="s">
        <v>474</v>
      </c>
      <c r="D23" s="329"/>
      <c r="E23" s="329"/>
      <c r="F23" s="329">
        <f>+I23/(V23*W23)</f>
        <v>0.27777777777777773</v>
      </c>
      <c r="G23" s="112" t="s">
        <v>702</v>
      </c>
      <c r="H23" s="327">
        <v>15</v>
      </c>
      <c r="I23" s="117">
        <f t="shared" si="0"/>
        <v>235.2</v>
      </c>
      <c r="J23" s="117">
        <f t="shared" si="1"/>
        <v>2400</v>
      </c>
      <c r="K23" s="117">
        <f t="shared" si="2"/>
        <v>39</v>
      </c>
      <c r="L23" s="328">
        <f t="shared" si="3"/>
        <v>6240</v>
      </c>
      <c r="M23" s="92"/>
      <c r="N23" s="135"/>
      <c r="O23" s="119"/>
      <c r="P23" s="119"/>
      <c r="Q23" s="130"/>
      <c r="R23" s="92"/>
      <c r="S23" s="98"/>
      <c r="T23" s="130"/>
      <c r="U23" s="92"/>
      <c r="V23" s="98">
        <v>54</v>
      </c>
      <c r="W23" s="119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379">
        <f t="shared" si="8"/>
        <v>69.974999999999994</v>
      </c>
      <c r="AD23" s="126"/>
      <c r="AE23" s="109"/>
    </row>
    <row r="24" spans="1:31" ht="6" customHeight="1" x14ac:dyDescent="0.25"/>
    <row r="25" spans="1:31" ht="24" thickBot="1" x14ac:dyDescent="0.4">
      <c r="C25" s="166" t="s">
        <v>96</v>
      </c>
      <c r="D25" s="163"/>
      <c r="E25" s="163"/>
      <c r="F25" s="163"/>
    </row>
    <row r="26" spans="1:31" ht="24" thickBot="1" x14ac:dyDescent="0.4">
      <c r="C26" s="216" t="s">
        <v>446</v>
      </c>
      <c r="D26" s="162" t="s">
        <v>1</v>
      </c>
      <c r="E26" s="319"/>
      <c r="F26" s="320"/>
      <c r="V26" s="346" t="s">
        <v>73</v>
      </c>
      <c r="W26" s="325"/>
      <c r="X26" s="325"/>
      <c r="Y26" s="325"/>
      <c r="Z26" s="325"/>
      <c r="AA26" s="325"/>
      <c r="AB26" s="325"/>
      <c r="AC26" s="371"/>
      <c r="AD26" s="325"/>
      <c r="AE26" s="326"/>
    </row>
    <row r="27" spans="1:31" ht="56.45" customHeight="1" thickBot="1" x14ac:dyDescent="0.35">
      <c r="A27" s="15" t="s">
        <v>458</v>
      </c>
      <c r="B27" s="15" t="s">
        <v>3</v>
      </c>
      <c r="C27" s="4" t="s">
        <v>5</v>
      </c>
      <c r="D27" s="4" t="s">
        <v>442</v>
      </c>
      <c r="E27" s="4" t="s">
        <v>443</v>
      </c>
      <c r="F27" s="4" t="s">
        <v>76</v>
      </c>
      <c r="G27" s="4" t="s">
        <v>4</v>
      </c>
      <c r="H27" s="4" t="s">
        <v>447</v>
      </c>
      <c r="I27" s="4" t="s">
        <v>6</v>
      </c>
      <c r="J27" s="18" t="s">
        <v>54</v>
      </c>
      <c r="K27" s="18" t="s">
        <v>443</v>
      </c>
      <c r="L27" s="153" t="s">
        <v>59</v>
      </c>
      <c r="M27" s="91"/>
      <c r="N27" s="133" t="s">
        <v>75</v>
      </c>
      <c r="O27" s="133" t="s">
        <v>69</v>
      </c>
      <c r="P27" s="6" t="s">
        <v>70</v>
      </c>
      <c r="Q27" s="138" t="s">
        <v>74</v>
      </c>
      <c r="R27" s="91"/>
      <c r="S27" s="133" t="s">
        <v>71</v>
      </c>
      <c r="T27" s="6" t="s">
        <v>72</v>
      </c>
      <c r="U27" s="91"/>
      <c r="V27" s="207" t="s">
        <v>448</v>
      </c>
      <c r="W27" s="154" t="s">
        <v>450</v>
      </c>
      <c r="X27" s="154" t="s">
        <v>449</v>
      </c>
      <c r="Y27" s="154" t="s">
        <v>451</v>
      </c>
      <c r="Z27" s="154" t="s">
        <v>452</v>
      </c>
      <c r="AA27" s="154" t="s">
        <v>14</v>
      </c>
      <c r="AB27" s="154" t="s">
        <v>455</v>
      </c>
      <c r="AC27" s="376" t="s">
        <v>456</v>
      </c>
      <c r="AD27" s="138"/>
      <c r="AE27" s="6" t="s">
        <v>454</v>
      </c>
    </row>
    <row r="28" spans="1:31" ht="19.5" thickBot="1" x14ac:dyDescent="0.35">
      <c r="A28" s="230">
        <v>1300500</v>
      </c>
      <c r="B28" s="231" t="s">
        <v>457</v>
      </c>
      <c r="C28" s="232" t="s">
        <v>445</v>
      </c>
      <c r="D28" s="233"/>
      <c r="E28" s="233"/>
      <c r="F28" s="233">
        <f>+I28/(X28*Z28)</f>
        <v>14.475114105629208</v>
      </c>
      <c r="G28" s="231" t="s">
        <v>444</v>
      </c>
      <c r="H28" s="234">
        <v>9</v>
      </c>
      <c r="I28" s="235">
        <f>+H28*X28</f>
        <v>180</v>
      </c>
      <c r="J28" s="235">
        <f>IF(AB28-I28&lt;0,0,AB28-I28)</f>
        <v>0</v>
      </c>
      <c r="K28" s="236">
        <f>IF(AC28-H28&lt;0,0,AC28-H28)</f>
        <v>0</v>
      </c>
      <c r="M28" s="92"/>
      <c r="N28" s="244"/>
      <c r="O28" s="240"/>
      <c r="P28" s="240"/>
      <c r="Q28" s="243"/>
      <c r="R28" s="92"/>
      <c r="S28" s="237"/>
      <c r="T28" s="243"/>
      <c r="U28" s="92"/>
      <c r="V28" s="237"/>
      <c r="W28" s="235">
        <f>+V28*X28</f>
        <v>0</v>
      </c>
      <c r="X28" s="235">
        <v>20</v>
      </c>
      <c r="Y28" s="238">
        <f>+SUMIFS('Consumo '!F:F,'Consumo '!A:A,G28)</f>
        <v>12.435135135135138</v>
      </c>
      <c r="Z28" s="239">
        <f>+Y28/X28</f>
        <v>0.6217567567567569</v>
      </c>
      <c r="AA28" s="240">
        <f>+SUMIFS('Consumo '!E:E,'Consumo '!A:A,'Garage 27-02'!G28)</f>
        <v>9224</v>
      </c>
      <c r="AB28" s="240">
        <f>+Y28*1.5</f>
        <v>18.652702702702705</v>
      </c>
      <c r="AC28" s="382">
        <f>+Z28*1.5</f>
        <v>0.93263513513513541</v>
      </c>
      <c r="AD28" s="241"/>
      <c r="AE28" s="242" t="s">
        <v>446</v>
      </c>
    </row>
    <row r="29" spans="1:31" ht="23.25" x14ac:dyDescent="0.35">
      <c r="C29" s="215" t="s">
        <v>98</v>
      </c>
    </row>
    <row r="30" spans="1:31" ht="18.75" x14ac:dyDescent="0.3">
      <c r="B30" s="106" t="s">
        <v>20</v>
      </c>
      <c r="C30" s="69" t="s">
        <v>21</v>
      </c>
      <c r="D30" s="68"/>
      <c r="E30" s="68"/>
      <c r="F30" s="68">
        <f>+I30/(V30*W30)</f>
        <v>0.8</v>
      </c>
      <c r="G30" s="68"/>
      <c r="H30" s="66">
        <v>4</v>
      </c>
      <c r="I30" s="67">
        <f>H30*W30</f>
        <v>120</v>
      </c>
      <c r="J30" s="67">
        <f>+I30/Y30</f>
        <v>5466.9703872437358</v>
      </c>
      <c r="K30" s="67">
        <f>IF(V30-H30&lt;0,0,V30-H30)</f>
        <v>1</v>
      </c>
      <c r="L30" s="67">
        <f>+IF(X30-J30&lt;0,"",X30-J30)</f>
        <v>1366.7425968109337</v>
      </c>
      <c r="M30" s="92"/>
      <c r="N30" s="134"/>
      <c r="O30" s="39"/>
      <c r="P30" s="39"/>
      <c r="Q30" s="128"/>
      <c r="R30" s="92"/>
      <c r="S30" s="96"/>
      <c r="T30" s="128"/>
      <c r="U30" s="92"/>
      <c r="V30" s="96">
        <v>5</v>
      </c>
      <c r="W30" s="39">
        <v>30</v>
      </c>
      <c r="X30" s="39">
        <f>+V30*AA30</f>
        <v>6833.7129840546695</v>
      </c>
      <c r="Y30" s="94">
        <f>+Z30/1000</f>
        <v>2.1950000000000001E-2</v>
      </c>
      <c r="Z30" s="121">
        <v>21.95</v>
      </c>
      <c r="AA30" s="39">
        <f>+W30/Y30</f>
        <v>1366.7425968109339</v>
      </c>
      <c r="AB30" s="39">
        <f>IFERROR(VLOOKUP(706,'Estadistica Madre CH 23-01'!A:C,3,0),+VLOOKUP(B30,'Estadistica Madre LK 23-01 '!A:C,3,0))</f>
        <v>2400</v>
      </c>
      <c r="AC30" s="374">
        <f>1.5*AB30/AA30</f>
        <v>2.6339999999999999</v>
      </c>
      <c r="AD30" s="122"/>
      <c r="AE30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82" fitToHeight="0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AE30"/>
  <sheetViews>
    <sheetView zoomScale="40" zoomScaleNormal="40" workbookViewId="0">
      <selection activeCell="AM6" sqref="AM6"/>
    </sheetView>
  </sheetViews>
  <sheetFormatPr baseColWidth="10" defaultRowHeight="15" x14ac:dyDescent="0.25"/>
  <cols>
    <col min="1" max="1" width="11" customWidth="1"/>
    <col min="2" max="2" width="6" customWidth="1"/>
    <col min="3" max="3" width="24.28515625" customWidth="1"/>
    <col min="4" max="4" width="10.85546875" hidden="1" customWidth="1"/>
    <col min="5" max="5" width="9.140625" customWidth="1"/>
    <col min="6" max="6" width="7.85546875" customWidth="1"/>
    <col min="7" max="7" width="9" customWidth="1"/>
    <col min="8" max="8" width="8.42578125" customWidth="1"/>
    <col min="9" max="9" width="7.140625" customWidth="1"/>
    <col min="10" max="10" width="8.85546875" customWidth="1"/>
    <col min="11" max="11" width="8.42578125" customWidth="1"/>
    <col min="12" max="12" width="12.140625" style="110" hidden="1" customWidth="1"/>
    <col min="13" max="13" width="1.140625" hidden="1" customWidth="1"/>
    <col min="14" max="14" width="7.28515625" hidden="1" customWidth="1"/>
    <col min="15" max="15" width="8.7109375" hidden="1" customWidth="1"/>
    <col min="16" max="16" width="7.28515625" hidden="1" customWidth="1"/>
    <col min="17" max="17" width="8.28515625" hidden="1" customWidth="1"/>
    <col min="18" max="18" width="1.140625" hidden="1" customWidth="1"/>
    <col min="19" max="19" width="9" hidden="1" customWidth="1"/>
    <col min="20" max="20" width="8.7109375" hidden="1" customWidth="1"/>
    <col min="21" max="21" width="1.140625" hidden="1" customWidth="1"/>
    <col min="22" max="22" width="8.140625" customWidth="1"/>
    <col min="23" max="23" width="8" customWidth="1"/>
    <col min="24" max="24" width="11.140625" customWidth="1"/>
    <col min="25" max="25" width="14.140625" style="110" customWidth="1"/>
    <col min="26" max="26" width="8.28515625" customWidth="1"/>
    <col min="27" max="27" width="10" customWidth="1"/>
    <col min="28" max="28" width="11.42578125" customWidth="1"/>
    <col min="29" max="29" width="11.28515625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323" t="s">
        <v>95</v>
      </c>
      <c r="C1" s="321"/>
      <c r="D1" s="321"/>
      <c r="E1" s="321"/>
      <c r="F1" s="321"/>
      <c r="G1" s="321"/>
      <c r="H1" s="322"/>
      <c r="L1"/>
      <c r="X1" s="1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66" t="s">
        <v>703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704</v>
      </c>
      <c r="J6" s="4" t="s">
        <v>62</v>
      </c>
      <c r="K6" s="18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hidden="1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3" si="0">H7*W7</f>
        <v>240</v>
      </c>
      <c r="J7" s="72">
        <f t="shared" ref="J7:J23" si="1">+I7/Y7</f>
        <v>7283.7632776934752</v>
      </c>
      <c r="K7" s="72">
        <f t="shared" ref="K7:K23" si="2">IF(V7-H7&lt;0,0,V7-H7)</f>
        <v>0</v>
      </c>
      <c r="L7" s="75" t="str">
        <f t="shared" ref="L7:L23" si="3">+IF(X7-J7&lt;0,"",X7-J7)</f>
        <v/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23.25" x14ac:dyDescent="0.3">
      <c r="B8" s="76">
        <v>706</v>
      </c>
      <c r="C8" s="69" t="s">
        <v>18</v>
      </c>
      <c r="D8" s="68"/>
      <c r="E8" s="68"/>
      <c r="F8" s="68">
        <f>+I8/(V8*W8)</f>
        <v>0.25</v>
      </c>
      <c r="G8" s="106" t="s">
        <v>17</v>
      </c>
      <c r="H8" s="66">
        <v>3</v>
      </c>
      <c r="I8" s="67">
        <f t="shared" si="0"/>
        <v>90</v>
      </c>
      <c r="J8" s="67">
        <f t="shared" si="1"/>
        <v>4100.2277904328021</v>
      </c>
      <c r="K8" s="367">
        <f t="shared" si="2"/>
        <v>9</v>
      </c>
      <c r="L8" s="77">
        <f t="shared" si="3"/>
        <v>12300.683371298406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</v>
      </c>
      <c r="G9" s="112" t="s">
        <v>28</v>
      </c>
      <c r="H9" s="327">
        <v>0</v>
      </c>
      <c r="I9" s="117">
        <f>H9*W9</f>
        <v>0</v>
      </c>
      <c r="J9" s="117">
        <f>+I9/Y9</f>
        <v>0</v>
      </c>
      <c r="K9" s="368">
        <f>IF(V9-H9&lt;0,0,V9-H9)</f>
        <v>36</v>
      </c>
      <c r="L9" s="328">
        <f>+IF(X9-J9&lt;0,"",X9-J9)</f>
        <v>49202.733485193625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35">
      <c r="C12" s="161" t="s">
        <v>53</v>
      </c>
      <c r="D12" s="162" t="s">
        <v>1</v>
      </c>
      <c r="E12" s="162"/>
      <c r="F12" s="160"/>
      <c r="L12"/>
      <c r="V12" s="366" t="s">
        <v>703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4" t="s">
        <v>68</v>
      </c>
      <c r="F13" s="6" t="s">
        <v>76</v>
      </c>
      <c r="G13" s="6" t="s">
        <v>4</v>
      </c>
      <c r="H13" s="6" t="s">
        <v>438</v>
      </c>
      <c r="I13" s="4" t="s">
        <v>704</v>
      </c>
      <c r="J13" s="6" t="s">
        <v>62</v>
      </c>
      <c r="K13" s="18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23.2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369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23.25" x14ac:dyDescent="0.3">
      <c r="B15" s="76">
        <v>558</v>
      </c>
      <c r="C15" s="69" t="s">
        <v>25</v>
      </c>
      <c r="D15" s="68"/>
      <c r="E15" s="68"/>
      <c r="F15" s="68">
        <f>+I15/(V15*W15)</f>
        <v>0.1</v>
      </c>
      <c r="G15" s="106" t="s">
        <v>24</v>
      </c>
      <c r="H15" s="66">
        <v>1</v>
      </c>
      <c r="I15" s="67">
        <f t="shared" si="0"/>
        <v>1.8</v>
      </c>
      <c r="J15" s="67">
        <f t="shared" ref="J15:J16" si="7">H15*AA15</f>
        <v>720</v>
      </c>
      <c r="K15" s="367">
        <f t="shared" si="2"/>
        <v>9</v>
      </c>
      <c r="L15" s="77">
        <f t="shared" si="3"/>
        <v>6480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hidden="1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3</v>
      </c>
      <c r="G16" s="112" t="s">
        <v>26</v>
      </c>
      <c r="H16" s="327">
        <v>3</v>
      </c>
      <c r="I16" s="117">
        <f t="shared" si="0"/>
        <v>5.4</v>
      </c>
      <c r="J16" s="117">
        <f t="shared" si="7"/>
        <v>2160</v>
      </c>
      <c r="K16" s="368">
        <f t="shared" si="2"/>
        <v>0</v>
      </c>
      <c r="L16" s="328" t="str">
        <f t="shared" si="3"/>
        <v/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35">
      <c r="K17" s="370"/>
    </row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162" t="s">
        <v>1</v>
      </c>
      <c r="E20" s="162"/>
      <c r="F20" s="160"/>
      <c r="V20" s="366" t="s">
        <v>703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x14ac:dyDescent="0.25">
      <c r="B21" s="15" t="s">
        <v>3</v>
      </c>
      <c r="C21" s="4" t="s">
        <v>5</v>
      </c>
      <c r="D21" s="4" t="s">
        <v>59</v>
      </c>
      <c r="E21" s="4" t="s">
        <v>68</v>
      </c>
      <c r="F21" s="4" t="s">
        <v>76</v>
      </c>
      <c r="G21" s="4" t="s">
        <v>4</v>
      </c>
      <c r="H21" s="4" t="s">
        <v>438</v>
      </c>
      <c r="I21" s="4" t="s">
        <v>704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hidden="1" x14ac:dyDescent="0.3">
      <c r="B22" s="70">
        <v>510</v>
      </c>
      <c r="C22" s="71" t="s">
        <v>31</v>
      </c>
      <c r="D22" s="74"/>
      <c r="E22" s="74"/>
      <c r="F22" s="74">
        <f>+I22/(V22*W22)</f>
        <v>1.25</v>
      </c>
      <c r="G22" s="111" t="s">
        <v>30</v>
      </c>
      <c r="H22" s="73">
        <v>5</v>
      </c>
      <c r="I22" s="72">
        <f t="shared" si="0"/>
        <v>150</v>
      </c>
      <c r="J22" s="72">
        <f t="shared" si="1"/>
        <v>6818.1818181818189</v>
      </c>
      <c r="K22" s="72">
        <f t="shared" si="2"/>
        <v>0</v>
      </c>
      <c r="L22" s="75" t="str">
        <f t="shared" si="3"/>
        <v/>
      </c>
      <c r="M22" s="92"/>
      <c r="N22" s="330"/>
      <c r="O22" s="87"/>
      <c r="P22" s="87"/>
      <c r="Q22" s="331"/>
      <c r="R22" s="92"/>
      <c r="S22" s="332"/>
      <c r="T22" s="331"/>
      <c r="U22" s="92"/>
      <c r="V22" s="332">
        <v>4</v>
      </c>
      <c r="W22" s="87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24" thickBot="1" x14ac:dyDescent="0.35">
      <c r="B23" s="78">
        <v>544</v>
      </c>
      <c r="C23" s="79" t="s">
        <v>474</v>
      </c>
      <c r="D23" s="329"/>
      <c r="E23" s="329"/>
      <c r="F23" s="329">
        <f>+I23/(V23*W23)</f>
        <v>0.29629629629629628</v>
      </c>
      <c r="G23" s="112" t="s">
        <v>702</v>
      </c>
      <c r="H23" s="327">
        <v>16</v>
      </c>
      <c r="I23" s="117">
        <f t="shared" si="0"/>
        <v>250.88</v>
      </c>
      <c r="J23" s="117">
        <f t="shared" si="1"/>
        <v>2560</v>
      </c>
      <c r="K23" s="368">
        <f t="shared" si="2"/>
        <v>38</v>
      </c>
      <c r="L23" s="328">
        <f t="shared" si="3"/>
        <v>6080</v>
      </c>
      <c r="M23" s="92"/>
      <c r="N23" s="135"/>
      <c r="O23" s="119"/>
      <c r="P23" s="119"/>
      <c r="Q23" s="130"/>
      <c r="R23" s="92"/>
      <c r="S23" s="98"/>
      <c r="T23" s="130"/>
      <c r="U23" s="92"/>
      <c r="V23" s="98">
        <v>54</v>
      </c>
      <c r="W23" s="119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6" customHeight="1" x14ac:dyDescent="0.25"/>
    <row r="25" spans="1:31" ht="24" thickBot="1" x14ac:dyDescent="0.4">
      <c r="C25" s="166" t="s">
        <v>96</v>
      </c>
      <c r="D25" s="163"/>
      <c r="E25" s="163"/>
      <c r="F25" s="163"/>
    </row>
    <row r="26" spans="1:31" ht="24" thickBot="1" x14ac:dyDescent="0.35">
      <c r="C26" s="216" t="s">
        <v>446</v>
      </c>
      <c r="D26" s="162" t="s">
        <v>1</v>
      </c>
      <c r="E26" s="319"/>
      <c r="F26" s="320"/>
      <c r="V26" s="366" t="s">
        <v>703</v>
      </c>
      <c r="W26" s="325"/>
      <c r="X26" s="325"/>
      <c r="Y26" s="325"/>
      <c r="Z26" s="325"/>
      <c r="AA26" s="325"/>
      <c r="AB26" s="325"/>
      <c r="AC26" s="325"/>
      <c r="AD26" s="325"/>
      <c r="AE26" s="326"/>
    </row>
    <row r="27" spans="1:31" ht="56.45" customHeight="1" thickBot="1" x14ac:dyDescent="0.3">
      <c r="A27" s="15" t="s">
        <v>458</v>
      </c>
      <c r="B27" s="15" t="s">
        <v>3</v>
      </c>
      <c r="C27" s="4" t="s">
        <v>5</v>
      </c>
      <c r="D27" s="4" t="s">
        <v>442</v>
      </c>
      <c r="E27" s="4" t="s">
        <v>443</v>
      </c>
      <c r="F27" s="4" t="s">
        <v>76</v>
      </c>
      <c r="G27" s="4" t="s">
        <v>4</v>
      </c>
      <c r="H27" s="4" t="s">
        <v>447</v>
      </c>
      <c r="I27" s="4" t="s">
        <v>6</v>
      </c>
      <c r="J27" s="18" t="s">
        <v>54</v>
      </c>
      <c r="K27" s="18" t="s">
        <v>443</v>
      </c>
      <c r="L27" s="153" t="s">
        <v>59</v>
      </c>
      <c r="M27" s="91"/>
      <c r="N27" s="133" t="s">
        <v>75</v>
      </c>
      <c r="O27" s="133" t="s">
        <v>69</v>
      </c>
      <c r="P27" s="6" t="s">
        <v>70</v>
      </c>
      <c r="Q27" s="138" t="s">
        <v>74</v>
      </c>
      <c r="R27" s="91"/>
      <c r="S27" s="133" t="s">
        <v>71</v>
      </c>
      <c r="T27" s="6" t="s">
        <v>72</v>
      </c>
      <c r="U27" s="91"/>
      <c r="V27" s="207" t="s">
        <v>448</v>
      </c>
      <c r="W27" s="154" t="s">
        <v>450</v>
      </c>
      <c r="X27" s="154" t="s">
        <v>449</v>
      </c>
      <c r="Y27" s="154" t="s">
        <v>451</v>
      </c>
      <c r="Z27" s="154" t="s">
        <v>452</v>
      </c>
      <c r="AA27" s="154" t="s">
        <v>14</v>
      </c>
      <c r="AB27" s="154" t="s">
        <v>455</v>
      </c>
      <c r="AC27" s="154" t="s">
        <v>456</v>
      </c>
      <c r="AD27" s="138"/>
      <c r="AE27" s="6" t="s">
        <v>454</v>
      </c>
    </row>
    <row r="28" spans="1:31" ht="19.5" thickBot="1" x14ac:dyDescent="0.35">
      <c r="A28" s="230">
        <v>1300500</v>
      </c>
      <c r="B28" s="231" t="s">
        <v>457</v>
      </c>
      <c r="C28" s="232" t="s">
        <v>445</v>
      </c>
      <c r="D28" s="233"/>
      <c r="E28" s="233"/>
      <c r="F28" s="233">
        <f>+I28/(X28*Z28)</f>
        <v>14.475114105629208</v>
      </c>
      <c r="G28" s="231" t="s">
        <v>444</v>
      </c>
      <c r="H28" s="234">
        <v>9</v>
      </c>
      <c r="I28" s="235">
        <f>+H28*X28</f>
        <v>180</v>
      </c>
      <c r="J28" s="235">
        <f>IF(AB28-I28&lt;0,0,AB28-I28)</f>
        <v>0</v>
      </c>
      <c r="K28" s="236">
        <f>IF(AC28-H28&lt;0,0,AC28-H28)</f>
        <v>0</v>
      </c>
      <c r="M28" s="92"/>
      <c r="N28" s="244"/>
      <c r="O28" s="240"/>
      <c r="P28" s="240"/>
      <c r="Q28" s="243"/>
      <c r="R28" s="92"/>
      <c r="S28" s="237"/>
      <c r="T28" s="243"/>
      <c r="U28" s="92"/>
      <c r="V28" s="237"/>
      <c r="W28" s="235">
        <f>+V28*X28</f>
        <v>0</v>
      </c>
      <c r="X28" s="235">
        <v>20</v>
      </c>
      <c r="Y28" s="238">
        <f>+SUMIFS('Consumo '!F:F,'Consumo '!A:A,G28)</f>
        <v>12.435135135135138</v>
      </c>
      <c r="Z28" s="239">
        <f>+Y28/X28</f>
        <v>0.6217567567567569</v>
      </c>
      <c r="AA28" s="240">
        <f>+SUMIFS('Consumo '!E:E,'Consumo '!A:A,'Garage  17-02'!G28)</f>
        <v>9224</v>
      </c>
      <c r="AB28" s="240">
        <f>+Y28*1.5</f>
        <v>18.652702702702705</v>
      </c>
      <c r="AC28" s="241">
        <f>+Z28*1.5</f>
        <v>0.93263513513513541</v>
      </c>
      <c r="AD28" s="241"/>
      <c r="AE28" s="242" t="s">
        <v>446</v>
      </c>
    </row>
    <row r="29" spans="1:31" ht="23.25" x14ac:dyDescent="0.35">
      <c r="C29" s="215" t="s">
        <v>98</v>
      </c>
    </row>
    <row r="30" spans="1:31" ht="18.75" x14ac:dyDescent="0.3">
      <c r="B30" s="106" t="s">
        <v>20</v>
      </c>
      <c r="C30" s="69" t="s">
        <v>21</v>
      </c>
      <c r="D30" s="68"/>
      <c r="E30" s="68"/>
      <c r="F30" s="68">
        <f>+I30/(V30*W30)</f>
        <v>0.8</v>
      </c>
      <c r="G30" s="68"/>
      <c r="H30" s="66">
        <v>4</v>
      </c>
      <c r="I30" s="67">
        <f>H30*W30</f>
        <v>120</v>
      </c>
      <c r="J30" s="67">
        <f>+I30/Y30</f>
        <v>5466.9703872437358</v>
      </c>
      <c r="K30" s="67">
        <f>IF(V30-H30&lt;0,0,V30-H30)</f>
        <v>1</v>
      </c>
      <c r="L30" s="67">
        <f>+IF(X30-J30&lt;0,"",X30-J30)</f>
        <v>1366.7425968109337</v>
      </c>
      <c r="M30" s="92"/>
      <c r="N30" s="134"/>
      <c r="O30" s="39"/>
      <c r="P30" s="39"/>
      <c r="Q30" s="128"/>
      <c r="R30" s="92"/>
      <c r="S30" s="96"/>
      <c r="T30" s="128"/>
      <c r="U30" s="92"/>
      <c r="V30" s="96">
        <v>5</v>
      </c>
      <c r="W30" s="39">
        <v>30</v>
      </c>
      <c r="X30" s="39">
        <f>+V30*AA30</f>
        <v>6833.7129840546695</v>
      </c>
      <c r="Y30" s="94">
        <f>+Z30/1000</f>
        <v>2.1950000000000001E-2</v>
      </c>
      <c r="Z30" s="121">
        <v>21.95</v>
      </c>
      <c r="AA30" s="39">
        <f>+W30/Y30</f>
        <v>1366.7425968109339</v>
      </c>
      <c r="AB30" s="39">
        <f>IFERROR(VLOOKUP(706,'Estadistica Madre CH 23-01'!A:C,3,0),+VLOOKUP(B30,'Estadistica Madre LK 23-01 '!A:C,3,0))</f>
        <v>2400</v>
      </c>
      <c r="AC30" s="122">
        <f>1.5*AB30/AA30</f>
        <v>2.6339999999999999</v>
      </c>
      <c r="AD30" s="122"/>
      <c r="AE30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47" fitToHeight="0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E30"/>
  <sheetViews>
    <sheetView topLeftCell="A2" zoomScale="55" zoomScaleNormal="55" workbookViewId="0">
      <selection activeCell="P2" sqref="P2"/>
    </sheetView>
  </sheetViews>
  <sheetFormatPr baseColWidth="10" defaultRowHeight="15" x14ac:dyDescent="0.25"/>
  <cols>
    <col min="1" max="1" width="3" customWidth="1"/>
    <col min="2" max="2" width="6" customWidth="1"/>
    <col min="3" max="3" width="28.85546875" customWidth="1"/>
    <col min="4" max="4" width="15.28515625" hidden="1" customWidth="1"/>
    <col min="5" max="5" width="9.140625" hidden="1" customWidth="1"/>
    <col min="6" max="6" width="13.85546875" customWidth="1"/>
    <col min="7" max="7" width="9" customWidth="1"/>
    <col min="8" max="8" width="8.42578125" customWidth="1"/>
    <col min="9" max="10" width="8.7109375" customWidth="1"/>
    <col min="11" max="11" width="8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customWidth="1"/>
    <col min="24" max="24" width="11.140625" customWidth="1"/>
    <col min="25" max="25" width="14.140625" style="110" customWidth="1"/>
    <col min="26" max="26" width="8.28515625" customWidth="1"/>
    <col min="27" max="27" width="10" customWidth="1"/>
    <col min="28" max="28" width="11.42578125" customWidth="1"/>
    <col min="29" max="29" width="11.28515625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323" t="s">
        <v>95</v>
      </c>
      <c r="C1" s="321"/>
      <c r="D1" s="357"/>
      <c r="E1" s="357"/>
      <c r="F1" s="321"/>
      <c r="G1" s="321"/>
      <c r="H1" s="322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8" t="s">
        <v>54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hidden="1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3" si="0">H7*W7</f>
        <v>240</v>
      </c>
      <c r="J7" s="72">
        <f t="shared" ref="J7:J23" si="1">+I7/Y7</f>
        <v>7283.7632776934752</v>
      </c>
      <c r="K7" s="72">
        <f t="shared" ref="K7:K23" si="2">IF(V7-H7&lt;0,0,V7-H7)</f>
        <v>0</v>
      </c>
      <c r="L7" s="75" t="str">
        <f t="shared" ref="L7:L23" si="3">+IF(X7-J7&lt;0,"",X7-J7)</f>
        <v/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506</v>
      </c>
      <c r="C8" s="69" t="s">
        <v>29</v>
      </c>
      <c r="D8" s="68"/>
      <c r="E8" s="68"/>
      <c r="F8" s="68">
        <f>+I8/(V8*W8)</f>
        <v>0</v>
      </c>
      <c r="G8" s="106" t="s">
        <v>28</v>
      </c>
      <c r="H8" s="66">
        <v>0</v>
      </c>
      <c r="I8" s="67">
        <f>H8*W8</f>
        <v>0</v>
      </c>
      <c r="J8" s="67">
        <f>+I8/Y8</f>
        <v>0</v>
      </c>
      <c r="K8" s="67">
        <f>IF(V8-H8&lt;0,0,V8-H8)</f>
        <v>36</v>
      </c>
      <c r="L8" s="77">
        <f>+IF(X8-J8&lt;0,"",X8-J8)</f>
        <v>49202.733485193625</v>
      </c>
      <c r="M8" s="92"/>
      <c r="N8" s="134"/>
      <c r="O8" s="39"/>
      <c r="P8" s="39"/>
      <c r="Q8" s="128"/>
      <c r="R8" s="92"/>
      <c r="S8" s="96"/>
      <c r="T8" s="128"/>
      <c r="U8" s="92"/>
      <c r="V8" s="96">
        <v>36</v>
      </c>
      <c r="W8" s="39">
        <v>30</v>
      </c>
      <c r="X8" s="39">
        <f>+V8*AA8</f>
        <v>49202.733485193625</v>
      </c>
      <c r="Y8" s="94">
        <f>+Z8/1000</f>
        <v>2.1950000000000001E-2</v>
      </c>
      <c r="Z8" s="121">
        <v>21.95</v>
      </c>
      <c r="AA8" s="39">
        <f>+W8/Y8</f>
        <v>1366.7425968109339</v>
      </c>
      <c r="AB8" s="39">
        <f>IFERROR(VLOOKUP(B8,'Estadistica Madre CH 23-01'!A:C,3,0),+VLOOKUP(B8,'Estadistica Madre LK 23-01 '!A:C,3,0))</f>
        <v>18840</v>
      </c>
      <c r="AC8" s="122">
        <f>4.1*AB8/AA8</f>
        <v>56.516860000000001</v>
      </c>
      <c r="AD8" s="122"/>
      <c r="AE8" s="108" t="s">
        <v>47</v>
      </c>
    </row>
    <row r="9" spans="2:31" ht="21.2" customHeight="1" thickBot="1" x14ac:dyDescent="0.35">
      <c r="B9" s="78">
        <v>706</v>
      </c>
      <c r="C9" s="79" t="s">
        <v>18</v>
      </c>
      <c r="D9" s="329"/>
      <c r="E9" s="329"/>
      <c r="F9" s="329">
        <f>+I9/(V9*W9)</f>
        <v>0.25</v>
      </c>
      <c r="G9" s="112" t="s">
        <v>17</v>
      </c>
      <c r="H9" s="327">
        <v>3</v>
      </c>
      <c r="I9" s="117">
        <f>H9*W9</f>
        <v>90</v>
      </c>
      <c r="J9" s="117">
        <f>+I9/Y9</f>
        <v>4100.2277904328021</v>
      </c>
      <c r="K9" s="117">
        <f>IF(V9-H9&lt;0,0,V9-H9)</f>
        <v>9</v>
      </c>
      <c r="L9" s="328">
        <f>+IF(X9-J9&lt;0,"",X9-J9)</f>
        <v>12300.683371298406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12</v>
      </c>
      <c r="W9" s="119">
        <v>30</v>
      </c>
      <c r="X9" s="119">
        <f>+V9*AA9</f>
        <v>16400.911161731208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2400</v>
      </c>
      <c r="AC9" s="127">
        <f>4*AB9/AA9</f>
        <v>7.024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54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ref="X14:X23" si="4">+V14*AA14</f>
        <v>3600</v>
      </c>
      <c r="Y14" s="245">
        <f t="shared" ref="Y14:Y23" si="5">+Z14/1000</f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0.1</v>
      </c>
      <c r="G15" s="106" t="s">
        <v>24</v>
      </c>
      <c r="H15" s="66">
        <v>1</v>
      </c>
      <c r="I15" s="67">
        <f t="shared" si="0"/>
        <v>1.8</v>
      </c>
      <c r="J15" s="67">
        <f t="shared" ref="J15:J16" si="6">H15*AA15</f>
        <v>720</v>
      </c>
      <c r="K15" s="67">
        <f t="shared" si="2"/>
        <v>9</v>
      </c>
      <c r="L15" s="77">
        <f t="shared" si="3"/>
        <v>6480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hidden="1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3</v>
      </c>
      <c r="G16" s="112" t="s">
        <v>26</v>
      </c>
      <c r="H16" s="327">
        <v>3</v>
      </c>
      <c r="I16" s="117">
        <f t="shared" si="0"/>
        <v>5.4</v>
      </c>
      <c r="J16" s="117">
        <f t="shared" si="6"/>
        <v>2160</v>
      </c>
      <c r="K16" s="117">
        <f t="shared" si="2"/>
        <v>0</v>
      </c>
      <c r="L16" s="328" t="str">
        <f t="shared" si="3"/>
        <v/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0.5" customHeight="1" x14ac:dyDescent="0.25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hidden="1" x14ac:dyDescent="0.3">
      <c r="B22" s="70">
        <v>510</v>
      </c>
      <c r="C22" s="71" t="s">
        <v>31</v>
      </c>
      <c r="D22" s="74"/>
      <c r="E22" s="74"/>
      <c r="F22" s="74">
        <f>+I22/(V22*W22)</f>
        <v>1.25</v>
      </c>
      <c r="G22" s="111" t="s">
        <v>30</v>
      </c>
      <c r="H22" s="73">
        <v>5</v>
      </c>
      <c r="I22" s="72">
        <f t="shared" si="0"/>
        <v>150</v>
      </c>
      <c r="J22" s="72">
        <f t="shared" si="1"/>
        <v>6818.1818181818189</v>
      </c>
      <c r="K22" s="72">
        <f t="shared" si="2"/>
        <v>0</v>
      </c>
      <c r="L22" s="75" t="str">
        <f t="shared" si="3"/>
        <v/>
      </c>
      <c r="M22" s="92"/>
      <c r="N22" s="330"/>
      <c r="O22" s="87"/>
      <c r="P22" s="87"/>
      <c r="Q22" s="331"/>
      <c r="R22" s="92"/>
      <c r="S22" s="332"/>
      <c r="T22" s="331"/>
      <c r="U22" s="92"/>
      <c r="V22" s="332">
        <v>4</v>
      </c>
      <c r="W22" s="87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ref="AA22:AA23" si="7">+W22/Y22</f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8">
        <v>544</v>
      </c>
      <c r="C23" s="79" t="s">
        <v>474</v>
      </c>
      <c r="D23" s="329"/>
      <c r="E23" s="329"/>
      <c r="F23" s="329">
        <f>+I23/(V23*W23)</f>
        <v>0.29629629629629628</v>
      </c>
      <c r="G23" s="112" t="s">
        <v>702</v>
      </c>
      <c r="H23" s="327">
        <v>16</v>
      </c>
      <c r="I23" s="117">
        <f t="shared" si="0"/>
        <v>250.88</v>
      </c>
      <c r="J23" s="117">
        <f t="shared" si="1"/>
        <v>2560</v>
      </c>
      <c r="K23" s="117">
        <f t="shared" si="2"/>
        <v>38</v>
      </c>
      <c r="L23" s="328">
        <f t="shared" si="3"/>
        <v>6080</v>
      </c>
      <c r="M23" s="92"/>
      <c r="N23" s="135"/>
      <c r="O23" s="119"/>
      <c r="P23" s="119"/>
      <c r="Q23" s="130"/>
      <c r="R23" s="92"/>
      <c r="S23" s="98"/>
      <c r="T23" s="130"/>
      <c r="U23" s="92"/>
      <c r="V23" s="98">
        <v>54</v>
      </c>
      <c r="W23" s="119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7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6" customHeight="1" x14ac:dyDescent="0.25"/>
    <row r="25" spans="1:31" ht="24" thickBot="1" x14ac:dyDescent="0.4">
      <c r="C25" s="166" t="s">
        <v>96</v>
      </c>
      <c r="D25" s="163"/>
      <c r="E25" s="163"/>
      <c r="F25" s="163"/>
    </row>
    <row r="26" spans="1:31" ht="24" thickBot="1" x14ac:dyDescent="0.35">
      <c r="C26" s="216" t="s">
        <v>446</v>
      </c>
      <c r="D26" s="162" t="s">
        <v>1</v>
      </c>
      <c r="E26" s="319"/>
      <c r="F26" s="320"/>
      <c r="V26" s="346" t="s">
        <v>73</v>
      </c>
      <c r="W26" s="325"/>
      <c r="X26" s="325"/>
      <c r="Y26" s="325"/>
      <c r="Z26" s="325"/>
      <c r="AA26" s="325"/>
      <c r="AB26" s="325"/>
      <c r="AC26" s="325"/>
      <c r="AD26" s="325"/>
      <c r="AE26" s="326"/>
    </row>
    <row r="27" spans="1:31" ht="56.45" customHeight="1" thickBot="1" x14ac:dyDescent="0.3">
      <c r="A27" s="15" t="s">
        <v>458</v>
      </c>
      <c r="B27" s="15" t="s">
        <v>3</v>
      </c>
      <c r="C27" s="4" t="s">
        <v>5</v>
      </c>
      <c r="D27" s="4" t="s">
        <v>442</v>
      </c>
      <c r="E27" s="4" t="s">
        <v>443</v>
      </c>
      <c r="F27" s="4" t="s">
        <v>76</v>
      </c>
      <c r="G27" s="4" t="s">
        <v>4</v>
      </c>
      <c r="H27" s="4" t="s">
        <v>447</v>
      </c>
      <c r="I27" s="4" t="s">
        <v>6</v>
      </c>
      <c r="J27" s="18" t="s">
        <v>54</v>
      </c>
      <c r="K27" s="18" t="s">
        <v>443</v>
      </c>
      <c r="L27" s="153" t="s">
        <v>59</v>
      </c>
      <c r="M27" s="91"/>
      <c r="N27" s="133" t="s">
        <v>75</v>
      </c>
      <c r="O27" s="133" t="s">
        <v>69</v>
      </c>
      <c r="P27" s="6" t="s">
        <v>70</v>
      </c>
      <c r="Q27" s="138" t="s">
        <v>74</v>
      </c>
      <c r="R27" s="91"/>
      <c r="S27" s="133" t="s">
        <v>71</v>
      </c>
      <c r="T27" s="6" t="s">
        <v>72</v>
      </c>
      <c r="U27" s="91"/>
      <c r="V27" s="207" t="s">
        <v>448</v>
      </c>
      <c r="W27" s="154" t="s">
        <v>450</v>
      </c>
      <c r="X27" s="154" t="s">
        <v>449</v>
      </c>
      <c r="Y27" s="154" t="s">
        <v>451</v>
      </c>
      <c r="Z27" s="154" t="s">
        <v>452</v>
      </c>
      <c r="AA27" s="154" t="s">
        <v>14</v>
      </c>
      <c r="AB27" s="154" t="s">
        <v>455</v>
      </c>
      <c r="AC27" s="154" t="s">
        <v>456</v>
      </c>
      <c r="AD27" s="138"/>
      <c r="AE27" s="6" t="s">
        <v>454</v>
      </c>
    </row>
    <row r="28" spans="1:31" ht="19.5" thickBot="1" x14ac:dyDescent="0.35">
      <c r="A28" s="230">
        <v>1300500</v>
      </c>
      <c r="B28" s="231" t="s">
        <v>457</v>
      </c>
      <c r="C28" s="232" t="s">
        <v>445</v>
      </c>
      <c r="D28" s="233"/>
      <c r="E28" s="233"/>
      <c r="F28" s="233">
        <f>+I28/(X28*Z28)</f>
        <v>14.475114105629208</v>
      </c>
      <c r="G28" s="231" t="s">
        <v>444</v>
      </c>
      <c r="H28" s="234">
        <v>9</v>
      </c>
      <c r="I28" s="235">
        <f>+H28*X28</f>
        <v>180</v>
      </c>
      <c r="J28" s="235">
        <f>IF(AB28-I28&lt;0,0,AB28-I28)</f>
        <v>0</v>
      </c>
      <c r="K28" s="236">
        <f>IF(AC28-H28&lt;0,0,AC28-H28)</f>
        <v>0</v>
      </c>
      <c r="M28" s="92"/>
      <c r="N28" s="244"/>
      <c r="O28" s="240"/>
      <c r="P28" s="240"/>
      <c r="Q28" s="243"/>
      <c r="R28" s="92"/>
      <c r="S28" s="237"/>
      <c r="T28" s="243"/>
      <c r="U28" s="92"/>
      <c r="V28" s="237"/>
      <c r="W28" s="235">
        <f>+V28*X28</f>
        <v>0</v>
      </c>
      <c r="X28" s="235">
        <v>20</v>
      </c>
      <c r="Y28" s="238">
        <f>+SUMIFS('Consumo '!F:F,'Consumo '!A:A,G28)</f>
        <v>12.435135135135138</v>
      </c>
      <c r="Z28" s="239">
        <f>+Y28/X28</f>
        <v>0.6217567567567569</v>
      </c>
      <c r="AA28" s="240">
        <f>+SUMIFS('Consumo '!E:E,'Consumo '!A:A,'Garage 18-06-25'!G29)</f>
        <v>9224</v>
      </c>
      <c r="AB28" s="240">
        <f>+Y28*1.5</f>
        <v>18.652702702702705</v>
      </c>
      <c r="AC28" s="241">
        <f>+Z28*1.5</f>
        <v>0.93263513513513541</v>
      </c>
      <c r="AD28" s="241"/>
      <c r="AE28" s="242" t="s">
        <v>446</v>
      </c>
    </row>
    <row r="29" spans="1:31" ht="23.25" x14ac:dyDescent="0.35">
      <c r="C29" s="215" t="s">
        <v>98</v>
      </c>
    </row>
    <row r="30" spans="1:31" ht="18.75" x14ac:dyDescent="0.3">
      <c r="B30" s="106" t="s">
        <v>20</v>
      </c>
      <c r="C30" s="69" t="s">
        <v>21</v>
      </c>
      <c r="D30" s="68"/>
      <c r="E30" s="68"/>
      <c r="F30" s="68">
        <f>+I30/(V30*W30)</f>
        <v>0.8</v>
      </c>
      <c r="G30" s="68"/>
      <c r="H30" s="66">
        <v>4</v>
      </c>
      <c r="I30" s="67">
        <f>H30*W30</f>
        <v>120</v>
      </c>
      <c r="J30" s="67">
        <f>+I30/Y30</f>
        <v>5466.9703872437358</v>
      </c>
      <c r="K30" s="67">
        <f>IF(V30-H30&lt;0,0,V30-H30)</f>
        <v>1</v>
      </c>
      <c r="L30" s="67">
        <f>+IF(X30-J30&lt;0,"",X30-J30)</f>
        <v>1366.7425968109337</v>
      </c>
      <c r="M30" s="92"/>
      <c r="N30" s="134"/>
      <c r="O30" s="39"/>
      <c r="P30" s="39"/>
      <c r="Q30" s="128"/>
      <c r="R30" s="92"/>
      <c r="S30" s="96"/>
      <c r="T30" s="128"/>
      <c r="U30" s="92"/>
      <c r="V30" s="96">
        <v>5</v>
      </c>
      <c r="W30" s="39">
        <v>30</v>
      </c>
      <c r="X30" s="39">
        <f>+V30*AA30</f>
        <v>6833.7129840546695</v>
      </c>
      <c r="Y30" s="94">
        <f>+Z30/1000</f>
        <v>2.1950000000000001E-2</v>
      </c>
      <c r="Z30" s="121">
        <v>21.95</v>
      </c>
      <c r="AA30" s="39">
        <f>+W30/Y30</f>
        <v>1366.7425968109339</v>
      </c>
      <c r="AB30" s="39">
        <f>IFERROR(VLOOKUP(706,'Estadistica Madre CH 23-01'!A:C,3,0),+VLOOKUP(B30,'Estadistica Madre LK 23-01 '!A:C,3,0))</f>
        <v>2400</v>
      </c>
      <c r="AC30" s="122">
        <f>1.5*AB30/AA30</f>
        <v>2.6339999999999999</v>
      </c>
      <c r="AD30" s="122"/>
      <c r="AE30" s="108" t="s">
        <v>47</v>
      </c>
    </row>
  </sheetData>
  <sortState ref="B8:AE9">
    <sortCondition ref="F8:F9"/>
  </sortState>
  <printOptions horizontalCentered="1"/>
  <pageMargins left="7.874015748031496E-2" right="7.874015748031496E-2" top="0.74803149606299213" bottom="0.15748031496062992" header="0" footer="0"/>
  <pageSetup scale="95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E30"/>
  <sheetViews>
    <sheetView zoomScale="70" zoomScaleNormal="70" workbookViewId="0">
      <selection activeCell="P19" sqref="P19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hidden="1" customWidth="1"/>
    <col min="5" max="5" width="9.140625" hidden="1" customWidth="1"/>
    <col min="6" max="6" width="13.85546875" hidden="1" customWidth="1"/>
    <col min="7" max="7" width="9" hidden="1" customWidth="1"/>
    <col min="8" max="8" width="8.42578125" hidden="1" customWidth="1"/>
    <col min="9" max="9" width="8.7109375" hidden="1" customWidth="1"/>
    <col min="10" max="10" width="9.28515625" hidden="1" customWidth="1"/>
    <col min="11" max="11" width="8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customWidth="1"/>
    <col min="24" max="24" width="11.140625" customWidth="1"/>
    <col min="25" max="25" width="14.140625" style="110" customWidth="1"/>
    <col min="26" max="26" width="8.28515625" customWidth="1"/>
    <col min="27" max="27" width="10" customWidth="1"/>
    <col min="28" max="28" width="11.42578125" customWidth="1"/>
    <col min="29" max="29" width="11.28515625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323" t="s">
        <v>95</v>
      </c>
      <c r="C1" s="321"/>
      <c r="D1" s="357"/>
      <c r="E1" s="357"/>
      <c r="F1" s="357"/>
      <c r="G1" s="321"/>
      <c r="H1" s="322"/>
      <c r="I1" s="362"/>
      <c r="J1" s="362"/>
      <c r="K1" s="362"/>
      <c r="L1" s="362"/>
      <c r="X1" s="347"/>
      <c r="AA1" s="345"/>
      <c r="AB1" s="345"/>
    </row>
    <row r="2" spans="2:31" ht="24.75" customHeight="1" thickBot="1" x14ac:dyDescent="0.35">
      <c r="C2" s="164" t="s">
        <v>1</v>
      </c>
      <c r="D2" s="342">
        <f ca="1">+TODAY()</f>
        <v>46101</v>
      </c>
      <c r="E2" s="318"/>
      <c r="J2" s="1"/>
      <c r="K2" s="363">
        <f ca="1">TODAY()</f>
        <v>46101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8" t="s">
        <v>54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hidden="1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3" si="0">H7*W7</f>
        <v>240</v>
      </c>
      <c r="J7" s="72">
        <f t="shared" ref="J7:J23" si="1">+I7/Y7</f>
        <v>7283.7632776934752</v>
      </c>
      <c r="K7" s="72">
        <f t="shared" ref="K7:K23" si="2">IF(V7-H7&lt;0,0,V7-H7)</f>
        <v>0</v>
      </c>
      <c r="L7" s="75" t="str">
        <f t="shared" ref="L7:L23" si="3">+IF(X7-J7&lt;0,"",X7-J7)</f>
        <v/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0.25</v>
      </c>
      <c r="G8" s="106" t="s">
        <v>17</v>
      </c>
      <c r="H8" s="66">
        <v>3</v>
      </c>
      <c r="I8" s="67">
        <f t="shared" si="0"/>
        <v>90</v>
      </c>
      <c r="J8" s="67">
        <f t="shared" si="1"/>
        <v>4100.2277904328021</v>
      </c>
      <c r="K8" s="67">
        <f t="shared" si="2"/>
        <v>9</v>
      </c>
      <c r="L8" s="77">
        <f t="shared" si="3"/>
        <v>12300.683371298406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0.1388888888888889</v>
      </c>
      <c r="G9" s="112" t="s">
        <v>28</v>
      </c>
      <c r="H9" s="327">
        <v>5</v>
      </c>
      <c r="I9" s="117">
        <f>H9*W9</f>
        <v>150</v>
      </c>
      <c r="J9" s="117">
        <f>+I9/Y9</f>
        <v>6833.7129840546695</v>
      </c>
      <c r="K9" s="117">
        <f>IF(V9-H9&lt;0,0,V9-H9)</f>
        <v>31</v>
      </c>
      <c r="L9" s="328">
        <f>+IF(X9-J9&lt;0,"",X9-J9)</f>
        <v>42369.020501138955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35">
      <c r="C12" s="161" t="s">
        <v>53</v>
      </c>
      <c r="D12" s="162" t="s">
        <v>1</v>
      </c>
      <c r="E12" s="162"/>
      <c r="F12" s="160"/>
      <c r="K12" s="363">
        <f ca="1">TODAY()</f>
        <v>46101</v>
      </c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54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/>
      <c r="I14" s="72">
        <f t="shared" si="0"/>
        <v>0</v>
      </c>
      <c r="J14" s="72">
        <f>+H14*AA14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0.16666666666666666</v>
      </c>
      <c r="G15" s="106" t="s">
        <v>24</v>
      </c>
      <c r="H15" s="360">
        <f>10/6</f>
        <v>1.6666666666666667</v>
      </c>
      <c r="I15" s="67">
        <f t="shared" si="0"/>
        <v>3</v>
      </c>
      <c r="J15" s="67">
        <f>+H15*AA15</f>
        <v>1200</v>
      </c>
      <c r="K15" s="67">
        <f>IF(V15-H15&lt;0,0,V15-H15)</f>
        <v>8.3333333333333339</v>
      </c>
      <c r="L15" s="77">
        <f t="shared" si="3"/>
        <v>6000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hidden="1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4.333333333333333</v>
      </c>
      <c r="G16" s="112" t="s">
        <v>26</v>
      </c>
      <c r="H16" s="361">
        <f>26/6</f>
        <v>4.333333333333333</v>
      </c>
      <c r="I16" s="117">
        <f t="shared" si="0"/>
        <v>7.8</v>
      </c>
      <c r="J16" s="117">
        <f>+H16*AA16</f>
        <v>3120</v>
      </c>
      <c r="K16" s="117">
        <f t="shared" si="2"/>
        <v>0</v>
      </c>
      <c r="L16" s="328" t="str">
        <f t="shared" si="3"/>
        <v/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162" t="s">
        <v>1</v>
      </c>
      <c r="E20" s="162"/>
      <c r="F20" s="160"/>
      <c r="K20" s="363">
        <f ca="1">TODAY()</f>
        <v>46101</v>
      </c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52.9" customHeight="1" x14ac:dyDescent="0.25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hidden="1" x14ac:dyDescent="0.3">
      <c r="B22" s="70">
        <v>510</v>
      </c>
      <c r="C22" s="71" t="s">
        <v>31</v>
      </c>
      <c r="D22" s="74"/>
      <c r="E22" s="74"/>
      <c r="F22" s="74">
        <f>+I22/(V22*W22)</f>
        <v>2.5</v>
      </c>
      <c r="G22" s="111" t="s">
        <v>30</v>
      </c>
      <c r="H22" s="73">
        <v>10</v>
      </c>
      <c r="I22" s="72">
        <f t="shared" si="0"/>
        <v>300</v>
      </c>
      <c r="J22" s="72">
        <f t="shared" si="1"/>
        <v>13636.363636363638</v>
      </c>
      <c r="K22" s="72">
        <f t="shared" si="2"/>
        <v>0</v>
      </c>
      <c r="L22" s="75" t="str">
        <f t="shared" si="3"/>
        <v/>
      </c>
      <c r="M22" s="92"/>
      <c r="N22" s="330"/>
      <c r="O22" s="87"/>
      <c r="P22" s="87"/>
      <c r="Q22" s="331"/>
      <c r="R22" s="92"/>
      <c r="S22" s="332"/>
      <c r="T22" s="331"/>
      <c r="U22" s="92"/>
      <c r="V22" s="332">
        <v>4</v>
      </c>
      <c r="W22" s="87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7">1.5*AB22/AA22</f>
        <v>7.1015999999999995</v>
      </c>
      <c r="AD22" s="338"/>
      <c r="AE22" s="107" t="s">
        <v>86</v>
      </c>
    </row>
    <row r="23" spans="1:31" ht="19.5" thickBot="1" x14ac:dyDescent="0.35">
      <c r="B23" s="78">
        <v>544</v>
      </c>
      <c r="C23" s="79" t="s">
        <v>474</v>
      </c>
      <c r="D23" s="329"/>
      <c r="E23" s="329"/>
      <c r="F23" s="329">
        <f>+I23/(V23*W23)</f>
        <v>0.29629629629629628</v>
      </c>
      <c r="G23" s="112" t="s">
        <v>702</v>
      </c>
      <c r="H23" s="327">
        <v>16</v>
      </c>
      <c r="I23" s="117">
        <f t="shared" si="0"/>
        <v>250.88</v>
      </c>
      <c r="J23" s="117">
        <f t="shared" si="1"/>
        <v>2560</v>
      </c>
      <c r="K23" s="117">
        <f t="shared" si="2"/>
        <v>38</v>
      </c>
      <c r="L23" s="328">
        <f t="shared" si="3"/>
        <v>6080</v>
      </c>
      <c r="M23" s="92"/>
      <c r="N23" s="135"/>
      <c r="O23" s="119"/>
      <c r="P23" s="119"/>
      <c r="Q23" s="130"/>
      <c r="R23" s="92"/>
      <c r="S23" s="98"/>
      <c r="T23" s="130"/>
      <c r="U23" s="92"/>
      <c r="V23" s="98">
        <v>54</v>
      </c>
      <c r="W23" s="119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7"/>
        <v>69.974999999999994</v>
      </c>
      <c r="AD23" s="126"/>
      <c r="AE23" s="109"/>
    </row>
    <row r="24" spans="1:31" ht="6" hidden="1" customHeight="1" x14ac:dyDescent="0.25"/>
    <row r="25" spans="1:31" ht="24" hidden="1" thickBot="1" x14ac:dyDescent="0.4">
      <c r="C25" s="166" t="s">
        <v>96</v>
      </c>
      <c r="D25" s="163"/>
      <c r="E25" s="163"/>
      <c r="F25" s="163"/>
    </row>
    <row r="26" spans="1:31" ht="24" hidden="1" thickBot="1" x14ac:dyDescent="0.35">
      <c r="C26" s="216" t="s">
        <v>446</v>
      </c>
      <c r="D26" s="162" t="s">
        <v>1</v>
      </c>
      <c r="E26" s="319"/>
      <c r="F26" s="320"/>
      <c r="V26" s="346" t="s">
        <v>73</v>
      </c>
      <c r="W26" s="325"/>
      <c r="X26" s="325"/>
      <c r="Y26" s="325"/>
      <c r="Z26" s="325"/>
      <c r="AA26" s="325"/>
      <c r="AB26" s="325"/>
      <c r="AC26" s="325"/>
      <c r="AD26" s="325"/>
      <c r="AE26" s="326"/>
    </row>
    <row r="27" spans="1:31" ht="56.45" hidden="1" customHeight="1" thickBot="1" x14ac:dyDescent="0.3">
      <c r="A27" s="15" t="s">
        <v>458</v>
      </c>
      <c r="B27" s="15" t="s">
        <v>3</v>
      </c>
      <c r="C27" s="4" t="s">
        <v>5</v>
      </c>
      <c r="D27" s="4" t="s">
        <v>442</v>
      </c>
      <c r="E27" s="4" t="s">
        <v>443</v>
      </c>
      <c r="F27" s="4" t="s">
        <v>76</v>
      </c>
      <c r="G27" s="4" t="s">
        <v>4</v>
      </c>
      <c r="H27" s="4" t="s">
        <v>447</v>
      </c>
      <c r="I27" s="4" t="s">
        <v>6</v>
      </c>
      <c r="J27" s="18" t="s">
        <v>54</v>
      </c>
      <c r="K27" s="18" t="s">
        <v>443</v>
      </c>
      <c r="L27" s="153" t="s">
        <v>59</v>
      </c>
      <c r="M27" s="91"/>
      <c r="N27" s="133" t="s">
        <v>75</v>
      </c>
      <c r="O27" s="133" t="s">
        <v>69</v>
      </c>
      <c r="P27" s="6" t="s">
        <v>70</v>
      </c>
      <c r="Q27" s="138" t="s">
        <v>74</v>
      </c>
      <c r="R27" s="91"/>
      <c r="S27" s="133" t="s">
        <v>71</v>
      </c>
      <c r="T27" s="6" t="s">
        <v>72</v>
      </c>
      <c r="U27" s="91"/>
      <c r="V27" s="207" t="s">
        <v>448</v>
      </c>
      <c r="W27" s="154" t="s">
        <v>450</v>
      </c>
      <c r="X27" s="154" t="s">
        <v>449</v>
      </c>
      <c r="Y27" s="154" t="s">
        <v>451</v>
      </c>
      <c r="Z27" s="154" t="s">
        <v>452</v>
      </c>
      <c r="AA27" s="154" t="s">
        <v>14</v>
      </c>
      <c r="AB27" s="154" t="s">
        <v>455</v>
      </c>
      <c r="AC27" s="154" t="s">
        <v>456</v>
      </c>
      <c r="AD27" s="138"/>
      <c r="AE27" s="6" t="s">
        <v>454</v>
      </c>
    </row>
    <row r="28" spans="1:31" ht="19.5" hidden="1" thickBot="1" x14ac:dyDescent="0.35">
      <c r="A28" s="230">
        <v>1300500</v>
      </c>
      <c r="B28" s="231" t="s">
        <v>457</v>
      </c>
      <c r="C28" s="232" t="s">
        <v>445</v>
      </c>
      <c r="D28" s="233"/>
      <c r="E28" s="233"/>
      <c r="F28" s="233">
        <f>+I28/(X28*Z28)</f>
        <v>14.475114105629208</v>
      </c>
      <c r="G28" s="231" t="s">
        <v>444</v>
      </c>
      <c r="H28" s="234">
        <v>9</v>
      </c>
      <c r="I28" s="235">
        <f>+H28*X28</f>
        <v>180</v>
      </c>
      <c r="J28" s="235">
        <f>IF(AB28-I28&lt;0,0,AB28-I28)</f>
        <v>0</v>
      </c>
      <c r="K28" s="236">
        <f>IF(AC28-H28&lt;0,0,AC28-H28)</f>
        <v>0</v>
      </c>
      <c r="M28" s="92"/>
      <c r="N28" s="244"/>
      <c r="O28" s="240"/>
      <c r="P28" s="240"/>
      <c r="Q28" s="243"/>
      <c r="R28" s="92"/>
      <c r="S28" s="237"/>
      <c r="T28" s="243"/>
      <c r="U28" s="92"/>
      <c r="V28" s="237"/>
      <c r="W28" s="235">
        <f>+V28*X28</f>
        <v>0</v>
      </c>
      <c r="X28" s="235">
        <v>20</v>
      </c>
      <c r="Y28" s="238">
        <f>+SUMIFS('Consumo '!F:F,'Consumo '!A:A,G28)</f>
        <v>12.435135135135138</v>
      </c>
      <c r="Z28" s="239">
        <f>+Y28/X28</f>
        <v>0.6217567567567569</v>
      </c>
      <c r="AA28" s="240">
        <f>+SUMIFS('Consumo '!E:E,'Consumo '!A:A,'Garage 18-06-25'!G29)</f>
        <v>9224</v>
      </c>
      <c r="AB28" s="240">
        <f>+Y28*1.5</f>
        <v>18.652702702702705</v>
      </c>
      <c r="AC28" s="241">
        <f>+Z28*1.5</f>
        <v>0.93263513513513541</v>
      </c>
      <c r="AD28" s="241"/>
      <c r="AE28" s="242" t="s">
        <v>446</v>
      </c>
    </row>
    <row r="29" spans="1:31" ht="23.25" hidden="1" x14ac:dyDescent="0.35">
      <c r="C29" s="215" t="s">
        <v>98</v>
      </c>
    </row>
    <row r="30" spans="1:31" ht="18.75" hidden="1" x14ac:dyDescent="0.3">
      <c r="B30" s="106" t="s">
        <v>20</v>
      </c>
      <c r="C30" s="69" t="s">
        <v>21</v>
      </c>
      <c r="D30" s="68"/>
      <c r="E30" s="68"/>
      <c r="F30" s="68">
        <f>+I30/(V30*W30)</f>
        <v>0</v>
      </c>
      <c r="G30" s="68"/>
      <c r="H30" s="66"/>
      <c r="I30" s="67">
        <f>H30*W30</f>
        <v>0</v>
      </c>
      <c r="J30" s="67">
        <f>+I30/Y30</f>
        <v>0</v>
      </c>
      <c r="K30" s="67">
        <f>IF(V30-H30&lt;0,0,V30-H30)</f>
        <v>5</v>
      </c>
      <c r="L30" s="67">
        <f>+IF(X30-J30&lt;0,"",X30-J30)</f>
        <v>6833.7129840546695</v>
      </c>
      <c r="M30" s="92"/>
      <c r="N30" s="134"/>
      <c r="O30" s="39"/>
      <c r="P30" s="39"/>
      <c r="Q30" s="128"/>
      <c r="R30" s="92"/>
      <c r="S30" s="96"/>
      <c r="T30" s="128"/>
      <c r="U30" s="92"/>
      <c r="V30" s="96">
        <v>5</v>
      </c>
      <c r="W30" s="39">
        <v>30</v>
      </c>
      <c r="X30" s="39">
        <f>+V30*AA30</f>
        <v>6833.7129840546695</v>
      </c>
      <c r="Y30" s="94">
        <f>+Z30/1000</f>
        <v>2.1950000000000001E-2</v>
      </c>
      <c r="Z30" s="121">
        <v>21.95</v>
      </c>
      <c r="AA30" s="39">
        <f>+W30/Y30</f>
        <v>1366.7425968109339</v>
      </c>
      <c r="AB30" s="39">
        <f>IFERROR(VLOOKUP(706,'Estadistica Madre CH 23-01'!A:C,3,0),+VLOOKUP(B30,'Estadistica Madre LK 23-01 '!A:C,3,0))</f>
        <v>2400</v>
      </c>
      <c r="AC30" s="122">
        <f>1.5*AB30/AA30</f>
        <v>2.6339999999999999</v>
      </c>
      <c r="AD30" s="122"/>
      <c r="AE30" s="108" t="s">
        <v>47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scale="120" orientation="portrait" horizontalDpi="0" verticalDpi="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E30"/>
  <sheetViews>
    <sheetView topLeftCell="A9" zoomScale="40" zoomScaleNormal="40" workbookViewId="0">
      <selection activeCell="Q25" sqref="Q25"/>
    </sheetView>
  </sheetViews>
  <sheetFormatPr baseColWidth="10" defaultRowHeight="15" x14ac:dyDescent="0.25"/>
  <cols>
    <col min="1" max="1" width="11" customWidth="1"/>
    <col min="2" max="2" width="6" customWidth="1"/>
    <col min="3" max="3" width="25.28515625" customWidth="1"/>
    <col min="4" max="4" width="15.28515625" customWidth="1"/>
    <col min="5" max="5" width="9.140625" customWidth="1"/>
    <col min="6" max="6" width="13.85546875" customWidth="1"/>
    <col min="7" max="7" width="9" customWidth="1"/>
    <col min="8" max="8" width="8.42578125" hidden="1" customWidth="1"/>
    <col min="9" max="10" width="8.7109375" hidden="1" customWidth="1"/>
    <col min="11" max="11" width="8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customWidth="1"/>
    <col min="24" max="24" width="11.140625" customWidth="1"/>
    <col min="25" max="25" width="14.140625" style="110" customWidth="1"/>
    <col min="26" max="26" width="8.28515625" customWidth="1"/>
    <col min="27" max="27" width="10" customWidth="1"/>
    <col min="28" max="28" width="11.42578125" customWidth="1"/>
    <col min="29" max="29" width="11.28515625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323" t="s">
        <v>95</v>
      </c>
      <c r="C1" s="321"/>
      <c r="D1" s="321"/>
      <c r="E1" s="321"/>
      <c r="F1" s="321"/>
      <c r="G1" s="321"/>
      <c r="H1" s="322"/>
      <c r="L1"/>
      <c r="X1" s="1"/>
      <c r="AA1" s="345"/>
      <c r="AB1" s="345"/>
    </row>
    <row r="2" spans="2:31" ht="24.75" customHeight="1" thickBot="1" x14ac:dyDescent="0.35">
      <c r="C2" s="164" t="s">
        <v>1</v>
      </c>
      <c r="D2" s="342">
        <f ca="1">+TODAY()</f>
        <v>46101</v>
      </c>
      <c r="E2" s="318"/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359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8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3" si="0">H7*W7</f>
        <v>240</v>
      </c>
      <c r="J7" s="72">
        <f t="shared" ref="J7:J23" si="1">+I7/Y7</f>
        <v>7283.7632776934752</v>
      </c>
      <c r="K7" s="72">
        <f t="shared" ref="K7:K23" si="2">IF(V7-H7&lt;0,0,V7-H7)</f>
        <v>0</v>
      </c>
      <c r="L7" s="75" t="str">
        <f t="shared" ref="L7:L23" si="3">+IF(X7-J7&lt;0,"",X7-J7)</f>
        <v/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0.25</v>
      </c>
      <c r="G8" s="106" t="s">
        <v>17</v>
      </c>
      <c r="H8" s="66">
        <v>3</v>
      </c>
      <c r="I8" s="67">
        <f t="shared" si="0"/>
        <v>90</v>
      </c>
      <c r="J8" s="67">
        <f t="shared" si="1"/>
        <v>4100.2277904328021</v>
      </c>
      <c r="K8" s="67">
        <f t="shared" si="2"/>
        <v>9</v>
      </c>
      <c r="L8" s="77">
        <f t="shared" si="3"/>
        <v>12300.683371298406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0.19444444444444445</v>
      </c>
      <c r="G9" s="112" t="s">
        <v>28</v>
      </c>
      <c r="H9" s="327">
        <v>7</v>
      </c>
      <c r="I9" s="117">
        <f>H9*W9</f>
        <v>210</v>
      </c>
      <c r="J9" s="117">
        <f>+I9/Y9</f>
        <v>9567.1981776765369</v>
      </c>
      <c r="K9" s="117">
        <f>IF(V9-H9&lt;0,0,V9-H9)</f>
        <v>29</v>
      </c>
      <c r="L9" s="328">
        <f>+IF(X9-J9&lt;0,"",X9-J9)</f>
        <v>39635.535307517086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35">
      <c r="C12" s="161" t="s">
        <v>53</v>
      </c>
      <c r="D12" s="359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0.60000000000000009</v>
      </c>
      <c r="G14" s="111" t="s">
        <v>22</v>
      </c>
      <c r="H14" s="73">
        <v>3</v>
      </c>
      <c r="I14" s="72">
        <f t="shared" si="0"/>
        <v>46.44</v>
      </c>
      <c r="J14" s="72">
        <f t="shared" si="1"/>
        <v>2160</v>
      </c>
      <c r="K14" s="72">
        <f t="shared" si="2"/>
        <v>2</v>
      </c>
      <c r="L14" s="75">
        <f t="shared" si="3"/>
        <v>1440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si="1"/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3</v>
      </c>
      <c r="G16" s="112" t="s">
        <v>26</v>
      </c>
      <c r="H16" s="327">
        <v>3</v>
      </c>
      <c r="I16" s="117">
        <f t="shared" si="0"/>
        <v>5.4</v>
      </c>
      <c r="J16" s="117">
        <f t="shared" si="1"/>
        <v>339.62264150943395</v>
      </c>
      <c r="K16" s="117">
        <f t="shared" si="2"/>
        <v>0</v>
      </c>
      <c r="L16" s="328">
        <f t="shared" si="3"/>
        <v>380.37735849056605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359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2.5</v>
      </c>
      <c r="G22" s="111" t="s">
        <v>30</v>
      </c>
      <c r="H22" s="73">
        <v>10</v>
      </c>
      <c r="I22" s="72">
        <f t="shared" si="0"/>
        <v>300</v>
      </c>
      <c r="J22" s="72">
        <f t="shared" si="1"/>
        <v>13636.363636363638</v>
      </c>
      <c r="K22" s="72">
        <f t="shared" si="2"/>
        <v>0</v>
      </c>
      <c r="L22" s="75" t="str">
        <f t="shared" si="3"/>
        <v/>
      </c>
      <c r="M22" s="92"/>
      <c r="N22" s="330"/>
      <c r="O22" s="87"/>
      <c r="P22" s="87"/>
      <c r="Q22" s="331"/>
      <c r="R22" s="92"/>
      <c r="S22" s="332"/>
      <c r="T22" s="331"/>
      <c r="U22" s="92"/>
      <c r="V22" s="332">
        <v>4</v>
      </c>
      <c r="W22" s="87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7">1.5*AB22/AA22</f>
        <v>7.1015999999999995</v>
      </c>
      <c r="AD22" s="338"/>
      <c r="AE22" s="107" t="s">
        <v>86</v>
      </c>
    </row>
    <row r="23" spans="1:31" ht="19.5" thickBot="1" x14ac:dyDescent="0.35">
      <c r="B23" s="78">
        <v>544</v>
      </c>
      <c r="C23" s="79" t="s">
        <v>474</v>
      </c>
      <c r="D23" s="329"/>
      <c r="E23" s="329"/>
      <c r="F23" s="329">
        <f>+I23/(V23*W23)</f>
        <v>0.42592592592592587</v>
      </c>
      <c r="G23" s="112" t="s">
        <v>701</v>
      </c>
      <c r="H23" s="327">
        <v>23</v>
      </c>
      <c r="I23" s="117">
        <f t="shared" si="0"/>
        <v>360.64</v>
      </c>
      <c r="J23" s="117">
        <f t="shared" si="1"/>
        <v>3679.9999999999995</v>
      </c>
      <c r="K23" s="117">
        <f t="shared" si="2"/>
        <v>31</v>
      </c>
      <c r="L23" s="328">
        <f t="shared" si="3"/>
        <v>4960</v>
      </c>
      <c r="M23" s="92"/>
      <c r="N23" s="135"/>
      <c r="O23" s="119"/>
      <c r="P23" s="119"/>
      <c r="Q23" s="130"/>
      <c r="R23" s="92"/>
      <c r="S23" s="98"/>
      <c r="T23" s="130"/>
      <c r="U23" s="92"/>
      <c r="V23" s="98">
        <v>54</v>
      </c>
      <c r="W23" s="119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7"/>
        <v>69.974999999999994</v>
      </c>
      <c r="AD23" s="126"/>
      <c r="AE23" s="109"/>
    </row>
    <row r="24" spans="1:31" ht="6" customHeight="1" x14ac:dyDescent="0.25"/>
    <row r="25" spans="1:31" ht="24" thickBot="1" x14ac:dyDescent="0.4">
      <c r="C25" s="166" t="s">
        <v>96</v>
      </c>
      <c r="D25" s="163"/>
      <c r="E25" s="163"/>
      <c r="F25" s="163"/>
    </row>
    <row r="26" spans="1:31" ht="40.700000000000003" customHeight="1" thickBot="1" x14ac:dyDescent="0.35">
      <c r="C26" s="358" t="s">
        <v>446</v>
      </c>
      <c r="D26" s="359" t="s">
        <v>1</v>
      </c>
      <c r="E26" s="319"/>
      <c r="F26" s="320"/>
      <c r="V26" s="346" t="s">
        <v>73</v>
      </c>
      <c r="W26" s="325"/>
      <c r="X26" s="325"/>
      <c r="Y26" s="325"/>
      <c r="Z26" s="325"/>
      <c r="AA26" s="325"/>
      <c r="AB26" s="325"/>
      <c r="AC26" s="325"/>
      <c r="AD26" s="325"/>
      <c r="AE26" s="326"/>
    </row>
    <row r="27" spans="1:31" ht="56.45" customHeight="1" thickBot="1" x14ac:dyDescent="0.3">
      <c r="A27" s="15" t="s">
        <v>458</v>
      </c>
      <c r="B27" s="15" t="s">
        <v>3</v>
      </c>
      <c r="C27" s="4" t="s">
        <v>5</v>
      </c>
      <c r="D27" s="4" t="s">
        <v>442</v>
      </c>
      <c r="E27" s="4" t="s">
        <v>443</v>
      </c>
      <c r="F27" s="4" t="s">
        <v>76</v>
      </c>
      <c r="G27" s="4" t="s">
        <v>4</v>
      </c>
      <c r="H27" s="4" t="s">
        <v>447</v>
      </c>
      <c r="I27" s="4" t="s">
        <v>6</v>
      </c>
      <c r="J27" s="18" t="s">
        <v>54</v>
      </c>
      <c r="K27" s="18" t="s">
        <v>443</v>
      </c>
      <c r="L27" s="153" t="s">
        <v>59</v>
      </c>
      <c r="M27" s="91"/>
      <c r="N27" s="133" t="s">
        <v>75</v>
      </c>
      <c r="O27" s="133" t="s">
        <v>69</v>
      </c>
      <c r="P27" s="6" t="s">
        <v>70</v>
      </c>
      <c r="Q27" s="138" t="s">
        <v>74</v>
      </c>
      <c r="R27" s="91"/>
      <c r="S27" s="133" t="s">
        <v>71</v>
      </c>
      <c r="T27" s="6" t="s">
        <v>72</v>
      </c>
      <c r="U27" s="91"/>
      <c r="V27" s="207" t="s">
        <v>448</v>
      </c>
      <c r="W27" s="154" t="s">
        <v>450</v>
      </c>
      <c r="X27" s="154" t="s">
        <v>449</v>
      </c>
      <c r="Y27" s="154" t="s">
        <v>451</v>
      </c>
      <c r="Z27" s="154" t="s">
        <v>452</v>
      </c>
      <c r="AA27" s="154" t="s">
        <v>14</v>
      </c>
      <c r="AB27" s="154" t="s">
        <v>455</v>
      </c>
      <c r="AC27" s="154" t="s">
        <v>456</v>
      </c>
      <c r="AD27" s="138"/>
      <c r="AE27" s="6" t="s">
        <v>454</v>
      </c>
    </row>
    <row r="28" spans="1:31" ht="19.5" thickBot="1" x14ac:dyDescent="0.35">
      <c r="A28" s="230">
        <v>1300500</v>
      </c>
      <c r="B28" s="231" t="s">
        <v>457</v>
      </c>
      <c r="C28" s="232" t="s">
        <v>445</v>
      </c>
      <c r="D28" s="233"/>
      <c r="E28" s="233"/>
      <c r="F28" s="233">
        <f>+I28/(X28*Z28)</f>
        <v>14.475114105629208</v>
      </c>
      <c r="G28" s="231" t="s">
        <v>444</v>
      </c>
      <c r="H28" s="234">
        <v>9</v>
      </c>
      <c r="I28" s="235">
        <f>+H28*X28</f>
        <v>180</v>
      </c>
      <c r="J28" s="235">
        <f>IF(AB28-I28&lt;0,0,AB28-I28)</f>
        <v>0</v>
      </c>
      <c r="K28" s="236">
        <f>IF(AC28-H28&lt;0,0,AC28-H28)</f>
        <v>0</v>
      </c>
      <c r="M28" s="92"/>
      <c r="N28" s="244"/>
      <c r="O28" s="240"/>
      <c r="P28" s="240"/>
      <c r="Q28" s="243"/>
      <c r="R28" s="92"/>
      <c r="S28" s="237"/>
      <c r="T28" s="243"/>
      <c r="U28" s="92"/>
      <c r="V28" s="237"/>
      <c r="W28" s="235">
        <f>+V28*X28</f>
        <v>0</v>
      </c>
      <c r="X28" s="235">
        <v>20</v>
      </c>
      <c r="Y28" s="238">
        <f>+SUMIFS('Consumo '!F:F,'Consumo '!A:A,G28)</f>
        <v>12.435135135135138</v>
      </c>
      <c r="Z28" s="239">
        <f>+Y28/X28</f>
        <v>0.6217567567567569</v>
      </c>
      <c r="AA28" s="240">
        <f>+SUMIFS('Consumo '!E:E,'Consumo '!A:A,'Garage 18-06-25'!G29)</f>
        <v>9224</v>
      </c>
      <c r="AB28" s="240">
        <f>+Y28*1.5</f>
        <v>18.652702702702705</v>
      </c>
      <c r="AC28" s="241">
        <f>+Z28*1.5</f>
        <v>0.93263513513513541</v>
      </c>
      <c r="AD28" s="241"/>
      <c r="AE28" s="242" t="s">
        <v>446</v>
      </c>
    </row>
    <row r="29" spans="1:31" ht="23.25" x14ac:dyDescent="0.35">
      <c r="C29" s="215" t="s">
        <v>98</v>
      </c>
    </row>
    <row r="30" spans="1:31" ht="18.75" x14ac:dyDescent="0.3">
      <c r="B30" s="106" t="s">
        <v>20</v>
      </c>
      <c r="C30" s="69" t="s">
        <v>21</v>
      </c>
      <c r="D30" s="68"/>
      <c r="E30" s="68"/>
      <c r="F30" s="68">
        <f>+I30/(V30*W30)</f>
        <v>0.8</v>
      </c>
      <c r="G30" s="68"/>
      <c r="H30" s="66">
        <v>4</v>
      </c>
      <c r="I30" s="67">
        <f>H30*W30</f>
        <v>120</v>
      </c>
      <c r="J30" s="67">
        <f>+I30/Y30</f>
        <v>5466.9703872437358</v>
      </c>
      <c r="K30" s="67">
        <f>IF(V30-H30&lt;0,0,V30-H30)</f>
        <v>1</v>
      </c>
      <c r="L30" s="67">
        <f>+IF(X30-J30&lt;0,"",X30-J30)</f>
        <v>1366.7425968109337</v>
      </c>
      <c r="M30" s="92"/>
      <c r="N30" s="134"/>
      <c r="O30" s="39"/>
      <c r="P30" s="39"/>
      <c r="Q30" s="128"/>
      <c r="R30" s="92"/>
      <c r="S30" s="96"/>
      <c r="T30" s="128"/>
      <c r="U30" s="92"/>
      <c r="V30" s="96">
        <v>5</v>
      </c>
      <c r="W30" s="39">
        <v>30</v>
      </c>
      <c r="X30" s="39">
        <f>+V30*AA30</f>
        <v>6833.7129840546695</v>
      </c>
      <c r="Y30" s="94">
        <f>+Z30/1000</f>
        <v>2.1950000000000001E-2</v>
      </c>
      <c r="Z30" s="121">
        <v>21.95</v>
      </c>
      <c r="AA30" s="39">
        <f>+W30/Y30</f>
        <v>1366.7425968109339</v>
      </c>
      <c r="AB30" s="39">
        <f>IFERROR(VLOOKUP(706,'Estadistica Madre CH 23-01'!A:C,3,0),+VLOOKUP(B30,'Estadistica Madre LK 23-01 '!A:C,3,0))</f>
        <v>2400</v>
      </c>
      <c r="AC30" s="122">
        <f>1.5*AB30/AA30</f>
        <v>2.6339999999999999</v>
      </c>
      <c r="AD30" s="122"/>
      <c r="AE30" s="108" t="s">
        <v>47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E30"/>
  <sheetViews>
    <sheetView topLeftCell="A4" zoomScale="40" zoomScaleNormal="40" workbookViewId="0">
      <selection activeCell="I13" sqref="I13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7.85546875" customWidth="1"/>
    <col min="5" max="5" width="9.140625" customWidth="1"/>
    <col min="6" max="6" width="13.85546875" customWidth="1"/>
    <col min="7" max="7" width="9" customWidth="1"/>
    <col min="8" max="8" width="8.42578125" customWidth="1"/>
    <col min="9" max="9" width="8.7109375" customWidth="1"/>
    <col min="10" max="10" width="14.28515625" bestFit="1" customWidth="1"/>
    <col min="11" max="11" width="8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customWidth="1"/>
    <col min="24" max="24" width="11.140625" customWidth="1"/>
    <col min="25" max="25" width="14.140625" style="110" customWidth="1"/>
    <col min="26" max="26" width="8.28515625" customWidth="1"/>
    <col min="27" max="27" width="10" customWidth="1"/>
    <col min="28" max="28" width="11.42578125" customWidth="1"/>
    <col min="29" max="29" width="11.28515625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339" t="s">
        <v>95</v>
      </c>
      <c r="C1" s="340"/>
      <c r="D1" s="340"/>
      <c r="E1" s="340"/>
      <c r="F1" s="340"/>
      <c r="G1" s="340"/>
      <c r="H1" s="341"/>
      <c r="L1"/>
      <c r="X1" s="1"/>
    </row>
    <row r="2" spans="2:31" ht="24.75" customHeight="1" thickBot="1" x14ac:dyDescent="0.35">
      <c r="C2" s="164" t="s">
        <v>1</v>
      </c>
      <c r="D2" s="342">
        <f ca="1">+TODAY()</f>
        <v>46101</v>
      </c>
      <c r="E2" s="318"/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343"/>
      <c r="E4" s="343"/>
      <c r="F4" s="343"/>
      <c r="G4" s="163"/>
      <c r="H4" s="1"/>
      <c r="I4" s="1"/>
      <c r="J4" s="1"/>
      <c r="K4" s="344"/>
      <c r="L4" s="3"/>
      <c r="V4" s="348"/>
      <c r="AA4" s="348"/>
      <c r="AB4" s="345"/>
      <c r="AC4" s="348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9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8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102" t="s">
        <v>63</v>
      </c>
      <c r="W6" s="103" t="s">
        <v>38</v>
      </c>
      <c r="X6" s="103" t="s">
        <v>58</v>
      </c>
      <c r="Y6" s="103" t="s">
        <v>10</v>
      </c>
      <c r="Z6" s="103" t="s">
        <v>65</v>
      </c>
      <c r="AA6" s="103" t="s">
        <v>11</v>
      </c>
      <c r="AB6" s="103" t="s">
        <v>14</v>
      </c>
      <c r="AC6" s="104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3" si="0">H7*W7</f>
        <v>240</v>
      </c>
      <c r="J7" s="72">
        <f t="shared" ref="J7:J23" si="1">+I7/Y7</f>
        <v>7283.7632776934752</v>
      </c>
      <c r="K7" s="72">
        <f t="shared" ref="K7:K23" si="2">IF(V7-H7&lt;0,0,V7-H7)</f>
        <v>0</v>
      </c>
      <c r="L7" s="72" t="str">
        <f t="shared" ref="L7:L23" si="3">+IF(X7-J7&lt;0,"",X7-J7)</f>
        <v/>
      </c>
      <c r="M7" s="92"/>
      <c r="N7" s="136"/>
      <c r="O7" s="137"/>
      <c r="P7" s="137"/>
      <c r="Q7" s="132"/>
      <c r="R7" s="92"/>
      <c r="S7" s="131"/>
      <c r="T7" s="132"/>
      <c r="U7" s="92"/>
      <c r="V7" s="96">
        <v>5</v>
      </c>
      <c r="W7" s="39">
        <v>30</v>
      </c>
      <c r="X7" s="39">
        <f>+V7*AA7</f>
        <v>4552.3520485584222</v>
      </c>
      <c r="Y7" s="94">
        <f>+Z7/1000</f>
        <v>3.295E-2</v>
      </c>
      <c r="Z7" s="121">
        <v>32.950000000000003</v>
      </c>
      <c r="AA7" s="39">
        <f>+W7/Y7</f>
        <v>910.4704097116844</v>
      </c>
      <c r="AB7" s="39">
        <f>IFERROR(VLOOKUP(B7,'Estadistica Madre CH 23-01'!A:C,3,0),+VLOOKUP(B7,'Estadistica Madre LK 23-01 '!A:C,3,0))</f>
        <v>1440</v>
      </c>
      <c r="AC7" s="122">
        <f>4*AB7/AA7</f>
        <v>6.3263999999999996</v>
      </c>
      <c r="AD7" s="141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0.25</v>
      </c>
      <c r="G8" s="106" t="s">
        <v>17</v>
      </c>
      <c r="H8" s="66">
        <v>3</v>
      </c>
      <c r="I8" s="67">
        <f t="shared" si="0"/>
        <v>90</v>
      </c>
      <c r="J8" s="67">
        <f t="shared" si="1"/>
        <v>4100.2277904328021</v>
      </c>
      <c r="K8" s="67">
        <f t="shared" si="2"/>
        <v>9</v>
      </c>
      <c r="L8" s="67">
        <f t="shared" si="3"/>
        <v>12300.683371298406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x14ac:dyDescent="0.3">
      <c r="B9" s="76">
        <v>506</v>
      </c>
      <c r="C9" s="69" t="s">
        <v>29</v>
      </c>
      <c r="D9" s="68"/>
      <c r="E9" s="68"/>
      <c r="F9" s="68">
        <f>+I9/(V9*W9)</f>
        <v>0.22222222222222221</v>
      </c>
      <c r="G9" s="106" t="s">
        <v>28</v>
      </c>
      <c r="H9" s="66">
        <v>8</v>
      </c>
      <c r="I9" s="67">
        <f>H9*W9</f>
        <v>240</v>
      </c>
      <c r="J9" s="67">
        <f>+I9/Y9</f>
        <v>10933.940774487472</v>
      </c>
      <c r="K9" s="67">
        <f>IF(V9-H9&lt;0,0,V9-H9)</f>
        <v>28</v>
      </c>
      <c r="L9" s="67">
        <f>+IF(X9-J9&lt;0,"",X9-J9)</f>
        <v>38268.792710706155</v>
      </c>
      <c r="M9" s="92"/>
      <c r="N9" s="134"/>
      <c r="O9" s="39"/>
      <c r="P9" s="39"/>
      <c r="Q9" s="128"/>
      <c r="R9" s="92"/>
      <c r="S9" s="96"/>
      <c r="T9" s="128"/>
      <c r="U9" s="92"/>
      <c r="V9" s="96">
        <v>36</v>
      </c>
      <c r="W9" s="39">
        <v>30</v>
      </c>
      <c r="X9" s="39">
        <f>+V9*AA9</f>
        <v>49202.733485193625</v>
      </c>
      <c r="Y9" s="94">
        <f>+Z9/1000</f>
        <v>2.1950000000000001E-2</v>
      </c>
      <c r="Z9" s="121">
        <v>21.95</v>
      </c>
      <c r="AA9" s="39">
        <f>+W9/Y9</f>
        <v>1366.7425968109339</v>
      </c>
      <c r="AB9" s="39">
        <f>IFERROR(VLOOKUP(B9,'Estadistica Madre CH 23-01'!A:C,3,0),+VLOOKUP(B9,'Estadistica Madre LK 23-01 '!A:C,3,0))</f>
        <v>18840</v>
      </c>
      <c r="AC9" s="122">
        <f>4.1*AB9/AA9</f>
        <v>56.516860000000001</v>
      </c>
      <c r="AD9" s="122"/>
      <c r="AE9" s="108" t="s">
        <v>47</v>
      </c>
    </row>
    <row r="10" spans="2:3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15" t="s">
        <v>3</v>
      </c>
      <c r="C13" s="4" t="s">
        <v>5</v>
      </c>
      <c r="D13" s="4" t="s">
        <v>59</v>
      </c>
      <c r="E13" s="4" t="s">
        <v>439</v>
      </c>
      <c r="F13" s="4" t="s">
        <v>76</v>
      </c>
      <c r="G13" s="4" t="s">
        <v>4</v>
      </c>
      <c r="H13" s="4" t="s">
        <v>438</v>
      </c>
      <c r="I13" s="4" t="s">
        <v>6</v>
      </c>
      <c r="J13" s="4" t="s">
        <v>62</v>
      </c>
      <c r="K13" s="18" t="s">
        <v>68</v>
      </c>
      <c r="L13" s="18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102" t="s">
        <v>63</v>
      </c>
      <c r="W13" s="103" t="s">
        <v>38</v>
      </c>
      <c r="X13" s="103" t="s">
        <v>58</v>
      </c>
      <c r="Y13" s="103" t="s">
        <v>10</v>
      </c>
      <c r="Z13" s="103" t="s">
        <v>65</v>
      </c>
      <c r="AA13" s="103" t="s">
        <v>11</v>
      </c>
      <c r="AB13" s="103" t="s">
        <v>14</v>
      </c>
      <c r="AC13" s="104" t="s">
        <v>475</v>
      </c>
      <c r="AD13" s="140" t="s">
        <v>80</v>
      </c>
      <c r="AE13" s="4" t="s">
        <v>46</v>
      </c>
    </row>
    <row r="14" spans="2:31" ht="18.75" x14ac:dyDescent="0.3">
      <c r="B14" s="76">
        <v>654</v>
      </c>
      <c r="C14" s="69" t="s">
        <v>23</v>
      </c>
      <c r="D14" s="68"/>
      <c r="E14" s="68"/>
      <c r="F14" s="68">
        <f>+I14/(V14*W14)</f>
        <v>0.4</v>
      </c>
      <c r="G14" s="106" t="s">
        <v>22</v>
      </c>
      <c r="H14" s="66">
        <v>2</v>
      </c>
      <c r="I14" s="67">
        <f t="shared" si="0"/>
        <v>30.959999999999997</v>
      </c>
      <c r="J14" s="67">
        <f t="shared" si="1"/>
        <v>1440</v>
      </c>
      <c r="K14" s="67">
        <f t="shared" si="2"/>
        <v>3</v>
      </c>
      <c r="L14" s="67">
        <f t="shared" si="3"/>
        <v>2160</v>
      </c>
      <c r="M14" s="92"/>
      <c r="N14" s="134"/>
      <c r="O14" s="39"/>
      <c r="P14" s="121"/>
      <c r="Q14" s="129"/>
      <c r="R14" s="92"/>
      <c r="S14" s="96"/>
      <c r="T14" s="129"/>
      <c r="U14" s="92"/>
      <c r="V14" s="96">
        <v>5</v>
      </c>
      <c r="W14" s="121">
        <f>+AA14*Y14</f>
        <v>15.479999999999999</v>
      </c>
      <c r="X14" s="39">
        <f t="shared" si="4"/>
        <v>3600</v>
      </c>
      <c r="Y14" s="94">
        <f t="shared" si="5"/>
        <v>2.1499999999999998E-2</v>
      </c>
      <c r="Z14" s="121">
        <v>21.5</v>
      </c>
      <c r="AA14" s="39">
        <v>720</v>
      </c>
      <c r="AB14" s="39">
        <f>IFERROR(VLOOKUP(B14,'Estadistica Madre CH 23-01'!A:C,3,0),+VLOOKUP(B14,'Estadistica Madre LK 23-01 '!A:C,3,0))</f>
        <v>912</v>
      </c>
      <c r="AC14" s="122">
        <f>3.5*AB14/AA14</f>
        <v>4.4333333333333336</v>
      </c>
      <c r="AD14" s="122"/>
      <c r="AE14" s="108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0.05</v>
      </c>
      <c r="G15" s="106" t="s">
        <v>24</v>
      </c>
      <c r="H15" s="66">
        <v>0.5</v>
      </c>
      <c r="I15" s="67">
        <f t="shared" si="0"/>
        <v>0.9</v>
      </c>
      <c r="J15" s="67">
        <f t="shared" si="1"/>
        <v>58.064516129032263</v>
      </c>
      <c r="K15" s="67">
        <f t="shared" si="2"/>
        <v>9.5</v>
      </c>
      <c r="L15" s="67">
        <f t="shared" si="3"/>
        <v>7141.9354838709678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2">
        <f>3*AB15/AA15</f>
        <v>8.85</v>
      </c>
      <c r="AD15" s="122"/>
      <c r="AE15" s="108" t="s">
        <v>53</v>
      </c>
    </row>
    <row r="16" spans="2:31" ht="21.2" customHeight="1" x14ac:dyDescent="0.3">
      <c r="B16" s="76">
        <v>557</v>
      </c>
      <c r="C16" s="69" t="s">
        <v>27</v>
      </c>
      <c r="D16" s="68"/>
      <c r="E16" s="68"/>
      <c r="F16" s="68">
        <f>+I16/(V16*W16)</f>
        <v>3</v>
      </c>
      <c r="G16" s="106" t="s">
        <v>26</v>
      </c>
      <c r="H16" s="66">
        <v>3</v>
      </c>
      <c r="I16" s="67">
        <f t="shared" si="0"/>
        <v>5.4</v>
      </c>
      <c r="J16" s="67">
        <f t="shared" si="1"/>
        <v>339.62264150943395</v>
      </c>
      <c r="K16" s="67">
        <f t="shared" si="2"/>
        <v>0</v>
      </c>
      <c r="L16" s="67">
        <f t="shared" si="3"/>
        <v>380.37735849056605</v>
      </c>
      <c r="M16" s="92"/>
      <c r="N16" s="134"/>
      <c r="O16" s="39"/>
      <c r="P16" s="121"/>
      <c r="Q16" s="129"/>
      <c r="R16" s="92"/>
      <c r="S16" s="96"/>
      <c r="T16" s="129"/>
      <c r="U16" s="92"/>
      <c r="V16" s="96">
        <v>1</v>
      </c>
      <c r="W16" s="121">
        <v>1.8</v>
      </c>
      <c r="X16" s="39">
        <f t="shared" si="4"/>
        <v>720</v>
      </c>
      <c r="Y16" s="94">
        <f t="shared" si="5"/>
        <v>1.5900000000000001E-2</v>
      </c>
      <c r="Z16" s="121">
        <v>15.9</v>
      </c>
      <c r="AA16" s="39">
        <v>720</v>
      </c>
      <c r="AB16" s="39">
        <f>IFERROR(VLOOKUP(B16,'Estadistica Madre CH 23-01'!A:C,3,0),+VLOOKUP(B16,'Estadistica Madre LK 23-01 '!A:C,3,0))</f>
        <v>1400</v>
      </c>
      <c r="AC16" s="122">
        <f>3*AB16/AA16</f>
        <v>5.833333333333333</v>
      </c>
      <c r="AD16" s="122"/>
      <c r="AE16" s="108" t="s">
        <v>53</v>
      </c>
    </row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4</v>
      </c>
      <c r="G22" s="111" t="s">
        <v>30</v>
      </c>
      <c r="H22" s="73">
        <v>16</v>
      </c>
      <c r="I22" s="72">
        <f t="shared" si="0"/>
        <v>480</v>
      </c>
      <c r="J22" s="72">
        <f t="shared" si="1"/>
        <v>21818.18181818182</v>
      </c>
      <c r="K22" s="72">
        <f t="shared" si="2"/>
        <v>0</v>
      </c>
      <c r="L22" s="75" t="str">
        <f t="shared" si="3"/>
        <v/>
      </c>
      <c r="M22" s="92"/>
      <c r="N22" s="330"/>
      <c r="O22" s="87"/>
      <c r="P22" s="87"/>
      <c r="Q22" s="331"/>
      <c r="R22" s="92"/>
      <c r="S22" s="332"/>
      <c r="T22" s="331"/>
      <c r="U22" s="92"/>
      <c r="V22" s="332">
        <v>4</v>
      </c>
      <c r="W22" s="87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7">1.5*AB22/AA22</f>
        <v>7.1015999999999995</v>
      </c>
      <c r="AD22" s="338"/>
      <c r="AE22" s="107" t="s">
        <v>86</v>
      </c>
    </row>
    <row r="23" spans="1:31" ht="19.5" thickBot="1" x14ac:dyDescent="0.35">
      <c r="B23" s="78">
        <v>544</v>
      </c>
      <c r="C23" s="79" t="s">
        <v>474</v>
      </c>
      <c r="D23" s="329"/>
      <c r="E23" s="329"/>
      <c r="F23" s="329">
        <f>+I23/(V23*W23)</f>
        <v>0.42592592592592587</v>
      </c>
      <c r="G23" s="112"/>
      <c r="H23" s="327">
        <v>23</v>
      </c>
      <c r="I23" s="117">
        <f t="shared" si="0"/>
        <v>360.64</v>
      </c>
      <c r="J23" s="117">
        <f t="shared" si="1"/>
        <v>3679.9999999999995</v>
      </c>
      <c r="K23" s="117">
        <f t="shared" si="2"/>
        <v>31</v>
      </c>
      <c r="L23" s="328">
        <f t="shared" si="3"/>
        <v>4960</v>
      </c>
      <c r="M23" s="92"/>
      <c r="N23" s="135"/>
      <c r="O23" s="119"/>
      <c r="P23" s="119"/>
      <c r="Q23" s="130"/>
      <c r="R23" s="92"/>
      <c r="S23" s="98"/>
      <c r="T23" s="130"/>
      <c r="U23" s="92"/>
      <c r="V23" s="98">
        <v>54</v>
      </c>
      <c r="W23" s="119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7"/>
        <v>69.974999999999994</v>
      </c>
      <c r="AD23" s="126"/>
      <c r="AE23" s="109"/>
    </row>
    <row r="25" spans="1:31" ht="24" thickBot="1" x14ac:dyDescent="0.4">
      <c r="C25" s="166" t="s">
        <v>96</v>
      </c>
      <c r="D25" s="163"/>
      <c r="E25" s="163"/>
      <c r="F25" s="163"/>
    </row>
    <row r="26" spans="1:31" ht="24" thickBot="1" x14ac:dyDescent="0.35">
      <c r="C26" s="216" t="s">
        <v>446</v>
      </c>
      <c r="D26" s="162" t="s">
        <v>1</v>
      </c>
      <c r="E26" s="319"/>
      <c r="F26" s="320"/>
      <c r="V26" s="346" t="s">
        <v>73</v>
      </c>
      <c r="W26" s="325"/>
      <c r="X26" s="325"/>
      <c r="Y26" s="325"/>
      <c r="Z26" s="325"/>
      <c r="AA26" s="325"/>
      <c r="AB26" s="325"/>
      <c r="AC26" s="325"/>
      <c r="AD26" s="325"/>
      <c r="AE26" s="326"/>
    </row>
    <row r="27" spans="1:31" ht="56.45" customHeight="1" thickBot="1" x14ac:dyDescent="0.3">
      <c r="A27" s="15" t="s">
        <v>458</v>
      </c>
      <c r="B27" s="15" t="s">
        <v>3</v>
      </c>
      <c r="C27" s="4" t="s">
        <v>5</v>
      </c>
      <c r="D27" s="4" t="s">
        <v>442</v>
      </c>
      <c r="E27" s="4" t="s">
        <v>443</v>
      </c>
      <c r="F27" s="4" t="s">
        <v>76</v>
      </c>
      <c r="G27" s="4" t="s">
        <v>4</v>
      </c>
      <c r="H27" s="4" t="s">
        <v>447</v>
      </c>
      <c r="I27" s="4" t="s">
        <v>6</v>
      </c>
      <c r="J27" s="18" t="s">
        <v>54</v>
      </c>
      <c r="K27" s="18" t="s">
        <v>443</v>
      </c>
      <c r="M27" s="91"/>
      <c r="N27" s="133" t="s">
        <v>75</v>
      </c>
      <c r="O27" s="133" t="s">
        <v>69</v>
      </c>
      <c r="P27" s="6" t="s">
        <v>70</v>
      </c>
      <c r="Q27" s="138" t="s">
        <v>74</v>
      </c>
      <c r="R27" s="91"/>
      <c r="S27" s="133" t="s">
        <v>71</v>
      </c>
      <c r="T27" s="6" t="s">
        <v>72</v>
      </c>
      <c r="U27" s="91"/>
      <c r="V27" s="207" t="s">
        <v>448</v>
      </c>
      <c r="W27" s="154" t="s">
        <v>450</v>
      </c>
      <c r="X27" s="154" t="s">
        <v>449</v>
      </c>
      <c r="Y27" s="154" t="s">
        <v>451</v>
      </c>
      <c r="Z27" s="154" t="s">
        <v>452</v>
      </c>
      <c r="AA27" s="154" t="s">
        <v>14</v>
      </c>
      <c r="AB27" s="154" t="s">
        <v>455</v>
      </c>
      <c r="AC27" s="154" t="s">
        <v>456</v>
      </c>
      <c r="AD27" s="138"/>
      <c r="AE27" s="6" t="s">
        <v>454</v>
      </c>
    </row>
    <row r="28" spans="1:31" ht="19.5" thickBot="1" x14ac:dyDescent="0.35">
      <c r="A28" s="230">
        <v>1300500</v>
      </c>
      <c r="B28" s="231" t="s">
        <v>457</v>
      </c>
      <c r="C28" s="232" t="s">
        <v>445</v>
      </c>
      <c r="D28" s="233"/>
      <c r="E28" s="233"/>
      <c r="F28" s="233">
        <f>+I28/(X28*Z28)</f>
        <v>14.475114105629208</v>
      </c>
      <c r="G28" s="231" t="s">
        <v>444</v>
      </c>
      <c r="H28" s="234">
        <v>9</v>
      </c>
      <c r="I28" s="235">
        <f>+H28*X28</f>
        <v>180</v>
      </c>
      <c r="J28" s="235">
        <f>IF(AB28-I28&lt;0,0,AB28-I28)</f>
        <v>0</v>
      </c>
      <c r="K28" s="236">
        <f>IF(AC28-H28&lt;0,0,AC28-H28)</f>
        <v>0</v>
      </c>
      <c r="M28" s="92"/>
      <c r="N28" s="244"/>
      <c r="O28" s="240"/>
      <c r="P28" s="240"/>
      <c r="Q28" s="243"/>
      <c r="R28" s="92"/>
      <c r="S28" s="237"/>
      <c r="T28" s="243"/>
      <c r="U28" s="92"/>
      <c r="V28" s="237"/>
      <c r="W28" s="235">
        <f>+V28*X28</f>
        <v>0</v>
      </c>
      <c r="X28" s="235">
        <v>20</v>
      </c>
      <c r="Y28" s="238">
        <f>+SUMIFS('Consumo '!F:F,'Consumo '!A:A,G28)</f>
        <v>12.435135135135138</v>
      </c>
      <c r="Z28" s="239">
        <f>+Y28/X28</f>
        <v>0.6217567567567569</v>
      </c>
      <c r="AA28" s="240">
        <f>+SUMIFS('Consumo '!E:E,'Consumo '!A:A,'Garage 18-06-25'!G29)</f>
        <v>9224</v>
      </c>
      <c r="AB28" s="240">
        <f>+Y28*1.5</f>
        <v>18.652702702702705</v>
      </c>
      <c r="AC28" s="241">
        <f>+Z28*1.5</f>
        <v>0.93263513513513541</v>
      </c>
      <c r="AD28" s="241"/>
      <c r="AE28" s="242" t="s">
        <v>446</v>
      </c>
    </row>
    <row r="29" spans="1:31" ht="23.25" x14ac:dyDescent="0.35">
      <c r="C29" s="215" t="s">
        <v>98</v>
      </c>
    </row>
    <row r="30" spans="1:31" ht="18.75" x14ac:dyDescent="0.3">
      <c r="B30" s="106" t="s">
        <v>20</v>
      </c>
      <c r="C30" s="69" t="s">
        <v>21</v>
      </c>
      <c r="D30" s="68"/>
      <c r="E30" s="68"/>
      <c r="F30" s="68">
        <f>+I30/(V30*W30)</f>
        <v>0</v>
      </c>
      <c r="G30" s="68"/>
      <c r="H30" s="66"/>
      <c r="I30" s="67">
        <f>H30*W30</f>
        <v>0</v>
      </c>
      <c r="J30" s="67">
        <f>+I30/Y30</f>
        <v>0</v>
      </c>
      <c r="K30" s="67">
        <f>IF(V30-H30&lt;0,0,V30-H30)</f>
        <v>5</v>
      </c>
      <c r="L30" s="67">
        <f>+IF(X30-J30&lt;0,"",X30-J30)</f>
        <v>6833.7129840546695</v>
      </c>
      <c r="M30" s="92"/>
      <c r="N30" s="134"/>
      <c r="O30" s="39"/>
      <c r="P30" s="39"/>
      <c r="Q30" s="128"/>
      <c r="R30" s="92"/>
      <c r="S30" s="96"/>
      <c r="T30" s="128"/>
      <c r="U30" s="92"/>
      <c r="V30" s="96">
        <v>5</v>
      </c>
      <c r="W30" s="39">
        <v>30</v>
      </c>
      <c r="X30" s="39">
        <f>+V30*AA30</f>
        <v>6833.7129840546695</v>
      </c>
      <c r="Y30" s="94">
        <f>+Z30/1000</f>
        <v>2.1950000000000001E-2</v>
      </c>
      <c r="Z30" s="121">
        <v>21.95</v>
      </c>
      <c r="AA30" s="39">
        <f>+W30/Y30</f>
        <v>1366.7425968109339</v>
      </c>
      <c r="AB30" s="39">
        <f>IFERROR(VLOOKUP(706,'Estadistica Madre CH 23-01'!A:C,3,0),+VLOOKUP(B30,'Estadistica Madre LK 23-01 '!A:C,3,0))</f>
        <v>2400</v>
      </c>
      <c r="AC30" s="122">
        <f>1.5*AB30/AA30</f>
        <v>2.6339999999999999</v>
      </c>
      <c r="AD30" s="122"/>
      <c r="AE30" s="108" t="s">
        <v>47</v>
      </c>
    </row>
  </sheetData>
  <pageMargins left="0.7" right="0.7" top="0.75" bottom="0.75" header="0.3" footer="0.3"/>
  <pageSetup orientation="portrait" horizontalDpi="0" verticalDpi="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F0"/>
  </sheetPr>
  <dimension ref="A1:AE29"/>
  <sheetViews>
    <sheetView workbookViewId="0"/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0.28515625" customWidth="1"/>
    <col min="5" max="5" width="9.140625" customWidth="1"/>
    <col min="6" max="6" width="9.28515625" customWidth="1"/>
    <col min="7" max="7" width="9" customWidth="1"/>
    <col min="8" max="8" width="8.42578125" customWidth="1"/>
    <col min="9" max="9" width="8.7109375" customWidth="1"/>
    <col min="10" max="10" width="10.28515625" customWidth="1"/>
    <col min="11" max="11" width="8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customWidth="1"/>
    <col min="24" max="24" width="8.28515625" customWidth="1"/>
    <col min="25" max="25" width="9.28515625" style="110" customWidth="1"/>
    <col min="26" max="27" width="8.28515625" customWidth="1"/>
    <col min="28" max="28" width="9.140625" customWidth="1"/>
    <col min="29" max="29" width="9.42578125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517" t="s">
        <v>95</v>
      </c>
      <c r="C1" s="518"/>
      <c r="D1" s="518"/>
      <c r="E1" s="518"/>
      <c r="F1" s="518"/>
      <c r="G1" s="518"/>
      <c r="H1" s="519"/>
      <c r="L1"/>
      <c r="X1" s="1"/>
    </row>
    <row r="2" spans="2:31" ht="24.75" customHeight="1" thickBot="1" x14ac:dyDescent="0.35">
      <c r="C2" s="164" t="s">
        <v>1</v>
      </c>
      <c r="D2" s="520">
        <f ca="1">+TODAY()</f>
        <v>46101</v>
      </c>
      <c r="E2" s="521"/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522" t="s">
        <v>73</v>
      </c>
      <c r="W5" s="523"/>
      <c r="X5" s="523"/>
      <c r="Y5" s="523"/>
      <c r="Z5" s="523"/>
      <c r="AA5" s="523"/>
      <c r="AB5" s="523"/>
      <c r="AC5" s="523"/>
      <c r="AD5" s="523"/>
      <c r="AE5" s="524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8" t="s">
        <v>54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102" t="s">
        <v>63</v>
      </c>
      <c r="W6" s="103" t="s">
        <v>38</v>
      </c>
      <c r="X6" s="103" t="s">
        <v>58</v>
      </c>
      <c r="Y6" s="103" t="s">
        <v>10</v>
      </c>
      <c r="Z6" s="103" t="s">
        <v>65</v>
      </c>
      <c r="AA6" s="103" t="s">
        <v>11</v>
      </c>
      <c r="AB6" s="103" t="s">
        <v>14</v>
      </c>
      <c r="AC6" s="104" t="s">
        <v>453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2" si="0">H7*W7</f>
        <v>240</v>
      </c>
      <c r="J7" s="72">
        <f t="shared" ref="J7:J22" si="1">+I7/Y7</f>
        <v>7283.7632776934752</v>
      </c>
      <c r="K7" s="72">
        <f t="shared" ref="K7:K22" si="2">IF(V7-H7&lt;0,0,V7-H7)</f>
        <v>0</v>
      </c>
      <c r="L7" s="72" t="str">
        <f t="shared" ref="L7:L22" si="3">+IF(X7-J7&lt;0,"",X7-J7)</f>
        <v/>
      </c>
      <c r="M7" s="92"/>
      <c r="N7" s="136"/>
      <c r="O7" s="137"/>
      <c r="P7" s="137"/>
      <c r="Q7" s="132"/>
      <c r="R7" s="92"/>
      <c r="S7" s="131"/>
      <c r="T7" s="132"/>
      <c r="U7" s="92"/>
      <c r="V7" s="96">
        <v>5</v>
      </c>
      <c r="W7" s="39">
        <v>30</v>
      </c>
      <c r="X7" s="39">
        <f>+V7*AA7</f>
        <v>4552.3520485584222</v>
      </c>
      <c r="Y7" s="94">
        <f>+Z7/1000</f>
        <v>3.295E-2</v>
      </c>
      <c r="Z7" s="121">
        <v>32.950000000000003</v>
      </c>
      <c r="AA7" s="39">
        <f>+W7/Y7</f>
        <v>910.4704097116844</v>
      </c>
      <c r="AB7" s="39">
        <f>IFERROR(VLOOKUP(B7,'Estadistica Madre CH 23-01'!A:C,3,0),+VLOOKUP(B7,'Estadistica Madre LK 23-01 '!A:C,3,0))</f>
        <v>1440</v>
      </c>
      <c r="AC7" s="122">
        <f>1.5*AB7/AA7</f>
        <v>2.3723999999999998</v>
      </c>
      <c r="AD7" s="141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0.75</v>
      </c>
      <c r="G8" s="106" t="s">
        <v>17</v>
      </c>
      <c r="H8" s="66">
        <v>3</v>
      </c>
      <c r="I8" s="67">
        <f t="shared" si="0"/>
        <v>90</v>
      </c>
      <c r="J8" s="67">
        <f t="shared" si="1"/>
        <v>4100.2277904328021</v>
      </c>
      <c r="K8" s="67">
        <f t="shared" si="2"/>
        <v>1</v>
      </c>
      <c r="L8" s="67">
        <f t="shared" si="3"/>
        <v>1366.7425968109337</v>
      </c>
      <c r="M8" s="92"/>
      <c r="N8" s="134"/>
      <c r="O8" s="39"/>
      <c r="P8" s="39"/>
      <c r="Q8" s="128"/>
      <c r="R8" s="92"/>
      <c r="S8" s="96"/>
      <c r="T8" s="128"/>
      <c r="U8" s="92"/>
      <c r="V8" s="96">
        <v>4</v>
      </c>
      <c r="W8" s="39">
        <v>30</v>
      </c>
      <c r="X8" s="39">
        <f t="shared" ref="X8:X22" si="4">+V8*AA8</f>
        <v>5466.9703872437358</v>
      </c>
      <c r="Y8" s="94">
        <f t="shared" ref="Y8:Y22" si="5">+Z8/1000</f>
        <v>2.1950000000000001E-2</v>
      </c>
      <c r="Z8" s="121">
        <v>21.95</v>
      </c>
      <c r="AA8" s="39">
        <f t="shared" ref="AA8:AA22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 t="shared" ref="AC8:AC22" si="7">1.5*AB8/AA8</f>
        <v>2.6339999999999999</v>
      </c>
      <c r="AD8" s="122"/>
      <c r="AE8" s="108" t="s">
        <v>47</v>
      </c>
    </row>
    <row r="9" spans="2:31" ht="21.2" customHeight="1" x14ac:dyDescent="0.3">
      <c r="B9" s="76">
        <v>506</v>
      </c>
      <c r="C9" s="69" t="s">
        <v>29</v>
      </c>
      <c r="D9" s="68"/>
      <c r="E9" s="68"/>
      <c r="F9" s="68">
        <f>+I9/(V9*W9)</f>
        <v>0.125</v>
      </c>
      <c r="G9" s="106" t="s">
        <v>28</v>
      </c>
      <c r="H9" s="66">
        <v>1</v>
      </c>
      <c r="I9" s="67">
        <f>H9*W9</f>
        <v>30</v>
      </c>
      <c r="J9" s="67">
        <f>+I9/Y9</f>
        <v>1366.7425968109339</v>
      </c>
      <c r="K9" s="67">
        <f>IF(V9-H9&lt;0,0,V9-H9)</f>
        <v>7</v>
      </c>
      <c r="L9" s="67">
        <f>+IF(X9-J9&lt;0,"",X9-J9)</f>
        <v>9567.1981776765369</v>
      </c>
      <c r="M9" s="92"/>
      <c r="N9" s="134"/>
      <c r="O9" s="39"/>
      <c r="P9" s="39"/>
      <c r="Q9" s="128"/>
      <c r="R9" s="92"/>
      <c r="S9" s="96"/>
      <c r="T9" s="128"/>
      <c r="U9" s="92"/>
      <c r="V9" s="96">
        <v>8</v>
      </c>
      <c r="W9" s="39">
        <v>30</v>
      </c>
      <c r="X9" s="39">
        <f>+V9*AA9</f>
        <v>10933.940774487472</v>
      </c>
      <c r="Y9" s="94">
        <f>+Z9/1000</f>
        <v>2.1950000000000001E-2</v>
      </c>
      <c r="Z9" s="121">
        <v>21.95</v>
      </c>
      <c r="AA9" s="39">
        <f>+W9/Y9</f>
        <v>1366.7425968109339</v>
      </c>
      <c r="AB9" s="39">
        <f>IFERROR(VLOOKUP(B9,'Estadistica Madre CH 23-01'!A:C,3,0),+VLOOKUP(B9,'Estadistica Madre LK 23-01 '!A:C,3,0))</f>
        <v>18840</v>
      </c>
      <c r="AC9" s="122">
        <f>1.5*AB9/AA9</f>
        <v>20.6769</v>
      </c>
      <c r="AD9" s="122"/>
      <c r="AE9" s="108" t="s">
        <v>47</v>
      </c>
    </row>
    <row r="10" spans="2:3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35">
      <c r="C12" s="161" t="s">
        <v>53</v>
      </c>
      <c r="D12" s="162" t="s">
        <v>1</v>
      </c>
      <c r="E12" s="162"/>
      <c r="F12" s="160"/>
      <c r="L12"/>
    </row>
    <row r="13" spans="2:31" ht="69.599999999999994" customHeight="1" thickBot="1" x14ac:dyDescent="0.3">
      <c r="B13" s="15" t="s">
        <v>3</v>
      </c>
      <c r="C13" s="4" t="s">
        <v>5</v>
      </c>
      <c r="D13" s="4" t="s">
        <v>59</v>
      </c>
      <c r="E13" s="4" t="s">
        <v>439</v>
      </c>
      <c r="F13" s="4" t="s">
        <v>76</v>
      </c>
      <c r="G13" s="4" t="s">
        <v>4</v>
      </c>
      <c r="H13" s="4" t="s">
        <v>472</v>
      </c>
      <c r="I13" s="4" t="s">
        <v>6</v>
      </c>
      <c r="J13" s="4" t="s">
        <v>62</v>
      </c>
      <c r="K13" s="18" t="s">
        <v>54</v>
      </c>
      <c r="L13" s="18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102" t="s">
        <v>63</v>
      </c>
      <c r="W13" s="103" t="s">
        <v>38</v>
      </c>
      <c r="X13" s="103" t="s">
        <v>58</v>
      </c>
      <c r="Y13" s="103" t="s">
        <v>10</v>
      </c>
      <c r="Z13" s="103" t="s">
        <v>65</v>
      </c>
      <c r="AA13" s="103" t="s">
        <v>11</v>
      </c>
      <c r="AB13" s="103" t="s">
        <v>14</v>
      </c>
      <c r="AC13" s="104" t="s">
        <v>453</v>
      </c>
      <c r="AD13" s="140" t="s">
        <v>80</v>
      </c>
      <c r="AE13" s="4" t="s">
        <v>46</v>
      </c>
    </row>
    <row r="14" spans="2:31" ht="18.75" x14ac:dyDescent="0.3">
      <c r="B14" s="76">
        <v>654</v>
      </c>
      <c r="C14" s="69" t="s">
        <v>23</v>
      </c>
      <c r="D14" s="68"/>
      <c r="E14" s="68"/>
      <c r="F14" s="68">
        <f>+I14/(V14*W14)</f>
        <v>0.48</v>
      </c>
      <c r="G14" s="106" t="s">
        <v>22</v>
      </c>
      <c r="H14" s="66">
        <v>12</v>
      </c>
      <c r="I14" s="67">
        <f t="shared" si="0"/>
        <v>30.959999999999994</v>
      </c>
      <c r="J14" s="67">
        <f t="shared" si="1"/>
        <v>1439.9999999999998</v>
      </c>
      <c r="K14" s="67">
        <f t="shared" si="2"/>
        <v>13</v>
      </c>
      <c r="L14" s="67">
        <f t="shared" si="3"/>
        <v>1560.0000000000002</v>
      </c>
      <c r="M14" s="92"/>
      <c r="N14" s="134"/>
      <c r="O14" s="39"/>
      <c r="P14" s="121"/>
      <c r="Q14" s="129"/>
      <c r="R14" s="92"/>
      <c r="S14" s="96"/>
      <c r="T14" s="129"/>
      <c r="U14" s="92"/>
      <c r="V14" s="96">
        <v>25</v>
      </c>
      <c r="W14" s="121">
        <f>+AA14*Y14</f>
        <v>2.5799999999999996</v>
      </c>
      <c r="X14" s="39">
        <f t="shared" si="4"/>
        <v>3000</v>
      </c>
      <c r="Y14" s="94">
        <f t="shared" si="5"/>
        <v>2.1499999999999998E-2</v>
      </c>
      <c r="Z14" s="121">
        <v>21.5</v>
      </c>
      <c r="AA14" s="39">
        <v>120</v>
      </c>
      <c r="AB14" s="39">
        <f>IFERROR(VLOOKUP(B14,'Estadistica Madre CH 23-01'!A:C,3,0),+VLOOKUP(B14,'Estadistica Madre LK 23-01 '!A:C,3,0))</f>
        <v>912</v>
      </c>
      <c r="AC14" s="122">
        <f t="shared" si="7"/>
        <v>11.4</v>
      </c>
      <c r="AD14" s="122"/>
      <c r="AE14" s="108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0.24000000000000002</v>
      </c>
      <c r="G15" s="106" t="s">
        <v>24</v>
      </c>
      <c r="H15" s="66">
        <v>6</v>
      </c>
      <c r="I15" s="67">
        <f t="shared" si="0"/>
        <v>10.8</v>
      </c>
      <c r="J15" s="67">
        <f t="shared" si="1"/>
        <v>696.77419354838719</v>
      </c>
      <c r="K15" s="67">
        <f t="shared" si="2"/>
        <v>19</v>
      </c>
      <c r="L15" s="67">
        <f t="shared" si="3"/>
        <v>2303.2258064516127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25</v>
      </c>
      <c r="W15" s="121">
        <v>1.8</v>
      </c>
      <c r="X15" s="39">
        <f t="shared" si="4"/>
        <v>3000</v>
      </c>
      <c r="Y15" s="94">
        <f t="shared" si="5"/>
        <v>1.55E-2</v>
      </c>
      <c r="Z15" s="121">
        <v>15.5</v>
      </c>
      <c r="AA15" s="39">
        <v>120</v>
      </c>
      <c r="AB15" s="39">
        <f>IFERROR(VLOOKUP(B15,'Estadistica Madre CH 23-01'!A:C,3,0),+VLOOKUP(B15,'Estadistica Madre LK 23-01 '!A:C,3,0))</f>
        <v>2124</v>
      </c>
      <c r="AC15" s="122">
        <f t="shared" si="7"/>
        <v>26.55</v>
      </c>
      <c r="AD15" s="122"/>
      <c r="AE15" s="108" t="s">
        <v>53</v>
      </c>
    </row>
    <row r="16" spans="2:31" ht="21.2" customHeight="1" x14ac:dyDescent="0.3">
      <c r="B16" s="76">
        <v>557</v>
      </c>
      <c r="C16" s="69" t="s">
        <v>27</v>
      </c>
      <c r="D16" s="68"/>
      <c r="E16" s="68"/>
      <c r="F16" s="68">
        <f>+I16/(V16*W16)</f>
        <v>1.1600000000000001</v>
      </c>
      <c r="G16" s="106" t="s">
        <v>26</v>
      </c>
      <c r="H16" s="66">
        <v>29</v>
      </c>
      <c r="I16" s="67">
        <f t="shared" si="0"/>
        <v>52.2</v>
      </c>
      <c r="J16" s="67">
        <f t="shared" si="1"/>
        <v>3283.0188679245284</v>
      </c>
      <c r="K16" s="67">
        <f t="shared" si="2"/>
        <v>0</v>
      </c>
      <c r="L16" s="67" t="str">
        <f t="shared" si="3"/>
        <v/>
      </c>
      <c r="M16" s="92"/>
      <c r="N16" s="134"/>
      <c r="O16" s="39"/>
      <c r="P16" s="121"/>
      <c r="Q16" s="129"/>
      <c r="R16" s="92"/>
      <c r="S16" s="96"/>
      <c r="T16" s="129"/>
      <c r="U16" s="92"/>
      <c r="V16" s="96">
        <v>25</v>
      </c>
      <c r="W16" s="121">
        <v>1.8</v>
      </c>
      <c r="X16" s="39">
        <f t="shared" si="4"/>
        <v>3000</v>
      </c>
      <c r="Y16" s="94">
        <f t="shared" si="5"/>
        <v>1.5900000000000001E-2</v>
      </c>
      <c r="Z16" s="121">
        <v>15.9</v>
      </c>
      <c r="AA16" s="39">
        <v>120</v>
      </c>
      <c r="AB16" s="39">
        <f>IFERROR(VLOOKUP(B16,'Estadistica Madre CH 23-01'!A:C,3,0),+VLOOKUP(B16,'Estadistica Madre LK 23-01 '!A:C,3,0))</f>
        <v>1400</v>
      </c>
      <c r="AC16" s="122">
        <f t="shared" si="7"/>
        <v>17.5</v>
      </c>
      <c r="AD16" s="122"/>
      <c r="AE16" s="108" t="s">
        <v>53</v>
      </c>
    </row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162" t="s">
        <v>1</v>
      </c>
      <c r="E20" s="162"/>
      <c r="F20" s="160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54</v>
      </c>
      <c r="L21" s="18" t="s">
        <v>59</v>
      </c>
      <c r="M21" s="91"/>
      <c r="N21" s="133" t="s">
        <v>75</v>
      </c>
      <c r="O21" s="133" t="s">
        <v>69</v>
      </c>
      <c r="P21" s="6" t="s">
        <v>70</v>
      </c>
      <c r="Q21" s="138" t="s">
        <v>74</v>
      </c>
      <c r="R21" s="91"/>
      <c r="S21" s="133" t="s">
        <v>71</v>
      </c>
      <c r="T21" s="6" t="s">
        <v>72</v>
      </c>
      <c r="U21" s="91"/>
      <c r="V21" s="207" t="s">
        <v>63</v>
      </c>
      <c r="W21" s="154" t="s">
        <v>38</v>
      </c>
      <c r="X21" s="154" t="s">
        <v>58</v>
      </c>
      <c r="Y21" s="154" t="s">
        <v>10</v>
      </c>
      <c r="Z21" s="154" t="s">
        <v>65</v>
      </c>
      <c r="AA21" s="154" t="s">
        <v>11</v>
      </c>
      <c r="AB21" s="154" t="s">
        <v>14</v>
      </c>
      <c r="AC21" s="208" t="s">
        <v>453</v>
      </c>
      <c r="AD21" s="138" t="s">
        <v>80</v>
      </c>
      <c r="AE21" s="6" t="s">
        <v>46</v>
      </c>
    </row>
    <row r="22" spans="1:31" ht="18.75" x14ac:dyDescent="0.3">
      <c r="B22" s="76">
        <v>510</v>
      </c>
      <c r="C22" s="69" t="s">
        <v>31</v>
      </c>
      <c r="D22" s="68"/>
      <c r="E22" s="68"/>
      <c r="F22" s="68">
        <f>+I22/(V22*W22)</f>
        <v>2</v>
      </c>
      <c r="G22" s="106" t="s">
        <v>30</v>
      </c>
      <c r="H22" s="66">
        <v>8</v>
      </c>
      <c r="I22" s="67">
        <f t="shared" si="0"/>
        <v>240</v>
      </c>
      <c r="J22" s="67">
        <f t="shared" si="1"/>
        <v>10909.09090909091</v>
      </c>
      <c r="K22" s="67">
        <f t="shared" si="2"/>
        <v>0</v>
      </c>
      <c r="L22" s="67" t="str">
        <f t="shared" si="3"/>
        <v/>
      </c>
      <c r="M22" s="92"/>
      <c r="N22" s="134"/>
      <c r="O22" s="39"/>
      <c r="P22" s="39"/>
      <c r="Q22" s="128"/>
      <c r="R22" s="92"/>
      <c r="S22" s="96"/>
      <c r="T22" s="128"/>
      <c r="U22" s="92"/>
      <c r="V22" s="131">
        <v>4</v>
      </c>
      <c r="W22" s="137">
        <v>30</v>
      </c>
      <c r="X22" s="137">
        <f t="shared" si="4"/>
        <v>5454.545454545455</v>
      </c>
      <c r="Y22" s="245">
        <f t="shared" si="5"/>
        <v>2.1999999999999999E-2</v>
      </c>
      <c r="Z22" s="206">
        <v>22</v>
      </c>
      <c r="AA22" s="137">
        <f t="shared" si="6"/>
        <v>1363.6363636363637</v>
      </c>
      <c r="AB22" s="137">
        <f>IFERROR(VLOOKUP(B22,'Estadistica Madre CH 23-01'!A:C,3,0),+VLOOKUP(B22,'Estadistica Madre LK 23-01 '!A:C,3,0))</f>
        <v>6456</v>
      </c>
      <c r="AC22" s="141">
        <f t="shared" si="7"/>
        <v>7.1015999999999995</v>
      </c>
      <c r="AD22" s="141"/>
      <c r="AE22" s="155" t="s">
        <v>86</v>
      </c>
    </row>
    <row r="24" spans="1:31" ht="24" thickBot="1" x14ac:dyDescent="0.4">
      <c r="C24" s="166" t="s">
        <v>96</v>
      </c>
      <c r="D24" s="163"/>
      <c r="E24" s="163"/>
      <c r="F24" s="163"/>
    </row>
    <row r="25" spans="1:31" ht="21.75" thickBot="1" x14ac:dyDescent="0.35">
      <c r="C25" s="216" t="s">
        <v>446</v>
      </c>
      <c r="D25" s="162" t="s">
        <v>1</v>
      </c>
      <c r="E25" s="525"/>
      <c r="F25" s="526"/>
    </row>
    <row r="26" spans="1:31" ht="56.45" customHeight="1" thickBot="1" x14ac:dyDescent="0.3">
      <c r="A26" s="15" t="s">
        <v>458</v>
      </c>
      <c r="B26" s="15" t="s">
        <v>3</v>
      </c>
      <c r="C26" s="4" t="s">
        <v>5</v>
      </c>
      <c r="D26" s="4" t="s">
        <v>442</v>
      </c>
      <c r="E26" s="4" t="s">
        <v>443</v>
      </c>
      <c r="F26" s="4" t="s">
        <v>76</v>
      </c>
      <c r="G26" s="4" t="s">
        <v>4</v>
      </c>
      <c r="H26" s="4" t="s">
        <v>447</v>
      </c>
      <c r="I26" s="4" t="s">
        <v>6</v>
      </c>
      <c r="J26" s="18" t="s">
        <v>54</v>
      </c>
      <c r="K26" s="18" t="s">
        <v>443</v>
      </c>
      <c r="M26" s="91"/>
      <c r="N26" s="133" t="s">
        <v>75</v>
      </c>
      <c r="O26" s="133" t="s">
        <v>69</v>
      </c>
      <c r="P26" s="6" t="s">
        <v>70</v>
      </c>
      <c r="Q26" s="138" t="s">
        <v>74</v>
      </c>
      <c r="R26" s="91"/>
      <c r="S26" s="133" t="s">
        <v>71</v>
      </c>
      <c r="T26" s="6" t="s">
        <v>72</v>
      </c>
      <c r="U26" s="91"/>
      <c r="V26" s="207" t="s">
        <v>448</v>
      </c>
      <c r="W26" s="154" t="s">
        <v>450</v>
      </c>
      <c r="X26" s="154" t="s">
        <v>449</v>
      </c>
      <c r="Y26" s="154" t="s">
        <v>451</v>
      </c>
      <c r="Z26" s="154" t="s">
        <v>452</v>
      </c>
      <c r="AA26" s="154" t="s">
        <v>14</v>
      </c>
      <c r="AB26" s="154" t="s">
        <v>455</v>
      </c>
      <c r="AC26" s="154" t="s">
        <v>456</v>
      </c>
      <c r="AD26" s="138"/>
      <c r="AE26" s="6" t="s">
        <v>454</v>
      </c>
    </row>
    <row r="27" spans="1:31" ht="19.5" thickBot="1" x14ac:dyDescent="0.35">
      <c r="A27" s="230">
        <v>1300500</v>
      </c>
      <c r="B27" s="231" t="s">
        <v>457</v>
      </c>
      <c r="C27" s="232" t="s">
        <v>445</v>
      </c>
      <c r="D27" s="233"/>
      <c r="E27" s="233"/>
      <c r="F27" s="233">
        <f>+H27/(X27*Z27)</f>
        <v>0.72375570528146038</v>
      </c>
      <c r="G27" s="231" t="s">
        <v>444</v>
      </c>
      <c r="H27" s="234">
        <v>9</v>
      </c>
      <c r="I27" s="235"/>
      <c r="J27" s="235">
        <f>IF(AB27-I27&lt;0,0,AB27-I27)</f>
        <v>18.652702702702705</v>
      </c>
      <c r="K27" s="236">
        <f>IF(AC27-H27&lt;0,0,AC27-H27)</f>
        <v>0</v>
      </c>
      <c r="M27" s="92"/>
      <c r="N27" s="244"/>
      <c r="O27" s="240"/>
      <c r="P27" s="240"/>
      <c r="Q27" s="243"/>
      <c r="R27" s="92"/>
      <c r="S27" s="237"/>
      <c r="T27" s="243"/>
      <c r="U27" s="92"/>
      <c r="V27" s="237"/>
      <c r="W27" s="235">
        <f>+V27*X27</f>
        <v>0</v>
      </c>
      <c r="X27" s="235">
        <v>20</v>
      </c>
      <c r="Y27" s="238">
        <f>+SUMIFS('Consumo '!F:F,'Consumo '!A:A,G27)</f>
        <v>12.435135135135138</v>
      </c>
      <c r="Z27" s="239">
        <f>+Y27/X27</f>
        <v>0.6217567567567569</v>
      </c>
      <c r="AA27" s="240">
        <f>+SUMIFS('Consumo '!E:E,'Consumo '!A:A,'Garage 18-06-25'!G29)</f>
        <v>9224</v>
      </c>
      <c r="AB27" s="240">
        <f>+Y27*1.5</f>
        <v>18.652702702702705</v>
      </c>
      <c r="AC27" s="241">
        <f>+Z27*1.5</f>
        <v>0.93263513513513541</v>
      </c>
      <c r="AD27" s="241"/>
      <c r="AE27" s="242" t="s">
        <v>446</v>
      </c>
    </row>
    <row r="28" spans="1:31" ht="23.25" x14ac:dyDescent="0.35">
      <c r="C28" s="215" t="s">
        <v>98</v>
      </c>
    </row>
    <row r="29" spans="1:31" ht="18.75" x14ac:dyDescent="0.3">
      <c r="B29" s="106" t="s">
        <v>20</v>
      </c>
      <c r="C29" s="69" t="s">
        <v>21</v>
      </c>
      <c r="D29" s="68"/>
      <c r="E29" s="68"/>
      <c r="F29" s="68">
        <f>+I29/(V29*W29)</f>
        <v>0.6</v>
      </c>
      <c r="G29" s="68"/>
      <c r="H29" s="66">
        <v>3</v>
      </c>
      <c r="I29" s="67">
        <f>H29*W29</f>
        <v>90</v>
      </c>
      <c r="J29" s="67">
        <f>+I29/Y29</f>
        <v>4100.2277904328021</v>
      </c>
      <c r="K29" s="67">
        <f>IF(V29-H29&lt;0,0,V29-H29)</f>
        <v>2</v>
      </c>
      <c r="L29" s="67">
        <f>+IF(X29-J29&lt;0,"",X29-J29)</f>
        <v>2733.4851936218674</v>
      </c>
      <c r="M29" s="92"/>
      <c r="N29" s="134"/>
      <c r="O29" s="39"/>
      <c r="P29" s="39"/>
      <c r="Q29" s="128"/>
      <c r="R29" s="92"/>
      <c r="S29" s="96"/>
      <c r="T29" s="128"/>
      <c r="U29" s="92"/>
      <c r="V29" s="96">
        <v>5</v>
      </c>
      <c r="W29" s="39">
        <v>30</v>
      </c>
      <c r="X29" s="39">
        <f>+V29*AA29</f>
        <v>6833.7129840546695</v>
      </c>
      <c r="Y29" s="94">
        <f>+Z29/1000</f>
        <v>2.1950000000000001E-2</v>
      </c>
      <c r="Z29" s="121">
        <v>21.95</v>
      </c>
      <c r="AA29" s="39">
        <f>+W29/Y29</f>
        <v>1366.7425968109339</v>
      </c>
      <c r="AB29" s="39">
        <f>IFERROR(VLOOKUP(706,'Estadistica Madre CH 23-01'!A:C,3,0),+VLOOKUP(B29,'Estadistica Madre LK 23-01 '!A:C,3,0))</f>
        <v>2400</v>
      </c>
      <c r="AC29" s="122">
        <f>1.5*AB29/AA29</f>
        <v>2.6339999999999999</v>
      </c>
      <c r="AD29" s="122"/>
      <c r="AE29" s="108" t="s">
        <v>47</v>
      </c>
    </row>
  </sheetData>
  <mergeCells count="4">
    <mergeCell ref="B1:H1"/>
    <mergeCell ref="D2:E2"/>
    <mergeCell ref="V5:AE5"/>
    <mergeCell ref="E25:F25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F0"/>
  </sheetPr>
  <dimension ref="A1:AE29"/>
  <sheetViews>
    <sheetView workbookViewId="0"/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0.28515625" customWidth="1"/>
    <col min="5" max="5" width="9.140625" customWidth="1"/>
    <col min="6" max="6" width="9.28515625" customWidth="1"/>
    <col min="7" max="7" width="9" customWidth="1"/>
    <col min="8" max="8" width="8.42578125" customWidth="1"/>
    <col min="9" max="10" width="8.7109375" customWidth="1"/>
    <col min="11" max="11" width="8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customWidth="1"/>
    <col min="24" max="24" width="8.28515625" customWidth="1"/>
    <col min="25" max="25" width="9.28515625" style="110" customWidth="1"/>
    <col min="26" max="27" width="8.28515625" customWidth="1"/>
    <col min="28" max="28" width="9.140625" customWidth="1"/>
    <col min="29" max="29" width="9.42578125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517" t="s">
        <v>95</v>
      </c>
      <c r="C1" s="518"/>
      <c r="D1" s="518"/>
      <c r="E1" s="518"/>
      <c r="F1" s="518"/>
      <c r="G1" s="518"/>
      <c r="H1" s="519"/>
      <c r="L1"/>
      <c r="X1" s="1"/>
    </row>
    <row r="2" spans="2:31" ht="24.75" customHeight="1" thickBot="1" x14ac:dyDescent="0.35">
      <c r="C2" s="164" t="s">
        <v>1</v>
      </c>
      <c r="D2" s="520">
        <f ca="1">+TODAY()</f>
        <v>46101</v>
      </c>
      <c r="E2" s="521"/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522" t="s">
        <v>73</v>
      </c>
      <c r="W5" s="523"/>
      <c r="X5" s="523"/>
      <c r="Y5" s="523"/>
      <c r="Z5" s="523"/>
      <c r="AA5" s="523"/>
      <c r="AB5" s="523"/>
      <c r="AC5" s="523"/>
      <c r="AD5" s="523"/>
      <c r="AE5" s="524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8" t="s">
        <v>54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102" t="s">
        <v>63</v>
      </c>
      <c r="W6" s="103" t="s">
        <v>38</v>
      </c>
      <c r="X6" s="103" t="s">
        <v>58</v>
      </c>
      <c r="Y6" s="103" t="s">
        <v>10</v>
      </c>
      <c r="Z6" s="103" t="s">
        <v>65</v>
      </c>
      <c r="AA6" s="103" t="s">
        <v>11</v>
      </c>
      <c r="AB6" s="103" t="s">
        <v>14</v>
      </c>
      <c r="AC6" s="104" t="s">
        <v>453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2" si="0">H7*W7</f>
        <v>240</v>
      </c>
      <c r="J7" s="72">
        <f t="shared" ref="J7:J22" si="1">+I7/Y7</f>
        <v>7283.7632776934752</v>
      </c>
      <c r="K7" s="72">
        <f t="shared" ref="K7:K22" si="2">IF(V7-H7&lt;0,0,V7-H7)</f>
        <v>0</v>
      </c>
      <c r="L7" s="72" t="str">
        <f t="shared" ref="L7:L15" si="3">+IF(X7-J7&lt;0,"",X7-J7)</f>
        <v/>
      </c>
      <c r="M7" s="92"/>
      <c r="N7" s="136"/>
      <c r="O7" s="137"/>
      <c r="P7" s="137"/>
      <c r="Q7" s="132"/>
      <c r="R7" s="92"/>
      <c r="S7" s="131"/>
      <c r="T7" s="132"/>
      <c r="U7" s="92"/>
      <c r="V7" s="96">
        <v>5</v>
      </c>
      <c r="W7" s="39">
        <v>30</v>
      </c>
      <c r="X7" s="39">
        <f>+V7*AA7</f>
        <v>4552.3520485584222</v>
      </c>
      <c r="Y7" s="94">
        <f>+Z7/1000</f>
        <v>3.295E-2</v>
      </c>
      <c r="Z7" s="121">
        <v>32.950000000000003</v>
      </c>
      <c r="AA7" s="39">
        <f>+W7/Y7</f>
        <v>910.4704097116844</v>
      </c>
      <c r="AB7" s="39">
        <f>IFERROR(VLOOKUP(B7,'Estadistica Madre CH 23-01'!A:C,3,0),+VLOOKUP(B7,'Estadistica Madre LK 23-01 '!A:C,3,0))</f>
        <v>1440</v>
      </c>
      <c r="AC7" s="122">
        <f>1.5*AB7/AA7</f>
        <v>2.3723999999999998</v>
      </c>
      <c r="AD7" s="141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0.75</v>
      </c>
      <c r="G8" s="106" t="s">
        <v>17</v>
      </c>
      <c r="H8" s="66">
        <v>3</v>
      </c>
      <c r="I8" s="67">
        <f t="shared" si="0"/>
        <v>90</v>
      </c>
      <c r="J8" s="67">
        <f t="shared" si="1"/>
        <v>4100.2277904328021</v>
      </c>
      <c r="K8" s="67">
        <f t="shared" si="2"/>
        <v>1</v>
      </c>
      <c r="L8" s="67">
        <f t="shared" si="3"/>
        <v>1366.7425968109337</v>
      </c>
      <c r="M8" s="92"/>
      <c r="N8" s="134"/>
      <c r="O8" s="39"/>
      <c r="P8" s="39"/>
      <c r="Q8" s="128"/>
      <c r="R8" s="92"/>
      <c r="S8" s="96"/>
      <c r="T8" s="128"/>
      <c r="U8" s="92"/>
      <c r="V8" s="96">
        <v>4</v>
      </c>
      <c r="W8" s="39">
        <v>30</v>
      </c>
      <c r="X8" s="39">
        <f t="shared" ref="X8:X22" si="4">+V8*AA8</f>
        <v>5466.9703872437358</v>
      </c>
      <c r="Y8" s="94">
        <f t="shared" ref="Y8:Y22" si="5">+Z8/1000</f>
        <v>2.1950000000000001E-2</v>
      </c>
      <c r="Z8" s="121">
        <v>21.95</v>
      </c>
      <c r="AA8" s="39">
        <f t="shared" ref="AA8:AA22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 t="shared" ref="AC8:AC22" si="7">1.5*AB8/AA8</f>
        <v>2.6339999999999999</v>
      </c>
      <c r="AD8" s="122"/>
      <c r="AE8" s="108" t="s">
        <v>47</v>
      </c>
    </row>
    <row r="9" spans="2:31" ht="21.2" customHeight="1" x14ac:dyDescent="0.3">
      <c r="B9" s="76">
        <v>506</v>
      </c>
      <c r="C9" s="69" t="s">
        <v>29</v>
      </c>
      <c r="D9" s="68"/>
      <c r="E9" s="68"/>
      <c r="F9" s="68">
        <f>+I9/(V9*W9)</f>
        <v>0.375</v>
      </c>
      <c r="G9" s="106" t="s">
        <v>28</v>
      </c>
      <c r="H9" s="66">
        <v>3</v>
      </c>
      <c r="I9" s="67">
        <f>H9*W9</f>
        <v>90</v>
      </c>
      <c r="J9" s="67">
        <f>+I9/Y9</f>
        <v>4100.2277904328021</v>
      </c>
      <c r="K9" s="67">
        <f>IF(V9-H9&lt;0,0,V9-H9)</f>
        <v>5</v>
      </c>
      <c r="L9" s="67">
        <f>+IF(X9-J9&lt;0,"",X9-J9)</f>
        <v>6833.7129840546695</v>
      </c>
      <c r="M9" s="92"/>
      <c r="N9" s="134"/>
      <c r="O9" s="39"/>
      <c r="P9" s="39"/>
      <c r="Q9" s="128"/>
      <c r="R9" s="92"/>
      <c r="S9" s="96"/>
      <c r="T9" s="128"/>
      <c r="U9" s="92"/>
      <c r="V9" s="96">
        <v>8</v>
      </c>
      <c r="W9" s="39">
        <v>30</v>
      </c>
      <c r="X9" s="39">
        <f>+V9*AA9</f>
        <v>10933.940774487472</v>
      </c>
      <c r="Y9" s="94">
        <f>+Z9/1000</f>
        <v>2.1950000000000001E-2</v>
      </c>
      <c r="Z9" s="121">
        <v>21.95</v>
      </c>
      <c r="AA9" s="39">
        <f>+W9/Y9</f>
        <v>1366.7425968109339</v>
      </c>
      <c r="AB9" s="39">
        <f>IFERROR(VLOOKUP(B9,'Estadistica Madre CH 23-01'!A:C,3,0),+VLOOKUP(B9,'Estadistica Madre LK 23-01 '!A:C,3,0))</f>
        <v>18840</v>
      </c>
      <c r="AC9" s="122">
        <f>1.5*AB9/AA9</f>
        <v>20.6769</v>
      </c>
      <c r="AD9" s="122"/>
      <c r="AE9" s="108" t="s">
        <v>47</v>
      </c>
    </row>
    <row r="10" spans="2:3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35">
      <c r="C12" s="161" t="s">
        <v>53</v>
      </c>
      <c r="D12" s="162" t="s">
        <v>1</v>
      </c>
      <c r="E12" s="162"/>
      <c r="F12" s="160"/>
      <c r="L12"/>
    </row>
    <row r="13" spans="2:31" ht="69.599999999999994" customHeight="1" thickBot="1" x14ac:dyDescent="0.3">
      <c r="B13" s="15" t="s">
        <v>3</v>
      </c>
      <c r="C13" s="4" t="s">
        <v>5</v>
      </c>
      <c r="D13" s="4" t="s">
        <v>59</v>
      </c>
      <c r="E13" s="4" t="s">
        <v>439</v>
      </c>
      <c r="F13" s="4" t="s">
        <v>76</v>
      </c>
      <c r="G13" s="4" t="s">
        <v>4</v>
      </c>
      <c r="H13" s="4" t="s">
        <v>472</v>
      </c>
      <c r="I13" s="4" t="s">
        <v>6</v>
      </c>
      <c r="J13" s="4" t="s">
        <v>62</v>
      </c>
      <c r="K13" s="18" t="s">
        <v>54</v>
      </c>
      <c r="L13" s="18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102" t="s">
        <v>63</v>
      </c>
      <c r="W13" s="103" t="s">
        <v>38</v>
      </c>
      <c r="X13" s="103" t="s">
        <v>58</v>
      </c>
      <c r="Y13" s="103" t="s">
        <v>10</v>
      </c>
      <c r="Z13" s="103" t="s">
        <v>65</v>
      </c>
      <c r="AA13" s="103" t="s">
        <v>11</v>
      </c>
      <c r="AB13" s="103" t="s">
        <v>14</v>
      </c>
      <c r="AC13" s="104" t="s">
        <v>453</v>
      </c>
      <c r="AD13" s="140" t="s">
        <v>80</v>
      </c>
      <c r="AE13" s="4" t="s">
        <v>46</v>
      </c>
    </row>
    <row r="14" spans="2:31" ht="18.75" x14ac:dyDescent="0.3">
      <c r="B14" s="76">
        <v>654</v>
      </c>
      <c r="C14" s="69" t="s">
        <v>23</v>
      </c>
      <c r="D14" s="68"/>
      <c r="E14" s="68"/>
      <c r="F14" s="68">
        <f>+I14/(V14*W14)</f>
        <v>0.48</v>
      </c>
      <c r="G14" s="106" t="s">
        <v>22</v>
      </c>
      <c r="H14" s="66">
        <v>12</v>
      </c>
      <c r="I14" s="67">
        <f t="shared" si="0"/>
        <v>30.959999999999994</v>
      </c>
      <c r="J14" s="67">
        <f t="shared" si="1"/>
        <v>1439.9999999999998</v>
      </c>
      <c r="K14" s="67">
        <f t="shared" si="2"/>
        <v>13</v>
      </c>
      <c r="L14" s="67">
        <f t="shared" si="3"/>
        <v>1560.0000000000002</v>
      </c>
      <c r="M14" s="92"/>
      <c r="N14" s="134"/>
      <c r="O14" s="39"/>
      <c r="P14" s="121"/>
      <c r="Q14" s="129"/>
      <c r="R14" s="92"/>
      <c r="S14" s="96"/>
      <c r="T14" s="129"/>
      <c r="U14" s="92"/>
      <c r="V14" s="96">
        <v>25</v>
      </c>
      <c r="W14" s="121">
        <f>+AA14*Y14</f>
        <v>2.5799999999999996</v>
      </c>
      <c r="X14" s="39">
        <f t="shared" si="4"/>
        <v>3000</v>
      </c>
      <c r="Y14" s="94">
        <f t="shared" si="5"/>
        <v>2.1499999999999998E-2</v>
      </c>
      <c r="Z14" s="121">
        <v>21.5</v>
      </c>
      <c r="AA14" s="39">
        <v>120</v>
      </c>
      <c r="AB14" s="39">
        <f>IFERROR(VLOOKUP(B14,'Estadistica Madre CH 23-01'!A:C,3,0),+VLOOKUP(B14,'Estadistica Madre LK 23-01 '!A:C,3,0))</f>
        <v>912</v>
      </c>
      <c r="AC14" s="122">
        <f t="shared" si="7"/>
        <v>11.4</v>
      </c>
      <c r="AD14" s="122"/>
      <c r="AE14" s="108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0.24000000000000002</v>
      </c>
      <c r="G15" s="106" t="s">
        <v>24</v>
      </c>
      <c r="H15" s="66">
        <v>6</v>
      </c>
      <c r="I15" s="67">
        <f t="shared" si="0"/>
        <v>10.8</v>
      </c>
      <c r="J15" s="67">
        <f t="shared" si="1"/>
        <v>696.77419354838719</v>
      </c>
      <c r="K15" s="67">
        <f t="shared" si="2"/>
        <v>19</v>
      </c>
      <c r="L15" s="67">
        <f t="shared" si="3"/>
        <v>2303.2258064516127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25</v>
      </c>
      <c r="W15" s="121">
        <v>1.8</v>
      </c>
      <c r="X15" s="39">
        <f t="shared" si="4"/>
        <v>3000</v>
      </c>
      <c r="Y15" s="94">
        <f t="shared" si="5"/>
        <v>1.55E-2</v>
      </c>
      <c r="Z15" s="121">
        <v>15.5</v>
      </c>
      <c r="AA15" s="39">
        <v>120</v>
      </c>
      <c r="AB15" s="39">
        <f>IFERROR(VLOOKUP(B15,'Estadistica Madre CH 23-01'!A:C,3,0),+VLOOKUP(B15,'Estadistica Madre LK 23-01 '!A:C,3,0))</f>
        <v>2124</v>
      </c>
      <c r="AC15" s="122">
        <f t="shared" si="7"/>
        <v>26.55</v>
      </c>
      <c r="AD15" s="122"/>
      <c r="AE15" s="108" t="s">
        <v>53</v>
      </c>
    </row>
    <row r="16" spans="2:31" ht="21.2" customHeight="1" x14ac:dyDescent="0.3">
      <c r="B16" s="76">
        <v>557</v>
      </c>
      <c r="C16" s="69" t="s">
        <v>27</v>
      </c>
      <c r="D16" s="68"/>
      <c r="E16" s="68"/>
      <c r="F16" s="68">
        <f>+I16/(V16*W16)</f>
        <v>1.1600000000000001</v>
      </c>
      <c r="G16" s="106" t="s">
        <v>26</v>
      </c>
      <c r="H16" s="66">
        <v>29</v>
      </c>
      <c r="I16" s="67">
        <f t="shared" si="0"/>
        <v>52.2</v>
      </c>
      <c r="J16" s="67">
        <f t="shared" si="1"/>
        <v>3283.0188679245284</v>
      </c>
      <c r="K16" s="67">
        <f t="shared" si="2"/>
        <v>0</v>
      </c>
      <c r="L16" s="67" t="str">
        <f>+IF(X16-J16&lt;0,"0",X16-J16)</f>
        <v>0</v>
      </c>
      <c r="M16" s="92"/>
      <c r="N16" s="134"/>
      <c r="O16" s="39"/>
      <c r="P16" s="121"/>
      <c r="Q16" s="129"/>
      <c r="R16" s="92"/>
      <c r="S16" s="96"/>
      <c r="T16" s="129"/>
      <c r="U16" s="92"/>
      <c r="V16" s="96">
        <v>25</v>
      </c>
      <c r="W16" s="121">
        <v>1.8</v>
      </c>
      <c r="X16" s="39">
        <f t="shared" si="4"/>
        <v>3000</v>
      </c>
      <c r="Y16" s="94">
        <f t="shared" si="5"/>
        <v>1.5900000000000001E-2</v>
      </c>
      <c r="Z16" s="121">
        <v>15.9</v>
      </c>
      <c r="AA16" s="39">
        <v>120</v>
      </c>
      <c r="AB16" s="39">
        <f>IFERROR(VLOOKUP(B16,'Estadistica Madre CH 23-01'!A:C,3,0),+VLOOKUP(B16,'Estadistica Madre LK 23-01 '!A:C,3,0))</f>
        <v>1400</v>
      </c>
      <c r="AC16" s="122">
        <f t="shared" si="7"/>
        <v>17.5</v>
      </c>
      <c r="AD16" s="122"/>
      <c r="AE16" s="108" t="s">
        <v>53</v>
      </c>
    </row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162" t="s">
        <v>1</v>
      </c>
      <c r="E20" s="162"/>
      <c r="F20" s="160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54</v>
      </c>
      <c r="L21" s="18" t="s">
        <v>59</v>
      </c>
      <c r="M21" s="91"/>
      <c r="N21" s="133" t="s">
        <v>75</v>
      </c>
      <c r="O21" s="133" t="s">
        <v>69</v>
      </c>
      <c r="P21" s="6" t="s">
        <v>70</v>
      </c>
      <c r="Q21" s="138" t="s">
        <v>74</v>
      </c>
      <c r="R21" s="91"/>
      <c r="S21" s="133" t="s">
        <v>71</v>
      </c>
      <c r="T21" s="6" t="s">
        <v>72</v>
      </c>
      <c r="U21" s="91"/>
      <c r="V21" s="207" t="s">
        <v>63</v>
      </c>
      <c r="W21" s="154" t="s">
        <v>38</v>
      </c>
      <c r="X21" s="154" t="s">
        <v>58</v>
      </c>
      <c r="Y21" s="154" t="s">
        <v>10</v>
      </c>
      <c r="Z21" s="154" t="s">
        <v>65</v>
      </c>
      <c r="AA21" s="154" t="s">
        <v>11</v>
      </c>
      <c r="AB21" s="154" t="s">
        <v>14</v>
      </c>
      <c r="AC21" s="208" t="s">
        <v>453</v>
      </c>
      <c r="AD21" s="138" t="s">
        <v>80</v>
      </c>
      <c r="AE21" s="6" t="s">
        <v>46</v>
      </c>
    </row>
    <row r="22" spans="1:31" ht="18.75" x14ac:dyDescent="0.3">
      <c r="B22" s="76">
        <v>510</v>
      </c>
      <c r="C22" s="69" t="s">
        <v>31</v>
      </c>
      <c r="D22" s="68"/>
      <c r="E22" s="68"/>
      <c r="F22" s="68">
        <f>+I22/(V22*W22)</f>
        <v>1.75</v>
      </c>
      <c r="G22" s="106" t="s">
        <v>30</v>
      </c>
      <c r="H22" s="66">
        <v>7</v>
      </c>
      <c r="I22" s="67">
        <f t="shared" si="0"/>
        <v>210</v>
      </c>
      <c r="J22" s="67">
        <f t="shared" si="1"/>
        <v>9545.454545454546</v>
      </c>
      <c r="K22" s="67">
        <f t="shared" si="2"/>
        <v>0</v>
      </c>
      <c r="L22" s="67" t="str">
        <f>+IF(X22-J22&lt;0,"0",X22-J22)</f>
        <v>0</v>
      </c>
      <c r="M22" s="92"/>
      <c r="N22" s="134"/>
      <c r="O22" s="39"/>
      <c r="P22" s="39"/>
      <c r="Q22" s="128"/>
      <c r="R22" s="92"/>
      <c r="S22" s="96"/>
      <c r="T22" s="128"/>
      <c r="U22" s="92"/>
      <c r="V22" s="131">
        <v>4</v>
      </c>
      <c r="W22" s="137">
        <v>30</v>
      </c>
      <c r="X22" s="137">
        <f t="shared" si="4"/>
        <v>5454.545454545455</v>
      </c>
      <c r="Y22" s="245">
        <f t="shared" si="5"/>
        <v>2.1999999999999999E-2</v>
      </c>
      <c r="Z22" s="206">
        <v>22</v>
      </c>
      <c r="AA22" s="137">
        <f t="shared" si="6"/>
        <v>1363.6363636363637</v>
      </c>
      <c r="AB22" s="137">
        <f>IFERROR(VLOOKUP(B22,'Estadistica Madre CH 23-01'!A:C,3,0),+VLOOKUP(B22,'Estadistica Madre LK 23-01 '!A:C,3,0))</f>
        <v>6456</v>
      </c>
      <c r="AC22" s="141">
        <f t="shared" si="7"/>
        <v>7.1015999999999995</v>
      </c>
      <c r="AD22" s="141"/>
      <c r="AE22" s="155" t="s">
        <v>86</v>
      </c>
    </row>
    <row r="24" spans="1:31" ht="24" thickBot="1" x14ac:dyDescent="0.4">
      <c r="C24" s="166" t="s">
        <v>96</v>
      </c>
      <c r="D24" s="163"/>
      <c r="E24" s="163"/>
      <c r="F24" s="163"/>
    </row>
    <row r="25" spans="1:31" ht="21.75" thickBot="1" x14ac:dyDescent="0.35">
      <c r="C25" s="216" t="s">
        <v>446</v>
      </c>
      <c r="D25" s="162" t="s">
        <v>1</v>
      </c>
      <c r="E25" s="525"/>
      <c r="F25" s="526"/>
    </row>
    <row r="26" spans="1:31" ht="56.45" customHeight="1" thickBot="1" x14ac:dyDescent="0.3">
      <c r="A26" s="15" t="s">
        <v>458</v>
      </c>
      <c r="B26" s="15" t="s">
        <v>3</v>
      </c>
      <c r="C26" s="4" t="s">
        <v>5</v>
      </c>
      <c r="D26" s="4" t="s">
        <v>442</v>
      </c>
      <c r="E26" s="4" t="s">
        <v>443</v>
      </c>
      <c r="F26" s="4" t="s">
        <v>76</v>
      </c>
      <c r="G26" s="4" t="s">
        <v>4</v>
      </c>
      <c r="H26" s="4" t="s">
        <v>447</v>
      </c>
      <c r="I26" s="4" t="s">
        <v>6</v>
      </c>
      <c r="J26" s="18" t="s">
        <v>54</v>
      </c>
      <c r="K26" s="18" t="s">
        <v>443</v>
      </c>
      <c r="L26" s="18" t="s">
        <v>59</v>
      </c>
      <c r="M26" s="91"/>
      <c r="N26" s="133" t="s">
        <v>75</v>
      </c>
      <c r="O26" s="133" t="s">
        <v>69</v>
      </c>
      <c r="P26" s="6" t="s">
        <v>70</v>
      </c>
      <c r="Q26" s="138" t="s">
        <v>74</v>
      </c>
      <c r="R26" s="91"/>
      <c r="S26" s="133" t="s">
        <v>71</v>
      </c>
      <c r="T26" s="6" t="s">
        <v>72</v>
      </c>
      <c r="U26" s="91"/>
      <c r="V26" s="207" t="s">
        <v>448</v>
      </c>
      <c r="W26" s="154" t="s">
        <v>450</v>
      </c>
      <c r="X26" s="154" t="s">
        <v>449</v>
      </c>
      <c r="Y26" s="154" t="s">
        <v>451</v>
      </c>
      <c r="Z26" s="154" t="s">
        <v>452</v>
      </c>
      <c r="AA26" s="154" t="s">
        <v>14</v>
      </c>
      <c r="AB26" s="154" t="s">
        <v>455</v>
      </c>
      <c r="AC26" s="154" t="s">
        <v>456</v>
      </c>
      <c r="AD26" s="138"/>
      <c r="AE26" s="6" t="s">
        <v>454</v>
      </c>
    </row>
    <row r="27" spans="1:31" ht="19.5" thickBot="1" x14ac:dyDescent="0.35">
      <c r="A27" s="230">
        <v>1300500</v>
      </c>
      <c r="B27" s="231" t="s">
        <v>457</v>
      </c>
      <c r="C27" s="232" t="s">
        <v>445</v>
      </c>
      <c r="D27" s="233"/>
      <c r="E27" s="233"/>
      <c r="F27" s="233">
        <f>+I27/(X27*Z27)</f>
        <v>14.475114105629208</v>
      </c>
      <c r="G27" s="231" t="s">
        <v>444</v>
      </c>
      <c r="H27" s="234">
        <v>9</v>
      </c>
      <c r="I27" s="235">
        <f>+H27*X27</f>
        <v>180</v>
      </c>
      <c r="J27" s="235">
        <f>IF(AB27-I27&lt;0,0,AB27-I27)</f>
        <v>0</v>
      </c>
      <c r="K27" s="236">
        <f>IF(AC27-H27&lt;0,0,AC27-H27)</f>
        <v>0</v>
      </c>
      <c r="L27" s="67">
        <f>IF(AD27-I27&lt;0,0,AD27-I27)</f>
        <v>0</v>
      </c>
      <c r="M27" s="92"/>
      <c r="N27" s="244"/>
      <c r="O27" s="240"/>
      <c r="P27" s="240"/>
      <c r="Q27" s="243"/>
      <c r="R27" s="92"/>
      <c r="S27" s="237"/>
      <c r="T27" s="243"/>
      <c r="U27" s="92"/>
      <c r="V27" s="237"/>
      <c r="W27" s="235">
        <f>+V27*X27</f>
        <v>0</v>
      </c>
      <c r="X27" s="235">
        <v>20</v>
      </c>
      <c r="Y27" s="238">
        <f>+SUMIFS('Consumo '!F:F,'Consumo '!A:A,G27)</f>
        <v>12.435135135135138</v>
      </c>
      <c r="Z27" s="239">
        <f>+Y27/X27</f>
        <v>0.6217567567567569</v>
      </c>
      <c r="AA27" s="240">
        <f>+SUMIFS('Consumo '!E:E,'Consumo '!A:A,'Garage 18-06-25'!G29)</f>
        <v>9224</v>
      </c>
      <c r="AB27" s="240">
        <f>+Y27*1.5</f>
        <v>18.652702702702705</v>
      </c>
      <c r="AC27" s="241">
        <f>+Z27*1.5</f>
        <v>0.93263513513513541</v>
      </c>
      <c r="AD27" s="241"/>
      <c r="AE27" s="242" t="s">
        <v>446</v>
      </c>
    </row>
    <row r="28" spans="1:31" ht="23.25" x14ac:dyDescent="0.35">
      <c r="C28" s="215" t="s">
        <v>98</v>
      </c>
    </row>
    <row r="29" spans="1:31" ht="18.75" x14ac:dyDescent="0.3">
      <c r="B29" s="106" t="s">
        <v>20</v>
      </c>
      <c r="C29" s="69" t="s">
        <v>21</v>
      </c>
      <c r="D29" s="68"/>
      <c r="E29" s="68"/>
      <c r="F29" s="68">
        <f>+I29/(V29*W29)</f>
        <v>0.6</v>
      </c>
      <c r="G29" s="68"/>
      <c r="H29" s="66">
        <v>3</v>
      </c>
      <c r="I29" s="67">
        <f>H29*W29</f>
        <v>90</v>
      </c>
      <c r="J29" s="67">
        <f>+I29/Y29</f>
        <v>4100.2277904328021</v>
      </c>
      <c r="K29" s="67">
        <f>IF(V29-H29&lt;0,0,V29-H29)</f>
        <v>2</v>
      </c>
      <c r="L29" s="67">
        <f>+IF(X29-J29&lt;0,"",X29-J29)</f>
        <v>2733.4851936218674</v>
      </c>
      <c r="M29" s="92"/>
      <c r="N29" s="134"/>
      <c r="O29" s="39"/>
      <c r="P29" s="39"/>
      <c r="Q29" s="128"/>
      <c r="R29" s="92"/>
      <c r="S29" s="96"/>
      <c r="T29" s="128"/>
      <c r="U29" s="92"/>
      <c r="V29" s="96">
        <v>5</v>
      </c>
      <c r="W29" s="39">
        <v>30</v>
      </c>
      <c r="X29" s="39">
        <f>+V29*AA29</f>
        <v>6833.7129840546695</v>
      </c>
      <c r="Y29" s="94">
        <f>+Z29/1000</f>
        <v>2.1950000000000001E-2</v>
      </c>
      <c r="Z29" s="121">
        <v>21.95</v>
      </c>
      <c r="AA29" s="39">
        <f>+W29/Y29</f>
        <v>1366.7425968109339</v>
      </c>
      <c r="AB29" s="39">
        <f>IFERROR(VLOOKUP(706,'Estadistica Madre CH 23-01'!A:C,3,0),+VLOOKUP(B29,'Estadistica Madre LK 23-01 '!A:C,3,0))</f>
        <v>2400</v>
      </c>
      <c r="AC29" s="122">
        <f>1.5*AB29/AA29</f>
        <v>2.6339999999999999</v>
      </c>
      <c r="AD29" s="122"/>
      <c r="AE29" s="108" t="s">
        <v>47</v>
      </c>
    </row>
  </sheetData>
  <mergeCells count="4">
    <mergeCell ref="B1:H1"/>
    <mergeCell ref="D2:E2"/>
    <mergeCell ref="V5:AE5"/>
    <mergeCell ref="E25:F25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F0"/>
    <pageSetUpPr fitToPage="1"/>
  </sheetPr>
  <dimension ref="A1:AE29"/>
  <sheetViews>
    <sheetView workbookViewId="0"/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8.85546875" customWidth="1"/>
    <col min="5" max="5" width="9.140625" customWidth="1"/>
    <col min="6" max="6" width="8.42578125" customWidth="1"/>
    <col min="7" max="7" width="9" customWidth="1"/>
    <col min="8" max="8" width="8.42578125" customWidth="1"/>
    <col min="9" max="9" width="8.7109375" customWidth="1"/>
    <col min="10" max="10" width="11.28515625" customWidth="1"/>
    <col min="11" max="11" width="8.42578125" customWidth="1"/>
    <col min="12" max="12" width="9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customWidth="1"/>
    <col min="24" max="24" width="9.28515625" customWidth="1"/>
    <col min="25" max="25" width="9.28515625" style="110" customWidth="1"/>
    <col min="26" max="26" width="8.28515625" customWidth="1"/>
    <col min="27" max="27" width="9.85546875" customWidth="1"/>
    <col min="28" max="28" width="9.140625" customWidth="1"/>
    <col min="29" max="29" width="9.42578125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517" t="s">
        <v>95</v>
      </c>
      <c r="C1" s="518"/>
      <c r="D1" s="518"/>
      <c r="E1" s="518"/>
      <c r="F1" s="518"/>
      <c r="G1" s="518"/>
      <c r="H1" s="519"/>
      <c r="L1"/>
      <c r="X1" s="1"/>
    </row>
    <row r="2" spans="2:31" ht="24.75" customHeight="1" thickBot="1" x14ac:dyDescent="0.35">
      <c r="C2" s="209">
        <v>45637</v>
      </c>
      <c r="J2" s="1"/>
      <c r="K2" s="3" t="s">
        <v>55</v>
      </c>
      <c r="L2" s="3"/>
    </row>
    <row r="3" spans="2:31" ht="24.75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522" t="s">
        <v>73</v>
      </c>
      <c r="W5" s="523"/>
      <c r="X5" s="523"/>
      <c r="Y5" s="523"/>
      <c r="Z5" s="523"/>
      <c r="AA5" s="523"/>
      <c r="AB5" s="523"/>
      <c r="AC5" s="523"/>
      <c r="AD5" s="523"/>
      <c r="AE5" s="524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8" t="s">
        <v>54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102" t="s">
        <v>63</v>
      </c>
      <c r="W6" s="103" t="s">
        <v>38</v>
      </c>
      <c r="X6" s="103" t="s">
        <v>58</v>
      </c>
      <c r="Y6" s="103" t="s">
        <v>10</v>
      </c>
      <c r="Z6" s="103" t="s">
        <v>65</v>
      </c>
      <c r="AA6" s="103" t="s">
        <v>11</v>
      </c>
      <c r="AB6" s="103" t="s">
        <v>14</v>
      </c>
      <c r="AC6" s="104" t="s">
        <v>453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>H7*W7</f>
        <v>240</v>
      </c>
      <c r="J7" s="72">
        <f t="shared" ref="J7:J22" si="0">+I7/Y7</f>
        <v>7283.7632776934752</v>
      </c>
      <c r="K7" s="72">
        <f t="shared" ref="K7:K22" si="1">IF(V7-H7&lt;0,0,V7-H7)</f>
        <v>0</v>
      </c>
      <c r="L7" s="72" t="str">
        <f t="shared" ref="L7:L22" si="2">+IF(X7-J7&lt;0,"",X7-J7)</f>
        <v/>
      </c>
      <c r="M7" s="92"/>
      <c r="N7" s="136"/>
      <c r="O7" s="137"/>
      <c r="P7" s="137"/>
      <c r="Q7" s="132"/>
      <c r="R7" s="92"/>
      <c r="S7" s="131"/>
      <c r="T7" s="132"/>
      <c r="U7" s="92"/>
      <c r="V7" s="96">
        <v>5</v>
      </c>
      <c r="W7" s="39">
        <v>30</v>
      </c>
      <c r="X7" s="39">
        <f>+V7*AA7</f>
        <v>4552.3520485584222</v>
      </c>
      <c r="Y7" s="94">
        <f>+Z7/1000</f>
        <v>3.295E-2</v>
      </c>
      <c r="Z7" s="121">
        <v>32.950000000000003</v>
      </c>
      <c r="AA7" s="39">
        <f>+W7/Y7</f>
        <v>910.4704097116844</v>
      </c>
      <c r="AB7" s="39">
        <f>IFERROR(VLOOKUP(B7,'Estadistica Madre CH 23-01'!A:C,3,0),+VLOOKUP(B7,'Estadistica Madre LK 23-01 '!A:C,3,0))</f>
        <v>1440</v>
      </c>
      <c r="AC7" s="122">
        <f>1.5*AB7/AA7</f>
        <v>2.3723999999999998</v>
      </c>
      <c r="AD7" s="141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1.75</v>
      </c>
      <c r="G8" s="106" t="s">
        <v>17</v>
      </c>
      <c r="H8" s="66">
        <v>7</v>
      </c>
      <c r="I8" s="67">
        <f t="shared" ref="I8:I22" si="3">H8*W8</f>
        <v>210</v>
      </c>
      <c r="J8" s="67">
        <f t="shared" si="0"/>
        <v>9567.1981776765369</v>
      </c>
      <c r="K8" s="67">
        <f t="shared" si="1"/>
        <v>0</v>
      </c>
      <c r="L8" s="67" t="str">
        <f t="shared" si="2"/>
        <v/>
      </c>
      <c r="M8" s="92"/>
      <c r="N8" s="134"/>
      <c r="O8" s="39"/>
      <c r="P8" s="39"/>
      <c r="Q8" s="128"/>
      <c r="R8" s="92"/>
      <c r="S8" s="96"/>
      <c r="T8" s="128"/>
      <c r="U8" s="92"/>
      <c r="V8" s="96">
        <v>4</v>
      </c>
      <c r="W8" s="39">
        <v>30</v>
      </c>
      <c r="X8" s="39">
        <f t="shared" ref="X8:X22" si="4">+V8*AA8</f>
        <v>5466.9703872437358</v>
      </c>
      <c r="Y8" s="94">
        <f t="shared" ref="Y8:Y22" si="5">+Z8/1000</f>
        <v>2.1950000000000001E-2</v>
      </c>
      <c r="Z8" s="121">
        <v>21.95</v>
      </c>
      <c r="AA8" s="39">
        <f t="shared" ref="AA8:AA22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 t="shared" ref="AC8:AC22" si="7">1.5*AB8/AA8</f>
        <v>2.6339999999999999</v>
      </c>
      <c r="AD8" s="122"/>
      <c r="AE8" s="108" t="s">
        <v>47</v>
      </c>
    </row>
    <row r="9" spans="2:31" ht="21.2" customHeight="1" x14ac:dyDescent="0.3">
      <c r="B9" s="76">
        <v>506</v>
      </c>
      <c r="C9" s="69" t="s">
        <v>29</v>
      </c>
      <c r="D9" s="68"/>
      <c r="E9" s="68"/>
      <c r="F9" s="68">
        <f>+I9/(V9*W9)</f>
        <v>1.75</v>
      </c>
      <c r="G9" s="106" t="s">
        <v>28</v>
      </c>
      <c r="H9" s="66">
        <v>14</v>
      </c>
      <c r="I9" s="67">
        <f>H9*W9</f>
        <v>420</v>
      </c>
      <c r="J9" s="67">
        <f>+I9/Y9</f>
        <v>19134.396355353074</v>
      </c>
      <c r="K9" s="67">
        <f>IF(V9-H9&lt;0,0,V9-H9)</f>
        <v>0</v>
      </c>
      <c r="L9" s="67" t="str">
        <f>+IF(X9-J9&lt;0,"",X9-J9)</f>
        <v/>
      </c>
      <c r="M9" s="92"/>
      <c r="N9" s="134"/>
      <c r="O9" s="39"/>
      <c r="P9" s="39"/>
      <c r="Q9" s="128"/>
      <c r="R9" s="92"/>
      <c r="S9" s="96"/>
      <c r="T9" s="128"/>
      <c r="U9" s="92"/>
      <c r="V9" s="96">
        <v>8</v>
      </c>
      <c r="W9" s="39">
        <v>30</v>
      </c>
      <c r="X9" s="39">
        <f>+V9*AA9</f>
        <v>10933.940774487472</v>
      </c>
      <c r="Y9" s="94">
        <f>+Z9/1000</f>
        <v>2.1950000000000001E-2</v>
      </c>
      <c r="Z9" s="121">
        <v>21.95</v>
      </c>
      <c r="AA9" s="39">
        <f>+W9/Y9</f>
        <v>1366.7425968109339</v>
      </c>
      <c r="AB9" s="39">
        <f>IFERROR(VLOOKUP(B9,'Estadistica Madre CH 23-01'!A:C,3,0),+VLOOKUP(B9,'Estadistica Madre LK 23-01 '!A:C,3,0))</f>
        <v>18840</v>
      </c>
      <c r="AC9" s="122">
        <f>1.5*AB9/AA9</f>
        <v>20.6769</v>
      </c>
      <c r="AD9" s="122"/>
      <c r="AE9" s="108" t="s">
        <v>47</v>
      </c>
    </row>
    <row r="10" spans="2:3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35">
      <c r="C12" s="161" t="s">
        <v>53</v>
      </c>
      <c r="D12" s="162" t="s">
        <v>1</v>
      </c>
      <c r="E12" s="162"/>
      <c r="F12" s="160"/>
      <c r="L12"/>
    </row>
    <row r="13" spans="2:31" ht="69.599999999999994" customHeight="1" thickBot="1" x14ac:dyDescent="0.3">
      <c r="B13" s="15" t="s">
        <v>3</v>
      </c>
      <c r="C13" s="4" t="s">
        <v>5</v>
      </c>
      <c r="D13" s="4" t="s">
        <v>59</v>
      </c>
      <c r="E13" s="4" t="s">
        <v>439</v>
      </c>
      <c r="F13" s="4" t="s">
        <v>76</v>
      </c>
      <c r="G13" s="4" t="s">
        <v>4</v>
      </c>
      <c r="H13" s="4" t="s">
        <v>471</v>
      </c>
      <c r="I13" s="4" t="s">
        <v>6</v>
      </c>
      <c r="J13" s="4" t="s">
        <v>62</v>
      </c>
      <c r="K13" s="18" t="s">
        <v>473</v>
      </c>
      <c r="L13" s="18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102" t="s">
        <v>63</v>
      </c>
      <c r="W13" s="103" t="s">
        <v>38</v>
      </c>
      <c r="X13" s="103" t="s">
        <v>58</v>
      </c>
      <c r="Y13" s="103" t="s">
        <v>10</v>
      </c>
      <c r="Z13" s="103" t="s">
        <v>65</v>
      </c>
      <c r="AA13" s="103" t="s">
        <v>11</v>
      </c>
      <c r="AB13" s="103" t="s">
        <v>14</v>
      </c>
      <c r="AC13" s="104" t="s">
        <v>453</v>
      </c>
      <c r="AD13" s="140" t="s">
        <v>80</v>
      </c>
      <c r="AE13" s="4" t="s">
        <v>46</v>
      </c>
    </row>
    <row r="14" spans="2:31" ht="18.75" x14ac:dyDescent="0.3">
      <c r="B14" s="76">
        <v>654</v>
      </c>
      <c r="C14" s="69" t="s">
        <v>23</v>
      </c>
      <c r="D14" s="68"/>
      <c r="E14" s="68"/>
      <c r="F14" s="68">
        <f>+I14/(V14*W14)</f>
        <v>0.48</v>
      </c>
      <c r="G14" s="106" t="s">
        <v>22</v>
      </c>
      <c r="H14" s="66">
        <v>12</v>
      </c>
      <c r="I14" s="67">
        <f t="shared" si="3"/>
        <v>30.959999999999994</v>
      </c>
      <c r="J14" s="67">
        <f t="shared" si="0"/>
        <v>1439.9999999999998</v>
      </c>
      <c r="K14" s="67">
        <f t="shared" si="1"/>
        <v>13</v>
      </c>
      <c r="L14" s="67">
        <f t="shared" si="2"/>
        <v>1560.0000000000002</v>
      </c>
      <c r="M14" s="92"/>
      <c r="N14" s="134"/>
      <c r="O14" s="39"/>
      <c r="P14" s="121"/>
      <c r="Q14" s="129"/>
      <c r="R14" s="92"/>
      <c r="S14" s="96"/>
      <c r="T14" s="129"/>
      <c r="U14" s="92"/>
      <c r="V14" s="96">
        <v>25</v>
      </c>
      <c r="W14" s="121">
        <f>+AA14*Y14</f>
        <v>2.5799999999999996</v>
      </c>
      <c r="X14" s="39">
        <f t="shared" si="4"/>
        <v>3000</v>
      </c>
      <c r="Y14" s="94">
        <f t="shared" si="5"/>
        <v>2.1499999999999998E-2</v>
      </c>
      <c r="Z14" s="121">
        <v>21.5</v>
      </c>
      <c r="AA14" s="39">
        <v>120</v>
      </c>
      <c r="AB14" s="39">
        <f>IFERROR(VLOOKUP(B14,'Estadistica Madre CH 23-01'!A:C,3,0),+VLOOKUP(B14,'Estadistica Madre LK 23-01 '!A:C,3,0))</f>
        <v>912</v>
      </c>
      <c r="AC14" s="122">
        <f t="shared" si="7"/>
        <v>11.4</v>
      </c>
      <c r="AD14" s="122"/>
      <c r="AE14" s="108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0.24000000000000002</v>
      </c>
      <c r="G15" s="106" t="s">
        <v>24</v>
      </c>
      <c r="H15" s="66">
        <v>6</v>
      </c>
      <c r="I15" s="67">
        <f t="shared" si="3"/>
        <v>10.8</v>
      </c>
      <c r="J15" s="67">
        <f t="shared" si="0"/>
        <v>696.77419354838719</v>
      </c>
      <c r="K15" s="67">
        <f t="shared" si="1"/>
        <v>19</v>
      </c>
      <c r="L15" s="67">
        <f t="shared" si="2"/>
        <v>2303.2258064516127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25</v>
      </c>
      <c r="W15" s="121">
        <v>1.8</v>
      </c>
      <c r="X15" s="39">
        <f t="shared" si="4"/>
        <v>3000</v>
      </c>
      <c r="Y15" s="94">
        <f t="shared" si="5"/>
        <v>1.55E-2</v>
      </c>
      <c r="Z15" s="121">
        <v>15.5</v>
      </c>
      <c r="AA15" s="39">
        <v>120</v>
      </c>
      <c r="AB15" s="39">
        <f>IFERROR(VLOOKUP(B15,'Estadistica Madre CH 23-01'!A:C,3,0),+VLOOKUP(B15,'Estadistica Madre LK 23-01 '!A:C,3,0))</f>
        <v>2124</v>
      </c>
      <c r="AC15" s="122">
        <f t="shared" si="7"/>
        <v>26.55</v>
      </c>
      <c r="AD15" s="122"/>
      <c r="AE15" s="108" t="s">
        <v>53</v>
      </c>
    </row>
    <row r="16" spans="2:31" ht="21.2" customHeight="1" x14ac:dyDescent="0.3">
      <c r="B16" s="76">
        <v>557</v>
      </c>
      <c r="C16" s="69" t="s">
        <v>27</v>
      </c>
      <c r="D16" s="68"/>
      <c r="E16" s="68"/>
      <c r="F16" s="68">
        <f>+I16/(V16*W16)</f>
        <v>1.28</v>
      </c>
      <c r="G16" s="106" t="s">
        <v>26</v>
      </c>
      <c r="H16" s="66">
        <v>32</v>
      </c>
      <c r="I16" s="67">
        <f t="shared" si="3"/>
        <v>57.6</v>
      </c>
      <c r="J16" s="67">
        <f t="shared" si="0"/>
        <v>3622.6415094339623</v>
      </c>
      <c r="K16" s="67">
        <f t="shared" si="1"/>
        <v>0</v>
      </c>
      <c r="L16" s="67" t="str">
        <f t="shared" si="2"/>
        <v/>
      </c>
      <c r="M16" s="92"/>
      <c r="N16" s="134"/>
      <c r="O16" s="39"/>
      <c r="P16" s="121"/>
      <c r="Q16" s="129"/>
      <c r="R16" s="92"/>
      <c r="S16" s="96"/>
      <c r="T16" s="129"/>
      <c r="U16" s="92"/>
      <c r="V16" s="96">
        <v>25</v>
      </c>
      <c r="W16" s="121">
        <v>1.8</v>
      </c>
      <c r="X16" s="39">
        <f t="shared" si="4"/>
        <v>3000</v>
      </c>
      <c r="Y16" s="94">
        <f t="shared" si="5"/>
        <v>1.5900000000000001E-2</v>
      </c>
      <c r="Z16" s="121">
        <v>15.9</v>
      </c>
      <c r="AA16" s="39">
        <v>120</v>
      </c>
      <c r="AB16" s="39">
        <f>IFERROR(VLOOKUP(B16,'Estadistica Madre CH 23-01'!A:C,3,0),+VLOOKUP(B16,'Estadistica Madre LK 23-01 '!A:C,3,0))</f>
        <v>1400</v>
      </c>
      <c r="AC16" s="122">
        <f t="shared" si="7"/>
        <v>17.5</v>
      </c>
      <c r="AD16" s="122"/>
      <c r="AE16" s="108" t="s">
        <v>53</v>
      </c>
    </row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162" t="s">
        <v>1</v>
      </c>
      <c r="E20" s="162"/>
      <c r="F20" s="160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54</v>
      </c>
      <c r="L21" s="18" t="s">
        <v>59</v>
      </c>
      <c r="M21" s="91"/>
      <c r="N21" s="133" t="s">
        <v>75</v>
      </c>
      <c r="O21" s="133" t="s">
        <v>69</v>
      </c>
      <c r="P21" s="6" t="s">
        <v>70</v>
      </c>
      <c r="Q21" s="138" t="s">
        <v>74</v>
      </c>
      <c r="R21" s="91"/>
      <c r="S21" s="133" t="s">
        <v>71</v>
      </c>
      <c r="T21" s="6" t="s">
        <v>72</v>
      </c>
      <c r="U21" s="91"/>
      <c r="V21" s="207" t="s">
        <v>63</v>
      </c>
      <c r="W21" s="154" t="s">
        <v>38</v>
      </c>
      <c r="X21" s="154" t="s">
        <v>58</v>
      </c>
      <c r="Y21" s="154" t="s">
        <v>10</v>
      </c>
      <c r="Z21" s="154" t="s">
        <v>65</v>
      </c>
      <c r="AA21" s="154" t="s">
        <v>11</v>
      </c>
      <c r="AB21" s="154" t="s">
        <v>14</v>
      </c>
      <c r="AC21" s="208" t="s">
        <v>453</v>
      </c>
      <c r="AD21" s="138" t="s">
        <v>80</v>
      </c>
      <c r="AE21" s="6" t="s">
        <v>46</v>
      </c>
    </row>
    <row r="22" spans="1:31" ht="18.75" x14ac:dyDescent="0.3">
      <c r="B22" s="76">
        <v>510</v>
      </c>
      <c r="C22" s="69" t="s">
        <v>31</v>
      </c>
      <c r="D22" s="68"/>
      <c r="E22" s="68"/>
      <c r="F22" s="68">
        <f>+I22/(V22*W22)</f>
        <v>1.75</v>
      </c>
      <c r="G22" s="106" t="s">
        <v>30</v>
      </c>
      <c r="H22" s="66">
        <v>7</v>
      </c>
      <c r="I22" s="67">
        <f t="shared" si="3"/>
        <v>210</v>
      </c>
      <c r="J22" s="67">
        <f t="shared" si="0"/>
        <v>9545.454545454546</v>
      </c>
      <c r="K22" s="67">
        <f t="shared" si="1"/>
        <v>0</v>
      </c>
      <c r="L22" s="67" t="str">
        <f t="shared" si="2"/>
        <v/>
      </c>
      <c r="M22" s="92"/>
      <c r="N22" s="134"/>
      <c r="O22" s="39"/>
      <c r="P22" s="39"/>
      <c r="Q22" s="128"/>
      <c r="R22" s="92"/>
      <c r="S22" s="96"/>
      <c r="T22" s="128"/>
      <c r="U22" s="92"/>
      <c r="V22" s="131">
        <v>4</v>
      </c>
      <c r="W22" s="137">
        <v>30</v>
      </c>
      <c r="X22" s="137">
        <f t="shared" si="4"/>
        <v>5454.545454545455</v>
      </c>
      <c r="Y22" s="245">
        <f t="shared" si="5"/>
        <v>2.1999999999999999E-2</v>
      </c>
      <c r="Z22" s="206">
        <v>22</v>
      </c>
      <c r="AA22" s="137">
        <f t="shared" si="6"/>
        <v>1363.6363636363637</v>
      </c>
      <c r="AB22" s="137">
        <f>IFERROR(VLOOKUP(B22,'Estadistica Madre CH 23-01'!A:C,3,0),+VLOOKUP(B22,'Estadistica Madre LK 23-01 '!A:C,3,0))</f>
        <v>6456</v>
      </c>
      <c r="AC22" s="141">
        <f t="shared" si="7"/>
        <v>7.1015999999999995</v>
      </c>
      <c r="AD22" s="141"/>
      <c r="AE22" s="155" t="s">
        <v>86</v>
      </c>
    </row>
    <row r="24" spans="1:31" ht="24" thickBot="1" x14ac:dyDescent="0.4">
      <c r="C24" s="166" t="s">
        <v>96</v>
      </c>
      <c r="D24" s="163"/>
      <c r="E24" s="163"/>
      <c r="F24" s="163"/>
    </row>
    <row r="25" spans="1:31" ht="21.75" thickBot="1" x14ac:dyDescent="0.35">
      <c r="C25" s="216" t="s">
        <v>446</v>
      </c>
      <c r="D25" s="162" t="s">
        <v>1</v>
      </c>
      <c r="E25" s="525"/>
      <c r="F25" s="526"/>
    </row>
    <row r="26" spans="1:31" ht="56.45" customHeight="1" thickBot="1" x14ac:dyDescent="0.3">
      <c r="A26" s="15" t="s">
        <v>458</v>
      </c>
      <c r="B26" s="15" t="s">
        <v>3</v>
      </c>
      <c r="C26" s="4" t="s">
        <v>5</v>
      </c>
      <c r="D26" s="4" t="s">
        <v>442</v>
      </c>
      <c r="E26" s="4" t="s">
        <v>443</v>
      </c>
      <c r="F26" s="4" t="s">
        <v>76</v>
      </c>
      <c r="G26" s="4" t="s">
        <v>4</v>
      </c>
      <c r="H26" s="4" t="s">
        <v>447</v>
      </c>
      <c r="I26" s="4" t="s">
        <v>6</v>
      </c>
      <c r="J26" s="18" t="s">
        <v>443</v>
      </c>
      <c r="K26" s="18" t="s">
        <v>442</v>
      </c>
      <c r="M26" s="91"/>
      <c r="N26" s="133" t="s">
        <v>75</v>
      </c>
      <c r="O26" s="133" t="s">
        <v>69</v>
      </c>
      <c r="P26" s="6" t="s">
        <v>70</v>
      </c>
      <c r="Q26" s="138" t="s">
        <v>74</v>
      </c>
      <c r="R26" s="91"/>
      <c r="S26" s="133" t="s">
        <v>71</v>
      </c>
      <c r="T26" s="6" t="s">
        <v>72</v>
      </c>
      <c r="U26" s="91"/>
      <c r="V26" s="207" t="s">
        <v>448</v>
      </c>
      <c r="W26" s="154" t="s">
        <v>450</v>
      </c>
      <c r="X26" s="154" t="s">
        <v>449</v>
      </c>
      <c r="Y26" s="154" t="s">
        <v>451</v>
      </c>
      <c r="Z26" s="154" t="s">
        <v>452</v>
      </c>
      <c r="AA26" s="154" t="s">
        <v>14</v>
      </c>
      <c r="AB26" s="154" t="s">
        <v>455</v>
      </c>
      <c r="AC26" s="154" t="s">
        <v>456</v>
      </c>
      <c r="AD26" s="138"/>
      <c r="AE26" s="6" t="s">
        <v>454</v>
      </c>
    </row>
    <row r="27" spans="1:31" ht="19.5" thickBot="1" x14ac:dyDescent="0.35">
      <c r="A27" s="230">
        <v>1300500</v>
      </c>
      <c r="B27" s="231" t="s">
        <v>457</v>
      </c>
      <c r="C27" s="232" t="s">
        <v>445</v>
      </c>
      <c r="D27" s="233"/>
      <c r="E27" s="233"/>
      <c r="F27" s="233">
        <f>+I27/(X27*Z27)</f>
        <v>14.475114105629208</v>
      </c>
      <c r="G27" s="231" t="s">
        <v>444</v>
      </c>
      <c r="H27" s="234">
        <v>9</v>
      </c>
      <c r="I27" s="235">
        <f>+H27*X27</f>
        <v>180</v>
      </c>
      <c r="J27" s="235">
        <f>IF(Z27-H27&lt;0,0,Z27-H27)</f>
        <v>0</v>
      </c>
      <c r="K27" s="236" t="str">
        <f>+IF(Y27-I27&lt;0,"",Y27-I27)</f>
        <v/>
      </c>
      <c r="M27" s="92"/>
      <c r="N27" s="244"/>
      <c r="O27" s="240"/>
      <c r="P27" s="240"/>
      <c r="Q27" s="243"/>
      <c r="R27" s="92"/>
      <c r="S27" s="237"/>
      <c r="T27" s="243"/>
      <c r="U27" s="92"/>
      <c r="V27" s="237">
        <v>10</v>
      </c>
      <c r="W27" s="235">
        <f>+V27*X27</f>
        <v>200</v>
      </c>
      <c r="X27" s="235">
        <v>20</v>
      </c>
      <c r="Y27" s="238">
        <f>+SUMIFS('Consumo '!F:F,'Consumo '!A:A,G27)</f>
        <v>12.435135135135138</v>
      </c>
      <c r="Z27" s="239">
        <f>+Y27/X27</f>
        <v>0.6217567567567569</v>
      </c>
      <c r="AA27" s="240">
        <f>+SUMIFS('Consumo '!E:E,'Consumo '!A:A,'Garage 11-12'!G27)</f>
        <v>9224</v>
      </c>
      <c r="AB27" s="240">
        <f>+Y27*1.5</f>
        <v>18.652702702702705</v>
      </c>
      <c r="AC27" s="241">
        <f>+Z27*1.5</f>
        <v>0.93263513513513541</v>
      </c>
      <c r="AD27" s="241"/>
      <c r="AE27" s="242" t="s">
        <v>446</v>
      </c>
    </row>
    <row r="28" spans="1:31" ht="23.25" x14ac:dyDescent="0.35">
      <c r="C28" s="215" t="s">
        <v>98</v>
      </c>
    </row>
    <row r="29" spans="1:31" ht="18.75" x14ac:dyDescent="0.3">
      <c r="B29" s="106" t="s">
        <v>20</v>
      </c>
      <c r="C29" s="69" t="s">
        <v>21</v>
      </c>
      <c r="D29" s="68"/>
      <c r="E29" s="68"/>
      <c r="F29" s="68">
        <f>+I29/(V29*W29)</f>
        <v>0</v>
      </c>
      <c r="G29" s="68"/>
      <c r="H29" s="66"/>
      <c r="I29" s="67">
        <f>H29*W29</f>
        <v>0</v>
      </c>
      <c r="J29" s="67">
        <f>+I29/Y29</f>
        <v>0</v>
      </c>
      <c r="K29" s="67">
        <f>IF(V29-H29&lt;0,0,V29-H29)</f>
        <v>5</v>
      </c>
      <c r="L29" s="67">
        <f>+IF(X29-J29&lt;0,"",X29-J29)</f>
        <v>6833.7129840546695</v>
      </c>
      <c r="M29" s="92"/>
      <c r="N29" s="134"/>
      <c r="O29" s="39"/>
      <c r="P29" s="39"/>
      <c r="Q29" s="128"/>
      <c r="R29" s="92"/>
      <c r="S29" s="96"/>
      <c r="T29" s="128"/>
      <c r="U29" s="92"/>
      <c r="V29" s="96">
        <v>5</v>
      </c>
      <c r="W29" s="39">
        <v>30</v>
      </c>
      <c r="X29" s="39">
        <f>+V29*AA29</f>
        <v>6833.7129840546695</v>
      </c>
      <c r="Y29" s="94">
        <f>+Z29/1000</f>
        <v>2.1950000000000001E-2</v>
      </c>
      <c r="Z29" s="121">
        <v>21.95</v>
      </c>
      <c r="AA29" s="39">
        <f>+W29/Y29</f>
        <v>1366.7425968109339</v>
      </c>
      <c r="AB29" s="39">
        <f>IFERROR(VLOOKUP(706,'Estadistica Madre CH 23-01'!A:C,3,0),+VLOOKUP(B29,'Estadistica Madre LK 23-01 '!A:C,3,0))</f>
        <v>2400</v>
      </c>
      <c r="AC29" s="122">
        <f>1.5*AB29/AA29</f>
        <v>2.6339999999999999</v>
      </c>
      <c r="AD29" s="122"/>
      <c r="AE29" s="108" t="s">
        <v>47</v>
      </c>
    </row>
  </sheetData>
  <mergeCells count="3">
    <mergeCell ref="B1:H1"/>
    <mergeCell ref="V5:AE5"/>
    <mergeCell ref="E25:F25"/>
  </mergeCells>
  <printOptions horizontalCentered="1" verticalCentered="1"/>
  <pageMargins left="0.25" right="0.25" top="0.75" bottom="0.75" header="0.3" footer="0.3"/>
  <pageSetup paperSize="9" scale="38" fitToHeight="0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F0"/>
    <pageSetUpPr fitToPage="1"/>
  </sheetPr>
  <dimension ref="A1:AE29"/>
  <sheetViews>
    <sheetView workbookViewId="0"/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8.85546875" hidden="1" customWidth="1"/>
    <col min="5" max="5" width="9.140625" hidden="1" customWidth="1"/>
    <col min="6" max="6" width="7.28515625" hidden="1" customWidth="1"/>
    <col min="7" max="7" width="9" customWidth="1"/>
    <col min="8" max="8" width="8.42578125" customWidth="1"/>
    <col min="9" max="10" width="8.7109375" customWidth="1"/>
    <col min="11" max="11" width="8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customWidth="1"/>
    <col min="24" max="24" width="8.28515625" customWidth="1"/>
    <col min="25" max="25" width="9.28515625" style="110" customWidth="1"/>
    <col min="26" max="27" width="8.28515625" customWidth="1"/>
    <col min="28" max="28" width="9.140625" customWidth="1"/>
    <col min="29" max="29" width="9.42578125" customWidth="1"/>
    <col min="30" max="30" width="8.28515625" customWidth="1"/>
    <col min="31" max="31" width="19.28515625" customWidth="1"/>
  </cols>
  <sheetData>
    <row r="1" spans="2:31" ht="39.200000000000003" customHeight="1" thickBot="1" x14ac:dyDescent="0.3">
      <c r="B1" s="517" t="s">
        <v>95</v>
      </c>
      <c r="C1" s="518"/>
      <c r="D1" s="518"/>
      <c r="E1" s="518"/>
      <c r="F1" s="518"/>
      <c r="G1" s="518"/>
      <c r="H1" s="519"/>
      <c r="L1"/>
      <c r="X1" s="1"/>
    </row>
    <row r="2" spans="2:31" ht="24.75" customHeight="1" thickBot="1" x14ac:dyDescent="0.35">
      <c r="C2" s="209">
        <v>45630</v>
      </c>
      <c r="J2" s="1"/>
      <c r="K2" s="3" t="s">
        <v>55</v>
      </c>
      <c r="L2" s="3"/>
    </row>
    <row r="3" spans="2:31" ht="24.75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522" t="s">
        <v>73</v>
      </c>
      <c r="W5" s="523"/>
      <c r="X5" s="523"/>
      <c r="Y5" s="523"/>
      <c r="Z5" s="523"/>
      <c r="AA5" s="523"/>
      <c r="AB5" s="523"/>
      <c r="AC5" s="523"/>
      <c r="AD5" s="523"/>
      <c r="AE5" s="524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8" t="s">
        <v>54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102" t="s">
        <v>63</v>
      </c>
      <c r="W6" s="103" t="s">
        <v>38</v>
      </c>
      <c r="X6" s="103" t="s">
        <v>58</v>
      </c>
      <c r="Y6" s="103" t="s">
        <v>10</v>
      </c>
      <c r="Z6" s="103" t="s">
        <v>65</v>
      </c>
      <c r="AA6" s="103" t="s">
        <v>11</v>
      </c>
      <c r="AB6" s="103" t="s">
        <v>14</v>
      </c>
      <c r="AC6" s="104" t="s">
        <v>453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1.6</v>
      </c>
      <c r="G7" s="111" t="s">
        <v>15</v>
      </c>
      <c r="H7" s="73">
        <v>8</v>
      </c>
      <c r="I7" s="72">
        <f t="shared" ref="I7:I22" si="0">H7*W7</f>
        <v>240</v>
      </c>
      <c r="J7" s="72">
        <f t="shared" ref="J7:J22" si="1">+I7/Y7</f>
        <v>7283.7632776934752</v>
      </c>
      <c r="K7" s="72">
        <f t="shared" ref="K7:K22" si="2">IF(V7-H7&lt;0,0,V7-H7)</f>
        <v>0</v>
      </c>
      <c r="L7" s="72" t="str">
        <f t="shared" ref="L7:L22" si="3">+IF(X7-J7&lt;0,"",X7-J7)</f>
        <v/>
      </c>
      <c r="M7" s="92"/>
      <c r="N7" s="136"/>
      <c r="O7" s="137"/>
      <c r="P7" s="137"/>
      <c r="Q7" s="132"/>
      <c r="R7" s="92"/>
      <c r="S7" s="131"/>
      <c r="T7" s="132"/>
      <c r="U7" s="92"/>
      <c r="V7" s="96">
        <v>5</v>
      </c>
      <c r="W7" s="39">
        <v>30</v>
      </c>
      <c r="X7" s="39">
        <f>+V7*AA7</f>
        <v>4552.3520485584222</v>
      </c>
      <c r="Y7" s="94">
        <f>+Z7/1000</f>
        <v>3.295E-2</v>
      </c>
      <c r="Z7" s="121">
        <v>32.950000000000003</v>
      </c>
      <c r="AA7" s="39">
        <f>+W7/Y7</f>
        <v>910.4704097116844</v>
      </c>
      <c r="AB7" s="39">
        <f>IFERROR(VLOOKUP(B7,'Estadistica Madre CH 23-01'!A:C,3,0),+VLOOKUP(B7,'Estadistica Madre LK 23-01 '!A:C,3,0))</f>
        <v>1440</v>
      </c>
      <c r="AC7" s="122">
        <f>1.5*AB7/AA7</f>
        <v>2.3723999999999998</v>
      </c>
      <c r="AD7" s="141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1.75</v>
      </c>
      <c r="G8" s="106" t="s">
        <v>17</v>
      </c>
      <c r="H8" s="66">
        <v>7</v>
      </c>
      <c r="I8" s="67">
        <f t="shared" si="0"/>
        <v>210</v>
      </c>
      <c r="J8" s="67">
        <f t="shared" si="1"/>
        <v>9567.1981776765369</v>
      </c>
      <c r="K8" s="67">
        <f t="shared" si="2"/>
        <v>0</v>
      </c>
      <c r="L8" s="67" t="str">
        <f t="shared" si="3"/>
        <v/>
      </c>
      <c r="M8" s="92"/>
      <c r="N8" s="134"/>
      <c r="O8" s="39"/>
      <c r="P8" s="39"/>
      <c r="Q8" s="128"/>
      <c r="R8" s="92"/>
      <c r="S8" s="96"/>
      <c r="T8" s="128"/>
      <c r="U8" s="92"/>
      <c r="V8" s="96">
        <v>4</v>
      </c>
      <c r="W8" s="39">
        <v>30</v>
      </c>
      <c r="X8" s="39">
        <f t="shared" ref="X8:X22" si="4">+V8*AA8</f>
        <v>5466.9703872437358</v>
      </c>
      <c r="Y8" s="94">
        <f t="shared" ref="Y8:Y22" si="5">+Z8/1000</f>
        <v>2.1950000000000001E-2</v>
      </c>
      <c r="Z8" s="121">
        <v>21.95</v>
      </c>
      <c r="AA8" s="39">
        <f t="shared" ref="AA8:AA22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 t="shared" ref="AC8:AC22" si="7">1.5*AB8/AA8</f>
        <v>2.6339999999999999</v>
      </c>
      <c r="AD8" s="122"/>
      <c r="AE8" s="108" t="s">
        <v>47</v>
      </c>
    </row>
    <row r="9" spans="2:31" ht="21.2" customHeight="1" x14ac:dyDescent="0.3">
      <c r="B9" s="76">
        <v>506</v>
      </c>
      <c r="C9" s="69" t="s">
        <v>29</v>
      </c>
      <c r="D9" s="68"/>
      <c r="E9" s="68"/>
      <c r="F9" s="68">
        <f>+I9/(V9*W9)</f>
        <v>0.875</v>
      </c>
      <c r="G9" s="106" t="s">
        <v>28</v>
      </c>
      <c r="H9" s="66">
        <v>7</v>
      </c>
      <c r="I9" s="67">
        <f>H9*W9</f>
        <v>210</v>
      </c>
      <c r="J9" s="67">
        <f>+I9/Y9</f>
        <v>9567.1981776765369</v>
      </c>
      <c r="K9" s="67">
        <f>IF(V9-H9&lt;0,0,V9-H9)</f>
        <v>1</v>
      </c>
      <c r="L9" s="67">
        <f>+IF(X9-J9&lt;0,"",X9-J9)</f>
        <v>1366.7425968109346</v>
      </c>
      <c r="M9" s="92"/>
      <c r="N9" s="134"/>
      <c r="O9" s="39"/>
      <c r="P9" s="39"/>
      <c r="Q9" s="128"/>
      <c r="R9" s="92"/>
      <c r="S9" s="96"/>
      <c r="T9" s="128"/>
      <c r="U9" s="92"/>
      <c r="V9" s="96">
        <v>8</v>
      </c>
      <c r="W9" s="39">
        <v>30</v>
      </c>
      <c r="X9" s="39">
        <f>+V9*AA9</f>
        <v>10933.940774487472</v>
      </c>
      <c r="Y9" s="94">
        <f>+Z9/1000</f>
        <v>2.1950000000000001E-2</v>
      </c>
      <c r="Z9" s="121">
        <v>21.95</v>
      </c>
      <c r="AA9" s="39">
        <f>+W9/Y9</f>
        <v>1366.7425968109339</v>
      </c>
      <c r="AB9" s="39">
        <f>IFERROR(VLOOKUP(B9,'Estadistica Madre CH 23-01'!A:C,3,0),+VLOOKUP(B9,'Estadistica Madre LK 23-01 '!A:C,3,0))</f>
        <v>18840</v>
      </c>
      <c r="AC9" s="122">
        <f>1.5*AB9/AA9</f>
        <v>20.6769</v>
      </c>
      <c r="AD9" s="122"/>
      <c r="AE9" s="108" t="s">
        <v>47</v>
      </c>
    </row>
    <row r="10" spans="2:3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24" thickBot="1" x14ac:dyDescent="0.35">
      <c r="C12" s="161" t="s">
        <v>53</v>
      </c>
      <c r="D12" s="162" t="s">
        <v>1</v>
      </c>
      <c r="E12" s="162"/>
      <c r="F12" s="160"/>
      <c r="L12"/>
    </row>
    <row r="13" spans="2:31" ht="69.599999999999994" customHeight="1" thickBot="1" x14ac:dyDescent="0.3">
      <c r="B13" s="15" t="s">
        <v>3</v>
      </c>
      <c r="C13" s="4" t="s">
        <v>5</v>
      </c>
      <c r="D13" s="4" t="s">
        <v>59</v>
      </c>
      <c r="E13" s="4" t="s">
        <v>439</v>
      </c>
      <c r="F13" s="4" t="s">
        <v>76</v>
      </c>
      <c r="G13" s="4" t="s">
        <v>4</v>
      </c>
      <c r="H13" s="4" t="s">
        <v>437</v>
      </c>
      <c r="I13" s="4" t="s">
        <v>6</v>
      </c>
      <c r="J13" s="4" t="s">
        <v>62</v>
      </c>
      <c r="K13" s="18" t="s">
        <v>54</v>
      </c>
      <c r="L13" s="18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102" t="s">
        <v>63</v>
      </c>
      <c r="W13" s="103" t="s">
        <v>38</v>
      </c>
      <c r="X13" s="103" t="s">
        <v>58</v>
      </c>
      <c r="Y13" s="103" t="s">
        <v>10</v>
      </c>
      <c r="Z13" s="103" t="s">
        <v>65</v>
      </c>
      <c r="AA13" s="103" t="s">
        <v>11</v>
      </c>
      <c r="AB13" s="103" t="s">
        <v>14</v>
      </c>
      <c r="AC13" s="104" t="s">
        <v>453</v>
      </c>
      <c r="AD13" s="140" t="s">
        <v>80</v>
      </c>
      <c r="AE13" s="4" t="s">
        <v>46</v>
      </c>
    </row>
    <row r="14" spans="2:31" ht="18.75" x14ac:dyDescent="0.3">
      <c r="B14" s="76">
        <v>654</v>
      </c>
      <c r="C14" s="69" t="s">
        <v>23</v>
      </c>
      <c r="D14" s="68"/>
      <c r="E14" s="68"/>
      <c r="F14" s="68">
        <f>+I14/(V14*W14)</f>
        <v>0.48</v>
      </c>
      <c r="G14" s="106" t="s">
        <v>22</v>
      </c>
      <c r="H14" s="66">
        <v>12</v>
      </c>
      <c r="I14" s="67">
        <f t="shared" si="0"/>
        <v>30.959999999999994</v>
      </c>
      <c r="J14" s="67">
        <f t="shared" si="1"/>
        <v>1439.9999999999998</v>
      </c>
      <c r="K14" s="67">
        <f t="shared" si="2"/>
        <v>13</v>
      </c>
      <c r="L14" s="67">
        <f t="shared" si="3"/>
        <v>1560.0000000000002</v>
      </c>
      <c r="M14" s="92"/>
      <c r="N14" s="134"/>
      <c r="O14" s="39"/>
      <c r="P14" s="121"/>
      <c r="Q14" s="129"/>
      <c r="R14" s="92"/>
      <c r="S14" s="96"/>
      <c r="T14" s="129"/>
      <c r="U14" s="92"/>
      <c r="V14" s="96">
        <v>25</v>
      </c>
      <c r="W14" s="121">
        <f>+AA14*Y14</f>
        <v>2.5799999999999996</v>
      </c>
      <c r="X14" s="39">
        <f t="shared" si="4"/>
        <v>3000</v>
      </c>
      <c r="Y14" s="94">
        <f t="shared" si="5"/>
        <v>2.1499999999999998E-2</v>
      </c>
      <c r="Z14" s="121">
        <v>21.5</v>
      </c>
      <c r="AA14" s="39">
        <v>120</v>
      </c>
      <c r="AB14" s="39">
        <f>IFERROR(VLOOKUP(B14,'Estadistica Madre CH 23-01'!A:C,3,0),+VLOOKUP(B14,'Estadistica Madre LK 23-01 '!A:C,3,0))</f>
        <v>912</v>
      </c>
      <c r="AC14" s="122">
        <f t="shared" si="7"/>
        <v>11.4</v>
      </c>
      <c r="AD14" s="122"/>
      <c r="AE14" s="108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0.24000000000000002</v>
      </c>
      <c r="G15" s="106" t="s">
        <v>24</v>
      </c>
      <c r="H15" s="66">
        <v>6</v>
      </c>
      <c r="I15" s="67">
        <f t="shared" si="0"/>
        <v>10.8</v>
      </c>
      <c r="J15" s="67">
        <f t="shared" si="1"/>
        <v>696.77419354838719</v>
      </c>
      <c r="K15" s="67">
        <f t="shared" si="2"/>
        <v>19</v>
      </c>
      <c r="L15" s="67">
        <f t="shared" si="3"/>
        <v>2303.2258064516127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25</v>
      </c>
      <c r="W15" s="121">
        <v>1.8</v>
      </c>
      <c r="X15" s="39">
        <f t="shared" si="4"/>
        <v>3000</v>
      </c>
      <c r="Y15" s="94">
        <f t="shared" si="5"/>
        <v>1.55E-2</v>
      </c>
      <c r="Z15" s="121">
        <v>15.5</v>
      </c>
      <c r="AA15" s="39">
        <v>120</v>
      </c>
      <c r="AB15" s="39">
        <f>IFERROR(VLOOKUP(B15,'Estadistica Madre CH 23-01'!A:C,3,0),+VLOOKUP(B15,'Estadistica Madre LK 23-01 '!A:C,3,0))</f>
        <v>2124</v>
      </c>
      <c r="AC15" s="122">
        <f t="shared" si="7"/>
        <v>26.55</v>
      </c>
      <c r="AD15" s="122"/>
      <c r="AE15" s="108" t="s">
        <v>53</v>
      </c>
    </row>
    <row r="16" spans="2:31" ht="21.2" customHeight="1" x14ac:dyDescent="0.3">
      <c r="B16" s="76">
        <v>557</v>
      </c>
      <c r="C16" s="69" t="s">
        <v>27</v>
      </c>
      <c r="D16" s="68"/>
      <c r="E16" s="68"/>
      <c r="F16" s="68">
        <f>+I16/(V16*W16)</f>
        <v>1.1600000000000001</v>
      </c>
      <c r="G16" s="106" t="s">
        <v>26</v>
      </c>
      <c r="H16" s="66">
        <v>29</v>
      </c>
      <c r="I16" s="67">
        <f t="shared" si="0"/>
        <v>52.2</v>
      </c>
      <c r="J16" s="67">
        <f t="shared" si="1"/>
        <v>3283.0188679245284</v>
      </c>
      <c r="K16" s="67">
        <f t="shared" si="2"/>
        <v>0</v>
      </c>
      <c r="L16" s="67" t="str">
        <f t="shared" si="3"/>
        <v/>
      </c>
      <c r="M16" s="92"/>
      <c r="N16" s="134"/>
      <c r="O16" s="39"/>
      <c r="P16" s="121"/>
      <c r="Q16" s="129"/>
      <c r="R16" s="92"/>
      <c r="S16" s="96"/>
      <c r="T16" s="129"/>
      <c r="U16" s="92"/>
      <c r="V16" s="96">
        <v>25</v>
      </c>
      <c r="W16" s="121">
        <v>1.8</v>
      </c>
      <c r="X16" s="39">
        <f t="shared" si="4"/>
        <v>3000</v>
      </c>
      <c r="Y16" s="94">
        <f t="shared" si="5"/>
        <v>1.5900000000000001E-2</v>
      </c>
      <c r="Z16" s="121">
        <v>15.9</v>
      </c>
      <c r="AA16" s="39">
        <v>120</v>
      </c>
      <c r="AB16" s="39">
        <f>IFERROR(VLOOKUP(B16,'Estadistica Madre CH 23-01'!A:C,3,0),+VLOOKUP(B16,'Estadistica Madre LK 23-01 '!A:C,3,0))</f>
        <v>1400</v>
      </c>
      <c r="AC16" s="122">
        <f t="shared" si="7"/>
        <v>17.5</v>
      </c>
      <c r="AD16" s="122"/>
      <c r="AE16" s="108" t="s">
        <v>53</v>
      </c>
    </row>
    <row r="19" spans="1:31" ht="24" thickBot="1" x14ac:dyDescent="0.4">
      <c r="C19" s="166" t="s">
        <v>96</v>
      </c>
      <c r="D19" s="163"/>
      <c r="E19" s="163"/>
      <c r="F19" s="163"/>
    </row>
    <row r="20" spans="1:31" ht="24" thickBot="1" x14ac:dyDescent="0.35">
      <c r="C20" s="161" t="s">
        <v>86</v>
      </c>
      <c r="D20" s="162" t="s">
        <v>1</v>
      </c>
      <c r="E20" s="162"/>
      <c r="F20" s="160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54</v>
      </c>
      <c r="L21" s="18" t="s">
        <v>59</v>
      </c>
      <c r="M21" s="91"/>
      <c r="N21" s="133" t="s">
        <v>75</v>
      </c>
      <c r="O21" s="133" t="s">
        <v>69</v>
      </c>
      <c r="P21" s="6" t="s">
        <v>70</v>
      </c>
      <c r="Q21" s="138" t="s">
        <v>74</v>
      </c>
      <c r="R21" s="91"/>
      <c r="S21" s="133" t="s">
        <v>71</v>
      </c>
      <c r="T21" s="6" t="s">
        <v>72</v>
      </c>
      <c r="U21" s="91"/>
      <c r="V21" s="207" t="s">
        <v>63</v>
      </c>
      <c r="W21" s="154" t="s">
        <v>38</v>
      </c>
      <c r="X21" s="154" t="s">
        <v>58</v>
      </c>
      <c r="Y21" s="154" t="s">
        <v>10</v>
      </c>
      <c r="Z21" s="154" t="s">
        <v>65</v>
      </c>
      <c r="AA21" s="154" t="s">
        <v>11</v>
      </c>
      <c r="AB21" s="154" t="s">
        <v>14</v>
      </c>
      <c r="AC21" s="208" t="s">
        <v>453</v>
      </c>
      <c r="AD21" s="138" t="s">
        <v>80</v>
      </c>
      <c r="AE21" s="6" t="s">
        <v>46</v>
      </c>
    </row>
    <row r="22" spans="1:31" ht="18.75" x14ac:dyDescent="0.3">
      <c r="B22" s="76">
        <v>510</v>
      </c>
      <c r="C22" s="69" t="s">
        <v>31</v>
      </c>
      <c r="D22" s="68"/>
      <c r="E22" s="68"/>
      <c r="F22" s="68">
        <f>+I22/(V22*W22)</f>
        <v>1.75</v>
      </c>
      <c r="G22" s="106" t="s">
        <v>30</v>
      </c>
      <c r="H22" s="66">
        <v>7</v>
      </c>
      <c r="I22" s="67">
        <f t="shared" si="0"/>
        <v>210</v>
      </c>
      <c r="J22" s="67">
        <f t="shared" si="1"/>
        <v>9545.454545454546</v>
      </c>
      <c r="K22" s="67">
        <f t="shared" si="2"/>
        <v>0</v>
      </c>
      <c r="L22" s="67" t="str">
        <f t="shared" si="3"/>
        <v/>
      </c>
      <c r="M22" s="92"/>
      <c r="N22" s="134"/>
      <c r="O22" s="39"/>
      <c r="P22" s="39"/>
      <c r="Q22" s="128"/>
      <c r="R22" s="92"/>
      <c r="S22" s="96"/>
      <c r="T22" s="128"/>
      <c r="U22" s="92"/>
      <c r="V22" s="131">
        <v>4</v>
      </c>
      <c r="W22" s="137">
        <v>30</v>
      </c>
      <c r="X22" s="137">
        <f t="shared" si="4"/>
        <v>5454.545454545455</v>
      </c>
      <c r="Y22" s="245">
        <f t="shared" si="5"/>
        <v>2.1999999999999999E-2</v>
      </c>
      <c r="Z22" s="206">
        <v>22</v>
      </c>
      <c r="AA22" s="137">
        <f t="shared" si="6"/>
        <v>1363.6363636363637</v>
      </c>
      <c r="AB22" s="137">
        <f>IFERROR(VLOOKUP(B22,'Estadistica Madre CH 23-01'!A:C,3,0),+VLOOKUP(B22,'Estadistica Madre LK 23-01 '!A:C,3,0))</f>
        <v>6456</v>
      </c>
      <c r="AC22" s="141">
        <f t="shared" si="7"/>
        <v>7.1015999999999995</v>
      </c>
      <c r="AD22" s="141"/>
      <c r="AE22" s="155" t="s">
        <v>86</v>
      </c>
    </row>
    <row r="24" spans="1:31" ht="24" thickBot="1" x14ac:dyDescent="0.4">
      <c r="C24" s="166" t="s">
        <v>96</v>
      </c>
      <c r="D24" s="163"/>
      <c r="E24" s="163"/>
      <c r="F24" s="163"/>
    </row>
    <row r="25" spans="1:31" ht="21.75" thickBot="1" x14ac:dyDescent="0.35">
      <c r="C25" s="216" t="s">
        <v>446</v>
      </c>
      <c r="D25" s="162" t="s">
        <v>1</v>
      </c>
      <c r="E25" s="525"/>
      <c r="F25" s="526"/>
    </row>
    <row r="26" spans="1:31" ht="56.45" customHeight="1" thickBot="1" x14ac:dyDescent="0.3">
      <c r="A26" s="15" t="s">
        <v>458</v>
      </c>
      <c r="B26" s="15" t="s">
        <v>3</v>
      </c>
      <c r="C26" s="4" t="s">
        <v>5</v>
      </c>
      <c r="D26" s="4" t="s">
        <v>442</v>
      </c>
      <c r="E26" s="4" t="s">
        <v>443</v>
      </c>
      <c r="F26" s="4" t="s">
        <v>76</v>
      </c>
      <c r="G26" s="4" t="s">
        <v>4</v>
      </c>
      <c r="H26" s="4" t="s">
        <v>447</v>
      </c>
      <c r="I26" s="4" t="s">
        <v>6</v>
      </c>
      <c r="J26" s="18" t="s">
        <v>54</v>
      </c>
      <c r="K26" s="18" t="s">
        <v>443</v>
      </c>
      <c r="M26" s="91"/>
      <c r="N26" s="133" t="s">
        <v>75</v>
      </c>
      <c r="O26" s="133" t="s">
        <v>69</v>
      </c>
      <c r="P26" s="6" t="s">
        <v>70</v>
      </c>
      <c r="Q26" s="138" t="s">
        <v>74</v>
      </c>
      <c r="R26" s="91"/>
      <c r="S26" s="133" t="s">
        <v>71</v>
      </c>
      <c r="T26" s="6" t="s">
        <v>72</v>
      </c>
      <c r="U26" s="91"/>
      <c r="V26" s="207" t="s">
        <v>448</v>
      </c>
      <c r="W26" s="154" t="s">
        <v>450</v>
      </c>
      <c r="X26" s="154" t="s">
        <v>449</v>
      </c>
      <c r="Y26" s="154" t="s">
        <v>451</v>
      </c>
      <c r="Z26" s="154" t="s">
        <v>452</v>
      </c>
      <c r="AA26" s="154" t="s">
        <v>14</v>
      </c>
      <c r="AB26" s="154" t="s">
        <v>455</v>
      </c>
      <c r="AC26" s="154" t="s">
        <v>456</v>
      </c>
      <c r="AD26" s="138"/>
      <c r="AE26" s="6" t="s">
        <v>454</v>
      </c>
    </row>
    <row r="27" spans="1:31" ht="19.5" thickBot="1" x14ac:dyDescent="0.35">
      <c r="A27" s="230">
        <v>1300500</v>
      </c>
      <c r="B27" s="231" t="s">
        <v>457</v>
      </c>
      <c r="C27" s="232" t="s">
        <v>445</v>
      </c>
      <c r="D27" s="233"/>
      <c r="E27" s="233"/>
      <c r="F27" s="233" t="e">
        <f>+I27/(V27*W27)</f>
        <v>#DIV/0!</v>
      </c>
      <c r="G27" s="231" t="s">
        <v>444</v>
      </c>
      <c r="H27" s="234">
        <v>10</v>
      </c>
      <c r="I27" s="235">
        <f>+H27*X27</f>
        <v>200</v>
      </c>
      <c r="J27" s="235" t="str">
        <f>+IF(AB27-I27&lt;0,"",AB27-I27)</f>
        <v/>
      </c>
      <c r="K27" s="236" t="str">
        <f>+IF(AC27-H27&lt;0,"",AC27-H27)</f>
        <v/>
      </c>
      <c r="M27" s="92"/>
      <c r="N27" s="244"/>
      <c r="O27" s="240"/>
      <c r="P27" s="240"/>
      <c r="Q27" s="243"/>
      <c r="R27" s="92"/>
      <c r="S27" s="237"/>
      <c r="T27" s="243"/>
      <c r="U27" s="92"/>
      <c r="V27" s="237"/>
      <c r="W27" s="235">
        <f>+V27*X27</f>
        <v>0</v>
      </c>
      <c r="X27" s="235">
        <v>20</v>
      </c>
      <c r="Y27" s="238">
        <f>+SUMIFS('Consumo '!F:F,'Consumo '!A:A,G27)</f>
        <v>12.435135135135138</v>
      </c>
      <c r="Z27" s="239">
        <f>+Y27/X27</f>
        <v>0.6217567567567569</v>
      </c>
      <c r="AA27" s="240">
        <f>+SUMIFS('Consumo '!E:E,'Consumo '!A:A,'Garage 4-12'!G27)</f>
        <v>9224</v>
      </c>
      <c r="AB27" s="240">
        <f>+Y27*1.5</f>
        <v>18.652702702702705</v>
      </c>
      <c r="AC27" s="241">
        <f>+Z27*1.5</f>
        <v>0.93263513513513541</v>
      </c>
      <c r="AD27" s="241"/>
      <c r="AE27" s="242" t="s">
        <v>446</v>
      </c>
    </row>
    <row r="28" spans="1:31" ht="23.25" x14ac:dyDescent="0.35">
      <c r="C28" s="215" t="s">
        <v>98</v>
      </c>
    </row>
    <row r="29" spans="1:31" ht="18.75" x14ac:dyDescent="0.3">
      <c r="B29" s="106" t="s">
        <v>20</v>
      </c>
      <c r="C29" s="69" t="s">
        <v>21</v>
      </c>
      <c r="D29" s="68"/>
      <c r="E29" s="68"/>
      <c r="F29" s="68">
        <f>+I29/(V29*W29)</f>
        <v>0</v>
      </c>
      <c r="G29" s="68"/>
      <c r="H29" s="66"/>
      <c r="I29" s="67">
        <f>H29*W29</f>
        <v>0</v>
      </c>
      <c r="J29" s="67">
        <f>+I29/Y29</f>
        <v>0</v>
      </c>
      <c r="K29" s="67">
        <f>IF(V29-H29&lt;0,0,V29-H29)</f>
        <v>5</v>
      </c>
      <c r="L29" s="67">
        <f>+IF(X29-J29&lt;0,"",X29-J29)</f>
        <v>6833.7129840546695</v>
      </c>
      <c r="M29" s="92"/>
      <c r="N29" s="134"/>
      <c r="O29" s="39"/>
      <c r="P29" s="39"/>
      <c r="Q29" s="128"/>
      <c r="R29" s="92"/>
      <c r="S29" s="96"/>
      <c r="T29" s="128"/>
      <c r="U29" s="92"/>
      <c r="V29" s="96">
        <v>5</v>
      </c>
      <c r="W29" s="39">
        <v>30</v>
      </c>
      <c r="X29" s="39">
        <f>+V29*AA29</f>
        <v>6833.7129840546695</v>
      </c>
      <c r="Y29" s="94">
        <f>+Z29/1000</f>
        <v>2.1950000000000001E-2</v>
      </c>
      <c r="Z29" s="121">
        <v>21.95</v>
      </c>
      <c r="AA29" s="39">
        <f>+W29/Y29</f>
        <v>1366.7425968109339</v>
      </c>
      <c r="AB29" s="39">
        <f>IFERROR(VLOOKUP(706,'Estadistica Madre CH 23-01'!A:C,3,0),+VLOOKUP(B29,'Estadistica Madre LK 23-01 '!A:C,3,0))</f>
        <v>2400</v>
      </c>
      <c r="AC29" s="122">
        <f>1.5*AB29/AA29</f>
        <v>2.6339999999999999</v>
      </c>
      <c r="AD29" s="122"/>
      <c r="AE29" s="108" t="s">
        <v>47</v>
      </c>
    </row>
  </sheetData>
  <mergeCells count="3">
    <mergeCell ref="B1:H1"/>
    <mergeCell ref="V5:AE5"/>
    <mergeCell ref="E25:F25"/>
  </mergeCells>
  <printOptions horizontalCentered="1" verticalCentered="1"/>
  <pageMargins left="0.25" right="0.25" top="0.75" bottom="0.75" header="0.3" footer="0.3"/>
  <pageSetup paperSize="9" scale="38" fitToHeight="0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F0"/>
    <pageSetUpPr fitToPage="1"/>
  </sheetPr>
  <dimension ref="A1:AD27"/>
  <sheetViews>
    <sheetView workbookViewId="0">
      <selection sqref="A1:G1"/>
    </sheetView>
  </sheetViews>
  <sheetFormatPr baseColWidth="10" defaultRowHeight="15" x14ac:dyDescent="0.25"/>
  <cols>
    <col min="1" max="1" width="7.140625" customWidth="1"/>
    <col min="2" max="2" width="28.85546875" customWidth="1"/>
    <col min="3" max="3" width="8.85546875" hidden="1" customWidth="1"/>
    <col min="4" max="4" width="9.140625" hidden="1" customWidth="1"/>
    <col min="5" max="5" width="7.42578125" hidden="1" customWidth="1"/>
    <col min="6" max="6" width="9" hidden="1" customWidth="1"/>
    <col min="7" max="7" width="8.42578125" customWidth="1"/>
    <col min="8" max="8" width="9.42578125" customWidth="1"/>
    <col min="9" max="9" width="11.42578125" customWidth="1"/>
    <col min="10" max="10" width="8.42578125" customWidth="1"/>
    <col min="11" max="11" width="12.140625" style="110" customWidth="1"/>
    <col min="12" max="12" width="3.140625" customWidth="1"/>
    <col min="13" max="14" width="9.42578125" customWidth="1"/>
    <col min="15" max="15" width="8.85546875" customWidth="1"/>
    <col min="16" max="16" width="9.7109375" customWidth="1"/>
    <col min="17" max="17" width="3.140625" customWidth="1"/>
    <col min="18" max="18" width="11.140625" customWidth="1"/>
    <col min="19" max="19" width="10.140625" customWidth="1"/>
    <col min="20" max="20" width="3.140625" customWidth="1"/>
    <col min="21" max="21" width="8.140625" customWidth="1"/>
    <col min="22" max="22" width="8" customWidth="1"/>
    <col min="23" max="23" width="9.28515625" customWidth="1"/>
    <col min="24" max="24" width="10.140625" customWidth="1"/>
    <col min="25" max="25" width="8.28515625" customWidth="1"/>
    <col min="26" max="26" width="8.85546875" customWidth="1"/>
    <col min="27" max="27" width="11.140625" customWidth="1"/>
    <col min="28" max="28" width="13" bestFit="1" customWidth="1"/>
    <col min="29" max="29" width="10.7109375" customWidth="1"/>
    <col min="30" max="30" width="11.85546875" customWidth="1"/>
  </cols>
  <sheetData>
    <row r="1" spans="1:30" ht="39.200000000000003" customHeight="1" thickBot="1" x14ac:dyDescent="0.3">
      <c r="A1" s="517" t="s">
        <v>95</v>
      </c>
      <c r="B1" s="518"/>
      <c r="C1" s="518"/>
      <c r="D1" s="518"/>
      <c r="E1" s="518"/>
      <c r="F1" s="518"/>
      <c r="G1" s="519"/>
      <c r="K1"/>
      <c r="W1" s="1"/>
    </row>
    <row r="2" spans="1:30" ht="24.75" customHeight="1" thickBot="1" x14ac:dyDescent="0.35">
      <c r="B2" s="164" t="s">
        <v>1</v>
      </c>
      <c r="I2" s="1"/>
      <c r="J2" s="3" t="s">
        <v>55</v>
      </c>
      <c r="K2" s="3"/>
    </row>
    <row r="3" spans="1:30" ht="24.75" customHeight="1" x14ac:dyDescent="0.3">
      <c r="G3" s="1"/>
      <c r="H3" s="1"/>
      <c r="I3" s="1"/>
      <c r="J3" s="3"/>
      <c r="K3" s="3"/>
    </row>
    <row r="4" spans="1:30" ht="24.75" customHeight="1" thickBot="1" x14ac:dyDescent="0.4">
      <c r="B4" s="166" t="s">
        <v>96</v>
      </c>
      <c r="C4" s="163"/>
      <c r="D4" s="163"/>
      <c r="E4" s="163"/>
      <c r="F4" s="163"/>
      <c r="G4" s="1"/>
      <c r="H4" s="1"/>
      <c r="I4" s="1"/>
      <c r="J4" s="3"/>
      <c r="K4" s="3"/>
    </row>
    <row r="5" spans="1:30" ht="24.75" customHeight="1" thickBot="1" x14ac:dyDescent="0.35">
      <c r="B5" s="161" t="s">
        <v>97</v>
      </c>
      <c r="C5" s="162" t="s">
        <v>1</v>
      </c>
      <c r="D5" s="162"/>
      <c r="E5" s="160"/>
      <c r="G5" s="1"/>
      <c r="H5" s="1"/>
      <c r="I5" s="1"/>
      <c r="J5" s="3"/>
      <c r="K5" s="3"/>
      <c r="U5" s="522" t="s">
        <v>73</v>
      </c>
      <c r="V5" s="523"/>
      <c r="W5" s="523"/>
      <c r="X5" s="523"/>
      <c r="Y5" s="523"/>
      <c r="Z5" s="523"/>
      <c r="AA5" s="523"/>
      <c r="AB5" s="523"/>
      <c r="AC5" s="523"/>
      <c r="AD5" s="524"/>
    </row>
    <row r="6" spans="1:30" ht="54.6" customHeight="1" thickBot="1" x14ac:dyDescent="0.3">
      <c r="A6" s="15" t="s">
        <v>3</v>
      </c>
      <c r="B6" s="4" t="s">
        <v>5</v>
      </c>
      <c r="C6" s="4" t="s">
        <v>59</v>
      </c>
      <c r="D6" s="4" t="s">
        <v>68</v>
      </c>
      <c r="E6" s="4" t="s">
        <v>76</v>
      </c>
      <c r="F6" s="4" t="s">
        <v>4</v>
      </c>
      <c r="G6" s="4" t="s">
        <v>438</v>
      </c>
      <c r="H6" s="4" t="s">
        <v>6</v>
      </c>
      <c r="I6" s="4" t="s">
        <v>7</v>
      </c>
      <c r="J6" s="18" t="s">
        <v>54</v>
      </c>
      <c r="K6" s="18" t="s">
        <v>59</v>
      </c>
      <c r="L6" s="91"/>
      <c r="M6" s="133" t="s">
        <v>75</v>
      </c>
      <c r="N6" s="133" t="s">
        <v>69</v>
      </c>
      <c r="O6" s="6" t="s">
        <v>70</v>
      </c>
      <c r="P6" s="138" t="s">
        <v>74</v>
      </c>
      <c r="Q6" s="91"/>
      <c r="R6" s="133" t="s">
        <v>71</v>
      </c>
      <c r="S6" s="6" t="s">
        <v>72</v>
      </c>
      <c r="T6" s="91"/>
      <c r="U6" s="102" t="s">
        <v>63</v>
      </c>
      <c r="V6" s="103" t="s">
        <v>38</v>
      </c>
      <c r="W6" s="103" t="s">
        <v>58</v>
      </c>
      <c r="X6" s="103" t="s">
        <v>10</v>
      </c>
      <c r="Y6" s="103" t="s">
        <v>65</v>
      </c>
      <c r="Z6" s="103" t="s">
        <v>11</v>
      </c>
      <c r="AA6" s="103" t="s">
        <v>14</v>
      </c>
      <c r="AB6" s="104" t="s">
        <v>64</v>
      </c>
      <c r="AC6" s="140" t="s">
        <v>80</v>
      </c>
      <c r="AD6" s="4" t="s">
        <v>46</v>
      </c>
    </row>
    <row r="7" spans="1:30" ht="18.75" x14ac:dyDescent="0.3">
      <c r="A7" s="70">
        <v>500</v>
      </c>
      <c r="B7" s="71" t="s">
        <v>16</v>
      </c>
      <c r="C7" s="74"/>
      <c r="D7" s="74"/>
      <c r="E7" s="74">
        <f>+H7/(U7*V7)</f>
        <v>1.6</v>
      </c>
      <c r="F7" s="111" t="s">
        <v>15</v>
      </c>
      <c r="G7" s="73">
        <v>8</v>
      </c>
      <c r="H7" s="72">
        <f t="shared" ref="H7:H22" si="0">G7*V7</f>
        <v>240</v>
      </c>
      <c r="I7" s="72">
        <f t="shared" ref="I7:I22" si="1">+H7/X7</f>
        <v>7283.7632776934752</v>
      </c>
      <c r="J7" s="72">
        <f t="shared" ref="J7:J22" si="2">IF(U7-G7&lt;0,0,U7-G7)</f>
        <v>0</v>
      </c>
      <c r="K7" s="72" t="str">
        <f t="shared" ref="K7:K22" si="3">+IF(W7-I7&lt;0,"",W7-I7)</f>
        <v/>
      </c>
      <c r="L7" s="92"/>
      <c r="M7" s="136"/>
      <c r="N7" s="137"/>
      <c r="O7" s="137"/>
      <c r="P7" s="132"/>
      <c r="Q7" s="92"/>
      <c r="R7" s="131"/>
      <c r="S7" s="132"/>
      <c r="T7" s="92"/>
      <c r="U7" s="96">
        <v>5</v>
      </c>
      <c r="V7" s="39">
        <v>30</v>
      </c>
      <c r="W7" s="39">
        <f>+U7*Z7</f>
        <v>4552.3520485584222</v>
      </c>
      <c r="X7" s="120">
        <f>+Y7/1000</f>
        <v>3.295E-2</v>
      </c>
      <c r="Y7" s="121">
        <v>32.950000000000003</v>
      </c>
      <c r="Z7" s="39">
        <f>+V7/X7</f>
        <v>910.4704097116844</v>
      </c>
      <c r="AA7" s="39">
        <f>IFERROR(VLOOKUP(A7,'Estadistica Madre CH 23-01'!A:C,3,0),+VLOOKUP(A7,'Estadistica Madre LK 23-01 '!A:C,3,0))</f>
        <v>1440</v>
      </c>
      <c r="AB7" s="122">
        <f>1.5*AA7/Z7</f>
        <v>2.3723999999999998</v>
      </c>
      <c r="AC7" s="141"/>
      <c r="AD7" s="107" t="s">
        <v>47</v>
      </c>
    </row>
    <row r="8" spans="1:30" ht="18.75" x14ac:dyDescent="0.3">
      <c r="A8" s="76">
        <v>706</v>
      </c>
      <c r="B8" s="69" t="s">
        <v>18</v>
      </c>
      <c r="C8" s="68"/>
      <c r="D8" s="68"/>
      <c r="E8" s="68">
        <f>+H8/(U8*V8)</f>
        <v>2</v>
      </c>
      <c r="F8" s="106" t="s">
        <v>17</v>
      </c>
      <c r="G8" s="66">
        <v>8</v>
      </c>
      <c r="H8" s="67">
        <f t="shared" si="0"/>
        <v>240</v>
      </c>
      <c r="I8" s="67">
        <f t="shared" si="1"/>
        <v>10933.940774487472</v>
      </c>
      <c r="J8" s="67">
        <f t="shared" si="2"/>
        <v>0</v>
      </c>
      <c r="K8" s="67" t="str">
        <f t="shared" si="3"/>
        <v/>
      </c>
      <c r="L8" s="92"/>
      <c r="M8" s="134"/>
      <c r="N8" s="39"/>
      <c r="O8" s="39"/>
      <c r="P8" s="128"/>
      <c r="Q8" s="92"/>
      <c r="R8" s="96"/>
      <c r="S8" s="128"/>
      <c r="T8" s="92"/>
      <c r="U8" s="96">
        <v>4</v>
      </c>
      <c r="V8" s="39">
        <v>30</v>
      </c>
      <c r="W8" s="39">
        <f t="shared" ref="W8:W22" si="4">+U8*Z8</f>
        <v>5466.9703872437358</v>
      </c>
      <c r="X8" s="120">
        <f t="shared" ref="X8:X22" si="5">+Y8/1000</f>
        <v>2.1950000000000001E-2</v>
      </c>
      <c r="Y8" s="121">
        <v>21.95</v>
      </c>
      <c r="Z8" s="39">
        <f t="shared" ref="Z8:Z22" si="6">+V8/X8</f>
        <v>1366.7425968109339</v>
      </c>
      <c r="AA8" s="39">
        <f>IFERROR(VLOOKUP(A8,'Estadistica Madre CH 23-01'!A:C,3,0),+VLOOKUP(A8,'Estadistica Madre LK 23-01 '!A:C,3,0))</f>
        <v>2400</v>
      </c>
      <c r="AB8" s="122">
        <f t="shared" ref="AB8:AB22" si="7">1.5*AA8/Z8</f>
        <v>2.6339999999999999</v>
      </c>
      <c r="AC8" s="122"/>
      <c r="AD8" s="108" t="s">
        <v>47</v>
      </c>
    </row>
    <row r="9" spans="1:30" ht="21.2" customHeight="1" x14ac:dyDescent="0.3">
      <c r="A9" s="76">
        <v>506</v>
      </c>
      <c r="B9" s="69" t="s">
        <v>29</v>
      </c>
      <c r="C9" s="68"/>
      <c r="D9" s="68"/>
      <c r="E9" s="68">
        <f>+H9/(U9*V9)</f>
        <v>0.75</v>
      </c>
      <c r="F9" s="106" t="s">
        <v>28</v>
      </c>
      <c r="G9" s="66">
        <v>6</v>
      </c>
      <c r="H9" s="67">
        <f>G9*V9</f>
        <v>180</v>
      </c>
      <c r="I9" s="67">
        <f>+H9/X9</f>
        <v>8200.4555808656041</v>
      </c>
      <c r="J9" s="67">
        <f>IF(U9-G9&lt;0,0,U9-G9)</f>
        <v>2</v>
      </c>
      <c r="K9" s="67">
        <f>+IF(W9-I9&lt;0,"",W9-I9)</f>
        <v>2733.4851936218674</v>
      </c>
      <c r="L9" s="92"/>
      <c r="M9" s="134"/>
      <c r="N9" s="39"/>
      <c r="O9" s="39"/>
      <c r="P9" s="128"/>
      <c r="Q9" s="92"/>
      <c r="R9" s="96"/>
      <c r="S9" s="128"/>
      <c r="T9" s="92"/>
      <c r="U9" s="96">
        <v>8</v>
      </c>
      <c r="V9" s="39">
        <v>30</v>
      </c>
      <c r="W9" s="39">
        <f>+U9*Z9</f>
        <v>10933.940774487472</v>
      </c>
      <c r="X9" s="120">
        <f>+Y9/1000</f>
        <v>2.1950000000000001E-2</v>
      </c>
      <c r="Y9" s="121">
        <v>21.95</v>
      </c>
      <c r="Z9" s="39">
        <f>+V9/X9</f>
        <v>1366.7425968109339</v>
      </c>
      <c r="AA9" s="39">
        <f>IFERROR(VLOOKUP(A9,'Estadistica Madre CH 23-01'!A:C,3,0),+VLOOKUP(A9,'Estadistica Madre LK 23-01 '!A:C,3,0))</f>
        <v>18840</v>
      </c>
      <c r="AB9" s="122">
        <f>1.5*AA9/Z9</f>
        <v>20.6769</v>
      </c>
      <c r="AC9" s="122"/>
      <c r="AD9" s="108" t="s">
        <v>47</v>
      </c>
    </row>
    <row r="10" spans="1:30" x14ac:dyDescent="0.25">
      <c r="K10"/>
    </row>
    <row r="11" spans="1:30" ht="24" thickBot="1" x14ac:dyDescent="0.4">
      <c r="B11" s="166" t="s">
        <v>96</v>
      </c>
      <c r="C11" s="163"/>
      <c r="D11" s="163"/>
      <c r="E11" s="163"/>
      <c r="F11" s="163"/>
      <c r="K11"/>
    </row>
    <row r="12" spans="1:30" ht="24" thickBot="1" x14ac:dyDescent="0.35">
      <c r="B12" s="161" t="s">
        <v>53</v>
      </c>
      <c r="C12" s="162" t="s">
        <v>1</v>
      </c>
      <c r="D12" s="162"/>
      <c r="E12" s="160"/>
      <c r="K12"/>
    </row>
    <row r="13" spans="1:30" ht="51" customHeight="1" thickBot="1" x14ac:dyDescent="0.3">
      <c r="A13" s="15" t="s">
        <v>3</v>
      </c>
      <c r="B13" s="4" t="s">
        <v>5</v>
      </c>
      <c r="C13" s="4" t="s">
        <v>59</v>
      </c>
      <c r="D13" s="4" t="s">
        <v>439</v>
      </c>
      <c r="E13" s="4" t="s">
        <v>76</v>
      </c>
      <c r="F13" s="4" t="s">
        <v>4</v>
      </c>
      <c r="G13" s="4" t="s">
        <v>437</v>
      </c>
      <c r="H13" s="4" t="s">
        <v>6</v>
      </c>
      <c r="I13" s="4" t="s">
        <v>7</v>
      </c>
      <c r="J13" s="18" t="s">
        <v>54</v>
      </c>
      <c r="K13" s="18" t="s">
        <v>59</v>
      </c>
      <c r="L13" s="91"/>
      <c r="M13" s="133" t="s">
        <v>75</v>
      </c>
      <c r="N13" s="133" t="s">
        <v>69</v>
      </c>
      <c r="O13" s="6" t="s">
        <v>70</v>
      </c>
      <c r="P13" s="138" t="s">
        <v>74</v>
      </c>
      <c r="Q13" s="91"/>
      <c r="R13" s="133" t="s">
        <v>71</v>
      </c>
      <c r="S13" s="6" t="s">
        <v>72</v>
      </c>
      <c r="T13" s="91"/>
      <c r="U13" s="102" t="s">
        <v>63</v>
      </c>
      <c r="V13" s="103" t="s">
        <v>38</v>
      </c>
      <c r="W13" s="103" t="s">
        <v>58</v>
      </c>
      <c r="X13" s="103" t="s">
        <v>10</v>
      </c>
      <c r="Y13" s="103" t="s">
        <v>65</v>
      </c>
      <c r="Z13" s="103" t="s">
        <v>11</v>
      </c>
      <c r="AA13" s="103" t="s">
        <v>14</v>
      </c>
      <c r="AB13" s="104" t="s">
        <v>64</v>
      </c>
      <c r="AC13" s="140" t="s">
        <v>80</v>
      </c>
      <c r="AD13" s="4" t="s">
        <v>46</v>
      </c>
    </row>
    <row r="14" spans="1:30" ht="18.75" x14ac:dyDescent="0.3">
      <c r="A14" s="76">
        <v>654</v>
      </c>
      <c r="B14" s="69" t="s">
        <v>23</v>
      </c>
      <c r="C14" s="68"/>
      <c r="D14" s="68"/>
      <c r="E14" s="68">
        <f>+H14/(U14*V14)</f>
        <v>0.48</v>
      </c>
      <c r="F14" s="106" t="s">
        <v>22</v>
      </c>
      <c r="G14" s="66">
        <v>12</v>
      </c>
      <c r="H14" s="67">
        <f t="shared" si="0"/>
        <v>30.959999999999994</v>
      </c>
      <c r="I14" s="67">
        <f t="shared" si="1"/>
        <v>1439.9999999999998</v>
      </c>
      <c r="J14" s="67">
        <f t="shared" si="2"/>
        <v>13</v>
      </c>
      <c r="K14" s="67">
        <f t="shared" si="3"/>
        <v>1560.0000000000002</v>
      </c>
      <c r="L14" s="92"/>
      <c r="M14" s="134"/>
      <c r="N14" s="39"/>
      <c r="O14" s="121"/>
      <c r="P14" s="129"/>
      <c r="Q14" s="92"/>
      <c r="R14" s="96"/>
      <c r="S14" s="129"/>
      <c r="T14" s="92"/>
      <c r="U14" s="96">
        <v>25</v>
      </c>
      <c r="V14" s="121">
        <f>+Z14*X14</f>
        <v>2.5799999999999996</v>
      </c>
      <c r="W14" s="39">
        <f t="shared" si="4"/>
        <v>3000</v>
      </c>
      <c r="X14" s="120">
        <f t="shared" si="5"/>
        <v>2.1499999999999998E-2</v>
      </c>
      <c r="Y14" s="121">
        <v>21.5</v>
      </c>
      <c r="Z14" s="39">
        <v>120</v>
      </c>
      <c r="AA14" s="39">
        <f>IFERROR(VLOOKUP(A14,'Estadistica Madre CH 23-01'!A:C,3,0),+VLOOKUP(A14,'Estadistica Madre LK 23-01 '!A:C,3,0))</f>
        <v>912</v>
      </c>
      <c r="AB14" s="122">
        <f t="shared" si="7"/>
        <v>11.4</v>
      </c>
      <c r="AC14" s="122"/>
      <c r="AD14" s="108" t="s">
        <v>53</v>
      </c>
    </row>
    <row r="15" spans="1:30" ht="18.75" x14ac:dyDescent="0.3">
      <c r="A15" s="76">
        <v>558</v>
      </c>
      <c r="B15" s="69" t="s">
        <v>25</v>
      </c>
      <c r="C15" s="68"/>
      <c r="D15" s="68"/>
      <c r="E15" s="68">
        <f>+H15/(U15*V15)</f>
        <v>0.24000000000000002</v>
      </c>
      <c r="F15" s="106" t="s">
        <v>24</v>
      </c>
      <c r="G15" s="66">
        <v>6</v>
      </c>
      <c r="H15" s="67">
        <f t="shared" si="0"/>
        <v>10.8</v>
      </c>
      <c r="I15" s="67">
        <f t="shared" si="1"/>
        <v>696.77419354838719</v>
      </c>
      <c r="J15" s="67">
        <f t="shared" si="2"/>
        <v>19</v>
      </c>
      <c r="K15" s="67">
        <f t="shared" si="3"/>
        <v>2303.2258064516127</v>
      </c>
      <c r="L15" s="92"/>
      <c r="M15" s="134"/>
      <c r="N15" s="39"/>
      <c r="O15" s="121"/>
      <c r="P15" s="129"/>
      <c r="Q15" s="92"/>
      <c r="R15" s="96"/>
      <c r="S15" s="129"/>
      <c r="T15" s="92"/>
      <c r="U15" s="96">
        <v>25</v>
      </c>
      <c r="V15" s="121">
        <v>1.8</v>
      </c>
      <c r="W15" s="39">
        <f t="shared" si="4"/>
        <v>3000</v>
      </c>
      <c r="X15" s="120">
        <f t="shared" si="5"/>
        <v>1.55E-2</v>
      </c>
      <c r="Y15" s="121">
        <v>15.5</v>
      </c>
      <c r="Z15" s="39">
        <v>120</v>
      </c>
      <c r="AA15" s="39">
        <f>IFERROR(VLOOKUP(A15,'Estadistica Madre CH 23-01'!A:C,3,0),+VLOOKUP(A15,'Estadistica Madre LK 23-01 '!A:C,3,0))</f>
        <v>2124</v>
      </c>
      <c r="AB15" s="122">
        <f t="shared" si="7"/>
        <v>26.55</v>
      </c>
      <c r="AC15" s="122"/>
      <c r="AD15" s="108" t="s">
        <v>53</v>
      </c>
    </row>
    <row r="16" spans="1:30" ht="21.2" customHeight="1" x14ac:dyDescent="0.3">
      <c r="A16" s="76">
        <v>557</v>
      </c>
      <c r="B16" s="69" t="s">
        <v>27</v>
      </c>
      <c r="C16" s="68"/>
      <c r="D16" s="68"/>
      <c r="E16" s="68">
        <f>+H16/(U16*V16)</f>
        <v>1.36</v>
      </c>
      <c r="F16" s="106" t="s">
        <v>26</v>
      </c>
      <c r="G16" s="66">
        <v>34</v>
      </c>
      <c r="H16" s="67">
        <f t="shared" si="0"/>
        <v>61.2</v>
      </c>
      <c r="I16" s="67">
        <f t="shared" si="1"/>
        <v>3849.0566037735848</v>
      </c>
      <c r="J16" s="67">
        <f t="shared" si="2"/>
        <v>0</v>
      </c>
      <c r="K16" s="67" t="str">
        <f t="shared" si="3"/>
        <v/>
      </c>
      <c r="L16" s="92"/>
      <c r="M16" s="134"/>
      <c r="N16" s="39"/>
      <c r="O16" s="121"/>
      <c r="P16" s="129"/>
      <c r="Q16" s="92"/>
      <c r="R16" s="96"/>
      <c r="S16" s="129"/>
      <c r="T16" s="92"/>
      <c r="U16" s="96">
        <v>25</v>
      </c>
      <c r="V16" s="121">
        <v>1.8</v>
      </c>
      <c r="W16" s="39">
        <f t="shared" si="4"/>
        <v>3000</v>
      </c>
      <c r="X16" s="120">
        <f t="shared" si="5"/>
        <v>1.5900000000000001E-2</v>
      </c>
      <c r="Y16" s="121">
        <v>15.9</v>
      </c>
      <c r="Z16" s="39">
        <v>120</v>
      </c>
      <c r="AA16" s="39">
        <f>IFERROR(VLOOKUP(A16,'Estadistica Madre CH 23-01'!A:C,3,0),+VLOOKUP(A16,'Estadistica Madre LK 23-01 '!A:C,3,0))</f>
        <v>1400</v>
      </c>
      <c r="AB16" s="122">
        <f t="shared" si="7"/>
        <v>17.5</v>
      </c>
      <c r="AC16" s="122"/>
      <c r="AD16" s="108" t="s">
        <v>53</v>
      </c>
    </row>
    <row r="19" spans="1:30" ht="24" thickBot="1" x14ac:dyDescent="0.4">
      <c r="B19" s="166" t="s">
        <v>96</v>
      </c>
      <c r="C19" s="163"/>
      <c r="D19" s="163"/>
      <c r="E19" s="163"/>
    </row>
    <row r="20" spans="1:30" ht="24" thickBot="1" x14ac:dyDescent="0.35">
      <c r="B20" s="161" t="s">
        <v>86</v>
      </c>
      <c r="C20" s="162" t="s">
        <v>1</v>
      </c>
      <c r="D20" s="162"/>
      <c r="E20" s="160"/>
    </row>
    <row r="21" spans="1:30" ht="54.6" customHeight="1" thickBot="1" x14ac:dyDescent="0.3">
      <c r="A21" s="15" t="s">
        <v>3</v>
      </c>
      <c r="B21" s="4" t="s">
        <v>5</v>
      </c>
      <c r="C21" s="4" t="s">
        <v>59</v>
      </c>
      <c r="D21" s="4" t="s">
        <v>440</v>
      </c>
      <c r="E21" s="4" t="s">
        <v>76</v>
      </c>
      <c r="F21" s="4" t="s">
        <v>4</v>
      </c>
      <c r="G21" s="4" t="s">
        <v>438</v>
      </c>
      <c r="H21" s="4" t="s">
        <v>6</v>
      </c>
      <c r="I21" s="4" t="s">
        <v>7</v>
      </c>
      <c r="J21" s="18" t="s">
        <v>54</v>
      </c>
      <c r="K21" s="18" t="s">
        <v>59</v>
      </c>
      <c r="L21" s="91"/>
      <c r="M21" s="133" t="s">
        <v>75</v>
      </c>
      <c r="N21" s="133" t="s">
        <v>69</v>
      </c>
      <c r="O21" s="6" t="s">
        <v>70</v>
      </c>
      <c r="P21" s="138" t="s">
        <v>74</v>
      </c>
      <c r="Q21" s="91"/>
      <c r="R21" s="133" t="s">
        <v>71</v>
      </c>
      <c r="S21" s="6" t="s">
        <v>72</v>
      </c>
      <c r="T21" s="91"/>
      <c r="U21" s="207" t="s">
        <v>63</v>
      </c>
      <c r="V21" s="154" t="s">
        <v>38</v>
      </c>
      <c r="W21" s="154" t="s">
        <v>58</v>
      </c>
      <c r="X21" s="154" t="s">
        <v>10</v>
      </c>
      <c r="Y21" s="154" t="s">
        <v>65</v>
      </c>
      <c r="Z21" s="154" t="s">
        <v>11</v>
      </c>
      <c r="AA21" s="154" t="s">
        <v>14</v>
      </c>
      <c r="AB21" s="208" t="s">
        <v>64</v>
      </c>
      <c r="AC21" s="138" t="s">
        <v>80</v>
      </c>
      <c r="AD21" s="6" t="s">
        <v>46</v>
      </c>
    </row>
    <row r="22" spans="1:30" ht="18.75" x14ac:dyDescent="0.3">
      <c r="A22" s="76">
        <v>510</v>
      </c>
      <c r="B22" s="69" t="s">
        <v>31</v>
      </c>
      <c r="C22" s="68"/>
      <c r="D22" s="68"/>
      <c r="E22" s="68">
        <f>+H22/(U22*V22)</f>
        <v>1.75</v>
      </c>
      <c r="F22" s="106" t="s">
        <v>30</v>
      </c>
      <c r="G22" s="66">
        <v>7</v>
      </c>
      <c r="H22" s="67">
        <f t="shared" si="0"/>
        <v>210</v>
      </c>
      <c r="I22" s="67">
        <f t="shared" si="1"/>
        <v>9545.454545454546</v>
      </c>
      <c r="J22" s="67">
        <f t="shared" si="2"/>
        <v>0</v>
      </c>
      <c r="K22" s="67" t="str">
        <f t="shared" si="3"/>
        <v/>
      </c>
      <c r="L22" s="92"/>
      <c r="M22" s="134"/>
      <c r="N22" s="39"/>
      <c r="O22" s="39"/>
      <c r="P22" s="128"/>
      <c r="Q22" s="92"/>
      <c r="R22" s="96"/>
      <c r="S22" s="128"/>
      <c r="T22" s="92"/>
      <c r="U22" s="131">
        <v>4</v>
      </c>
      <c r="V22" s="137">
        <v>30</v>
      </c>
      <c r="W22" s="137">
        <f t="shared" si="4"/>
        <v>5454.545454545455</v>
      </c>
      <c r="X22" s="205">
        <f t="shared" si="5"/>
        <v>2.1999999999999999E-2</v>
      </c>
      <c r="Y22" s="206">
        <v>22</v>
      </c>
      <c r="Z22" s="137">
        <f t="shared" si="6"/>
        <v>1363.6363636363637</v>
      </c>
      <c r="AA22" s="137">
        <f>IFERROR(VLOOKUP(A22,'Estadistica Madre CH 23-01'!A:C,3,0),+VLOOKUP(A22,'Estadistica Madre LK 23-01 '!A:C,3,0))</f>
        <v>6456</v>
      </c>
      <c r="AB22" s="141">
        <f t="shared" si="7"/>
        <v>7.1015999999999995</v>
      </c>
      <c r="AC22" s="141"/>
      <c r="AD22" s="155" t="s">
        <v>86</v>
      </c>
    </row>
    <row r="26" spans="1:30" x14ac:dyDescent="0.25">
      <c r="B26" t="s">
        <v>98</v>
      </c>
    </row>
    <row r="27" spans="1:30" ht="18.75" x14ac:dyDescent="0.3">
      <c r="A27" s="106" t="s">
        <v>20</v>
      </c>
      <c r="B27" s="69" t="s">
        <v>21</v>
      </c>
      <c r="C27" s="68"/>
      <c r="D27" s="68"/>
      <c r="E27" s="68">
        <f>+H27/(U27*V27)</f>
        <v>0</v>
      </c>
      <c r="F27" s="68"/>
      <c r="G27" s="66"/>
      <c r="H27" s="67">
        <f>G27*V27</f>
        <v>0</v>
      </c>
      <c r="I27" s="67">
        <f>+H27/X27</f>
        <v>0</v>
      </c>
      <c r="J27" s="67">
        <f>IF(U27-G27&lt;0,0,U27-G27)</f>
        <v>5</v>
      </c>
      <c r="K27" s="67">
        <f>+IF(W27-I27&lt;0,"",W27-I27)</f>
        <v>6833.7129840546695</v>
      </c>
      <c r="L27" s="92"/>
      <c r="M27" s="134"/>
      <c r="N27" s="39"/>
      <c r="O27" s="39"/>
      <c r="P27" s="128"/>
      <c r="Q27" s="92"/>
      <c r="R27" s="96"/>
      <c r="S27" s="128"/>
      <c r="T27" s="92"/>
      <c r="U27" s="96">
        <v>5</v>
      </c>
      <c r="V27" s="39">
        <v>30</v>
      </c>
      <c r="W27" s="39">
        <f>+U27*Z27</f>
        <v>6833.7129840546695</v>
      </c>
      <c r="X27" s="120">
        <f>+Y27/1000</f>
        <v>2.1950000000000001E-2</v>
      </c>
      <c r="Y27" s="121">
        <v>21.95</v>
      </c>
      <c r="Z27" s="39">
        <f>+V27/X27</f>
        <v>1366.7425968109339</v>
      </c>
      <c r="AA27" s="39">
        <f>IFERROR(VLOOKUP(706,'Estadistica Madre CH 23-01'!A:C,3,0),+VLOOKUP(A27,'Estadistica Madre LK 23-01 '!A:C,3,0))</f>
        <v>2400</v>
      </c>
      <c r="AB27" s="122">
        <f>1.5*AA27/Z27</f>
        <v>2.6339999999999999</v>
      </c>
      <c r="AC27" s="122"/>
      <c r="AD27" s="108" t="s">
        <v>47</v>
      </c>
    </row>
  </sheetData>
  <mergeCells count="2">
    <mergeCell ref="A1:G1"/>
    <mergeCell ref="U5:AD5"/>
  </mergeCells>
  <printOptions horizontalCentered="1" verticalCentered="1"/>
  <pageMargins left="0.25" right="0.25" top="0.75" bottom="0.75" header="0.3" footer="0.3"/>
  <pageSetup paperSize="9" scale="38" fitToHeight="0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F0"/>
    <pageSetUpPr fitToPage="1"/>
  </sheetPr>
  <dimension ref="A1:AD27"/>
  <sheetViews>
    <sheetView workbookViewId="0">
      <selection sqref="A1:G1"/>
    </sheetView>
  </sheetViews>
  <sheetFormatPr baseColWidth="10" defaultRowHeight="15" x14ac:dyDescent="0.25"/>
  <cols>
    <col min="1" max="1" width="7.140625" customWidth="1"/>
    <col min="2" max="2" width="28.85546875" customWidth="1"/>
    <col min="3" max="3" width="8.85546875" customWidth="1"/>
    <col min="4" max="4" width="9.140625" customWidth="1"/>
    <col min="5" max="5" width="7.42578125" customWidth="1"/>
    <col min="6" max="6" width="9" hidden="1" customWidth="1"/>
    <col min="7" max="7" width="8.42578125" customWidth="1"/>
    <col min="8" max="8" width="9.42578125" customWidth="1"/>
    <col min="9" max="9" width="11.42578125" customWidth="1"/>
    <col min="10" max="10" width="8.42578125" customWidth="1"/>
    <col min="11" max="11" width="12.140625" style="110" customWidth="1"/>
    <col min="12" max="12" width="3.140625" customWidth="1"/>
    <col min="13" max="14" width="9.42578125" customWidth="1"/>
    <col min="15" max="15" width="8.85546875" customWidth="1"/>
    <col min="16" max="16" width="9.7109375" customWidth="1"/>
    <col min="17" max="17" width="3.140625" customWidth="1"/>
    <col min="18" max="18" width="11.140625" customWidth="1"/>
    <col min="19" max="19" width="10.140625" customWidth="1"/>
    <col min="20" max="20" width="3.140625" customWidth="1"/>
    <col min="21" max="21" width="8.140625" customWidth="1"/>
    <col min="22" max="22" width="8" customWidth="1"/>
    <col min="23" max="23" width="9.28515625" customWidth="1"/>
    <col min="24" max="24" width="10.140625" customWidth="1"/>
    <col min="25" max="25" width="8.28515625" customWidth="1"/>
    <col min="26" max="26" width="8.85546875" customWidth="1"/>
    <col min="27" max="27" width="11.140625" customWidth="1"/>
    <col min="28" max="28" width="13" bestFit="1" customWidth="1"/>
    <col min="29" max="29" width="10.7109375" customWidth="1"/>
    <col min="30" max="30" width="11.85546875" customWidth="1"/>
  </cols>
  <sheetData>
    <row r="1" spans="1:30" ht="39.200000000000003" customHeight="1" thickBot="1" x14ac:dyDescent="0.3">
      <c r="A1" s="517" t="s">
        <v>95</v>
      </c>
      <c r="B1" s="518"/>
      <c r="C1" s="518"/>
      <c r="D1" s="518"/>
      <c r="E1" s="518"/>
      <c r="F1" s="518"/>
      <c r="G1" s="519"/>
      <c r="K1"/>
      <c r="W1" s="1"/>
    </row>
    <row r="2" spans="1:30" ht="24.75" customHeight="1" thickBot="1" x14ac:dyDescent="0.35">
      <c r="B2" s="214">
        <v>45615</v>
      </c>
      <c r="I2" s="1"/>
      <c r="J2" s="3" t="s">
        <v>55</v>
      </c>
      <c r="K2" s="3"/>
    </row>
    <row r="3" spans="1:30" ht="24.75" customHeight="1" x14ac:dyDescent="0.3">
      <c r="G3" s="1"/>
      <c r="H3" s="1"/>
      <c r="I3" s="1"/>
      <c r="J3" s="3"/>
      <c r="K3" s="3"/>
    </row>
    <row r="4" spans="1:30" ht="24.75" customHeight="1" thickBot="1" x14ac:dyDescent="0.4">
      <c r="B4" s="166" t="s">
        <v>96</v>
      </c>
      <c r="C4" s="163"/>
      <c r="D4" s="163"/>
      <c r="E4" s="163"/>
      <c r="F4" s="163"/>
      <c r="G4" s="1"/>
      <c r="H4" s="1"/>
      <c r="I4" s="1"/>
      <c r="J4" s="3"/>
      <c r="K4" s="3"/>
    </row>
    <row r="5" spans="1:30" ht="24.75" customHeight="1" thickBot="1" x14ac:dyDescent="0.35">
      <c r="B5" s="161" t="s">
        <v>97</v>
      </c>
      <c r="C5" s="162" t="s">
        <v>1</v>
      </c>
      <c r="D5" s="162"/>
      <c r="E5" s="160"/>
      <c r="G5" s="1"/>
      <c r="H5" s="1"/>
      <c r="I5" s="1"/>
      <c r="J5" s="3"/>
      <c r="K5" s="3"/>
      <c r="U5" s="522" t="s">
        <v>73</v>
      </c>
      <c r="V5" s="523"/>
      <c r="W5" s="523"/>
      <c r="X5" s="523"/>
      <c r="Y5" s="523"/>
      <c r="Z5" s="523"/>
      <c r="AA5" s="523"/>
      <c r="AB5" s="523"/>
      <c r="AC5" s="523"/>
      <c r="AD5" s="524"/>
    </row>
    <row r="6" spans="1:30" ht="54.6" customHeight="1" thickBot="1" x14ac:dyDescent="0.3">
      <c r="A6" s="15" t="s">
        <v>3</v>
      </c>
      <c r="B6" s="4" t="s">
        <v>5</v>
      </c>
      <c r="C6" s="4" t="s">
        <v>59</v>
      </c>
      <c r="D6" s="4" t="s">
        <v>68</v>
      </c>
      <c r="E6" s="4" t="s">
        <v>76</v>
      </c>
      <c r="F6" s="4" t="s">
        <v>4</v>
      </c>
      <c r="G6" s="4" t="s">
        <v>438</v>
      </c>
      <c r="H6" s="4" t="s">
        <v>6</v>
      </c>
      <c r="I6" s="4" t="s">
        <v>7</v>
      </c>
      <c r="J6" s="18" t="s">
        <v>54</v>
      </c>
      <c r="K6" s="18" t="s">
        <v>59</v>
      </c>
      <c r="L6" s="91"/>
      <c r="M6" s="133" t="s">
        <v>75</v>
      </c>
      <c r="N6" s="133" t="s">
        <v>69</v>
      </c>
      <c r="O6" s="6" t="s">
        <v>70</v>
      </c>
      <c r="P6" s="138" t="s">
        <v>74</v>
      </c>
      <c r="Q6" s="91"/>
      <c r="R6" s="133" t="s">
        <v>71</v>
      </c>
      <c r="S6" s="6" t="s">
        <v>72</v>
      </c>
      <c r="T6" s="91"/>
      <c r="U6" s="102" t="s">
        <v>63</v>
      </c>
      <c r="V6" s="103" t="s">
        <v>38</v>
      </c>
      <c r="W6" s="103" t="s">
        <v>58</v>
      </c>
      <c r="X6" s="103" t="s">
        <v>10</v>
      </c>
      <c r="Y6" s="103" t="s">
        <v>65</v>
      </c>
      <c r="Z6" s="103" t="s">
        <v>11</v>
      </c>
      <c r="AA6" s="103" t="s">
        <v>14</v>
      </c>
      <c r="AB6" s="104" t="s">
        <v>64</v>
      </c>
      <c r="AC6" s="140" t="s">
        <v>80</v>
      </c>
      <c r="AD6" s="4" t="s">
        <v>46</v>
      </c>
    </row>
    <row r="7" spans="1:30" ht="18.75" hidden="1" x14ac:dyDescent="0.3">
      <c r="A7" s="70">
        <v>500</v>
      </c>
      <c r="B7" s="71" t="s">
        <v>16</v>
      </c>
      <c r="C7" s="74"/>
      <c r="D7" s="74"/>
      <c r="E7" s="74">
        <f>+H7/(U7*V7)</f>
        <v>1.6</v>
      </c>
      <c r="F7" s="111" t="s">
        <v>15</v>
      </c>
      <c r="G7" s="73">
        <v>8</v>
      </c>
      <c r="H7" s="72">
        <f t="shared" ref="H7:H22" si="0">G7*V7</f>
        <v>240</v>
      </c>
      <c r="I7" s="72">
        <f t="shared" ref="I7:I22" si="1">+H7/X7</f>
        <v>7283.7632776934752</v>
      </c>
      <c r="J7" s="72">
        <f t="shared" ref="J7:J22" si="2">IF(U7-G7&lt;0,0,U7-G7)</f>
        <v>0</v>
      </c>
      <c r="K7" s="72" t="str">
        <f t="shared" ref="K7:K22" si="3">+IF(W7-I7&lt;0,"",W7-I7)</f>
        <v/>
      </c>
      <c r="L7" s="92"/>
      <c r="M7" s="136"/>
      <c r="N7" s="137"/>
      <c r="O7" s="137"/>
      <c r="P7" s="132"/>
      <c r="Q7" s="92"/>
      <c r="R7" s="131"/>
      <c r="S7" s="132"/>
      <c r="T7" s="92"/>
      <c r="U7" s="96">
        <v>5</v>
      </c>
      <c r="V7" s="39">
        <v>30</v>
      </c>
      <c r="W7" s="39">
        <f>+U7*Z7</f>
        <v>4552.3520485584222</v>
      </c>
      <c r="X7" s="120">
        <f>+Y7/1000</f>
        <v>3.295E-2</v>
      </c>
      <c r="Y7" s="121">
        <v>32.950000000000003</v>
      </c>
      <c r="Z7" s="39">
        <f>+V7/X7</f>
        <v>910.4704097116844</v>
      </c>
      <c r="AA7" s="39">
        <f>IFERROR(VLOOKUP(A7,'Estadistica Madre CH 23-01'!A:C,3,0),+VLOOKUP(A7,'Estadistica Madre LK 23-01 '!A:C,3,0))</f>
        <v>1440</v>
      </c>
      <c r="AB7" s="122">
        <f>1.5*AA7/Z7</f>
        <v>2.3723999999999998</v>
      </c>
      <c r="AC7" s="141"/>
      <c r="AD7" s="107" t="s">
        <v>47</v>
      </c>
    </row>
    <row r="8" spans="1:30" ht="18.75" hidden="1" x14ac:dyDescent="0.3">
      <c r="A8" s="76">
        <v>706</v>
      </c>
      <c r="B8" s="69" t="s">
        <v>18</v>
      </c>
      <c r="C8" s="68"/>
      <c r="D8" s="68"/>
      <c r="E8" s="68">
        <f>+H8/(U8*V8)</f>
        <v>2</v>
      </c>
      <c r="F8" s="106" t="s">
        <v>17</v>
      </c>
      <c r="G8" s="66">
        <v>8</v>
      </c>
      <c r="H8" s="67">
        <f t="shared" si="0"/>
        <v>240</v>
      </c>
      <c r="I8" s="67">
        <f t="shared" si="1"/>
        <v>10933.940774487472</v>
      </c>
      <c r="J8" s="67">
        <f t="shared" si="2"/>
        <v>0</v>
      </c>
      <c r="K8" s="67" t="str">
        <f t="shared" si="3"/>
        <v/>
      </c>
      <c r="L8" s="92"/>
      <c r="M8" s="134"/>
      <c r="N8" s="39"/>
      <c r="O8" s="39"/>
      <c r="P8" s="128"/>
      <c r="Q8" s="92"/>
      <c r="R8" s="96"/>
      <c r="S8" s="128"/>
      <c r="T8" s="92"/>
      <c r="U8" s="96">
        <v>4</v>
      </c>
      <c r="V8" s="39">
        <v>30</v>
      </c>
      <c r="W8" s="39">
        <f t="shared" ref="W8:W22" si="4">+U8*Z8</f>
        <v>5466.9703872437358</v>
      </c>
      <c r="X8" s="120">
        <f t="shared" ref="X8:X22" si="5">+Y8/1000</f>
        <v>2.1950000000000001E-2</v>
      </c>
      <c r="Y8" s="121">
        <v>21.95</v>
      </c>
      <c r="Z8" s="39">
        <f t="shared" ref="Z8:Z22" si="6">+V8/X8</f>
        <v>1366.7425968109339</v>
      </c>
      <c r="AA8" s="39">
        <f>IFERROR(VLOOKUP(A8,'Estadistica Madre CH 23-01'!A:C,3,0),+VLOOKUP(A8,'Estadistica Madre LK 23-01 '!A:C,3,0))</f>
        <v>2400</v>
      </c>
      <c r="AB8" s="122">
        <f t="shared" ref="AB8:AB22" si="7">1.5*AA8/Z8</f>
        <v>2.6339999999999999</v>
      </c>
      <c r="AC8" s="122"/>
      <c r="AD8" s="108" t="s">
        <v>47</v>
      </c>
    </row>
    <row r="9" spans="1:30" ht="21.2" customHeight="1" x14ac:dyDescent="0.3">
      <c r="A9" s="76">
        <v>506</v>
      </c>
      <c r="B9" s="69" t="s">
        <v>29</v>
      </c>
      <c r="C9" s="68"/>
      <c r="D9" s="68"/>
      <c r="E9" s="68">
        <f>+H9/(U9*V9)</f>
        <v>0.375</v>
      </c>
      <c r="F9" s="106" t="s">
        <v>28</v>
      </c>
      <c r="G9" s="66">
        <v>3</v>
      </c>
      <c r="H9" s="67">
        <f>G9*V9</f>
        <v>90</v>
      </c>
      <c r="I9" s="67">
        <f>+H9/X9</f>
        <v>4100.2277904328021</v>
      </c>
      <c r="J9" s="67">
        <f>IF(U9-G9&lt;0,0,U9-G9)</f>
        <v>5</v>
      </c>
      <c r="K9" s="67">
        <f>+IF(W9-I9&lt;0,"",W9-I9)</f>
        <v>6833.7129840546695</v>
      </c>
      <c r="L9" s="92"/>
      <c r="M9" s="134"/>
      <c r="N9" s="39"/>
      <c r="O9" s="39"/>
      <c r="P9" s="128"/>
      <c r="Q9" s="92"/>
      <c r="R9" s="96"/>
      <c r="S9" s="128"/>
      <c r="T9" s="92"/>
      <c r="U9" s="96">
        <v>8</v>
      </c>
      <c r="V9" s="39">
        <v>30</v>
      </c>
      <c r="W9" s="39">
        <f>+U9*Z9</f>
        <v>10933.940774487472</v>
      </c>
      <c r="X9" s="120">
        <f>+Y9/1000</f>
        <v>2.1950000000000001E-2</v>
      </c>
      <c r="Y9" s="121">
        <v>21.95</v>
      </c>
      <c r="Z9" s="39">
        <f>+V9/X9</f>
        <v>1366.7425968109339</v>
      </c>
      <c r="AA9" s="39">
        <f>IFERROR(VLOOKUP(A9,'Estadistica Madre CH 23-01'!A:C,3,0),+VLOOKUP(A9,'Estadistica Madre LK 23-01 '!A:C,3,0))</f>
        <v>18840</v>
      </c>
      <c r="AB9" s="122">
        <f>1.5*AA9/Z9</f>
        <v>20.6769</v>
      </c>
      <c r="AC9" s="122"/>
      <c r="AD9" s="108" t="s">
        <v>47</v>
      </c>
    </row>
    <row r="10" spans="1:30" x14ac:dyDescent="0.25">
      <c r="K10"/>
    </row>
    <row r="11" spans="1:30" ht="24" thickBot="1" x14ac:dyDescent="0.4">
      <c r="B11" s="166" t="s">
        <v>96</v>
      </c>
      <c r="C11" s="163"/>
      <c r="D11" s="163"/>
      <c r="E11" s="163"/>
      <c r="F11" s="163"/>
      <c r="K11"/>
    </row>
    <row r="12" spans="1:30" ht="24" thickBot="1" x14ac:dyDescent="0.35">
      <c r="B12" s="161" t="s">
        <v>53</v>
      </c>
      <c r="C12" s="162" t="s">
        <v>1</v>
      </c>
      <c r="D12" s="162"/>
      <c r="E12" s="160"/>
      <c r="K12"/>
    </row>
    <row r="13" spans="1:30" ht="51" customHeight="1" thickBot="1" x14ac:dyDescent="0.3">
      <c r="A13" s="15" t="s">
        <v>3</v>
      </c>
      <c r="B13" s="4" t="s">
        <v>5</v>
      </c>
      <c r="C13" s="4" t="s">
        <v>59</v>
      </c>
      <c r="D13" s="4" t="s">
        <v>439</v>
      </c>
      <c r="E13" s="4" t="s">
        <v>76</v>
      </c>
      <c r="F13" s="4" t="s">
        <v>4</v>
      </c>
      <c r="G13" s="4" t="s">
        <v>437</v>
      </c>
      <c r="H13" s="4" t="s">
        <v>6</v>
      </c>
      <c r="I13" s="4" t="s">
        <v>7</v>
      </c>
      <c r="J13" s="18" t="s">
        <v>54</v>
      </c>
      <c r="K13" s="18" t="s">
        <v>59</v>
      </c>
      <c r="L13" s="91"/>
      <c r="M13" s="133" t="s">
        <v>75</v>
      </c>
      <c r="N13" s="133" t="s">
        <v>69</v>
      </c>
      <c r="O13" s="6" t="s">
        <v>70</v>
      </c>
      <c r="P13" s="138" t="s">
        <v>74</v>
      </c>
      <c r="Q13" s="91"/>
      <c r="R13" s="133" t="s">
        <v>71</v>
      </c>
      <c r="S13" s="6" t="s">
        <v>72</v>
      </c>
      <c r="T13" s="91"/>
      <c r="U13" s="102" t="s">
        <v>63</v>
      </c>
      <c r="V13" s="103" t="s">
        <v>38</v>
      </c>
      <c r="W13" s="103" t="s">
        <v>58</v>
      </c>
      <c r="X13" s="103" t="s">
        <v>10</v>
      </c>
      <c r="Y13" s="103" t="s">
        <v>65</v>
      </c>
      <c r="Z13" s="103" t="s">
        <v>11</v>
      </c>
      <c r="AA13" s="103" t="s">
        <v>14</v>
      </c>
      <c r="AB13" s="104" t="s">
        <v>64</v>
      </c>
      <c r="AC13" s="140" t="s">
        <v>80</v>
      </c>
      <c r="AD13" s="4" t="s">
        <v>46</v>
      </c>
    </row>
    <row r="14" spans="1:30" ht="18.75" x14ac:dyDescent="0.3">
      <c r="A14" s="76">
        <v>654</v>
      </c>
      <c r="B14" s="69" t="s">
        <v>23</v>
      </c>
      <c r="C14" s="68"/>
      <c r="D14" s="68"/>
      <c r="E14" s="68">
        <f>+H14/(U14*V14)</f>
        <v>0.48</v>
      </c>
      <c r="F14" s="106" t="s">
        <v>22</v>
      </c>
      <c r="G14" s="66">
        <v>12</v>
      </c>
      <c r="H14" s="67">
        <f t="shared" si="0"/>
        <v>30.959999999999994</v>
      </c>
      <c r="I14" s="67">
        <f t="shared" si="1"/>
        <v>1439.9999999999998</v>
      </c>
      <c r="J14" s="67">
        <f t="shared" si="2"/>
        <v>13</v>
      </c>
      <c r="K14" s="67">
        <f t="shared" si="3"/>
        <v>1560.0000000000002</v>
      </c>
      <c r="L14" s="92"/>
      <c r="M14" s="134"/>
      <c r="N14" s="39"/>
      <c r="O14" s="121"/>
      <c r="P14" s="129"/>
      <c r="Q14" s="92"/>
      <c r="R14" s="96"/>
      <c r="S14" s="129"/>
      <c r="T14" s="92"/>
      <c r="U14" s="96">
        <v>25</v>
      </c>
      <c r="V14" s="121">
        <f>+Z14*X14</f>
        <v>2.5799999999999996</v>
      </c>
      <c r="W14" s="39">
        <f t="shared" si="4"/>
        <v>3000</v>
      </c>
      <c r="X14" s="120">
        <f t="shared" si="5"/>
        <v>2.1499999999999998E-2</v>
      </c>
      <c r="Y14" s="121">
        <v>21.5</v>
      </c>
      <c r="Z14" s="39">
        <v>120</v>
      </c>
      <c r="AA14" s="39">
        <f>IFERROR(VLOOKUP(A14,'Estadistica Madre CH 23-01'!A:C,3,0),+VLOOKUP(A14,'Estadistica Madre LK 23-01 '!A:C,3,0))</f>
        <v>912</v>
      </c>
      <c r="AB14" s="122">
        <f t="shared" si="7"/>
        <v>11.4</v>
      </c>
      <c r="AC14" s="122"/>
      <c r="AD14" s="108" t="s">
        <v>53</v>
      </c>
    </row>
    <row r="15" spans="1:30" ht="18.75" x14ac:dyDescent="0.3">
      <c r="A15" s="76">
        <v>558</v>
      </c>
      <c r="B15" s="69" t="s">
        <v>25</v>
      </c>
      <c r="C15" s="68"/>
      <c r="D15" s="68"/>
      <c r="E15" s="68">
        <f>+H15/(U15*V15)</f>
        <v>0.24000000000000002</v>
      </c>
      <c r="F15" s="106" t="s">
        <v>24</v>
      </c>
      <c r="G15" s="66">
        <v>6</v>
      </c>
      <c r="H15" s="67">
        <f t="shared" si="0"/>
        <v>10.8</v>
      </c>
      <c r="I15" s="67">
        <f t="shared" si="1"/>
        <v>696.77419354838719</v>
      </c>
      <c r="J15" s="67">
        <f t="shared" si="2"/>
        <v>19</v>
      </c>
      <c r="K15" s="67">
        <f t="shared" si="3"/>
        <v>2303.2258064516127</v>
      </c>
      <c r="L15" s="92"/>
      <c r="M15" s="134"/>
      <c r="N15" s="39"/>
      <c r="O15" s="121"/>
      <c r="P15" s="129"/>
      <c r="Q15" s="92"/>
      <c r="R15" s="96"/>
      <c r="S15" s="129"/>
      <c r="T15" s="92"/>
      <c r="U15" s="96">
        <v>25</v>
      </c>
      <c r="V15" s="121">
        <v>1.8</v>
      </c>
      <c r="W15" s="39">
        <f t="shared" si="4"/>
        <v>3000</v>
      </c>
      <c r="X15" s="120">
        <f t="shared" si="5"/>
        <v>1.55E-2</v>
      </c>
      <c r="Y15" s="121">
        <v>15.5</v>
      </c>
      <c r="Z15" s="39">
        <v>120</v>
      </c>
      <c r="AA15" s="39">
        <f>IFERROR(VLOOKUP(A15,'Estadistica Madre CH 23-01'!A:C,3,0),+VLOOKUP(A15,'Estadistica Madre LK 23-01 '!A:C,3,0))</f>
        <v>2124</v>
      </c>
      <c r="AB15" s="122">
        <f t="shared" si="7"/>
        <v>26.55</v>
      </c>
      <c r="AC15" s="122"/>
      <c r="AD15" s="108" t="s">
        <v>53</v>
      </c>
    </row>
    <row r="16" spans="1:30" ht="21.2" hidden="1" customHeight="1" x14ac:dyDescent="0.3">
      <c r="A16" s="76">
        <v>557</v>
      </c>
      <c r="B16" s="69" t="s">
        <v>27</v>
      </c>
      <c r="C16" s="68"/>
      <c r="D16" s="68"/>
      <c r="E16" s="68">
        <f>+H16/(U16*V16)</f>
        <v>1.1600000000000001</v>
      </c>
      <c r="F16" s="106" t="s">
        <v>26</v>
      </c>
      <c r="G16" s="66">
        <v>29</v>
      </c>
      <c r="H16" s="67">
        <f t="shared" si="0"/>
        <v>52.2</v>
      </c>
      <c r="I16" s="67">
        <f t="shared" si="1"/>
        <v>3283.0188679245284</v>
      </c>
      <c r="J16" s="67">
        <f t="shared" si="2"/>
        <v>0</v>
      </c>
      <c r="K16" s="67" t="str">
        <f t="shared" si="3"/>
        <v/>
      </c>
      <c r="L16" s="92"/>
      <c r="M16" s="134"/>
      <c r="N16" s="39"/>
      <c r="O16" s="121"/>
      <c r="P16" s="129"/>
      <c r="Q16" s="92"/>
      <c r="R16" s="96"/>
      <c r="S16" s="129"/>
      <c r="T16" s="92"/>
      <c r="U16" s="96">
        <v>25</v>
      </c>
      <c r="V16" s="121">
        <v>1.8</v>
      </c>
      <c r="W16" s="39">
        <f t="shared" si="4"/>
        <v>3000</v>
      </c>
      <c r="X16" s="120">
        <f t="shared" si="5"/>
        <v>1.5900000000000001E-2</v>
      </c>
      <c r="Y16" s="121">
        <v>15.9</v>
      </c>
      <c r="Z16" s="39">
        <v>120</v>
      </c>
      <c r="AA16" s="39">
        <f>IFERROR(VLOOKUP(A16,'Estadistica Madre CH 23-01'!A:C,3,0),+VLOOKUP(A16,'Estadistica Madre LK 23-01 '!A:C,3,0))</f>
        <v>1400</v>
      </c>
      <c r="AB16" s="122">
        <f t="shared" si="7"/>
        <v>17.5</v>
      </c>
      <c r="AC16" s="122"/>
      <c r="AD16" s="108" t="s">
        <v>53</v>
      </c>
    </row>
    <row r="19" spans="1:30" ht="24" thickBot="1" x14ac:dyDescent="0.4">
      <c r="B19" s="166" t="s">
        <v>96</v>
      </c>
      <c r="C19" s="163"/>
      <c r="D19" s="163"/>
      <c r="E19" s="163"/>
    </row>
    <row r="20" spans="1:30" ht="24" thickBot="1" x14ac:dyDescent="0.35">
      <c r="B20" s="161" t="s">
        <v>86</v>
      </c>
      <c r="C20" s="162" t="s">
        <v>1</v>
      </c>
      <c r="D20" s="162"/>
      <c r="E20" s="160"/>
    </row>
    <row r="21" spans="1:30" ht="54.6" customHeight="1" thickBot="1" x14ac:dyDescent="0.3">
      <c r="A21" s="15" t="s">
        <v>3</v>
      </c>
      <c r="B21" s="4" t="s">
        <v>5</v>
      </c>
      <c r="C21" s="4" t="s">
        <v>59</v>
      </c>
      <c r="D21" s="4" t="s">
        <v>440</v>
      </c>
      <c r="E21" s="4" t="s">
        <v>76</v>
      </c>
      <c r="F21" s="4" t="s">
        <v>4</v>
      </c>
      <c r="G21" s="4" t="s">
        <v>438</v>
      </c>
      <c r="H21" s="4" t="s">
        <v>6</v>
      </c>
      <c r="I21" s="4" t="s">
        <v>7</v>
      </c>
      <c r="J21" s="18" t="s">
        <v>54</v>
      </c>
      <c r="K21" s="18" t="s">
        <v>59</v>
      </c>
      <c r="L21" s="91"/>
      <c r="M21" s="133" t="s">
        <v>75</v>
      </c>
      <c r="N21" s="133" t="s">
        <v>69</v>
      </c>
      <c r="O21" s="6" t="s">
        <v>70</v>
      </c>
      <c r="P21" s="138" t="s">
        <v>74</v>
      </c>
      <c r="Q21" s="91"/>
      <c r="R21" s="133" t="s">
        <v>71</v>
      </c>
      <c r="S21" s="6" t="s">
        <v>72</v>
      </c>
      <c r="T21" s="91"/>
      <c r="U21" s="207" t="s">
        <v>63</v>
      </c>
      <c r="V21" s="154" t="s">
        <v>38</v>
      </c>
      <c r="W21" s="154" t="s">
        <v>58</v>
      </c>
      <c r="X21" s="154" t="s">
        <v>10</v>
      </c>
      <c r="Y21" s="154" t="s">
        <v>65</v>
      </c>
      <c r="Z21" s="154" t="s">
        <v>11</v>
      </c>
      <c r="AA21" s="154" t="s">
        <v>14</v>
      </c>
      <c r="AB21" s="208" t="s">
        <v>64</v>
      </c>
      <c r="AC21" s="138" t="s">
        <v>80</v>
      </c>
      <c r="AD21" s="6" t="s">
        <v>46</v>
      </c>
    </row>
    <row r="22" spans="1:30" ht="18.75" x14ac:dyDescent="0.3">
      <c r="A22" s="76">
        <v>510</v>
      </c>
      <c r="B22" s="69" t="s">
        <v>31</v>
      </c>
      <c r="C22" s="68"/>
      <c r="D22" s="68"/>
      <c r="E22" s="68">
        <f>+H22/(U22*V22)</f>
        <v>0.75</v>
      </c>
      <c r="F22" s="106" t="s">
        <v>30</v>
      </c>
      <c r="G22" s="66">
        <v>3</v>
      </c>
      <c r="H22" s="67">
        <f t="shared" si="0"/>
        <v>90</v>
      </c>
      <c r="I22" s="67">
        <f t="shared" si="1"/>
        <v>4090.909090909091</v>
      </c>
      <c r="J22" s="67">
        <f t="shared" si="2"/>
        <v>1</v>
      </c>
      <c r="K22" s="67">
        <f t="shared" si="3"/>
        <v>1363.636363636364</v>
      </c>
      <c r="L22" s="92"/>
      <c r="M22" s="134"/>
      <c r="N22" s="39"/>
      <c r="O22" s="39"/>
      <c r="P22" s="128"/>
      <c r="Q22" s="92"/>
      <c r="R22" s="96"/>
      <c r="S22" s="128"/>
      <c r="T22" s="92"/>
      <c r="U22" s="131">
        <v>4</v>
      </c>
      <c r="V22" s="137">
        <v>30</v>
      </c>
      <c r="W22" s="137">
        <f t="shared" si="4"/>
        <v>5454.545454545455</v>
      </c>
      <c r="X22" s="205">
        <f t="shared" si="5"/>
        <v>2.1999999999999999E-2</v>
      </c>
      <c r="Y22" s="206">
        <v>22</v>
      </c>
      <c r="Z22" s="137">
        <f t="shared" si="6"/>
        <v>1363.6363636363637</v>
      </c>
      <c r="AA22" s="137">
        <f>IFERROR(VLOOKUP(A22,'Estadistica Madre CH 23-01'!A:C,3,0),+VLOOKUP(A22,'Estadistica Madre LK 23-01 '!A:C,3,0))</f>
        <v>6456</v>
      </c>
      <c r="AB22" s="141">
        <f t="shared" si="7"/>
        <v>7.1015999999999995</v>
      </c>
      <c r="AC22" s="141"/>
      <c r="AD22" s="155" t="s">
        <v>86</v>
      </c>
    </row>
    <row r="26" spans="1:30" x14ac:dyDescent="0.25">
      <c r="B26" t="s">
        <v>98</v>
      </c>
    </row>
    <row r="27" spans="1:30" ht="18.75" x14ac:dyDescent="0.3">
      <c r="A27" s="106" t="s">
        <v>20</v>
      </c>
      <c r="B27" s="69" t="s">
        <v>21</v>
      </c>
      <c r="C27" s="68"/>
      <c r="D27" s="68"/>
      <c r="E27" s="68">
        <f>+H27/(U27*V27)</f>
        <v>0</v>
      </c>
      <c r="F27" s="68"/>
      <c r="G27" s="66"/>
      <c r="H27" s="67">
        <f>G27*V27</f>
        <v>0</v>
      </c>
      <c r="I27" s="67">
        <f>+H27/X27</f>
        <v>0</v>
      </c>
      <c r="J27" s="67">
        <f>IF(U27-G27&lt;0,0,U27-G27)</f>
        <v>5</v>
      </c>
      <c r="K27" s="67">
        <f>+IF(W27-I27&lt;0,"",W27-I27)</f>
        <v>6833.7129840546695</v>
      </c>
      <c r="L27" s="92"/>
      <c r="M27" s="134"/>
      <c r="N27" s="39"/>
      <c r="O27" s="39"/>
      <c r="P27" s="128"/>
      <c r="Q27" s="92"/>
      <c r="R27" s="96"/>
      <c r="S27" s="128"/>
      <c r="T27" s="92"/>
      <c r="U27" s="96">
        <v>5</v>
      </c>
      <c r="V27" s="39">
        <v>30</v>
      </c>
      <c r="W27" s="39">
        <f>+U27*Z27</f>
        <v>6833.7129840546695</v>
      </c>
      <c r="X27" s="120">
        <f>+Y27/1000</f>
        <v>2.1950000000000001E-2</v>
      </c>
      <c r="Y27" s="121">
        <v>21.95</v>
      </c>
      <c r="Z27" s="39">
        <f>+V27/X27</f>
        <v>1366.7425968109339</v>
      </c>
      <c r="AA27" s="39">
        <f>IFERROR(VLOOKUP(706,'Estadistica Madre CH 23-01'!A:C,3,0),+VLOOKUP(A27,'Estadistica Madre LK 23-01 '!A:C,3,0))</f>
        <v>2400</v>
      </c>
      <c r="AB27" s="122">
        <f>1.5*AA27/Z27</f>
        <v>2.6339999999999999</v>
      </c>
      <c r="AC27" s="122"/>
      <c r="AD27" s="108" t="s">
        <v>47</v>
      </c>
    </row>
  </sheetData>
  <mergeCells count="2">
    <mergeCell ref="A1:G1"/>
    <mergeCell ref="U5:AD5"/>
  </mergeCells>
  <printOptions horizontalCentered="1" verticalCentered="1"/>
  <pageMargins left="0.25" right="0.25" top="0.75" bottom="0.75" header="0.3" footer="0.3"/>
  <pageSetup paperSize="9" scale="35" fitToHeight="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F0"/>
    <pageSetUpPr fitToPage="1"/>
  </sheetPr>
  <dimension ref="A1:AD27"/>
  <sheetViews>
    <sheetView workbookViewId="0">
      <selection sqref="A1:G1"/>
    </sheetView>
  </sheetViews>
  <sheetFormatPr baseColWidth="10" defaultRowHeight="15" x14ac:dyDescent="0.25"/>
  <cols>
    <col min="1" max="1" width="7.140625" customWidth="1"/>
    <col min="2" max="2" width="28.85546875" customWidth="1"/>
    <col min="3" max="3" width="11.85546875" bestFit="1" customWidth="1"/>
    <col min="4" max="4" width="9.140625" customWidth="1"/>
    <col min="5" max="5" width="7.42578125" customWidth="1"/>
    <col min="6" max="6" width="9" customWidth="1"/>
    <col min="7" max="7" width="8.42578125" customWidth="1"/>
    <col min="8" max="8" width="9.42578125" customWidth="1"/>
    <col min="9" max="9" width="11.42578125" customWidth="1"/>
    <col min="10" max="10" width="8.42578125" customWidth="1"/>
    <col min="11" max="11" width="12.140625" style="110" customWidth="1"/>
    <col min="12" max="12" width="3.140625" customWidth="1"/>
    <col min="13" max="14" width="9.42578125" customWidth="1"/>
    <col min="15" max="15" width="8.85546875" customWidth="1"/>
    <col min="16" max="16" width="9.7109375" customWidth="1"/>
    <col min="17" max="17" width="3.140625" customWidth="1"/>
    <col min="18" max="18" width="11.140625" customWidth="1"/>
    <col min="19" max="19" width="10.140625" customWidth="1"/>
    <col min="20" max="20" width="3.140625" customWidth="1"/>
    <col min="21" max="21" width="8.140625" customWidth="1"/>
    <col min="22" max="22" width="8" customWidth="1"/>
    <col min="23" max="23" width="9.28515625" customWidth="1"/>
    <col min="24" max="24" width="10.140625" customWidth="1"/>
    <col min="25" max="25" width="8.28515625" customWidth="1"/>
    <col min="26" max="26" width="8.85546875" customWidth="1"/>
    <col min="27" max="27" width="11.140625" customWidth="1"/>
    <col min="28" max="28" width="13" bestFit="1" customWidth="1"/>
    <col min="29" max="29" width="10.7109375" customWidth="1"/>
    <col min="30" max="30" width="11.85546875" customWidth="1"/>
  </cols>
  <sheetData>
    <row r="1" spans="1:30" ht="39.200000000000003" customHeight="1" thickBot="1" x14ac:dyDescent="0.3">
      <c r="A1" s="517" t="s">
        <v>95</v>
      </c>
      <c r="B1" s="518"/>
      <c r="C1" s="518"/>
      <c r="D1" s="518"/>
      <c r="E1" s="518"/>
      <c r="F1" s="518"/>
      <c r="G1" s="519"/>
      <c r="K1"/>
      <c r="W1" s="1"/>
    </row>
    <row r="2" spans="1:30" ht="24.75" customHeight="1" thickBot="1" x14ac:dyDescent="0.35">
      <c r="B2" s="164" t="s">
        <v>1</v>
      </c>
      <c r="I2" s="1"/>
      <c r="J2" s="3" t="s">
        <v>55</v>
      </c>
      <c r="K2" s="3"/>
    </row>
    <row r="3" spans="1:30" ht="24.75" customHeight="1" x14ac:dyDescent="0.3">
      <c r="G3" s="1"/>
      <c r="H3" s="1"/>
      <c r="I3" s="1"/>
      <c r="J3" s="3"/>
      <c r="K3" s="3"/>
    </row>
    <row r="4" spans="1:30" ht="24.75" customHeight="1" thickBot="1" x14ac:dyDescent="0.4">
      <c r="B4" s="166" t="s">
        <v>96</v>
      </c>
      <c r="C4" s="163"/>
      <c r="D4" s="163"/>
      <c r="E4" s="163"/>
      <c r="F4" s="163"/>
      <c r="G4" s="1"/>
      <c r="H4" s="1"/>
      <c r="I4" s="1"/>
      <c r="J4" s="3"/>
      <c r="K4" s="3"/>
    </row>
    <row r="5" spans="1:30" ht="24.75" customHeight="1" thickBot="1" x14ac:dyDescent="0.35">
      <c r="B5" s="161" t="s">
        <v>97</v>
      </c>
      <c r="C5" s="162" t="s">
        <v>1</v>
      </c>
      <c r="D5" s="213">
        <v>45615</v>
      </c>
      <c r="E5" s="160"/>
      <c r="G5" s="1"/>
      <c r="H5" s="1"/>
      <c r="I5" s="1"/>
      <c r="J5" s="3"/>
      <c r="K5" s="3"/>
      <c r="U5" s="522" t="s">
        <v>73</v>
      </c>
      <c r="V5" s="523"/>
      <c r="W5" s="523"/>
      <c r="X5" s="523"/>
      <c r="Y5" s="523"/>
      <c r="Z5" s="523"/>
      <c r="AA5" s="523"/>
      <c r="AB5" s="523"/>
      <c r="AC5" s="523"/>
      <c r="AD5" s="524"/>
    </row>
    <row r="6" spans="1:30" ht="54.6" customHeight="1" thickBot="1" x14ac:dyDescent="0.3">
      <c r="A6" s="15" t="s">
        <v>3</v>
      </c>
      <c r="B6" s="4" t="s">
        <v>5</v>
      </c>
      <c r="C6" s="4" t="s">
        <v>59</v>
      </c>
      <c r="D6" s="4" t="s">
        <v>68</v>
      </c>
      <c r="E6" s="4" t="s">
        <v>76</v>
      </c>
      <c r="F6" s="4" t="s">
        <v>4</v>
      </c>
      <c r="G6" s="4" t="s">
        <v>438</v>
      </c>
      <c r="H6" s="4" t="s">
        <v>6</v>
      </c>
      <c r="I6" s="4" t="s">
        <v>7</v>
      </c>
      <c r="J6" s="18" t="s">
        <v>54</v>
      </c>
      <c r="K6" s="18" t="s">
        <v>59</v>
      </c>
      <c r="L6" s="91"/>
      <c r="M6" s="133" t="s">
        <v>75</v>
      </c>
      <c r="N6" s="133" t="s">
        <v>69</v>
      </c>
      <c r="O6" s="6" t="s">
        <v>70</v>
      </c>
      <c r="P6" s="138" t="s">
        <v>74</v>
      </c>
      <c r="Q6" s="91"/>
      <c r="R6" s="133" t="s">
        <v>71</v>
      </c>
      <c r="S6" s="6" t="s">
        <v>72</v>
      </c>
      <c r="T6" s="91"/>
      <c r="U6" s="102" t="s">
        <v>63</v>
      </c>
      <c r="V6" s="103" t="s">
        <v>38</v>
      </c>
      <c r="W6" s="103" t="s">
        <v>58</v>
      </c>
      <c r="X6" s="103" t="s">
        <v>10</v>
      </c>
      <c r="Y6" s="103" t="s">
        <v>65</v>
      </c>
      <c r="Z6" s="103" t="s">
        <v>11</v>
      </c>
      <c r="AA6" s="103" t="s">
        <v>14</v>
      </c>
      <c r="AB6" s="104" t="s">
        <v>64</v>
      </c>
      <c r="AC6" s="140" t="s">
        <v>80</v>
      </c>
      <c r="AD6" s="4" t="s">
        <v>46</v>
      </c>
    </row>
    <row r="7" spans="1:30" ht="18.75" hidden="1" x14ac:dyDescent="0.3">
      <c r="A7" s="70">
        <v>500</v>
      </c>
      <c r="B7" s="71" t="s">
        <v>16</v>
      </c>
      <c r="C7" s="74"/>
      <c r="D7" s="74"/>
      <c r="E7" s="74">
        <f>+H7/(U7*V7)</f>
        <v>1.6</v>
      </c>
      <c r="F7" s="111" t="s">
        <v>15</v>
      </c>
      <c r="G7" s="73">
        <v>8</v>
      </c>
      <c r="H7" s="72">
        <f t="shared" ref="H7:H22" si="0">G7*V7</f>
        <v>240</v>
      </c>
      <c r="I7" s="72">
        <f t="shared" ref="I7:I22" si="1">+H7/X7</f>
        <v>7283.7632776934752</v>
      </c>
      <c r="J7" s="72">
        <f t="shared" ref="J7:J22" si="2">IF(U7-G7&lt;0,0,U7-G7)</f>
        <v>0</v>
      </c>
      <c r="K7" s="72" t="str">
        <f t="shared" ref="K7:K8" si="3">+IF(W7-I7&lt;0,"",W7-I7)</f>
        <v/>
      </c>
      <c r="L7" s="92"/>
      <c r="M7" s="136"/>
      <c r="N7" s="137"/>
      <c r="O7" s="137"/>
      <c r="P7" s="132"/>
      <c r="Q7" s="92"/>
      <c r="R7" s="131"/>
      <c r="S7" s="132"/>
      <c r="T7" s="92"/>
      <c r="U7" s="96">
        <v>5</v>
      </c>
      <c r="V7" s="39">
        <v>30</v>
      </c>
      <c r="W7" s="39">
        <f>+U7*Z7</f>
        <v>4552.3520485584222</v>
      </c>
      <c r="X7" s="120">
        <f>+Y7/1000</f>
        <v>3.295E-2</v>
      </c>
      <c r="Y7" s="121">
        <v>32.950000000000003</v>
      </c>
      <c r="Z7" s="39">
        <f>+V7/X7</f>
        <v>910.4704097116844</v>
      </c>
      <c r="AA7" s="39">
        <f>IFERROR(VLOOKUP(A7,'Estadistica Madre CH 23-01'!A:C,3,0),+VLOOKUP(A7,'Estadistica Madre LK 23-01 '!A:C,3,0))</f>
        <v>1440</v>
      </c>
      <c r="AB7" s="122">
        <f>1.5*AA7/Z7</f>
        <v>2.3723999999999998</v>
      </c>
      <c r="AC7" s="141"/>
      <c r="AD7" s="107" t="s">
        <v>47</v>
      </c>
    </row>
    <row r="8" spans="1:30" ht="18.75" hidden="1" x14ac:dyDescent="0.3">
      <c r="A8" s="76">
        <v>706</v>
      </c>
      <c r="B8" s="69" t="s">
        <v>18</v>
      </c>
      <c r="C8" s="68"/>
      <c r="D8" s="68"/>
      <c r="E8" s="68">
        <f>+H8/(U8*V8)</f>
        <v>2</v>
      </c>
      <c r="F8" s="106" t="s">
        <v>17</v>
      </c>
      <c r="G8" s="66">
        <v>8</v>
      </c>
      <c r="H8" s="67">
        <f t="shared" si="0"/>
        <v>240</v>
      </c>
      <c r="I8" s="67">
        <f t="shared" si="1"/>
        <v>10933.940774487472</v>
      </c>
      <c r="J8" s="67">
        <f t="shared" si="2"/>
        <v>0</v>
      </c>
      <c r="K8" s="67" t="str">
        <f t="shared" si="3"/>
        <v/>
      </c>
      <c r="L8" s="92"/>
      <c r="M8" s="134"/>
      <c r="N8" s="39"/>
      <c r="O8" s="39"/>
      <c r="P8" s="128"/>
      <c r="Q8" s="92"/>
      <c r="R8" s="96"/>
      <c r="S8" s="128"/>
      <c r="T8" s="92"/>
      <c r="U8" s="96">
        <v>4</v>
      </c>
      <c r="V8" s="39">
        <v>30</v>
      </c>
      <c r="W8" s="39">
        <f t="shared" ref="W8:W22" si="4">+U8*Z8</f>
        <v>5466.9703872437358</v>
      </c>
      <c r="X8" s="120">
        <f t="shared" ref="X8:X22" si="5">+Y8/1000</f>
        <v>2.1950000000000001E-2</v>
      </c>
      <c r="Y8" s="121">
        <v>21.95</v>
      </c>
      <c r="Z8" s="39">
        <f t="shared" ref="Z8:Z22" si="6">+V8/X8</f>
        <v>1366.7425968109339</v>
      </c>
      <c r="AA8" s="39">
        <f>IFERROR(VLOOKUP(A8,'Estadistica Madre CH 23-01'!A:C,3,0),+VLOOKUP(A8,'Estadistica Madre LK 23-01 '!A:C,3,0))</f>
        <v>2400</v>
      </c>
      <c r="AB8" s="122">
        <f t="shared" ref="AB8:AB22" si="7">1.5*AA8/Z8</f>
        <v>2.6339999999999999</v>
      </c>
      <c r="AC8" s="122"/>
      <c r="AD8" s="108" t="s">
        <v>47</v>
      </c>
    </row>
    <row r="9" spans="1:30" ht="21.2" customHeight="1" x14ac:dyDescent="0.3">
      <c r="A9" s="76">
        <v>506</v>
      </c>
      <c r="B9" s="69" t="s">
        <v>29</v>
      </c>
      <c r="C9" s="211">
        <v>9500</v>
      </c>
      <c r="D9" s="210">
        <v>7</v>
      </c>
      <c r="E9" s="68">
        <f>+H9/(U9*V9)</f>
        <v>0.125</v>
      </c>
      <c r="F9" s="106" t="s">
        <v>28</v>
      </c>
      <c r="G9" s="66">
        <v>1</v>
      </c>
      <c r="H9" s="67">
        <f>G9*V9</f>
        <v>30</v>
      </c>
      <c r="I9" s="67">
        <f>+H9/X9</f>
        <v>1366.7425968109339</v>
      </c>
      <c r="J9" s="67">
        <f>IF(U9-G9&lt;0,0,U9-G9)</f>
        <v>7</v>
      </c>
      <c r="K9" s="67">
        <f>+IF(W9-I9&lt;0,"",W9-I9)</f>
        <v>9567.1981776765369</v>
      </c>
      <c r="L9" s="92"/>
      <c r="M9" s="134"/>
      <c r="N9" s="39"/>
      <c r="O9" s="39"/>
      <c r="P9" s="128"/>
      <c r="Q9" s="92"/>
      <c r="R9" s="96"/>
      <c r="S9" s="128"/>
      <c r="T9" s="92"/>
      <c r="U9" s="96">
        <v>8</v>
      </c>
      <c r="V9" s="39">
        <v>30</v>
      </c>
      <c r="W9" s="39">
        <f>+U9*Z9</f>
        <v>10933.940774487472</v>
      </c>
      <c r="X9" s="120">
        <f>+Y9/1000</f>
        <v>2.1950000000000001E-2</v>
      </c>
      <c r="Y9" s="121">
        <v>21.95</v>
      </c>
      <c r="Z9" s="39">
        <f>+V9/X9</f>
        <v>1366.7425968109339</v>
      </c>
      <c r="AA9" s="39">
        <f>IFERROR(VLOOKUP(A9,'Estadistica Madre CH 23-01'!A:C,3,0),+VLOOKUP(A9,'Estadistica Madre LK 23-01 '!A:C,3,0))</f>
        <v>18840</v>
      </c>
      <c r="AB9" s="122">
        <f>1.5*AA9/Z9</f>
        <v>20.6769</v>
      </c>
      <c r="AC9" s="122"/>
      <c r="AD9" s="108" t="s">
        <v>47</v>
      </c>
    </row>
    <row r="10" spans="1:30" x14ac:dyDescent="0.25">
      <c r="K10"/>
    </row>
    <row r="11" spans="1:30" ht="24" thickBot="1" x14ac:dyDescent="0.4">
      <c r="B11" s="166" t="s">
        <v>96</v>
      </c>
      <c r="C11" s="163"/>
      <c r="D11" s="163"/>
      <c r="E11" s="163"/>
      <c r="F11" s="163"/>
      <c r="K11"/>
    </row>
    <row r="12" spans="1:30" ht="24" thickBot="1" x14ac:dyDescent="0.35">
      <c r="B12" s="161" t="s">
        <v>53</v>
      </c>
      <c r="C12" s="162" t="s">
        <v>1</v>
      </c>
      <c r="D12" s="213">
        <v>45615</v>
      </c>
      <c r="E12" s="160"/>
      <c r="K12"/>
    </row>
    <row r="13" spans="1:30" ht="51" customHeight="1" thickBot="1" x14ac:dyDescent="0.3">
      <c r="A13" s="15" t="s">
        <v>3</v>
      </c>
      <c r="B13" s="4" t="s">
        <v>5</v>
      </c>
      <c r="C13" s="4" t="s">
        <v>59</v>
      </c>
      <c r="D13" s="4" t="s">
        <v>439</v>
      </c>
      <c r="E13" s="4" t="s">
        <v>76</v>
      </c>
      <c r="F13" s="4" t="s">
        <v>4</v>
      </c>
      <c r="G13" s="4" t="s">
        <v>437</v>
      </c>
      <c r="H13" s="4" t="s">
        <v>6</v>
      </c>
      <c r="I13" s="4" t="s">
        <v>7</v>
      </c>
      <c r="J13" s="18" t="s">
        <v>54</v>
      </c>
      <c r="K13" s="18" t="s">
        <v>59</v>
      </c>
      <c r="L13" s="91"/>
      <c r="M13" s="133" t="s">
        <v>75</v>
      </c>
      <c r="N13" s="133" t="s">
        <v>69</v>
      </c>
      <c r="O13" s="6" t="s">
        <v>70</v>
      </c>
      <c r="P13" s="138" t="s">
        <v>74</v>
      </c>
      <c r="Q13" s="91"/>
      <c r="R13" s="133" t="s">
        <v>71</v>
      </c>
      <c r="S13" s="6" t="s">
        <v>72</v>
      </c>
      <c r="T13" s="91"/>
      <c r="U13" s="102" t="s">
        <v>63</v>
      </c>
      <c r="V13" s="103" t="s">
        <v>38</v>
      </c>
      <c r="W13" s="103" t="s">
        <v>58</v>
      </c>
      <c r="X13" s="103" t="s">
        <v>10</v>
      </c>
      <c r="Y13" s="103" t="s">
        <v>65</v>
      </c>
      <c r="Z13" s="103" t="s">
        <v>441</v>
      </c>
      <c r="AA13" s="103" t="s">
        <v>14</v>
      </c>
      <c r="AB13" s="104" t="s">
        <v>64</v>
      </c>
      <c r="AC13" s="140" t="s">
        <v>80</v>
      </c>
      <c r="AD13" s="4" t="s">
        <v>46</v>
      </c>
    </row>
    <row r="14" spans="1:30" ht="18.75" x14ac:dyDescent="0.3">
      <c r="A14" s="76">
        <v>654</v>
      </c>
      <c r="B14" s="69" t="s">
        <v>23</v>
      </c>
      <c r="C14" s="210">
        <v>3000</v>
      </c>
      <c r="D14" s="210">
        <f>+C14/Z14</f>
        <v>25</v>
      </c>
      <c r="E14" s="68">
        <f>+H14/(U14*V14)</f>
        <v>0</v>
      </c>
      <c r="F14" s="106" t="s">
        <v>22</v>
      </c>
      <c r="G14" s="66">
        <v>0</v>
      </c>
      <c r="H14" s="67">
        <f t="shared" si="0"/>
        <v>0</v>
      </c>
      <c r="I14" s="67">
        <f t="shared" si="1"/>
        <v>0</v>
      </c>
      <c r="J14" s="67">
        <f t="shared" si="2"/>
        <v>25</v>
      </c>
      <c r="K14" s="67">
        <f t="shared" ref="K14:K22" si="8">+IF(W14-I14&lt;0,"",W14-I14)</f>
        <v>3000</v>
      </c>
      <c r="L14" s="92"/>
      <c r="M14" s="134"/>
      <c r="N14" s="39"/>
      <c r="O14" s="121"/>
      <c r="P14" s="129"/>
      <c r="Q14" s="92"/>
      <c r="R14" s="96"/>
      <c r="S14" s="129"/>
      <c r="T14" s="92"/>
      <c r="U14" s="96">
        <v>25</v>
      </c>
      <c r="V14" s="121">
        <f>+Z14*X14</f>
        <v>2.5799999999999996</v>
      </c>
      <c r="W14" s="39">
        <f t="shared" si="4"/>
        <v>3000</v>
      </c>
      <c r="X14" s="120">
        <f t="shared" si="5"/>
        <v>2.1499999999999998E-2</v>
      </c>
      <c r="Y14" s="121">
        <v>21.5</v>
      </c>
      <c r="Z14" s="39">
        <v>120</v>
      </c>
      <c r="AA14" s="39">
        <f>IFERROR(VLOOKUP(A14,'Estadistica Madre CH 23-01'!A:C,3,0),+VLOOKUP(A14,'Estadistica Madre LK 23-01 '!A:C,3,0))</f>
        <v>912</v>
      </c>
      <c r="AB14" s="122">
        <f t="shared" si="7"/>
        <v>11.4</v>
      </c>
      <c r="AC14" s="122"/>
      <c r="AD14" s="108" t="s">
        <v>53</v>
      </c>
    </row>
    <row r="15" spans="1:30" ht="18.75" x14ac:dyDescent="0.3">
      <c r="A15" s="76">
        <v>558</v>
      </c>
      <c r="B15" s="69" t="s">
        <v>25</v>
      </c>
      <c r="C15" s="210">
        <v>2300</v>
      </c>
      <c r="D15" s="210">
        <f>+C15/Z15</f>
        <v>19.166666666666668</v>
      </c>
      <c r="E15" s="68">
        <f>+H15/(U15*V15)</f>
        <v>0.24000000000000002</v>
      </c>
      <c r="F15" s="106" t="s">
        <v>24</v>
      </c>
      <c r="G15" s="66">
        <v>6</v>
      </c>
      <c r="H15" s="67">
        <f t="shared" si="0"/>
        <v>10.8</v>
      </c>
      <c r="I15" s="67">
        <f t="shared" si="1"/>
        <v>696.77419354838719</v>
      </c>
      <c r="J15" s="67">
        <f t="shared" si="2"/>
        <v>19</v>
      </c>
      <c r="K15" s="67">
        <f t="shared" si="8"/>
        <v>2303.2258064516127</v>
      </c>
      <c r="L15" s="92"/>
      <c r="M15" s="134"/>
      <c r="N15" s="39"/>
      <c r="O15" s="121"/>
      <c r="P15" s="129"/>
      <c r="Q15" s="92"/>
      <c r="R15" s="96"/>
      <c r="S15" s="129"/>
      <c r="T15" s="92"/>
      <c r="U15" s="96">
        <v>25</v>
      </c>
      <c r="V15" s="121">
        <v>1.8</v>
      </c>
      <c r="W15" s="39">
        <f t="shared" si="4"/>
        <v>3000</v>
      </c>
      <c r="X15" s="120">
        <f t="shared" si="5"/>
        <v>1.55E-2</v>
      </c>
      <c r="Y15" s="121">
        <v>15.5</v>
      </c>
      <c r="Z15" s="39">
        <v>120</v>
      </c>
      <c r="AA15" s="39">
        <f>IFERROR(VLOOKUP(A15,'Estadistica Madre CH 23-01'!A:C,3,0),+VLOOKUP(A15,'Estadistica Madre LK 23-01 '!A:C,3,0))</f>
        <v>2124</v>
      </c>
      <c r="AB15" s="122">
        <f t="shared" si="7"/>
        <v>26.55</v>
      </c>
      <c r="AC15" s="122"/>
      <c r="AD15" s="108" t="s">
        <v>53</v>
      </c>
    </row>
    <row r="16" spans="1:30" ht="21.2" hidden="1" customHeight="1" x14ac:dyDescent="0.3">
      <c r="A16" s="76">
        <v>557</v>
      </c>
      <c r="B16" s="69" t="s">
        <v>27</v>
      </c>
      <c r="C16" s="68"/>
      <c r="D16" s="168"/>
      <c r="E16" s="68">
        <f>+H16/(U16*V16)</f>
        <v>1.36</v>
      </c>
      <c r="F16" s="106" t="s">
        <v>26</v>
      </c>
      <c r="G16" s="66">
        <v>34</v>
      </c>
      <c r="H16" s="67">
        <f t="shared" si="0"/>
        <v>61.2</v>
      </c>
      <c r="I16" s="67">
        <f t="shared" si="1"/>
        <v>3849.0566037735848</v>
      </c>
      <c r="J16" s="67">
        <f t="shared" si="2"/>
        <v>0</v>
      </c>
      <c r="K16" s="67" t="str">
        <f t="shared" si="8"/>
        <v/>
      </c>
      <c r="L16" s="92"/>
      <c r="M16" s="134"/>
      <c r="N16" s="39"/>
      <c r="O16" s="121"/>
      <c r="P16" s="129"/>
      <c r="Q16" s="92"/>
      <c r="R16" s="96"/>
      <c r="S16" s="129"/>
      <c r="T16" s="92"/>
      <c r="U16" s="96">
        <v>25</v>
      </c>
      <c r="V16" s="121">
        <v>1.8</v>
      </c>
      <c r="W16" s="39">
        <f t="shared" si="4"/>
        <v>3000</v>
      </c>
      <c r="X16" s="120">
        <f t="shared" si="5"/>
        <v>1.5900000000000001E-2</v>
      </c>
      <c r="Y16" s="121">
        <v>15.9</v>
      </c>
      <c r="Z16" s="39">
        <v>120</v>
      </c>
      <c r="AA16" s="39">
        <f>IFERROR(VLOOKUP(A16,'Estadistica Madre CH 23-01'!A:C,3,0),+VLOOKUP(A16,'Estadistica Madre LK 23-01 '!A:C,3,0))</f>
        <v>1400</v>
      </c>
      <c r="AB16" s="122">
        <f t="shared" si="7"/>
        <v>17.5</v>
      </c>
      <c r="AC16" s="122"/>
      <c r="AD16" s="108" t="s">
        <v>53</v>
      </c>
    </row>
    <row r="19" spans="1:30" ht="24" thickBot="1" x14ac:dyDescent="0.4">
      <c r="B19" s="166" t="s">
        <v>96</v>
      </c>
      <c r="C19" s="163"/>
      <c r="D19" s="163"/>
      <c r="E19" s="163"/>
    </row>
    <row r="20" spans="1:30" ht="24" thickBot="1" x14ac:dyDescent="0.35">
      <c r="B20" s="161" t="s">
        <v>86</v>
      </c>
      <c r="C20" s="162" t="s">
        <v>1</v>
      </c>
      <c r="D20" s="162"/>
      <c r="E20" s="160"/>
    </row>
    <row r="21" spans="1:30" ht="54.6" customHeight="1" thickBot="1" x14ac:dyDescent="0.3">
      <c r="A21" s="15" t="s">
        <v>3</v>
      </c>
      <c r="B21" s="4" t="s">
        <v>5</v>
      </c>
      <c r="C21" s="4" t="s">
        <v>59</v>
      </c>
      <c r="D21" s="4" t="s">
        <v>440</v>
      </c>
      <c r="E21" s="4" t="s">
        <v>76</v>
      </c>
      <c r="F21" s="4" t="s">
        <v>4</v>
      </c>
      <c r="G21" s="4" t="s">
        <v>438</v>
      </c>
      <c r="H21" s="4" t="s">
        <v>6</v>
      </c>
      <c r="I21" s="4" t="s">
        <v>7</v>
      </c>
      <c r="J21" s="18" t="s">
        <v>54</v>
      </c>
      <c r="K21" s="18" t="s">
        <v>59</v>
      </c>
      <c r="L21" s="91"/>
      <c r="M21" s="133" t="s">
        <v>75</v>
      </c>
      <c r="N21" s="133" t="s">
        <v>69</v>
      </c>
      <c r="O21" s="6" t="s">
        <v>70</v>
      </c>
      <c r="P21" s="138" t="s">
        <v>74</v>
      </c>
      <c r="Q21" s="91"/>
      <c r="R21" s="133" t="s">
        <v>71</v>
      </c>
      <c r="S21" s="6" t="s">
        <v>72</v>
      </c>
      <c r="T21" s="91"/>
      <c r="U21" s="207" t="s">
        <v>63</v>
      </c>
      <c r="V21" s="154" t="s">
        <v>38</v>
      </c>
      <c r="W21" s="154" t="s">
        <v>58</v>
      </c>
      <c r="X21" s="154" t="s">
        <v>10</v>
      </c>
      <c r="Y21" s="154" t="s">
        <v>65</v>
      </c>
      <c r="Z21" s="154" t="s">
        <v>11</v>
      </c>
      <c r="AA21" s="154" t="s">
        <v>14</v>
      </c>
      <c r="AB21" s="208" t="s">
        <v>64</v>
      </c>
      <c r="AC21" s="138" t="s">
        <v>80</v>
      </c>
      <c r="AD21" s="6" t="s">
        <v>46</v>
      </c>
    </row>
    <row r="22" spans="1:30" ht="18.75" x14ac:dyDescent="0.3">
      <c r="A22" s="76">
        <v>510</v>
      </c>
      <c r="B22" s="69" t="s">
        <v>31</v>
      </c>
      <c r="C22" s="68"/>
      <c r="D22" s="68"/>
      <c r="E22" s="68">
        <f>+H22/(U22*V22)</f>
        <v>1.75</v>
      </c>
      <c r="F22" s="106" t="s">
        <v>30</v>
      </c>
      <c r="G22" s="66">
        <v>7</v>
      </c>
      <c r="H22" s="67">
        <f t="shared" si="0"/>
        <v>210</v>
      </c>
      <c r="I22" s="67">
        <f t="shared" si="1"/>
        <v>9545.454545454546</v>
      </c>
      <c r="J22" s="67">
        <f t="shared" si="2"/>
        <v>0</v>
      </c>
      <c r="K22" s="67" t="str">
        <f t="shared" si="8"/>
        <v/>
      </c>
      <c r="L22" s="92"/>
      <c r="M22" s="134"/>
      <c r="N22" s="39"/>
      <c r="O22" s="39"/>
      <c r="P22" s="128"/>
      <c r="Q22" s="92"/>
      <c r="R22" s="96"/>
      <c r="S22" s="128"/>
      <c r="T22" s="92"/>
      <c r="U22" s="131">
        <v>4</v>
      </c>
      <c r="V22" s="137">
        <v>30</v>
      </c>
      <c r="W22" s="137">
        <f t="shared" si="4"/>
        <v>5454.545454545455</v>
      </c>
      <c r="X22" s="205">
        <f t="shared" si="5"/>
        <v>2.1999999999999999E-2</v>
      </c>
      <c r="Y22" s="206">
        <v>22</v>
      </c>
      <c r="Z22" s="137">
        <f t="shared" si="6"/>
        <v>1363.6363636363637</v>
      </c>
      <c r="AA22" s="137">
        <f>IFERROR(VLOOKUP(A22,'Estadistica Madre CH 23-01'!A:C,3,0),+VLOOKUP(A22,'Estadistica Madre LK 23-01 '!A:C,3,0))</f>
        <v>6456</v>
      </c>
      <c r="AB22" s="141">
        <f t="shared" si="7"/>
        <v>7.1015999999999995</v>
      </c>
      <c r="AC22" s="141"/>
      <c r="AD22" s="155" t="s">
        <v>86</v>
      </c>
    </row>
    <row r="26" spans="1:30" ht="18.75" x14ac:dyDescent="0.3">
      <c r="B26" s="212" t="s">
        <v>98</v>
      </c>
    </row>
    <row r="27" spans="1:30" ht="18.75" x14ac:dyDescent="0.3">
      <c r="A27" s="106" t="s">
        <v>20</v>
      </c>
      <c r="B27" s="69" t="s">
        <v>21</v>
      </c>
      <c r="C27" s="68"/>
      <c r="D27" s="68"/>
      <c r="E27" s="68">
        <f>+H27/(U27*V27)</f>
        <v>0</v>
      </c>
      <c r="F27" s="68"/>
      <c r="G27" s="66"/>
      <c r="H27" s="67">
        <f>G27*V27</f>
        <v>0</v>
      </c>
      <c r="I27" s="67">
        <f>+H27/X27</f>
        <v>0</v>
      </c>
      <c r="J27" s="67">
        <f>IF(U27-G27&lt;0,0,U27-G27)</f>
        <v>5</v>
      </c>
      <c r="K27" s="67">
        <f>+IF(W27-I27&lt;0,"",W27-I27)</f>
        <v>6833.7129840546695</v>
      </c>
      <c r="L27" s="92"/>
      <c r="M27" s="134"/>
      <c r="N27" s="39"/>
      <c r="O27" s="39"/>
      <c r="P27" s="128"/>
      <c r="Q27" s="92"/>
      <c r="R27" s="96"/>
      <c r="S27" s="128"/>
      <c r="T27" s="92"/>
      <c r="U27" s="96">
        <v>5</v>
      </c>
      <c r="V27" s="39">
        <v>30</v>
      </c>
      <c r="W27" s="39">
        <f>+U27*Z27</f>
        <v>6833.7129840546695</v>
      </c>
      <c r="X27" s="120">
        <f>+Y27/1000</f>
        <v>2.1950000000000001E-2</v>
      </c>
      <c r="Y27" s="121">
        <v>21.95</v>
      </c>
      <c r="Z27" s="39">
        <f>+V27/X27</f>
        <v>1366.7425968109339</v>
      </c>
      <c r="AA27" s="39">
        <f>IFERROR(VLOOKUP(706,'Estadistica Madre CH 23-01'!A:C,3,0),+VLOOKUP(A27,'Estadistica Madre LK 23-01 '!A:C,3,0))</f>
        <v>2400</v>
      </c>
      <c r="AB27" s="122">
        <f>1.5*AA27/Z27</f>
        <v>2.6339999999999999</v>
      </c>
      <c r="AC27" s="122"/>
      <c r="AD27" s="108" t="s">
        <v>47</v>
      </c>
    </row>
  </sheetData>
  <mergeCells count="2">
    <mergeCell ref="A1:G1"/>
    <mergeCell ref="U5:AD5"/>
  </mergeCells>
  <printOptions horizontalCentered="1" verticalCentered="1"/>
  <pageMargins left="0.25" right="0.25" top="0.75" bottom="0.75" header="0.3" footer="0.3"/>
  <pageSetup paperSize="9" scale="33" fitToHeight="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F0"/>
    <pageSetUpPr fitToPage="1"/>
  </sheetPr>
  <dimension ref="A1:AC27"/>
  <sheetViews>
    <sheetView workbookViewId="0">
      <selection sqref="A1:F1"/>
    </sheetView>
  </sheetViews>
  <sheetFormatPr baseColWidth="10" defaultRowHeight="15" x14ac:dyDescent="0.25"/>
  <cols>
    <col min="1" max="1" width="7.140625" customWidth="1"/>
    <col min="2" max="2" width="28.85546875" customWidth="1"/>
    <col min="3" max="3" width="8.85546875" hidden="1" customWidth="1"/>
    <col min="4" max="4" width="7.42578125" hidden="1" customWidth="1"/>
    <col min="5" max="5" width="9" hidden="1" customWidth="1"/>
    <col min="6" max="6" width="12.140625" customWidth="1"/>
    <col min="7" max="7" width="9.42578125" customWidth="1"/>
    <col min="8" max="8" width="11.42578125" customWidth="1"/>
    <col min="9" max="9" width="8.42578125" customWidth="1"/>
    <col min="10" max="10" width="12.140625" style="110" customWidth="1"/>
    <col min="11" max="11" width="3.140625" customWidth="1"/>
    <col min="12" max="13" width="9.42578125" customWidth="1"/>
    <col min="14" max="14" width="8.85546875" customWidth="1"/>
    <col min="15" max="15" width="9.7109375" customWidth="1"/>
    <col min="16" max="16" width="3.140625" customWidth="1"/>
    <col min="17" max="17" width="11.140625" customWidth="1"/>
    <col min="18" max="18" width="10.140625" customWidth="1"/>
    <col min="19" max="19" width="3.140625" customWidth="1"/>
    <col min="20" max="20" width="8.140625" customWidth="1"/>
    <col min="21" max="21" width="8" customWidth="1"/>
    <col min="22" max="22" width="9.28515625" customWidth="1"/>
    <col min="23" max="23" width="10.140625" customWidth="1"/>
    <col min="24" max="24" width="8.28515625" customWidth="1"/>
    <col min="25" max="25" width="8.85546875" customWidth="1"/>
    <col min="26" max="26" width="11.140625" customWidth="1"/>
    <col min="27" max="27" width="13" bestFit="1" customWidth="1"/>
    <col min="28" max="28" width="10.7109375" customWidth="1"/>
    <col min="29" max="29" width="11.85546875" customWidth="1"/>
  </cols>
  <sheetData>
    <row r="1" spans="1:29" ht="39.200000000000003" customHeight="1" thickBot="1" x14ac:dyDescent="0.3">
      <c r="A1" s="517" t="s">
        <v>95</v>
      </c>
      <c r="B1" s="518"/>
      <c r="C1" s="518"/>
      <c r="D1" s="518"/>
      <c r="E1" s="518"/>
      <c r="F1" s="519"/>
      <c r="J1"/>
      <c r="V1" s="1"/>
    </row>
    <row r="2" spans="1:29" ht="24.75" customHeight="1" thickBot="1" x14ac:dyDescent="0.35">
      <c r="B2" s="209">
        <v>45602</v>
      </c>
      <c r="H2" s="1"/>
      <c r="I2" s="3" t="s">
        <v>55</v>
      </c>
      <c r="J2" s="3"/>
    </row>
    <row r="3" spans="1:29" ht="24.75" customHeight="1" x14ac:dyDescent="0.3">
      <c r="F3" s="1"/>
      <c r="G3" s="1"/>
      <c r="H3" s="1"/>
      <c r="I3" s="3"/>
      <c r="J3" s="3"/>
    </row>
    <row r="4" spans="1:29" ht="24.75" customHeight="1" thickBot="1" x14ac:dyDescent="0.4">
      <c r="B4" s="166" t="s">
        <v>96</v>
      </c>
      <c r="C4" s="163"/>
      <c r="D4" s="163"/>
      <c r="E4" s="163"/>
      <c r="F4" s="1"/>
      <c r="G4" s="1"/>
      <c r="H4" s="1"/>
      <c r="I4" s="3"/>
      <c r="J4" s="3"/>
    </row>
    <row r="5" spans="1:29" ht="24.75" customHeight="1" thickBot="1" x14ac:dyDescent="0.35">
      <c r="B5" s="161" t="s">
        <v>97</v>
      </c>
      <c r="C5" s="162" t="s">
        <v>1</v>
      </c>
      <c r="D5" s="160"/>
      <c r="F5" s="1"/>
      <c r="G5" s="1"/>
      <c r="H5" s="1"/>
      <c r="I5" s="3"/>
      <c r="J5" s="3"/>
      <c r="T5" s="522" t="s">
        <v>73</v>
      </c>
      <c r="U5" s="523"/>
      <c r="V5" s="523"/>
      <c r="W5" s="523"/>
      <c r="X5" s="523"/>
      <c r="Y5" s="523"/>
      <c r="Z5" s="523"/>
      <c r="AA5" s="523"/>
      <c r="AB5" s="523"/>
      <c r="AC5" s="524"/>
    </row>
    <row r="6" spans="1:29" ht="54.6" customHeight="1" thickBot="1" x14ac:dyDescent="0.3">
      <c r="A6" s="15" t="s">
        <v>3</v>
      </c>
      <c r="B6" s="4" t="s">
        <v>5</v>
      </c>
      <c r="C6" s="4" t="s">
        <v>59</v>
      </c>
      <c r="D6" s="4" t="s">
        <v>76</v>
      </c>
      <c r="E6" s="4" t="s">
        <v>4</v>
      </c>
      <c r="F6" s="4" t="s">
        <v>39</v>
      </c>
      <c r="G6" s="4" t="s">
        <v>6</v>
      </c>
      <c r="H6" s="4" t="s">
        <v>7</v>
      </c>
      <c r="I6" s="18" t="s">
        <v>54</v>
      </c>
      <c r="J6" s="18" t="s">
        <v>59</v>
      </c>
      <c r="K6" s="91"/>
      <c r="L6" s="133" t="s">
        <v>75</v>
      </c>
      <c r="M6" s="133" t="s">
        <v>69</v>
      </c>
      <c r="N6" s="6" t="s">
        <v>70</v>
      </c>
      <c r="O6" s="138" t="s">
        <v>74</v>
      </c>
      <c r="P6" s="91"/>
      <c r="Q6" s="133" t="s">
        <v>71</v>
      </c>
      <c r="R6" s="6" t="s">
        <v>72</v>
      </c>
      <c r="S6" s="91"/>
      <c r="T6" s="102" t="s">
        <v>63</v>
      </c>
      <c r="U6" s="103" t="s">
        <v>38</v>
      </c>
      <c r="V6" s="103" t="s">
        <v>58</v>
      </c>
      <c r="W6" s="103" t="s">
        <v>10</v>
      </c>
      <c r="X6" s="103" t="s">
        <v>65</v>
      </c>
      <c r="Y6" s="103" t="s">
        <v>11</v>
      </c>
      <c r="Z6" s="103" t="s">
        <v>14</v>
      </c>
      <c r="AA6" s="104" t="s">
        <v>64</v>
      </c>
      <c r="AB6" s="140" t="s">
        <v>80</v>
      </c>
      <c r="AC6" s="4" t="s">
        <v>46</v>
      </c>
    </row>
    <row r="7" spans="1:29" ht="18.75" x14ac:dyDescent="0.3">
      <c r="A7" s="70">
        <v>500</v>
      </c>
      <c r="B7" s="71" t="s">
        <v>16</v>
      </c>
      <c r="C7" s="74"/>
      <c r="D7" s="74">
        <f>+G7/(T7*U7)</f>
        <v>1.6</v>
      </c>
      <c r="E7" s="111" t="s">
        <v>15</v>
      </c>
      <c r="F7" s="73">
        <v>8</v>
      </c>
      <c r="G7" s="72">
        <f t="shared" ref="G7:G22" si="0">F7*U7</f>
        <v>240</v>
      </c>
      <c r="H7" s="72">
        <f t="shared" ref="H7:H22" si="1">+G7/W7</f>
        <v>7283.7632776934752</v>
      </c>
      <c r="I7" s="72">
        <f t="shared" ref="I7:I22" si="2">IF(T7-F7&lt;0,0,T7-F7)</f>
        <v>0</v>
      </c>
      <c r="J7" s="72" t="str">
        <f t="shared" ref="J7:J22" si="3">+IF(V7-H7&lt;0,"",V7-H7)</f>
        <v/>
      </c>
      <c r="K7" s="92"/>
      <c r="L7" s="136"/>
      <c r="M7" s="137"/>
      <c r="N7" s="137"/>
      <c r="O7" s="132"/>
      <c r="P7" s="92"/>
      <c r="Q7" s="131"/>
      <c r="R7" s="132"/>
      <c r="S7" s="92"/>
      <c r="T7" s="96">
        <v>5</v>
      </c>
      <c r="U7" s="39">
        <v>30</v>
      </c>
      <c r="V7" s="39">
        <f>+T7*Y7</f>
        <v>4552.3520485584222</v>
      </c>
      <c r="W7" s="120">
        <f>+X7/1000</f>
        <v>3.295E-2</v>
      </c>
      <c r="X7" s="121">
        <v>32.950000000000003</v>
      </c>
      <c r="Y7" s="39">
        <f>+U7/W7</f>
        <v>910.4704097116844</v>
      </c>
      <c r="Z7" s="39">
        <f>IFERROR(VLOOKUP(A7,'Estadistica Madre CH 23-01'!A:C,3,0),+VLOOKUP(A7,'Estadistica Madre LK 23-01 '!A:C,3,0))</f>
        <v>1440</v>
      </c>
      <c r="AA7" s="122">
        <f>1.5*Z7/Y7</f>
        <v>2.3723999999999998</v>
      </c>
      <c r="AB7" s="141"/>
      <c r="AC7" s="107" t="s">
        <v>47</v>
      </c>
    </row>
    <row r="8" spans="1:29" ht="18.75" x14ac:dyDescent="0.3">
      <c r="A8" s="76">
        <v>706</v>
      </c>
      <c r="B8" s="69" t="s">
        <v>18</v>
      </c>
      <c r="C8" s="68"/>
      <c r="D8" s="68">
        <f>+G8/(T8*U8)</f>
        <v>2</v>
      </c>
      <c r="E8" s="106" t="s">
        <v>17</v>
      </c>
      <c r="F8" s="66">
        <v>8</v>
      </c>
      <c r="G8" s="67">
        <f t="shared" si="0"/>
        <v>240</v>
      </c>
      <c r="H8" s="67">
        <f t="shared" si="1"/>
        <v>10933.940774487472</v>
      </c>
      <c r="I8" s="67">
        <f t="shared" si="2"/>
        <v>0</v>
      </c>
      <c r="J8" s="67" t="str">
        <f t="shared" si="3"/>
        <v/>
      </c>
      <c r="K8" s="92"/>
      <c r="L8" s="134"/>
      <c r="M8" s="39"/>
      <c r="N8" s="39"/>
      <c r="O8" s="128"/>
      <c r="P8" s="92"/>
      <c r="Q8" s="96"/>
      <c r="R8" s="128"/>
      <c r="S8" s="92"/>
      <c r="T8" s="96">
        <v>4</v>
      </c>
      <c r="U8" s="39">
        <v>30</v>
      </c>
      <c r="V8" s="39">
        <f t="shared" ref="V8:V22" si="4">+T8*Y8</f>
        <v>5466.9703872437358</v>
      </c>
      <c r="W8" s="120">
        <f t="shared" ref="W8:W22" si="5">+X8/1000</f>
        <v>2.1950000000000001E-2</v>
      </c>
      <c r="X8" s="121">
        <v>21.95</v>
      </c>
      <c r="Y8" s="39">
        <f t="shared" ref="Y8:Y22" si="6">+U8/W8</f>
        <v>1366.7425968109339</v>
      </c>
      <c r="Z8" s="39">
        <f>IFERROR(VLOOKUP(A8,'Estadistica Madre CH 23-01'!A:C,3,0),+VLOOKUP(A8,'Estadistica Madre LK 23-01 '!A:C,3,0))</f>
        <v>2400</v>
      </c>
      <c r="AA8" s="122">
        <f t="shared" ref="AA8:AA22" si="7">1.5*Z8/Y8</f>
        <v>2.6339999999999999</v>
      </c>
      <c r="AB8" s="122"/>
      <c r="AC8" s="108" t="s">
        <v>47</v>
      </c>
    </row>
    <row r="9" spans="1:29" ht="21.2" customHeight="1" x14ac:dyDescent="0.3">
      <c r="A9" s="76">
        <v>506</v>
      </c>
      <c r="B9" s="69" t="s">
        <v>29</v>
      </c>
      <c r="C9" s="68"/>
      <c r="D9" s="68">
        <f>+G9/(T9*U9)</f>
        <v>0.125</v>
      </c>
      <c r="E9" s="106" t="s">
        <v>28</v>
      </c>
      <c r="F9" s="66">
        <v>1</v>
      </c>
      <c r="G9" s="67">
        <f>F9*U9</f>
        <v>30</v>
      </c>
      <c r="H9" s="67">
        <f>+G9/W9</f>
        <v>1366.7425968109339</v>
      </c>
      <c r="I9" s="67">
        <f>IF(T9-F9&lt;0,0,T9-F9)</f>
        <v>7</v>
      </c>
      <c r="J9" s="67">
        <f>+IF(V9-H9&lt;0,"",V9-H9)</f>
        <v>9567.1981776765369</v>
      </c>
      <c r="K9" s="92"/>
      <c r="L9" s="134"/>
      <c r="M9" s="39"/>
      <c r="N9" s="39"/>
      <c r="O9" s="128"/>
      <c r="P9" s="92"/>
      <c r="Q9" s="96"/>
      <c r="R9" s="128"/>
      <c r="S9" s="92"/>
      <c r="T9" s="96">
        <v>8</v>
      </c>
      <c r="U9" s="39">
        <v>30</v>
      </c>
      <c r="V9" s="39">
        <f>+T9*Y9</f>
        <v>10933.940774487472</v>
      </c>
      <c r="W9" s="120">
        <f>+X9/1000</f>
        <v>2.1950000000000001E-2</v>
      </c>
      <c r="X9" s="121">
        <v>21.95</v>
      </c>
      <c r="Y9" s="39">
        <f>+U9/W9</f>
        <v>1366.7425968109339</v>
      </c>
      <c r="Z9" s="39">
        <f>IFERROR(VLOOKUP(A9,'Estadistica Madre CH 23-01'!A:C,3,0),+VLOOKUP(A9,'Estadistica Madre LK 23-01 '!A:C,3,0))</f>
        <v>18840</v>
      </c>
      <c r="AA9" s="122">
        <f>1.5*Z9/Y9</f>
        <v>20.6769</v>
      </c>
      <c r="AB9" s="122"/>
      <c r="AC9" s="108" t="s">
        <v>47</v>
      </c>
    </row>
    <row r="10" spans="1:29" ht="18.75" x14ac:dyDescent="0.25">
      <c r="F10" s="165"/>
      <c r="J10"/>
    </row>
    <row r="11" spans="1:29" ht="24" thickBot="1" x14ac:dyDescent="0.4">
      <c r="B11" s="166" t="s">
        <v>96</v>
      </c>
      <c r="C11" s="163"/>
      <c r="D11" s="163"/>
      <c r="E11" s="163"/>
      <c r="F11" s="165"/>
      <c r="J11"/>
    </row>
    <row r="12" spans="1:29" ht="24" thickBot="1" x14ac:dyDescent="0.35">
      <c r="B12" s="161" t="s">
        <v>53</v>
      </c>
      <c r="C12" s="162" t="s">
        <v>1</v>
      </c>
      <c r="D12" s="160"/>
      <c r="F12" s="165"/>
      <c r="J12"/>
    </row>
    <row r="13" spans="1:29" ht="54.6" customHeight="1" thickBot="1" x14ac:dyDescent="0.3">
      <c r="A13" s="15" t="s">
        <v>3</v>
      </c>
      <c r="B13" s="4" t="s">
        <v>5</v>
      </c>
      <c r="C13" s="4" t="s">
        <v>59</v>
      </c>
      <c r="D13" s="4" t="s">
        <v>76</v>
      </c>
      <c r="E13" s="4" t="s">
        <v>4</v>
      </c>
      <c r="F13" s="4" t="s">
        <v>436</v>
      </c>
      <c r="G13" s="4" t="s">
        <v>6</v>
      </c>
      <c r="H13" s="4" t="s">
        <v>7</v>
      </c>
      <c r="I13" s="18" t="s">
        <v>54</v>
      </c>
      <c r="J13" s="18" t="s">
        <v>59</v>
      </c>
      <c r="K13" s="91"/>
      <c r="L13" s="133" t="s">
        <v>75</v>
      </c>
      <c r="M13" s="133" t="s">
        <v>69</v>
      </c>
      <c r="N13" s="6" t="s">
        <v>70</v>
      </c>
      <c r="O13" s="138" t="s">
        <v>74</v>
      </c>
      <c r="P13" s="91"/>
      <c r="Q13" s="133" t="s">
        <v>71</v>
      </c>
      <c r="R13" s="6" t="s">
        <v>72</v>
      </c>
      <c r="S13" s="91"/>
      <c r="T13" s="102" t="s">
        <v>63</v>
      </c>
      <c r="U13" s="103" t="s">
        <v>38</v>
      </c>
      <c r="V13" s="103" t="s">
        <v>58</v>
      </c>
      <c r="W13" s="103" t="s">
        <v>10</v>
      </c>
      <c r="X13" s="103" t="s">
        <v>65</v>
      </c>
      <c r="Y13" s="103" t="s">
        <v>11</v>
      </c>
      <c r="Z13" s="103" t="s">
        <v>14</v>
      </c>
      <c r="AA13" s="104" t="s">
        <v>64</v>
      </c>
      <c r="AB13" s="140" t="s">
        <v>80</v>
      </c>
      <c r="AC13" s="4" t="s">
        <v>46</v>
      </c>
    </row>
    <row r="14" spans="1:29" ht="18.75" x14ac:dyDescent="0.3">
      <c r="A14" s="76">
        <v>654</v>
      </c>
      <c r="B14" s="69" t="s">
        <v>23</v>
      </c>
      <c r="C14" s="68"/>
      <c r="D14" s="68">
        <f>+G14/(T14*U14)</f>
        <v>0</v>
      </c>
      <c r="E14" s="106" t="s">
        <v>22</v>
      </c>
      <c r="F14" s="66">
        <v>0</v>
      </c>
      <c r="G14" s="67">
        <f t="shared" si="0"/>
        <v>0</v>
      </c>
      <c r="H14" s="67">
        <f t="shared" si="1"/>
        <v>0</v>
      </c>
      <c r="I14" s="67">
        <f t="shared" si="2"/>
        <v>25</v>
      </c>
      <c r="J14" s="67">
        <f t="shared" si="3"/>
        <v>3000</v>
      </c>
      <c r="K14" s="92"/>
      <c r="L14" s="134"/>
      <c r="M14" s="39"/>
      <c r="N14" s="121"/>
      <c r="O14" s="129"/>
      <c r="P14" s="92"/>
      <c r="Q14" s="96"/>
      <c r="R14" s="129"/>
      <c r="S14" s="92"/>
      <c r="T14" s="96">
        <v>25</v>
      </c>
      <c r="U14" s="121">
        <f>+Y14*W14</f>
        <v>2.5799999999999996</v>
      </c>
      <c r="V14" s="39">
        <f t="shared" si="4"/>
        <v>3000</v>
      </c>
      <c r="W14" s="120">
        <f t="shared" si="5"/>
        <v>2.1499999999999998E-2</v>
      </c>
      <c r="X14" s="121">
        <v>21.5</v>
      </c>
      <c r="Y14" s="39">
        <v>120</v>
      </c>
      <c r="Z14" s="39">
        <f>IFERROR(VLOOKUP(A14,'Estadistica Madre CH 23-01'!A:C,3,0),+VLOOKUP(A14,'Estadistica Madre LK 23-01 '!A:C,3,0))</f>
        <v>912</v>
      </c>
      <c r="AA14" s="122">
        <f t="shared" si="7"/>
        <v>11.4</v>
      </c>
      <c r="AB14" s="122"/>
      <c r="AC14" s="108" t="s">
        <v>53</v>
      </c>
    </row>
    <row r="15" spans="1:29" ht="18.75" x14ac:dyDescent="0.3">
      <c r="A15" s="76">
        <v>558</v>
      </c>
      <c r="B15" s="69" t="s">
        <v>25</v>
      </c>
      <c r="C15" s="68"/>
      <c r="D15" s="68">
        <f>+G15/(T15*U15)</f>
        <v>0.24000000000000002</v>
      </c>
      <c r="E15" s="106" t="s">
        <v>24</v>
      </c>
      <c r="F15" s="66">
        <v>6</v>
      </c>
      <c r="G15" s="67">
        <f t="shared" si="0"/>
        <v>10.8</v>
      </c>
      <c r="H15" s="67">
        <f t="shared" si="1"/>
        <v>696.77419354838719</v>
      </c>
      <c r="I15" s="67">
        <f t="shared" si="2"/>
        <v>19</v>
      </c>
      <c r="J15" s="67">
        <f t="shared" si="3"/>
        <v>2303.2258064516127</v>
      </c>
      <c r="K15" s="92"/>
      <c r="L15" s="134"/>
      <c r="M15" s="39"/>
      <c r="N15" s="121"/>
      <c r="O15" s="129"/>
      <c r="P15" s="92"/>
      <c r="Q15" s="96"/>
      <c r="R15" s="129"/>
      <c r="S15" s="92"/>
      <c r="T15" s="96">
        <v>25</v>
      </c>
      <c r="U15" s="121">
        <v>1.8</v>
      </c>
      <c r="V15" s="39">
        <f t="shared" si="4"/>
        <v>3000</v>
      </c>
      <c r="W15" s="120">
        <f t="shared" si="5"/>
        <v>1.55E-2</v>
      </c>
      <c r="X15" s="121">
        <v>15.5</v>
      </c>
      <c r="Y15" s="39">
        <v>120</v>
      </c>
      <c r="Z15" s="39">
        <f>IFERROR(VLOOKUP(A15,'Estadistica Madre CH 23-01'!A:C,3,0),+VLOOKUP(A15,'Estadistica Madre LK 23-01 '!A:C,3,0))</f>
        <v>2124</v>
      </c>
      <c r="AA15" s="122">
        <f t="shared" si="7"/>
        <v>26.55</v>
      </c>
      <c r="AB15" s="122"/>
      <c r="AC15" s="108" t="s">
        <v>53</v>
      </c>
    </row>
    <row r="16" spans="1:29" ht="21.2" customHeight="1" x14ac:dyDescent="0.3">
      <c r="A16" s="76">
        <v>557</v>
      </c>
      <c r="B16" s="69" t="s">
        <v>27</v>
      </c>
      <c r="C16" s="68"/>
      <c r="D16" s="68">
        <f>+G16/(T16*U16)</f>
        <v>1.36</v>
      </c>
      <c r="E16" s="106" t="s">
        <v>26</v>
      </c>
      <c r="F16" s="66">
        <v>34</v>
      </c>
      <c r="G16" s="67">
        <f t="shared" si="0"/>
        <v>61.2</v>
      </c>
      <c r="H16" s="67">
        <f t="shared" si="1"/>
        <v>3849.0566037735848</v>
      </c>
      <c r="I16" s="67">
        <f t="shared" si="2"/>
        <v>0</v>
      </c>
      <c r="J16" s="67" t="str">
        <f t="shared" si="3"/>
        <v/>
      </c>
      <c r="K16" s="92"/>
      <c r="L16" s="134"/>
      <c r="M16" s="39"/>
      <c r="N16" s="121"/>
      <c r="O16" s="129"/>
      <c r="P16" s="92"/>
      <c r="Q16" s="96"/>
      <c r="R16" s="129"/>
      <c r="S16" s="92"/>
      <c r="T16" s="96">
        <v>25</v>
      </c>
      <c r="U16" s="121">
        <v>1.8</v>
      </c>
      <c r="V16" s="39">
        <f t="shared" si="4"/>
        <v>3000</v>
      </c>
      <c r="W16" s="120">
        <f t="shared" si="5"/>
        <v>1.5900000000000001E-2</v>
      </c>
      <c r="X16" s="121">
        <v>15.9</v>
      </c>
      <c r="Y16" s="39">
        <v>120</v>
      </c>
      <c r="Z16" s="39">
        <f>IFERROR(VLOOKUP(A16,'Estadistica Madre CH 23-01'!A:C,3,0),+VLOOKUP(A16,'Estadistica Madre LK 23-01 '!A:C,3,0))</f>
        <v>1400</v>
      </c>
      <c r="AA16" s="122">
        <f t="shared" si="7"/>
        <v>17.5</v>
      </c>
      <c r="AB16" s="122"/>
      <c r="AC16" s="108" t="s">
        <v>53</v>
      </c>
    </row>
    <row r="17" spans="1:29" ht="18.75" x14ac:dyDescent="0.25">
      <c r="F17" s="165"/>
    </row>
    <row r="19" spans="1:29" ht="24" thickBot="1" x14ac:dyDescent="0.4">
      <c r="B19" s="166" t="s">
        <v>96</v>
      </c>
      <c r="C19" s="163"/>
      <c r="D19" s="163"/>
    </row>
    <row r="20" spans="1:29" ht="24" thickBot="1" x14ac:dyDescent="0.35">
      <c r="B20" s="161" t="s">
        <v>86</v>
      </c>
      <c r="C20" s="162" t="s">
        <v>1</v>
      </c>
      <c r="D20" s="160"/>
    </row>
    <row r="21" spans="1:29" ht="54.6" customHeight="1" thickBot="1" x14ac:dyDescent="0.3">
      <c r="A21" s="15" t="s">
        <v>3</v>
      </c>
      <c r="B21" s="4" t="s">
        <v>5</v>
      </c>
      <c r="C21" s="4" t="s">
        <v>59</v>
      </c>
      <c r="D21" s="4" t="s">
        <v>76</v>
      </c>
      <c r="E21" s="4" t="s">
        <v>4</v>
      </c>
      <c r="F21" s="4" t="s">
        <v>39</v>
      </c>
      <c r="G21" s="4" t="s">
        <v>6</v>
      </c>
      <c r="H21" s="4" t="s">
        <v>7</v>
      </c>
      <c r="I21" s="18" t="s">
        <v>54</v>
      </c>
      <c r="J21" s="18" t="s">
        <v>59</v>
      </c>
      <c r="K21" s="91"/>
      <c r="L21" s="133" t="s">
        <v>75</v>
      </c>
      <c r="M21" s="133" t="s">
        <v>69</v>
      </c>
      <c r="N21" s="6" t="s">
        <v>70</v>
      </c>
      <c r="O21" s="138" t="s">
        <v>74</v>
      </c>
      <c r="P21" s="91"/>
      <c r="Q21" s="133" t="s">
        <v>71</v>
      </c>
      <c r="R21" s="6" t="s">
        <v>72</v>
      </c>
      <c r="S21" s="91"/>
      <c r="T21" s="207" t="s">
        <v>63</v>
      </c>
      <c r="U21" s="154" t="s">
        <v>38</v>
      </c>
      <c r="V21" s="154" t="s">
        <v>58</v>
      </c>
      <c r="W21" s="154" t="s">
        <v>10</v>
      </c>
      <c r="X21" s="154" t="s">
        <v>65</v>
      </c>
      <c r="Y21" s="154" t="s">
        <v>11</v>
      </c>
      <c r="Z21" s="154" t="s">
        <v>14</v>
      </c>
      <c r="AA21" s="208" t="s">
        <v>64</v>
      </c>
      <c r="AB21" s="138" t="s">
        <v>80</v>
      </c>
      <c r="AC21" s="6" t="s">
        <v>46</v>
      </c>
    </row>
    <row r="22" spans="1:29" ht="18.75" x14ac:dyDescent="0.3">
      <c r="A22" s="76">
        <v>510</v>
      </c>
      <c r="B22" s="69" t="s">
        <v>31</v>
      </c>
      <c r="C22" s="68"/>
      <c r="D22" s="68">
        <f>+G22/(T22*U22)</f>
        <v>1.75</v>
      </c>
      <c r="E22" s="106" t="s">
        <v>30</v>
      </c>
      <c r="F22" s="66">
        <v>7</v>
      </c>
      <c r="G22" s="67">
        <f t="shared" si="0"/>
        <v>210</v>
      </c>
      <c r="H22" s="67">
        <f t="shared" si="1"/>
        <v>9545.454545454546</v>
      </c>
      <c r="I22" s="67">
        <f t="shared" si="2"/>
        <v>0</v>
      </c>
      <c r="J22" s="67" t="str">
        <f t="shared" si="3"/>
        <v/>
      </c>
      <c r="K22" s="92"/>
      <c r="L22" s="134"/>
      <c r="M22" s="39"/>
      <c r="N22" s="39"/>
      <c r="O22" s="128"/>
      <c r="P22" s="92"/>
      <c r="Q22" s="96"/>
      <c r="R22" s="128"/>
      <c r="S22" s="92"/>
      <c r="T22" s="131">
        <v>4</v>
      </c>
      <c r="U22" s="137">
        <v>30</v>
      </c>
      <c r="V22" s="137">
        <f t="shared" si="4"/>
        <v>5454.545454545455</v>
      </c>
      <c r="W22" s="205">
        <f t="shared" si="5"/>
        <v>2.1999999999999999E-2</v>
      </c>
      <c r="X22" s="206">
        <v>22</v>
      </c>
      <c r="Y22" s="137">
        <f t="shared" si="6"/>
        <v>1363.6363636363637</v>
      </c>
      <c r="Z22" s="137">
        <f>IFERROR(VLOOKUP(A22,'Estadistica Madre CH 23-01'!A:C,3,0),+VLOOKUP(A22,'Estadistica Madre LK 23-01 '!A:C,3,0))</f>
        <v>6456</v>
      </c>
      <c r="AA22" s="141">
        <f t="shared" si="7"/>
        <v>7.1015999999999995</v>
      </c>
      <c r="AB22" s="141"/>
      <c r="AC22" s="155" t="s">
        <v>86</v>
      </c>
    </row>
    <row r="26" spans="1:29" x14ac:dyDescent="0.25">
      <c r="B26" t="s">
        <v>98</v>
      </c>
    </row>
    <row r="27" spans="1:29" ht="18.75" x14ac:dyDescent="0.3">
      <c r="A27" s="106" t="s">
        <v>20</v>
      </c>
      <c r="B27" s="69" t="s">
        <v>21</v>
      </c>
      <c r="C27" s="68"/>
      <c r="D27" s="68">
        <f>+G27/(T27*U27)</f>
        <v>0</v>
      </c>
      <c r="E27" s="68"/>
      <c r="F27" s="66"/>
      <c r="G27" s="67">
        <f>F27*U27</f>
        <v>0</v>
      </c>
      <c r="H27" s="67">
        <f>+G27/W27</f>
        <v>0</v>
      </c>
      <c r="I27" s="67">
        <f>IF(T27-F27&lt;0,0,T27-F27)</f>
        <v>5</v>
      </c>
      <c r="J27" s="67">
        <f>+IF(V27-H27&lt;0,"",V27-H27)</f>
        <v>6833.7129840546695</v>
      </c>
      <c r="K27" s="92"/>
      <c r="L27" s="134"/>
      <c r="M27" s="39"/>
      <c r="N27" s="39"/>
      <c r="O27" s="128"/>
      <c r="P27" s="92"/>
      <c r="Q27" s="96"/>
      <c r="R27" s="128"/>
      <c r="S27" s="92"/>
      <c r="T27" s="96">
        <v>5</v>
      </c>
      <c r="U27" s="39">
        <v>30</v>
      </c>
      <c r="V27" s="39">
        <f>+T27*Y27</f>
        <v>6833.7129840546695</v>
      </c>
      <c r="W27" s="120">
        <f>+X27/1000</f>
        <v>2.1950000000000001E-2</v>
      </c>
      <c r="X27" s="121">
        <v>21.95</v>
      </c>
      <c r="Y27" s="39">
        <f>+U27/W27</f>
        <v>1366.7425968109339</v>
      </c>
      <c r="Z27" s="39">
        <f>IFERROR(VLOOKUP(706,'Estadistica Madre CH 23-01'!A:C,3,0),+VLOOKUP(A27,'Estadistica Madre LK 23-01 '!A:C,3,0))</f>
        <v>2400</v>
      </c>
      <c r="AA27" s="122">
        <f>1.5*Z27/Y27</f>
        <v>2.6339999999999999</v>
      </c>
      <c r="AB27" s="122"/>
      <c r="AC27" s="108" t="s">
        <v>47</v>
      </c>
    </row>
  </sheetData>
  <mergeCells count="2">
    <mergeCell ref="A1:F1"/>
    <mergeCell ref="T5:AC5"/>
  </mergeCells>
  <printOptions horizontalCentered="1" verticalCentered="1"/>
  <pageMargins left="0.25" right="0.25" top="0.75" bottom="0.75" header="0.3" footer="0.3"/>
  <pageSetup paperSize="9" scale="38" fitToHeight="0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F0"/>
    <pageSetUpPr fitToPage="1"/>
  </sheetPr>
  <dimension ref="A1:AC27"/>
  <sheetViews>
    <sheetView workbookViewId="0">
      <selection sqref="A1:F1"/>
    </sheetView>
  </sheetViews>
  <sheetFormatPr baseColWidth="10" defaultRowHeight="15" x14ac:dyDescent="0.25"/>
  <cols>
    <col min="1" max="1" width="7.140625" customWidth="1"/>
    <col min="2" max="2" width="28.85546875" customWidth="1"/>
    <col min="3" max="3" width="8.85546875" customWidth="1"/>
    <col min="4" max="4" width="7.42578125" customWidth="1"/>
    <col min="5" max="5" width="9" customWidth="1"/>
    <col min="6" max="6" width="12.140625" customWidth="1"/>
    <col min="7" max="7" width="9.42578125" customWidth="1"/>
    <col min="8" max="8" width="11.42578125" customWidth="1"/>
    <col min="9" max="9" width="8.42578125" customWidth="1"/>
    <col min="10" max="10" width="12.140625" style="110" customWidth="1"/>
    <col min="11" max="11" width="3.140625" customWidth="1"/>
    <col min="12" max="13" width="9.42578125" hidden="1" customWidth="1"/>
    <col min="14" max="14" width="8.85546875" hidden="1" customWidth="1"/>
    <col min="15" max="15" width="9.7109375" hidden="1" customWidth="1"/>
    <col min="16" max="16" width="3.140625" hidden="1" customWidth="1"/>
    <col min="17" max="17" width="11.140625" hidden="1" customWidth="1"/>
    <col min="18" max="18" width="10.140625" hidden="1" customWidth="1"/>
    <col min="19" max="19" width="3.140625" hidden="1" customWidth="1"/>
    <col min="20" max="20" width="8.140625" hidden="1" customWidth="1"/>
    <col min="21" max="21" width="8" hidden="1" customWidth="1"/>
    <col min="22" max="22" width="9.28515625" hidden="1" customWidth="1"/>
    <col min="23" max="23" width="10.140625" hidden="1" customWidth="1"/>
    <col min="24" max="24" width="8.28515625" hidden="1" customWidth="1"/>
    <col min="25" max="25" width="8.85546875" hidden="1" customWidth="1"/>
    <col min="26" max="26" width="11.140625" hidden="1" customWidth="1"/>
    <col min="27" max="27" width="13" hidden="1" customWidth="1"/>
    <col min="28" max="28" width="10.7109375" hidden="1" customWidth="1"/>
    <col min="29" max="29" width="11.85546875" hidden="1" customWidth="1"/>
    <col min="30" max="30" width="0" hidden="1" customWidth="1"/>
  </cols>
  <sheetData>
    <row r="1" spans="1:29" ht="39.200000000000003" customHeight="1" thickBot="1" x14ac:dyDescent="0.3">
      <c r="A1" s="517" t="s">
        <v>95</v>
      </c>
      <c r="B1" s="518"/>
      <c r="C1" s="518"/>
      <c r="D1" s="518"/>
      <c r="E1" s="518"/>
      <c r="F1" s="519"/>
      <c r="J1"/>
      <c r="V1" s="1"/>
    </row>
    <row r="2" spans="1:29" ht="24.75" customHeight="1" thickBot="1" x14ac:dyDescent="0.35">
      <c r="B2" s="164" t="s">
        <v>1</v>
      </c>
      <c r="H2" s="1"/>
      <c r="I2" s="3" t="s">
        <v>55</v>
      </c>
      <c r="J2" s="3"/>
    </row>
    <row r="3" spans="1:29" ht="24.75" customHeight="1" x14ac:dyDescent="0.3">
      <c r="F3" s="1"/>
      <c r="G3" s="1"/>
      <c r="H3" s="1"/>
      <c r="I3" s="3"/>
      <c r="J3" s="3"/>
    </row>
    <row r="4" spans="1:29" ht="24.75" customHeight="1" thickBot="1" x14ac:dyDescent="0.4">
      <c r="B4" s="166" t="s">
        <v>96</v>
      </c>
      <c r="C4" s="163"/>
      <c r="D4" s="163"/>
      <c r="E4" s="163"/>
      <c r="F4" s="1"/>
      <c r="G4" s="1"/>
      <c r="H4" s="1"/>
      <c r="I4" s="3"/>
      <c r="J4" s="3"/>
    </row>
    <row r="5" spans="1:29" ht="24.75" customHeight="1" thickBot="1" x14ac:dyDescent="0.35">
      <c r="B5" s="161" t="s">
        <v>97</v>
      </c>
      <c r="C5" s="162" t="s">
        <v>1</v>
      </c>
      <c r="D5" s="160"/>
      <c r="F5" s="1"/>
      <c r="G5" s="1"/>
      <c r="H5" s="1"/>
      <c r="I5" s="3"/>
      <c r="J5" s="3"/>
      <c r="T5" s="522" t="s">
        <v>73</v>
      </c>
      <c r="U5" s="523"/>
      <c r="V5" s="523"/>
      <c r="W5" s="523"/>
      <c r="X5" s="523"/>
      <c r="Y5" s="523"/>
      <c r="Z5" s="523"/>
      <c r="AA5" s="523"/>
      <c r="AB5" s="523"/>
      <c r="AC5" s="524"/>
    </row>
    <row r="6" spans="1:29" ht="54.6" customHeight="1" thickBot="1" x14ac:dyDescent="0.3">
      <c r="A6" s="15" t="s">
        <v>3</v>
      </c>
      <c r="B6" s="4" t="s">
        <v>5</v>
      </c>
      <c r="C6" s="4" t="s">
        <v>59</v>
      </c>
      <c r="D6" s="4" t="s">
        <v>76</v>
      </c>
      <c r="E6" s="4" t="s">
        <v>4</v>
      </c>
      <c r="F6" s="4" t="s">
        <v>39</v>
      </c>
      <c r="G6" s="4" t="s">
        <v>6</v>
      </c>
      <c r="H6" s="4" t="s">
        <v>7</v>
      </c>
      <c r="I6" s="18" t="s">
        <v>54</v>
      </c>
      <c r="J6" s="18" t="s">
        <v>59</v>
      </c>
      <c r="K6" s="91"/>
      <c r="L6" s="133" t="s">
        <v>75</v>
      </c>
      <c r="M6" s="133" t="s">
        <v>69</v>
      </c>
      <c r="N6" s="6" t="s">
        <v>70</v>
      </c>
      <c r="O6" s="138" t="s">
        <v>74</v>
      </c>
      <c r="P6" s="91"/>
      <c r="Q6" s="133" t="s">
        <v>71</v>
      </c>
      <c r="R6" s="6" t="s">
        <v>72</v>
      </c>
      <c r="S6" s="91"/>
      <c r="T6" s="102" t="s">
        <v>63</v>
      </c>
      <c r="U6" s="103" t="s">
        <v>38</v>
      </c>
      <c r="V6" s="103" t="s">
        <v>58</v>
      </c>
      <c r="W6" s="103" t="s">
        <v>10</v>
      </c>
      <c r="X6" s="103" t="s">
        <v>65</v>
      </c>
      <c r="Y6" s="103" t="s">
        <v>11</v>
      </c>
      <c r="Z6" s="103" t="s">
        <v>14</v>
      </c>
      <c r="AA6" s="104" t="s">
        <v>64</v>
      </c>
      <c r="AB6" s="140" t="s">
        <v>80</v>
      </c>
      <c r="AC6" s="4" t="s">
        <v>46</v>
      </c>
    </row>
    <row r="7" spans="1:29" ht="18.75" x14ac:dyDescent="0.3">
      <c r="A7" s="70">
        <v>500</v>
      </c>
      <c r="B7" s="71" t="s">
        <v>16</v>
      </c>
      <c r="C7" s="74"/>
      <c r="D7" s="74">
        <f>+G7/(T7*U7)</f>
        <v>1.6</v>
      </c>
      <c r="E7" s="111" t="s">
        <v>15</v>
      </c>
      <c r="F7" s="73">
        <v>8</v>
      </c>
      <c r="G7" s="72">
        <f t="shared" ref="G7:G22" si="0">F7*U7</f>
        <v>240</v>
      </c>
      <c r="H7" s="72">
        <f t="shared" ref="H7:H22" si="1">+G7/W7</f>
        <v>7283.7632776934752</v>
      </c>
      <c r="I7" s="72">
        <f t="shared" ref="I7:I22" si="2">IF(T7-F7&lt;0,0,T7-F7)</f>
        <v>0</v>
      </c>
      <c r="J7" s="72" t="str">
        <f t="shared" ref="J7:J22" si="3">+IF(V7-H7&lt;0,"",V7-H7)</f>
        <v/>
      </c>
      <c r="K7" s="92"/>
      <c r="L7" s="136"/>
      <c r="M7" s="137"/>
      <c r="N7" s="137"/>
      <c r="O7" s="132"/>
      <c r="P7" s="92"/>
      <c r="Q7" s="131"/>
      <c r="R7" s="132"/>
      <c r="S7" s="92"/>
      <c r="T7" s="96">
        <v>5</v>
      </c>
      <c r="U7" s="39">
        <v>30</v>
      </c>
      <c r="V7" s="39">
        <f>+T7*Y7</f>
        <v>4552.3520485584222</v>
      </c>
      <c r="W7" s="120">
        <f>+X7/1000</f>
        <v>3.295E-2</v>
      </c>
      <c r="X7" s="121">
        <v>32.950000000000003</v>
      </c>
      <c r="Y7" s="39">
        <f>+U7/W7</f>
        <v>910.4704097116844</v>
      </c>
      <c r="Z7" s="39">
        <f>IFERROR(VLOOKUP(A7,'Estadistica Madre CH 23-01'!A:C,3,0),+VLOOKUP(A7,'Estadistica Madre LK 23-01 '!A:C,3,0))</f>
        <v>1440</v>
      </c>
      <c r="AA7" s="122">
        <f>1.5*Z7/Y7</f>
        <v>2.3723999999999998</v>
      </c>
      <c r="AB7" s="141"/>
      <c r="AC7" s="107" t="s">
        <v>47</v>
      </c>
    </row>
    <row r="8" spans="1:29" ht="18.75" x14ac:dyDescent="0.3">
      <c r="A8" s="76">
        <v>706</v>
      </c>
      <c r="B8" s="69" t="s">
        <v>18</v>
      </c>
      <c r="C8" s="68"/>
      <c r="D8" s="68">
        <f>+G8/(T8*U8)</f>
        <v>2</v>
      </c>
      <c r="E8" s="106" t="s">
        <v>17</v>
      </c>
      <c r="F8" s="66">
        <v>8</v>
      </c>
      <c r="G8" s="67">
        <f t="shared" si="0"/>
        <v>240</v>
      </c>
      <c r="H8" s="67">
        <f t="shared" si="1"/>
        <v>10933.940774487472</v>
      </c>
      <c r="I8" s="67">
        <f t="shared" si="2"/>
        <v>0</v>
      </c>
      <c r="J8" s="67" t="str">
        <f t="shared" si="3"/>
        <v/>
      </c>
      <c r="K8" s="92"/>
      <c r="L8" s="134"/>
      <c r="M8" s="39"/>
      <c r="N8" s="39"/>
      <c r="O8" s="128"/>
      <c r="P8" s="92"/>
      <c r="Q8" s="96"/>
      <c r="R8" s="128"/>
      <c r="S8" s="92"/>
      <c r="T8" s="96">
        <v>4</v>
      </c>
      <c r="U8" s="39">
        <v>30</v>
      </c>
      <c r="V8" s="39">
        <f t="shared" ref="V8:V22" si="4">+T8*Y8</f>
        <v>5466.9703872437358</v>
      </c>
      <c r="W8" s="120">
        <f t="shared" ref="W8:W22" si="5">+X8/1000</f>
        <v>2.1950000000000001E-2</v>
      </c>
      <c r="X8" s="121">
        <v>21.95</v>
      </c>
      <c r="Y8" s="39">
        <f t="shared" ref="Y8:Y22" si="6">+U8/W8</f>
        <v>1366.7425968109339</v>
      </c>
      <c r="Z8" s="39">
        <f>IFERROR(VLOOKUP(A8,'Estadistica Madre CH 23-01'!A:C,3,0),+VLOOKUP(A8,'Estadistica Madre LK 23-01 '!A:C,3,0))</f>
        <v>2400</v>
      </c>
      <c r="AA8" s="122">
        <f t="shared" ref="AA8:AA22" si="7">1.5*Z8/Y8</f>
        <v>2.6339999999999999</v>
      </c>
      <c r="AB8" s="122"/>
      <c r="AC8" s="108" t="s">
        <v>47</v>
      </c>
    </row>
    <row r="9" spans="1:29" ht="21.2" customHeight="1" x14ac:dyDescent="0.3">
      <c r="A9" s="76">
        <v>506</v>
      </c>
      <c r="B9" s="69" t="s">
        <v>29</v>
      </c>
      <c r="C9" s="67">
        <v>5400</v>
      </c>
      <c r="D9" s="68">
        <f>+G9/(T9*U9)</f>
        <v>0.5</v>
      </c>
      <c r="E9" s="106" t="s">
        <v>28</v>
      </c>
      <c r="F9" s="66">
        <v>4</v>
      </c>
      <c r="G9" s="67">
        <f>F9*U9</f>
        <v>120</v>
      </c>
      <c r="H9" s="67">
        <f>+G9/W9</f>
        <v>5466.9703872437358</v>
      </c>
      <c r="I9" s="67">
        <f>IF(T9-F9&lt;0,0,T9-F9)</f>
        <v>4</v>
      </c>
      <c r="J9" s="67">
        <f>+IF(V9-H9&lt;0,"",V9-H9)</f>
        <v>5466.9703872437358</v>
      </c>
      <c r="K9" s="92"/>
      <c r="L9" s="134"/>
      <c r="M9" s="39"/>
      <c r="N9" s="39"/>
      <c r="O9" s="128"/>
      <c r="P9" s="92"/>
      <c r="Q9" s="96"/>
      <c r="R9" s="128"/>
      <c r="S9" s="92"/>
      <c r="T9" s="96">
        <v>8</v>
      </c>
      <c r="U9" s="39">
        <v>30</v>
      </c>
      <c r="V9" s="39">
        <f>+T9*Y9</f>
        <v>10933.940774487472</v>
      </c>
      <c r="W9" s="120">
        <f>+X9/1000</f>
        <v>2.1950000000000001E-2</v>
      </c>
      <c r="X9" s="121">
        <v>21.95</v>
      </c>
      <c r="Y9" s="39">
        <f>+U9/W9</f>
        <v>1366.7425968109339</v>
      </c>
      <c r="Z9" s="39">
        <f>IFERROR(VLOOKUP(A9,'Estadistica Madre CH 23-01'!A:C,3,0),+VLOOKUP(A9,'Estadistica Madre LK 23-01 '!A:C,3,0))</f>
        <v>18840</v>
      </c>
      <c r="AA9" s="122">
        <f>1.5*Z9/Y9</f>
        <v>20.6769</v>
      </c>
      <c r="AB9" s="122"/>
      <c r="AC9" s="108" t="s">
        <v>47</v>
      </c>
    </row>
    <row r="10" spans="1:29" x14ac:dyDescent="0.25">
      <c r="J10"/>
    </row>
    <row r="11" spans="1:29" ht="24" thickBot="1" x14ac:dyDescent="0.4">
      <c r="B11" s="166" t="s">
        <v>96</v>
      </c>
      <c r="C11" s="163"/>
      <c r="D11" s="163"/>
      <c r="E11" s="163"/>
      <c r="J11"/>
    </row>
    <row r="12" spans="1:29" ht="24" thickBot="1" x14ac:dyDescent="0.35">
      <c r="B12" s="161" t="s">
        <v>53</v>
      </c>
      <c r="C12" s="162" t="s">
        <v>1</v>
      </c>
      <c r="D12" s="160"/>
      <c r="J12"/>
    </row>
    <row r="13" spans="1:29" ht="54.6" customHeight="1" thickBot="1" x14ac:dyDescent="0.3">
      <c r="A13" s="15" t="s">
        <v>3</v>
      </c>
      <c r="B13" s="4" t="s">
        <v>5</v>
      </c>
      <c r="C13" s="4" t="s">
        <v>59</v>
      </c>
      <c r="D13" s="4" t="s">
        <v>76</v>
      </c>
      <c r="E13" s="4" t="s">
        <v>4</v>
      </c>
      <c r="F13" s="4" t="s">
        <v>39</v>
      </c>
      <c r="G13" s="4" t="s">
        <v>6</v>
      </c>
      <c r="H13" s="4" t="s">
        <v>7</v>
      </c>
      <c r="I13" s="18" t="s">
        <v>54</v>
      </c>
      <c r="J13" s="18" t="s">
        <v>59</v>
      </c>
      <c r="K13" s="91"/>
      <c r="L13" s="133" t="s">
        <v>75</v>
      </c>
      <c r="M13" s="133" t="s">
        <v>69</v>
      </c>
      <c r="N13" s="6" t="s">
        <v>70</v>
      </c>
      <c r="O13" s="138" t="s">
        <v>74</v>
      </c>
      <c r="P13" s="91"/>
      <c r="Q13" s="133" t="s">
        <v>71</v>
      </c>
      <c r="R13" s="6" t="s">
        <v>72</v>
      </c>
      <c r="S13" s="91"/>
      <c r="T13" s="102" t="s">
        <v>63</v>
      </c>
      <c r="U13" s="103" t="s">
        <v>38</v>
      </c>
      <c r="V13" s="103" t="s">
        <v>58</v>
      </c>
      <c r="W13" s="103" t="s">
        <v>10</v>
      </c>
      <c r="X13" s="103" t="s">
        <v>65</v>
      </c>
      <c r="Y13" s="103" t="s">
        <v>11</v>
      </c>
      <c r="Z13" s="103" t="s">
        <v>14</v>
      </c>
      <c r="AA13" s="104" t="s">
        <v>64</v>
      </c>
      <c r="AB13" s="140" t="s">
        <v>80</v>
      </c>
      <c r="AC13" s="4" t="s">
        <v>46</v>
      </c>
    </row>
    <row r="14" spans="1:29" ht="18.75" x14ac:dyDescent="0.3">
      <c r="A14" s="76">
        <v>654</v>
      </c>
      <c r="B14" s="69" t="s">
        <v>23</v>
      </c>
      <c r="C14" s="67">
        <v>2100</v>
      </c>
      <c r="D14" s="68">
        <f>+G14/(T14*U14)</f>
        <v>0.28000000000000003</v>
      </c>
      <c r="E14" s="106" t="s">
        <v>22</v>
      </c>
      <c r="F14" s="66">
        <v>7</v>
      </c>
      <c r="G14" s="67">
        <f t="shared" si="0"/>
        <v>18.059999999999999</v>
      </c>
      <c r="H14" s="67">
        <f t="shared" si="1"/>
        <v>840</v>
      </c>
      <c r="I14" s="67">
        <f t="shared" si="2"/>
        <v>18</v>
      </c>
      <c r="J14" s="67">
        <f t="shared" si="3"/>
        <v>2160</v>
      </c>
      <c r="K14" s="92"/>
      <c r="L14" s="134"/>
      <c r="M14" s="39"/>
      <c r="N14" s="121"/>
      <c r="O14" s="129"/>
      <c r="P14" s="92"/>
      <c r="Q14" s="96"/>
      <c r="R14" s="129"/>
      <c r="S14" s="92"/>
      <c r="T14" s="96">
        <v>25</v>
      </c>
      <c r="U14" s="121">
        <f>+Y14*W14</f>
        <v>2.5799999999999996</v>
      </c>
      <c r="V14" s="39">
        <f t="shared" si="4"/>
        <v>3000</v>
      </c>
      <c r="W14" s="120">
        <f t="shared" si="5"/>
        <v>2.1499999999999998E-2</v>
      </c>
      <c r="X14" s="121">
        <v>21.5</v>
      </c>
      <c r="Y14" s="39">
        <v>120</v>
      </c>
      <c r="Z14" s="39">
        <f>IFERROR(VLOOKUP(A14,'Estadistica Madre CH 23-01'!A:C,3,0),+VLOOKUP(A14,'Estadistica Madre LK 23-01 '!A:C,3,0))</f>
        <v>912</v>
      </c>
      <c r="AA14" s="122">
        <f t="shared" si="7"/>
        <v>11.4</v>
      </c>
      <c r="AB14" s="122"/>
      <c r="AC14" s="108" t="s">
        <v>53</v>
      </c>
    </row>
    <row r="15" spans="1:29" ht="18.75" x14ac:dyDescent="0.3">
      <c r="A15" s="76">
        <v>558</v>
      </c>
      <c r="B15" s="69" t="s">
        <v>25</v>
      </c>
      <c r="C15" s="67">
        <v>1200</v>
      </c>
      <c r="D15" s="68">
        <f>+G15/(T15*U15)</f>
        <v>0.6</v>
      </c>
      <c r="E15" s="106" t="s">
        <v>24</v>
      </c>
      <c r="F15" s="66">
        <v>15</v>
      </c>
      <c r="G15" s="67">
        <f t="shared" si="0"/>
        <v>27</v>
      </c>
      <c r="H15" s="67">
        <f t="shared" si="1"/>
        <v>1741.9354838709678</v>
      </c>
      <c r="I15" s="67">
        <f t="shared" si="2"/>
        <v>10</v>
      </c>
      <c r="J15" s="67">
        <f t="shared" si="3"/>
        <v>1258.0645161290322</v>
      </c>
      <c r="K15" s="92"/>
      <c r="L15" s="134"/>
      <c r="M15" s="39"/>
      <c r="N15" s="121"/>
      <c r="O15" s="129"/>
      <c r="P15" s="92"/>
      <c r="Q15" s="96"/>
      <c r="R15" s="129"/>
      <c r="S15" s="92"/>
      <c r="T15" s="96">
        <v>25</v>
      </c>
      <c r="U15" s="121">
        <v>1.8</v>
      </c>
      <c r="V15" s="39">
        <f t="shared" si="4"/>
        <v>3000</v>
      </c>
      <c r="W15" s="120">
        <f t="shared" si="5"/>
        <v>1.55E-2</v>
      </c>
      <c r="X15" s="121">
        <v>15.5</v>
      </c>
      <c r="Y15" s="39">
        <v>120</v>
      </c>
      <c r="Z15" s="39">
        <f>IFERROR(VLOOKUP(A15,'Estadistica Madre CH 23-01'!A:C,3,0),+VLOOKUP(A15,'Estadistica Madre LK 23-01 '!A:C,3,0))</f>
        <v>2124</v>
      </c>
      <c r="AA15" s="122">
        <f t="shared" si="7"/>
        <v>26.55</v>
      </c>
      <c r="AB15" s="122"/>
      <c r="AC15" s="108" t="s">
        <v>53</v>
      </c>
    </row>
    <row r="16" spans="1:29" ht="21.2" customHeight="1" x14ac:dyDescent="0.3">
      <c r="A16" s="76">
        <v>557</v>
      </c>
      <c r="B16" s="69" t="s">
        <v>27</v>
      </c>
      <c r="C16" s="68"/>
      <c r="D16" s="68">
        <f>+G16/(T16*U16)</f>
        <v>1.1600000000000001</v>
      </c>
      <c r="E16" s="106" t="s">
        <v>26</v>
      </c>
      <c r="F16" s="66">
        <v>29</v>
      </c>
      <c r="G16" s="67">
        <f t="shared" si="0"/>
        <v>52.2</v>
      </c>
      <c r="H16" s="67">
        <f t="shared" si="1"/>
        <v>3283.0188679245284</v>
      </c>
      <c r="I16" s="67">
        <f t="shared" si="2"/>
        <v>0</v>
      </c>
      <c r="J16" s="67" t="str">
        <f t="shared" si="3"/>
        <v/>
      </c>
      <c r="K16" s="92"/>
      <c r="L16" s="134"/>
      <c r="M16" s="39"/>
      <c r="N16" s="121"/>
      <c r="O16" s="129"/>
      <c r="P16" s="92"/>
      <c r="Q16" s="96"/>
      <c r="R16" s="129"/>
      <c r="S16" s="92"/>
      <c r="T16" s="96">
        <v>25</v>
      </c>
      <c r="U16" s="121">
        <v>1.8</v>
      </c>
      <c r="V16" s="39">
        <f t="shared" si="4"/>
        <v>3000</v>
      </c>
      <c r="W16" s="120">
        <f t="shared" si="5"/>
        <v>1.5900000000000001E-2</v>
      </c>
      <c r="X16" s="121">
        <v>15.9</v>
      </c>
      <c r="Y16" s="39">
        <v>120</v>
      </c>
      <c r="Z16" s="39">
        <f>IFERROR(VLOOKUP(A16,'Estadistica Madre CH 23-01'!A:C,3,0),+VLOOKUP(A16,'Estadistica Madre LK 23-01 '!A:C,3,0))</f>
        <v>1400</v>
      </c>
      <c r="AA16" s="122">
        <f t="shared" si="7"/>
        <v>17.5</v>
      </c>
      <c r="AB16" s="122"/>
      <c r="AC16" s="108" t="s">
        <v>53</v>
      </c>
    </row>
    <row r="19" spans="1:29" ht="24" thickBot="1" x14ac:dyDescent="0.4">
      <c r="B19" s="166" t="s">
        <v>96</v>
      </c>
      <c r="C19" s="163"/>
      <c r="D19" s="163"/>
    </row>
    <row r="20" spans="1:29" ht="24" thickBot="1" x14ac:dyDescent="0.35">
      <c r="B20" s="161" t="s">
        <v>86</v>
      </c>
      <c r="C20" s="162" t="s">
        <v>1</v>
      </c>
      <c r="D20" s="160"/>
    </row>
    <row r="21" spans="1:29" ht="54.6" customHeight="1" thickBot="1" x14ac:dyDescent="0.3">
      <c r="A21" s="15" t="s">
        <v>3</v>
      </c>
      <c r="B21" s="4" t="s">
        <v>5</v>
      </c>
      <c r="C21" s="4" t="s">
        <v>59</v>
      </c>
      <c r="D21" s="4" t="s">
        <v>76</v>
      </c>
      <c r="E21" s="4" t="s">
        <v>4</v>
      </c>
      <c r="F21" s="4" t="s">
        <v>39</v>
      </c>
      <c r="G21" s="4" t="s">
        <v>6</v>
      </c>
      <c r="H21" s="4" t="s">
        <v>7</v>
      </c>
      <c r="I21" s="18" t="s">
        <v>54</v>
      </c>
      <c r="J21" s="18" t="s">
        <v>59</v>
      </c>
      <c r="K21" s="91"/>
      <c r="L21" s="133" t="s">
        <v>75</v>
      </c>
      <c r="M21" s="133" t="s">
        <v>69</v>
      </c>
      <c r="N21" s="6" t="s">
        <v>70</v>
      </c>
      <c r="O21" s="138" t="s">
        <v>74</v>
      </c>
      <c r="P21" s="91"/>
      <c r="Q21" s="133" t="s">
        <v>71</v>
      </c>
      <c r="R21" s="6" t="s">
        <v>72</v>
      </c>
      <c r="S21" s="91"/>
      <c r="T21" s="207" t="s">
        <v>63</v>
      </c>
      <c r="U21" s="154" t="s">
        <v>38</v>
      </c>
      <c r="V21" s="154" t="s">
        <v>58</v>
      </c>
      <c r="W21" s="154" t="s">
        <v>10</v>
      </c>
      <c r="X21" s="154" t="s">
        <v>65</v>
      </c>
      <c r="Y21" s="154" t="s">
        <v>11</v>
      </c>
      <c r="Z21" s="154" t="s">
        <v>14</v>
      </c>
      <c r="AA21" s="208" t="s">
        <v>64</v>
      </c>
      <c r="AB21" s="138" t="s">
        <v>80</v>
      </c>
      <c r="AC21" s="6" t="s">
        <v>46</v>
      </c>
    </row>
    <row r="22" spans="1:29" ht="18.75" x14ac:dyDescent="0.3">
      <c r="A22" s="76">
        <v>510</v>
      </c>
      <c r="B22" s="69" t="s">
        <v>31</v>
      </c>
      <c r="C22" s="68"/>
      <c r="D22" s="68">
        <f>+G22/(T22*U22)</f>
        <v>1.5</v>
      </c>
      <c r="E22" s="106" t="s">
        <v>30</v>
      </c>
      <c r="F22" s="66">
        <v>6</v>
      </c>
      <c r="G22" s="67">
        <f t="shared" si="0"/>
        <v>180</v>
      </c>
      <c r="H22" s="67">
        <f t="shared" si="1"/>
        <v>8181.818181818182</v>
      </c>
      <c r="I22" s="67">
        <f t="shared" si="2"/>
        <v>0</v>
      </c>
      <c r="J22" s="67" t="str">
        <f t="shared" si="3"/>
        <v/>
      </c>
      <c r="K22" s="92"/>
      <c r="L22" s="134"/>
      <c r="M22" s="39"/>
      <c r="N22" s="39"/>
      <c r="O22" s="128"/>
      <c r="P22" s="92"/>
      <c r="Q22" s="96"/>
      <c r="R22" s="128"/>
      <c r="S22" s="92"/>
      <c r="T22" s="131">
        <v>4</v>
      </c>
      <c r="U22" s="137">
        <v>30</v>
      </c>
      <c r="V22" s="137">
        <f t="shared" si="4"/>
        <v>5454.545454545455</v>
      </c>
      <c r="W22" s="205">
        <f t="shared" si="5"/>
        <v>2.1999999999999999E-2</v>
      </c>
      <c r="X22" s="206">
        <v>22</v>
      </c>
      <c r="Y22" s="137">
        <f t="shared" si="6"/>
        <v>1363.6363636363637</v>
      </c>
      <c r="Z22" s="137">
        <f>IFERROR(VLOOKUP(A22,'Estadistica Madre CH 23-01'!A:C,3,0),+VLOOKUP(A22,'Estadistica Madre LK 23-01 '!A:C,3,0))</f>
        <v>6456</v>
      </c>
      <c r="AA22" s="141">
        <f t="shared" si="7"/>
        <v>7.1015999999999995</v>
      </c>
      <c r="AB22" s="141"/>
      <c r="AC22" s="155" t="s">
        <v>86</v>
      </c>
    </row>
    <row r="26" spans="1:29" x14ac:dyDescent="0.25">
      <c r="B26" t="s">
        <v>98</v>
      </c>
    </row>
    <row r="27" spans="1:29" ht="18.75" x14ac:dyDescent="0.3">
      <c r="A27" s="106" t="s">
        <v>20</v>
      </c>
      <c r="B27" s="69" t="s">
        <v>21</v>
      </c>
      <c r="C27" s="68"/>
      <c r="D27" s="68">
        <f>+G27/(T27*U27)</f>
        <v>0</v>
      </c>
      <c r="E27" s="68"/>
      <c r="F27" s="66"/>
      <c r="G27" s="67">
        <f>F27*U27</f>
        <v>0</v>
      </c>
      <c r="H27" s="67">
        <f>+G27/W27</f>
        <v>0</v>
      </c>
      <c r="I27" s="67">
        <f>IF(T27-F27&lt;0,0,T27-F27)</f>
        <v>5</v>
      </c>
      <c r="J27" s="67">
        <f>+IF(V27-H27&lt;0,"",V27-H27)</f>
        <v>6833.7129840546695</v>
      </c>
      <c r="K27" s="92"/>
      <c r="L27" s="134"/>
      <c r="M27" s="39"/>
      <c r="N27" s="39"/>
      <c r="O27" s="128"/>
      <c r="P27" s="92"/>
      <c r="Q27" s="96"/>
      <c r="R27" s="128"/>
      <c r="S27" s="92"/>
      <c r="T27" s="96">
        <v>5</v>
      </c>
      <c r="U27" s="39">
        <v>30</v>
      </c>
      <c r="V27" s="39">
        <f>+T27*Y27</f>
        <v>6833.7129840546695</v>
      </c>
      <c r="W27" s="120">
        <f>+X27/1000</f>
        <v>2.1950000000000001E-2</v>
      </c>
      <c r="X27" s="121">
        <v>21.95</v>
      </c>
      <c r="Y27" s="39">
        <f>+U27/W27</f>
        <v>1366.7425968109339</v>
      </c>
      <c r="Z27" s="39">
        <f>IFERROR(VLOOKUP(706,'Estadistica Madre CH 23-01'!A:C,3,0),+VLOOKUP(A27,'Estadistica Madre LK 23-01 '!A:C,3,0))</f>
        <v>2400</v>
      </c>
      <c r="AA27" s="122">
        <f>1.5*Z27/Y27</f>
        <v>2.6339999999999999</v>
      </c>
      <c r="AB27" s="122"/>
      <c r="AC27" s="108" t="s">
        <v>47</v>
      </c>
    </row>
  </sheetData>
  <mergeCells count="2">
    <mergeCell ref="A1:F1"/>
    <mergeCell ref="T5:AC5"/>
  </mergeCells>
  <printOptions horizontalCentered="1" verticalCentered="1"/>
  <pageMargins left="0.25" right="0.25" top="0.75" bottom="0.75" header="0.3" footer="0.3"/>
  <pageSetup paperSize="9" scale="38" fitToHeight="0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F0"/>
    <pageSetUpPr fitToPage="1"/>
  </sheetPr>
  <dimension ref="A1:AC27"/>
  <sheetViews>
    <sheetView workbookViewId="0">
      <selection sqref="A1:F1"/>
    </sheetView>
  </sheetViews>
  <sheetFormatPr baseColWidth="10" defaultRowHeight="15" x14ac:dyDescent="0.25"/>
  <cols>
    <col min="1" max="1" width="7.140625" customWidth="1"/>
    <col min="2" max="2" width="28.85546875" customWidth="1"/>
    <col min="3" max="3" width="10.28515625" customWidth="1"/>
    <col min="4" max="4" width="7.42578125" customWidth="1"/>
    <col min="5" max="5" width="9" customWidth="1"/>
    <col min="6" max="6" width="12.140625" customWidth="1"/>
    <col min="7" max="7" width="9.42578125" customWidth="1"/>
    <col min="8" max="8" width="11.42578125" customWidth="1"/>
    <col min="9" max="9" width="8.42578125" customWidth="1"/>
    <col min="10" max="10" width="12.140625" style="110" customWidth="1"/>
    <col min="11" max="11" width="3.140625" customWidth="1"/>
    <col min="12" max="13" width="9.42578125" customWidth="1"/>
    <col min="14" max="14" width="8.85546875" customWidth="1"/>
    <col min="15" max="15" width="9.7109375" customWidth="1"/>
    <col min="16" max="16" width="3.140625" customWidth="1"/>
    <col min="17" max="17" width="11.140625" customWidth="1"/>
    <col min="18" max="18" width="10.140625" customWidth="1"/>
    <col min="19" max="19" width="3.140625" customWidth="1"/>
    <col min="20" max="20" width="8.140625" customWidth="1"/>
    <col min="21" max="21" width="8" customWidth="1"/>
    <col min="22" max="22" width="10" customWidth="1"/>
    <col min="23" max="23" width="10.140625" customWidth="1"/>
    <col min="24" max="24" width="8.28515625" customWidth="1"/>
    <col min="25" max="25" width="8.85546875" customWidth="1"/>
    <col min="26" max="26" width="11.140625" customWidth="1"/>
    <col min="27" max="28" width="10.7109375" customWidth="1"/>
    <col min="29" max="29" width="11.85546875" customWidth="1"/>
  </cols>
  <sheetData>
    <row r="1" spans="1:29" ht="39.200000000000003" customHeight="1" thickBot="1" x14ac:dyDescent="0.3">
      <c r="A1" s="517" t="s">
        <v>95</v>
      </c>
      <c r="B1" s="518"/>
      <c r="C1" s="518"/>
      <c r="D1" s="518"/>
      <c r="E1" s="518"/>
      <c r="F1" s="519"/>
      <c r="J1"/>
      <c r="V1" s="1"/>
    </row>
    <row r="2" spans="1:29" ht="24.75" customHeight="1" thickBot="1" x14ac:dyDescent="0.35">
      <c r="B2" s="164" t="s">
        <v>1</v>
      </c>
      <c r="H2" s="1"/>
      <c r="I2" s="3" t="s">
        <v>55</v>
      </c>
      <c r="J2" s="3"/>
    </row>
    <row r="3" spans="1:29" ht="24.75" customHeight="1" x14ac:dyDescent="0.3">
      <c r="F3" s="1"/>
      <c r="G3" s="1"/>
      <c r="H3" s="1"/>
      <c r="I3" s="3"/>
      <c r="J3" s="3"/>
    </row>
    <row r="4" spans="1:29" ht="24.75" customHeight="1" thickBot="1" x14ac:dyDescent="0.4">
      <c r="B4" s="166" t="s">
        <v>96</v>
      </c>
      <c r="C4" s="163"/>
      <c r="D4" s="163"/>
      <c r="E4" s="163"/>
      <c r="F4" s="1"/>
      <c r="G4" s="1"/>
      <c r="H4" s="1"/>
      <c r="I4" s="3"/>
      <c r="J4" s="3"/>
    </row>
    <row r="5" spans="1:29" ht="24.75" customHeight="1" thickBot="1" x14ac:dyDescent="0.35">
      <c r="B5" s="161" t="s">
        <v>97</v>
      </c>
      <c r="C5" s="162" t="s">
        <v>1</v>
      </c>
      <c r="D5" s="160"/>
      <c r="F5" s="1"/>
      <c r="G5" s="1"/>
      <c r="H5" s="1"/>
      <c r="I5" s="3"/>
      <c r="J5" s="3"/>
      <c r="T5" s="522" t="s">
        <v>73</v>
      </c>
      <c r="U5" s="523"/>
      <c r="V5" s="523"/>
      <c r="W5" s="523"/>
      <c r="X5" s="523"/>
      <c r="Y5" s="523"/>
      <c r="Z5" s="523"/>
      <c r="AA5" s="523"/>
      <c r="AB5" s="523"/>
      <c r="AC5" s="524"/>
    </row>
    <row r="6" spans="1:29" ht="54.6" customHeight="1" thickBot="1" x14ac:dyDescent="0.3">
      <c r="A6" s="15" t="s">
        <v>3</v>
      </c>
      <c r="B6" s="4" t="s">
        <v>5</v>
      </c>
      <c r="C6" s="4" t="s">
        <v>59</v>
      </c>
      <c r="D6" s="4" t="s">
        <v>76</v>
      </c>
      <c r="E6" s="4" t="s">
        <v>4</v>
      </c>
      <c r="F6" s="4" t="s">
        <v>39</v>
      </c>
      <c r="G6" s="4" t="s">
        <v>6</v>
      </c>
      <c r="H6" s="4" t="s">
        <v>7</v>
      </c>
      <c r="I6" s="18" t="s">
        <v>54</v>
      </c>
      <c r="J6" s="18" t="s">
        <v>59</v>
      </c>
      <c r="K6" s="91"/>
      <c r="L6" s="133" t="s">
        <v>75</v>
      </c>
      <c r="M6" s="133" t="s">
        <v>69</v>
      </c>
      <c r="N6" s="6" t="s">
        <v>70</v>
      </c>
      <c r="O6" s="138" t="s">
        <v>74</v>
      </c>
      <c r="P6" s="91"/>
      <c r="Q6" s="133" t="s">
        <v>71</v>
      </c>
      <c r="R6" s="6" t="s">
        <v>72</v>
      </c>
      <c r="S6" s="91"/>
      <c r="T6" s="102" t="s">
        <v>63</v>
      </c>
      <c r="U6" s="103" t="s">
        <v>38</v>
      </c>
      <c r="V6" s="103" t="s">
        <v>58</v>
      </c>
      <c r="W6" s="103" t="s">
        <v>10</v>
      </c>
      <c r="X6" s="103" t="s">
        <v>65</v>
      </c>
      <c r="Y6" s="103" t="s">
        <v>11</v>
      </c>
      <c r="Z6" s="103" t="s">
        <v>14</v>
      </c>
      <c r="AA6" s="104" t="s">
        <v>64</v>
      </c>
      <c r="AB6" s="140" t="s">
        <v>80</v>
      </c>
      <c r="AC6" s="4" t="s">
        <v>46</v>
      </c>
    </row>
    <row r="7" spans="1:29" ht="18.75" x14ac:dyDescent="0.3">
      <c r="A7" s="70">
        <v>500</v>
      </c>
      <c r="B7" s="71" t="s">
        <v>16</v>
      </c>
      <c r="C7" s="169"/>
      <c r="D7" s="74">
        <f>+G7/(T7*U7)</f>
        <v>1.6</v>
      </c>
      <c r="E7" s="111" t="s">
        <v>15</v>
      </c>
      <c r="F7" s="73">
        <v>8</v>
      </c>
      <c r="G7" s="72">
        <f t="shared" ref="G7:G22" si="0">F7*U7</f>
        <v>240</v>
      </c>
      <c r="H7" s="72">
        <f t="shared" ref="H7:H22" si="1">+G7/W7</f>
        <v>7283.7632776934752</v>
      </c>
      <c r="I7" s="72">
        <f t="shared" ref="I7:I22" si="2">IF(T7-F7&lt;0,0,T7-F7)</f>
        <v>0</v>
      </c>
      <c r="J7" s="72" t="str">
        <f t="shared" ref="J7:J22" si="3">+IF(V7-H7&lt;0,"",V7-H7)</f>
        <v/>
      </c>
      <c r="K7" s="92"/>
      <c r="L7" s="136"/>
      <c r="M7" s="137"/>
      <c r="N7" s="137"/>
      <c r="O7" s="132"/>
      <c r="P7" s="92"/>
      <c r="Q7" s="131"/>
      <c r="R7" s="132"/>
      <c r="S7" s="92"/>
      <c r="T7" s="96">
        <v>5</v>
      </c>
      <c r="U7" s="39">
        <v>30</v>
      </c>
      <c r="V7" s="39">
        <f t="shared" ref="V7:V22" si="4">+T7*Y7</f>
        <v>4552.3520485584222</v>
      </c>
      <c r="W7" s="120">
        <f>+X7/1000</f>
        <v>3.295E-2</v>
      </c>
      <c r="X7" s="121">
        <v>32.950000000000003</v>
      </c>
      <c r="Y7" s="39">
        <f>+U7/W7</f>
        <v>910.4704097116844</v>
      </c>
      <c r="Z7" s="39">
        <v>1800</v>
      </c>
      <c r="AA7" s="122">
        <f t="shared" ref="AA7:AA22" si="5">1.5*Z7/Y7</f>
        <v>2.9655</v>
      </c>
      <c r="AB7" s="141"/>
      <c r="AC7" s="107" t="s">
        <v>47</v>
      </c>
    </row>
    <row r="8" spans="1:29" ht="18.75" x14ac:dyDescent="0.3">
      <c r="A8" s="76">
        <v>706</v>
      </c>
      <c r="B8" s="69" t="s">
        <v>18</v>
      </c>
      <c r="C8" s="170"/>
      <c r="D8" s="68">
        <f>+G8/(T8*U8)</f>
        <v>2</v>
      </c>
      <c r="E8" s="106" t="s">
        <v>17</v>
      </c>
      <c r="F8" s="66">
        <v>8</v>
      </c>
      <c r="G8" s="67">
        <f t="shared" si="0"/>
        <v>240</v>
      </c>
      <c r="H8" s="67">
        <f t="shared" si="1"/>
        <v>10933.940774487472</v>
      </c>
      <c r="I8" s="67">
        <f t="shared" si="2"/>
        <v>0</v>
      </c>
      <c r="J8" s="67" t="str">
        <f t="shared" si="3"/>
        <v/>
      </c>
      <c r="K8" s="92"/>
      <c r="L8" s="134"/>
      <c r="M8" s="39"/>
      <c r="N8" s="39"/>
      <c r="O8" s="128"/>
      <c r="P8" s="92"/>
      <c r="Q8" s="96"/>
      <c r="R8" s="128"/>
      <c r="S8" s="92"/>
      <c r="T8" s="96">
        <v>4</v>
      </c>
      <c r="U8" s="39">
        <v>30</v>
      </c>
      <c r="V8" s="39">
        <f t="shared" si="4"/>
        <v>5466.9703872437358</v>
      </c>
      <c r="W8" s="120">
        <f t="shared" ref="W8:W22" si="6">+X8/1000</f>
        <v>2.1950000000000001E-2</v>
      </c>
      <c r="X8" s="121">
        <v>21.95</v>
      </c>
      <c r="Y8" s="39">
        <f t="shared" ref="Y8:Y22" si="7">+U8/W8</f>
        <v>1366.7425968109339</v>
      </c>
      <c r="Z8" s="39">
        <v>2400</v>
      </c>
      <c r="AA8" s="122">
        <f t="shared" si="5"/>
        <v>2.6339999999999999</v>
      </c>
      <c r="AB8" s="122"/>
      <c r="AC8" s="108" t="s">
        <v>47</v>
      </c>
    </row>
    <row r="9" spans="1:29" ht="21.2" customHeight="1" x14ac:dyDescent="0.3">
      <c r="A9" s="76">
        <v>506</v>
      </c>
      <c r="B9" s="69" t="s">
        <v>29</v>
      </c>
      <c r="C9" s="168">
        <v>6850</v>
      </c>
      <c r="D9" s="68">
        <f>+G9/(T9*U9)</f>
        <v>0.375</v>
      </c>
      <c r="E9" s="106" t="s">
        <v>28</v>
      </c>
      <c r="F9" s="66">
        <v>3</v>
      </c>
      <c r="G9" s="67">
        <f>F9*U9</f>
        <v>90</v>
      </c>
      <c r="H9" s="67">
        <f>+G9/W9</f>
        <v>4100.2277904328021</v>
      </c>
      <c r="I9" s="67">
        <f>IF(T9-F9&lt;0,0,T9-F9)</f>
        <v>5</v>
      </c>
      <c r="J9" s="67">
        <f>+IF(V9-H9&lt;0,"",V9-H9)</f>
        <v>6833.7129840546695</v>
      </c>
      <c r="K9" s="92"/>
      <c r="L9" s="134"/>
      <c r="M9" s="39"/>
      <c r="N9" s="39"/>
      <c r="O9" s="128"/>
      <c r="P9" s="92"/>
      <c r="Q9" s="96"/>
      <c r="R9" s="128"/>
      <c r="S9" s="92"/>
      <c r="T9" s="96">
        <v>8</v>
      </c>
      <c r="U9" s="39">
        <v>30</v>
      </c>
      <c r="V9" s="39">
        <f>+T9*Y9</f>
        <v>10933.940774487472</v>
      </c>
      <c r="W9" s="120">
        <f>+X9/1000</f>
        <v>2.1950000000000001E-2</v>
      </c>
      <c r="X9" s="121">
        <v>21.95</v>
      </c>
      <c r="Y9" s="39">
        <f>+U9/W9</f>
        <v>1366.7425968109339</v>
      </c>
      <c r="Z9" s="39">
        <v>20580</v>
      </c>
      <c r="AA9" s="122">
        <f>1.5*Z9/Y9</f>
        <v>22.586549999999999</v>
      </c>
      <c r="AB9" s="122"/>
      <c r="AC9" s="108" t="s">
        <v>47</v>
      </c>
    </row>
    <row r="10" spans="1:29" x14ac:dyDescent="0.25">
      <c r="D10" t="s">
        <v>100</v>
      </c>
      <c r="J10"/>
    </row>
    <row r="11" spans="1:29" ht="24" thickBot="1" x14ac:dyDescent="0.4">
      <c r="B11" s="166" t="s">
        <v>96</v>
      </c>
      <c r="C11" s="163"/>
      <c r="D11" s="163"/>
      <c r="E11" s="163"/>
      <c r="F11" s="171"/>
      <c r="J11"/>
    </row>
    <row r="12" spans="1:29" ht="24" thickBot="1" x14ac:dyDescent="0.35">
      <c r="B12" s="161" t="s">
        <v>53</v>
      </c>
      <c r="C12" s="162" t="s">
        <v>1</v>
      </c>
      <c r="D12" s="160"/>
      <c r="J12"/>
    </row>
    <row r="13" spans="1:29" ht="54.6" customHeight="1" thickBot="1" x14ac:dyDescent="0.3">
      <c r="A13" s="15" t="s">
        <v>3</v>
      </c>
      <c r="B13" s="4" t="s">
        <v>5</v>
      </c>
      <c r="C13" s="4" t="s">
        <v>59</v>
      </c>
      <c r="D13" s="4" t="s">
        <v>76</v>
      </c>
      <c r="E13" s="4" t="s">
        <v>4</v>
      </c>
      <c r="F13" s="4" t="s">
        <v>39</v>
      </c>
      <c r="G13" s="4" t="s">
        <v>6</v>
      </c>
      <c r="H13" s="4" t="s">
        <v>7</v>
      </c>
      <c r="I13" s="18" t="s">
        <v>54</v>
      </c>
      <c r="J13" s="18" t="s">
        <v>59</v>
      </c>
      <c r="K13" s="91"/>
      <c r="L13" s="133" t="s">
        <v>75</v>
      </c>
      <c r="M13" s="133" t="s">
        <v>69</v>
      </c>
      <c r="N13" s="6" t="s">
        <v>70</v>
      </c>
      <c r="O13" s="138" t="s">
        <v>74</v>
      </c>
      <c r="P13" s="91"/>
      <c r="Q13" s="133" t="s">
        <v>71</v>
      </c>
      <c r="R13" s="6" t="s">
        <v>72</v>
      </c>
      <c r="S13" s="91"/>
      <c r="T13" s="102" t="s">
        <v>63</v>
      </c>
      <c r="U13" s="103" t="s">
        <v>38</v>
      </c>
      <c r="V13" s="103" t="s">
        <v>58</v>
      </c>
      <c r="W13" s="103" t="s">
        <v>10</v>
      </c>
      <c r="X13" s="103" t="s">
        <v>65</v>
      </c>
      <c r="Y13" s="103" t="s">
        <v>11</v>
      </c>
      <c r="Z13" s="103" t="s">
        <v>14</v>
      </c>
      <c r="AA13" s="104" t="s">
        <v>64</v>
      </c>
      <c r="AB13" s="140" t="s">
        <v>80</v>
      </c>
      <c r="AC13" s="4" t="s">
        <v>46</v>
      </c>
    </row>
    <row r="14" spans="1:29" ht="18.75" x14ac:dyDescent="0.3">
      <c r="A14" s="76">
        <v>654</v>
      </c>
      <c r="B14" s="69" t="s">
        <v>23</v>
      </c>
      <c r="C14" s="168">
        <v>2100</v>
      </c>
      <c r="D14" s="68">
        <f>+G14/(T14*U14)</f>
        <v>0.28000000000000003</v>
      </c>
      <c r="E14" s="106" t="s">
        <v>22</v>
      </c>
      <c r="F14" s="66">
        <v>7</v>
      </c>
      <c r="G14" s="67">
        <f t="shared" si="0"/>
        <v>18.059999999999999</v>
      </c>
      <c r="H14" s="67">
        <f t="shared" si="1"/>
        <v>840</v>
      </c>
      <c r="I14" s="67">
        <f t="shared" si="2"/>
        <v>18</v>
      </c>
      <c r="J14" s="67">
        <f t="shared" si="3"/>
        <v>2160</v>
      </c>
      <c r="K14" s="92"/>
      <c r="L14" s="134"/>
      <c r="M14" s="39"/>
      <c r="N14" s="121"/>
      <c r="O14" s="129"/>
      <c r="P14" s="92"/>
      <c r="Q14" s="96"/>
      <c r="R14" s="129"/>
      <c r="S14" s="92"/>
      <c r="T14" s="96">
        <v>25</v>
      </c>
      <c r="U14" s="121">
        <f>+Y14*W14</f>
        <v>2.5799999999999996</v>
      </c>
      <c r="V14" s="39">
        <f t="shared" si="4"/>
        <v>3000</v>
      </c>
      <c r="W14" s="120">
        <f t="shared" si="6"/>
        <v>2.1499999999999998E-2</v>
      </c>
      <c r="X14" s="121">
        <v>21.5</v>
      </c>
      <c r="Y14" s="39">
        <v>120</v>
      </c>
      <c r="Z14" s="39">
        <v>800</v>
      </c>
      <c r="AA14" s="122">
        <f t="shared" si="5"/>
        <v>10</v>
      </c>
      <c r="AB14" s="122"/>
      <c r="AC14" s="108" t="s">
        <v>53</v>
      </c>
    </row>
    <row r="15" spans="1:29" ht="18.75" x14ac:dyDescent="0.3">
      <c r="A15" s="76">
        <v>558</v>
      </c>
      <c r="B15" s="69" t="s">
        <v>25</v>
      </c>
      <c r="C15" s="168">
        <v>1100</v>
      </c>
      <c r="D15" s="68">
        <f>+G15/(T15*U15)</f>
        <v>0.64</v>
      </c>
      <c r="E15" s="106" t="s">
        <v>24</v>
      </c>
      <c r="F15" s="66">
        <v>16</v>
      </c>
      <c r="G15" s="67">
        <f t="shared" si="0"/>
        <v>28.8</v>
      </c>
      <c r="H15" s="67">
        <f t="shared" si="1"/>
        <v>1858.0645161290324</v>
      </c>
      <c r="I15" s="67">
        <f t="shared" si="2"/>
        <v>9</v>
      </c>
      <c r="J15" s="67">
        <f t="shared" si="3"/>
        <v>1141.9354838709676</v>
      </c>
      <c r="K15" s="92"/>
      <c r="L15" s="134"/>
      <c r="M15" s="39"/>
      <c r="N15" s="121"/>
      <c r="O15" s="129"/>
      <c r="P15" s="92"/>
      <c r="Q15" s="96"/>
      <c r="R15" s="129"/>
      <c r="S15" s="92"/>
      <c r="T15" s="96">
        <v>25</v>
      </c>
      <c r="U15" s="121">
        <v>1.8</v>
      </c>
      <c r="V15" s="39">
        <f t="shared" si="4"/>
        <v>3000</v>
      </c>
      <c r="W15" s="120">
        <f t="shared" si="6"/>
        <v>1.55E-2</v>
      </c>
      <c r="X15" s="121">
        <v>15.5</v>
      </c>
      <c r="Y15" s="39">
        <v>120</v>
      </c>
      <c r="Z15" s="123">
        <v>3000</v>
      </c>
      <c r="AA15" s="122">
        <f t="shared" si="5"/>
        <v>37.5</v>
      </c>
      <c r="AB15" s="122"/>
      <c r="AC15" s="108" t="s">
        <v>53</v>
      </c>
    </row>
    <row r="16" spans="1:29" ht="21.2" hidden="1" customHeight="1" x14ac:dyDescent="0.3">
      <c r="A16" s="76">
        <v>557</v>
      </c>
      <c r="B16" s="69" t="s">
        <v>27</v>
      </c>
      <c r="C16" s="68"/>
      <c r="D16" s="68">
        <f>+G16/(T16*U16)</f>
        <v>1.1600000000000001</v>
      </c>
      <c r="E16" s="106" t="s">
        <v>26</v>
      </c>
      <c r="F16" s="66">
        <v>29</v>
      </c>
      <c r="G16" s="67">
        <f t="shared" si="0"/>
        <v>52.2</v>
      </c>
      <c r="H16" s="67">
        <f t="shared" si="1"/>
        <v>3283.0188679245284</v>
      </c>
      <c r="I16" s="67">
        <f t="shared" si="2"/>
        <v>0</v>
      </c>
      <c r="J16" s="67" t="str">
        <f t="shared" si="3"/>
        <v/>
      </c>
      <c r="K16" s="92"/>
      <c r="L16" s="134"/>
      <c r="M16" s="39"/>
      <c r="N16" s="121"/>
      <c r="O16" s="129"/>
      <c r="P16" s="92"/>
      <c r="Q16" s="96"/>
      <c r="R16" s="129"/>
      <c r="S16" s="92"/>
      <c r="T16" s="96">
        <v>25</v>
      </c>
      <c r="U16" s="121">
        <v>1.8</v>
      </c>
      <c r="V16" s="39">
        <f t="shared" si="4"/>
        <v>3000</v>
      </c>
      <c r="W16" s="120">
        <f t="shared" si="6"/>
        <v>1.5900000000000001E-2</v>
      </c>
      <c r="X16" s="121">
        <v>15.9</v>
      </c>
      <c r="Y16" s="39">
        <v>120</v>
      </c>
      <c r="Z16" s="39">
        <v>240</v>
      </c>
      <c r="AA16" s="122">
        <f t="shared" si="5"/>
        <v>3</v>
      </c>
      <c r="AB16" s="122"/>
      <c r="AC16" s="108" t="s">
        <v>53</v>
      </c>
    </row>
    <row r="18" spans="1:29" ht="18.75" x14ac:dyDescent="0.25">
      <c r="H18" s="171"/>
      <c r="Y18" s="172"/>
      <c r="Z18" s="171"/>
    </row>
    <row r="19" spans="1:29" ht="24" thickBot="1" x14ac:dyDescent="0.4">
      <c r="B19" s="166" t="s">
        <v>96</v>
      </c>
      <c r="C19" s="163"/>
      <c r="D19" s="163"/>
    </row>
    <row r="20" spans="1:29" ht="24" thickBot="1" x14ac:dyDescent="0.35">
      <c r="B20" s="161" t="s">
        <v>86</v>
      </c>
      <c r="C20" s="162" t="s">
        <v>1</v>
      </c>
      <c r="D20" s="160"/>
    </row>
    <row r="21" spans="1:29" ht="55.9" customHeight="1" thickBot="1" x14ac:dyDescent="0.3">
      <c r="A21" s="15" t="s">
        <v>3</v>
      </c>
      <c r="B21" s="4" t="s">
        <v>5</v>
      </c>
      <c r="C21" s="4" t="s">
        <v>59</v>
      </c>
      <c r="D21" s="4" t="s">
        <v>76</v>
      </c>
      <c r="E21" s="4" t="s">
        <v>4</v>
      </c>
      <c r="F21" s="4" t="s">
        <v>39</v>
      </c>
      <c r="G21" s="4" t="s">
        <v>6</v>
      </c>
      <c r="H21" s="4" t="s">
        <v>7</v>
      </c>
      <c r="I21" s="18" t="s">
        <v>54</v>
      </c>
      <c r="J21" s="18" t="s">
        <v>59</v>
      </c>
      <c r="K21" s="91"/>
      <c r="L21" s="133" t="s">
        <v>75</v>
      </c>
      <c r="M21" s="133" t="s">
        <v>69</v>
      </c>
      <c r="N21" s="6" t="s">
        <v>70</v>
      </c>
      <c r="O21" s="138" t="s">
        <v>74</v>
      </c>
      <c r="P21" s="91"/>
      <c r="Q21" s="133" t="s">
        <v>71</v>
      </c>
      <c r="R21" s="6" t="s">
        <v>72</v>
      </c>
      <c r="S21" s="91"/>
      <c r="T21" s="102" t="s">
        <v>63</v>
      </c>
      <c r="U21" s="103" t="s">
        <v>38</v>
      </c>
      <c r="V21" s="103" t="s">
        <v>58</v>
      </c>
      <c r="W21" s="103" t="s">
        <v>10</v>
      </c>
      <c r="X21" s="103" t="s">
        <v>65</v>
      </c>
      <c r="Y21" s="103" t="s">
        <v>11</v>
      </c>
      <c r="Z21" s="103" t="s">
        <v>14</v>
      </c>
      <c r="AA21" s="104" t="s">
        <v>64</v>
      </c>
      <c r="AB21" s="140" t="s">
        <v>80</v>
      </c>
      <c r="AC21" s="4" t="s">
        <v>46</v>
      </c>
    </row>
    <row r="22" spans="1:29" ht="18.75" x14ac:dyDescent="0.3">
      <c r="A22" s="76">
        <v>510</v>
      </c>
      <c r="B22" s="69" t="s">
        <v>31</v>
      </c>
      <c r="C22" s="68"/>
      <c r="D22" s="68">
        <f>+G22/(T22*U22)</f>
        <v>1.5</v>
      </c>
      <c r="E22" s="106" t="s">
        <v>30</v>
      </c>
      <c r="F22" s="66">
        <v>6</v>
      </c>
      <c r="G22" s="67">
        <f t="shared" si="0"/>
        <v>180</v>
      </c>
      <c r="H22" s="67">
        <f t="shared" si="1"/>
        <v>8181.818181818182</v>
      </c>
      <c r="I22" s="67">
        <f t="shared" si="2"/>
        <v>0</v>
      </c>
      <c r="J22" s="67" t="str">
        <f t="shared" si="3"/>
        <v/>
      </c>
      <c r="K22" s="92"/>
      <c r="L22" s="134"/>
      <c r="M22" s="39"/>
      <c r="N22" s="39"/>
      <c r="O22" s="128"/>
      <c r="P22" s="92"/>
      <c r="Q22" s="96"/>
      <c r="R22" s="128"/>
      <c r="S22" s="92"/>
      <c r="T22" s="96">
        <v>4</v>
      </c>
      <c r="U22" s="39">
        <v>30</v>
      </c>
      <c r="V22" s="39">
        <f t="shared" si="4"/>
        <v>5454.545454545455</v>
      </c>
      <c r="W22" s="120">
        <f t="shared" si="6"/>
        <v>2.1999999999999999E-2</v>
      </c>
      <c r="X22" s="121">
        <v>22</v>
      </c>
      <c r="Y22" s="39">
        <f t="shared" si="7"/>
        <v>1363.6363636363637</v>
      </c>
      <c r="Z22" s="39">
        <v>11450</v>
      </c>
      <c r="AA22" s="122">
        <f t="shared" si="5"/>
        <v>12.594999999999999</v>
      </c>
      <c r="AB22" s="122"/>
      <c r="AC22" s="108" t="s">
        <v>86</v>
      </c>
    </row>
    <row r="26" spans="1:29" x14ac:dyDescent="0.25">
      <c r="B26" t="s">
        <v>98</v>
      </c>
    </row>
    <row r="27" spans="1:29" ht="18.75" x14ac:dyDescent="0.3">
      <c r="A27" s="106" t="s">
        <v>20</v>
      </c>
      <c r="B27" s="69" t="s">
        <v>21</v>
      </c>
      <c r="C27" s="68"/>
      <c r="D27" s="68">
        <f>+G27/(T27*U27)</f>
        <v>0</v>
      </c>
      <c r="E27" s="68"/>
      <c r="F27" s="66"/>
      <c r="G27" s="67">
        <f>F27*U27</f>
        <v>0</v>
      </c>
      <c r="H27" s="67">
        <f>+G27/W27</f>
        <v>0</v>
      </c>
      <c r="I27" s="67">
        <f>IF(T27-F27&lt;0,0,T27-F27)</f>
        <v>5</v>
      </c>
      <c r="J27" s="67">
        <f>+IF(V27-H27&lt;0,"",V27-H27)</f>
        <v>6833.7129840546695</v>
      </c>
      <c r="K27" s="92"/>
      <c r="L27" s="134"/>
      <c r="M27" s="39"/>
      <c r="N27" s="39"/>
      <c r="O27" s="128"/>
      <c r="P27" s="92"/>
      <c r="Q27" s="96"/>
      <c r="R27" s="128"/>
      <c r="S27" s="92"/>
      <c r="T27" s="96">
        <v>5</v>
      </c>
      <c r="U27" s="39">
        <v>30</v>
      </c>
      <c r="V27" s="39">
        <f>+T27*Y27</f>
        <v>6833.7129840546695</v>
      </c>
      <c r="W27" s="120">
        <f>+X27/1000</f>
        <v>2.1950000000000001E-2</v>
      </c>
      <c r="X27" s="121">
        <v>21.95</v>
      </c>
      <c r="Y27" s="39">
        <f>+U27/W27</f>
        <v>1366.7425968109339</v>
      </c>
      <c r="Z27" s="39">
        <v>0</v>
      </c>
      <c r="AA27" s="122">
        <f>1.5*Z27/Y27</f>
        <v>0</v>
      </c>
      <c r="AB27" s="122"/>
      <c r="AC27" s="108" t="s">
        <v>47</v>
      </c>
    </row>
  </sheetData>
  <mergeCells count="2">
    <mergeCell ref="A1:F1"/>
    <mergeCell ref="T5:AC5"/>
  </mergeCells>
  <printOptions horizontalCentered="1" verticalCentered="1"/>
  <pageMargins left="0.25" right="0.25" top="0.75" bottom="0.75" header="0.3" footer="0.3"/>
  <pageSetup paperSize="9" scale="34" fitToHeight="0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F0"/>
    <pageSetUpPr fitToPage="1"/>
  </sheetPr>
  <dimension ref="A1:AC27"/>
  <sheetViews>
    <sheetView workbookViewId="0">
      <selection sqref="A1:F1"/>
    </sheetView>
  </sheetViews>
  <sheetFormatPr baseColWidth="10" defaultRowHeight="15" x14ac:dyDescent="0.25"/>
  <cols>
    <col min="1" max="1" width="7.140625" customWidth="1"/>
    <col min="2" max="2" width="28.85546875" customWidth="1"/>
    <col min="3" max="3" width="8.85546875" customWidth="1"/>
    <col min="4" max="4" width="7.42578125" customWidth="1"/>
    <col min="5" max="5" width="9" customWidth="1"/>
    <col min="6" max="6" width="12.140625" customWidth="1"/>
    <col min="7" max="7" width="9.42578125" customWidth="1"/>
    <col min="8" max="8" width="11.42578125" customWidth="1"/>
    <col min="9" max="9" width="8.42578125" customWidth="1"/>
    <col min="10" max="10" width="12.140625" style="110" customWidth="1"/>
    <col min="11" max="11" width="3.140625" customWidth="1"/>
    <col min="12" max="13" width="9.42578125" customWidth="1"/>
    <col min="14" max="14" width="8.85546875" customWidth="1"/>
    <col min="15" max="15" width="9.7109375" customWidth="1"/>
    <col min="16" max="16" width="3.140625" customWidth="1"/>
    <col min="17" max="17" width="11.140625" customWidth="1"/>
    <col min="18" max="18" width="10.140625" customWidth="1"/>
    <col min="19" max="19" width="3.140625" customWidth="1"/>
    <col min="20" max="20" width="8.140625" customWidth="1"/>
    <col min="21" max="21" width="8" customWidth="1"/>
    <col min="22" max="22" width="9.28515625" customWidth="1"/>
    <col min="23" max="23" width="10.140625" customWidth="1"/>
    <col min="24" max="24" width="8.28515625" customWidth="1"/>
    <col min="25" max="25" width="8.85546875" customWidth="1"/>
    <col min="26" max="26" width="11.140625" customWidth="1"/>
    <col min="27" max="28" width="10.7109375" customWidth="1"/>
    <col min="29" max="29" width="11.85546875" customWidth="1"/>
  </cols>
  <sheetData>
    <row r="1" spans="1:29" ht="39.200000000000003" customHeight="1" thickBot="1" x14ac:dyDescent="0.3">
      <c r="A1" s="517" t="s">
        <v>95</v>
      </c>
      <c r="B1" s="518"/>
      <c r="C1" s="518"/>
      <c r="D1" s="518"/>
      <c r="E1" s="518"/>
      <c r="F1" s="519"/>
      <c r="J1"/>
      <c r="V1" s="1"/>
    </row>
    <row r="2" spans="1:29" ht="24.75" customHeight="1" thickBot="1" x14ac:dyDescent="0.35">
      <c r="B2" s="164" t="s">
        <v>1</v>
      </c>
      <c r="H2" s="1"/>
      <c r="I2" s="3" t="s">
        <v>55</v>
      </c>
      <c r="J2" s="3"/>
    </row>
    <row r="3" spans="1:29" ht="24.75" customHeight="1" x14ac:dyDescent="0.3">
      <c r="F3" s="1"/>
      <c r="G3" s="1"/>
      <c r="H3" s="1"/>
      <c r="I3" s="3"/>
      <c r="J3" s="3"/>
    </row>
    <row r="4" spans="1:29" ht="24.75" customHeight="1" thickBot="1" x14ac:dyDescent="0.4">
      <c r="B4" s="166" t="s">
        <v>96</v>
      </c>
      <c r="C4" s="163"/>
      <c r="D4" s="163"/>
      <c r="E4" s="163"/>
      <c r="F4" s="1"/>
      <c r="G4" s="1"/>
      <c r="H4" s="1"/>
      <c r="I4" s="3"/>
      <c r="J4" s="3"/>
    </row>
    <row r="5" spans="1:29" ht="24.75" customHeight="1" thickBot="1" x14ac:dyDescent="0.35">
      <c r="B5" s="161" t="s">
        <v>97</v>
      </c>
      <c r="C5" s="162" t="s">
        <v>1</v>
      </c>
      <c r="D5" s="160"/>
      <c r="F5" s="1"/>
      <c r="G5" s="1"/>
      <c r="H5" s="1"/>
      <c r="I5" s="3"/>
      <c r="J5" s="3"/>
      <c r="T5" s="522" t="s">
        <v>73</v>
      </c>
      <c r="U5" s="523"/>
      <c r="V5" s="523"/>
      <c r="W5" s="523"/>
      <c r="X5" s="523"/>
      <c r="Y5" s="523"/>
      <c r="Z5" s="523"/>
      <c r="AA5" s="523"/>
      <c r="AB5" s="523"/>
      <c r="AC5" s="524"/>
    </row>
    <row r="6" spans="1:29" ht="54.6" customHeight="1" thickBot="1" x14ac:dyDescent="0.3">
      <c r="A6" s="15" t="s">
        <v>3</v>
      </c>
      <c r="B6" s="4" t="s">
        <v>5</v>
      </c>
      <c r="C6" s="4" t="s">
        <v>59</v>
      </c>
      <c r="D6" s="4" t="s">
        <v>76</v>
      </c>
      <c r="E6" s="4" t="s">
        <v>4</v>
      </c>
      <c r="F6" s="4" t="s">
        <v>39</v>
      </c>
      <c r="G6" s="4" t="s">
        <v>6</v>
      </c>
      <c r="H6" s="4" t="s">
        <v>7</v>
      </c>
      <c r="I6" s="18" t="s">
        <v>54</v>
      </c>
      <c r="J6" s="18" t="s">
        <v>59</v>
      </c>
      <c r="K6" s="91"/>
      <c r="L6" s="133" t="s">
        <v>75</v>
      </c>
      <c r="M6" s="133" t="s">
        <v>69</v>
      </c>
      <c r="N6" s="6" t="s">
        <v>70</v>
      </c>
      <c r="O6" s="138" t="s">
        <v>74</v>
      </c>
      <c r="P6" s="91"/>
      <c r="Q6" s="133" t="s">
        <v>71</v>
      </c>
      <c r="R6" s="6" t="s">
        <v>72</v>
      </c>
      <c r="S6" s="91"/>
      <c r="T6" s="102" t="s">
        <v>63</v>
      </c>
      <c r="U6" s="103" t="s">
        <v>38</v>
      </c>
      <c r="V6" s="103" t="s">
        <v>58</v>
      </c>
      <c r="W6" s="103" t="s">
        <v>10</v>
      </c>
      <c r="X6" s="103" t="s">
        <v>65</v>
      </c>
      <c r="Y6" s="103" t="s">
        <v>11</v>
      </c>
      <c r="Z6" s="103" t="s">
        <v>14</v>
      </c>
      <c r="AA6" s="104" t="s">
        <v>64</v>
      </c>
      <c r="AB6" s="140" t="s">
        <v>80</v>
      </c>
      <c r="AC6" s="4" t="s">
        <v>46</v>
      </c>
    </row>
    <row r="7" spans="1:29" ht="18.75" x14ac:dyDescent="0.3">
      <c r="A7" s="70">
        <v>500</v>
      </c>
      <c r="B7" s="71" t="s">
        <v>16</v>
      </c>
      <c r="C7" s="74"/>
      <c r="D7" s="74">
        <f>+G7/(T7*U7)</f>
        <v>1.6</v>
      </c>
      <c r="E7" s="111" t="s">
        <v>15</v>
      </c>
      <c r="F7" s="73">
        <v>8</v>
      </c>
      <c r="G7" s="72">
        <f t="shared" ref="G7:G22" si="0">F7*U7</f>
        <v>240</v>
      </c>
      <c r="H7" s="72">
        <f t="shared" ref="H7:H22" si="1">+G7/W7</f>
        <v>7283.7632776934752</v>
      </c>
      <c r="I7" s="72">
        <f t="shared" ref="I7:I22" si="2">IF(T7-F7&lt;0,0,T7-F7)</f>
        <v>0</v>
      </c>
      <c r="J7" s="72" t="str">
        <f t="shared" ref="J7:J22" si="3">+IF(V7-H7&lt;0,"",V7-H7)</f>
        <v/>
      </c>
      <c r="K7" s="92"/>
      <c r="L7" s="136"/>
      <c r="M7" s="137"/>
      <c r="N7" s="137"/>
      <c r="O7" s="132"/>
      <c r="P7" s="92"/>
      <c r="Q7" s="131"/>
      <c r="R7" s="132"/>
      <c r="S7" s="92"/>
      <c r="T7" s="96">
        <v>5</v>
      </c>
      <c r="U7" s="39">
        <v>30</v>
      </c>
      <c r="V7" s="39">
        <f t="shared" ref="V7:V22" si="4">+T7*Y7</f>
        <v>4552.3520485584222</v>
      </c>
      <c r="W7" s="120">
        <f>+X7/1000</f>
        <v>3.295E-2</v>
      </c>
      <c r="X7" s="121">
        <v>32.950000000000003</v>
      </c>
      <c r="Y7" s="39">
        <f>+U7/W7</f>
        <v>910.4704097116844</v>
      </c>
      <c r="Z7" s="39">
        <v>1800</v>
      </c>
      <c r="AA7" s="122">
        <f t="shared" ref="AA7:AA22" si="5">1.5*Z7/Y7</f>
        <v>2.9655</v>
      </c>
      <c r="AB7" s="141"/>
      <c r="AC7" s="107" t="s">
        <v>47</v>
      </c>
    </row>
    <row r="8" spans="1:29" ht="18.75" x14ac:dyDescent="0.3">
      <c r="A8" s="76">
        <v>706</v>
      </c>
      <c r="B8" s="69" t="s">
        <v>18</v>
      </c>
      <c r="C8" s="68"/>
      <c r="D8" s="68">
        <f>+G8/(T8*U8)</f>
        <v>2</v>
      </c>
      <c r="E8" s="106" t="s">
        <v>17</v>
      </c>
      <c r="F8" s="66">
        <v>8</v>
      </c>
      <c r="G8" s="67">
        <f t="shared" si="0"/>
        <v>240</v>
      </c>
      <c r="H8" s="67">
        <f t="shared" si="1"/>
        <v>10933.940774487472</v>
      </c>
      <c r="I8" s="67">
        <f t="shared" si="2"/>
        <v>0</v>
      </c>
      <c r="J8" s="67" t="str">
        <f t="shared" si="3"/>
        <v/>
      </c>
      <c r="K8" s="92"/>
      <c r="L8" s="134"/>
      <c r="M8" s="39"/>
      <c r="N8" s="39"/>
      <c r="O8" s="128"/>
      <c r="P8" s="92"/>
      <c r="Q8" s="96"/>
      <c r="R8" s="128"/>
      <c r="S8" s="92"/>
      <c r="T8" s="96">
        <v>4</v>
      </c>
      <c r="U8" s="39">
        <v>30</v>
      </c>
      <c r="V8" s="39">
        <f t="shared" si="4"/>
        <v>5466.9703872437358</v>
      </c>
      <c r="W8" s="120">
        <f t="shared" ref="W8:W22" si="6">+X8/1000</f>
        <v>2.1950000000000001E-2</v>
      </c>
      <c r="X8" s="121">
        <v>21.95</v>
      </c>
      <c r="Y8" s="39">
        <f t="shared" ref="Y8:Y22" si="7">+U8/W8</f>
        <v>1366.7425968109339</v>
      </c>
      <c r="Z8" s="39">
        <v>2400</v>
      </c>
      <c r="AA8" s="122">
        <f t="shared" si="5"/>
        <v>2.6339999999999999</v>
      </c>
      <c r="AB8" s="122"/>
      <c r="AC8" s="108" t="s">
        <v>47</v>
      </c>
    </row>
    <row r="9" spans="1:29" ht="21.2" customHeight="1" x14ac:dyDescent="0.3">
      <c r="A9" s="76">
        <v>506</v>
      </c>
      <c r="B9" s="69" t="s">
        <v>29</v>
      </c>
      <c r="C9" s="68"/>
      <c r="D9" s="68">
        <f>+G9/(T9*U9)</f>
        <v>0</v>
      </c>
      <c r="E9" s="106" t="s">
        <v>28</v>
      </c>
      <c r="F9" s="66">
        <v>0</v>
      </c>
      <c r="G9" s="67">
        <f>F9*U9</f>
        <v>0</v>
      </c>
      <c r="H9" s="67">
        <f>+G9/W9</f>
        <v>0</v>
      </c>
      <c r="I9" s="67">
        <f>IF(T9-F9&lt;0,0,T9-F9)</f>
        <v>8</v>
      </c>
      <c r="J9" s="67">
        <f>+IF(V9-H9&lt;0,"",V9-H9)</f>
        <v>10933.940774487472</v>
      </c>
      <c r="K9" s="92"/>
      <c r="L9" s="134"/>
      <c r="M9" s="39"/>
      <c r="N9" s="39"/>
      <c r="O9" s="128"/>
      <c r="P9" s="92"/>
      <c r="Q9" s="96"/>
      <c r="R9" s="128"/>
      <c r="S9" s="92"/>
      <c r="T9" s="96">
        <v>8</v>
      </c>
      <c r="U9" s="39">
        <v>30</v>
      </c>
      <c r="V9" s="39">
        <f>+T9*Y9</f>
        <v>10933.940774487472</v>
      </c>
      <c r="W9" s="120">
        <f>+X9/1000</f>
        <v>2.1950000000000001E-2</v>
      </c>
      <c r="X9" s="121">
        <v>21.95</v>
      </c>
      <c r="Y9" s="39">
        <f>+U9/W9</f>
        <v>1366.7425968109339</v>
      </c>
      <c r="Z9" s="39">
        <v>20580</v>
      </c>
      <c r="AA9" s="122">
        <f>1.5*Z9/Y9</f>
        <v>22.586549999999999</v>
      </c>
      <c r="AB9" s="122"/>
      <c r="AC9" s="108" t="s">
        <v>47</v>
      </c>
    </row>
    <row r="10" spans="1:29" x14ac:dyDescent="0.25">
      <c r="J10"/>
    </row>
    <row r="11" spans="1:29" ht="24" thickBot="1" x14ac:dyDescent="0.4">
      <c r="B11" s="166" t="s">
        <v>96</v>
      </c>
      <c r="C11" s="163"/>
      <c r="D11" s="163"/>
      <c r="E11" s="163"/>
      <c r="J11"/>
    </row>
    <row r="12" spans="1:29" ht="24" thickBot="1" x14ac:dyDescent="0.35">
      <c r="B12" s="161" t="s">
        <v>53</v>
      </c>
      <c r="C12" s="162" t="s">
        <v>1</v>
      </c>
      <c r="D12" s="160"/>
      <c r="J12"/>
    </row>
    <row r="13" spans="1:29" ht="54.6" customHeight="1" thickBot="1" x14ac:dyDescent="0.3">
      <c r="A13" s="15" t="s">
        <v>3</v>
      </c>
      <c r="B13" s="4" t="s">
        <v>5</v>
      </c>
      <c r="C13" s="4" t="s">
        <v>59</v>
      </c>
      <c r="D13" s="4" t="s">
        <v>76</v>
      </c>
      <c r="E13" s="4" t="s">
        <v>4</v>
      </c>
      <c r="F13" s="4" t="s">
        <v>39</v>
      </c>
      <c r="G13" s="4" t="s">
        <v>6</v>
      </c>
      <c r="H13" s="4" t="s">
        <v>7</v>
      </c>
      <c r="I13" s="18" t="s">
        <v>54</v>
      </c>
      <c r="J13" s="18" t="s">
        <v>59</v>
      </c>
      <c r="K13" s="91"/>
      <c r="L13" s="133" t="s">
        <v>75</v>
      </c>
      <c r="M13" s="133" t="s">
        <v>69</v>
      </c>
      <c r="N13" s="6" t="s">
        <v>70</v>
      </c>
      <c r="O13" s="138" t="s">
        <v>74</v>
      </c>
      <c r="P13" s="91"/>
      <c r="Q13" s="133" t="s">
        <v>71</v>
      </c>
      <c r="R13" s="6" t="s">
        <v>72</v>
      </c>
      <c r="S13" s="91"/>
      <c r="T13" s="102" t="s">
        <v>63</v>
      </c>
      <c r="U13" s="103" t="s">
        <v>38</v>
      </c>
      <c r="V13" s="103" t="s">
        <v>58</v>
      </c>
      <c r="W13" s="103" t="s">
        <v>10</v>
      </c>
      <c r="X13" s="103" t="s">
        <v>65</v>
      </c>
      <c r="Y13" s="103" t="s">
        <v>11</v>
      </c>
      <c r="Z13" s="103" t="s">
        <v>14</v>
      </c>
      <c r="AA13" s="104" t="s">
        <v>64</v>
      </c>
      <c r="AB13" s="140" t="s">
        <v>80</v>
      </c>
      <c r="AC13" s="4" t="s">
        <v>46</v>
      </c>
    </row>
    <row r="14" spans="1:29" ht="18.75" x14ac:dyDescent="0.3">
      <c r="A14" s="76">
        <v>654</v>
      </c>
      <c r="B14" s="69" t="s">
        <v>23</v>
      </c>
      <c r="C14" s="68"/>
      <c r="D14" s="68">
        <f>+G14/(T14*U14)</f>
        <v>0.28000000000000003</v>
      </c>
      <c r="E14" s="106" t="s">
        <v>22</v>
      </c>
      <c r="F14" s="66">
        <v>7</v>
      </c>
      <c r="G14" s="67">
        <f t="shared" si="0"/>
        <v>18.059999999999999</v>
      </c>
      <c r="H14" s="67">
        <f t="shared" si="1"/>
        <v>840</v>
      </c>
      <c r="I14" s="67">
        <f t="shared" si="2"/>
        <v>18</v>
      </c>
      <c r="J14" s="67">
        <f t="shared" si="3"/>
        <v>2160</v>
      </c>
      <c r="K14" s="92"/>
      <c r="L14" s="134"/>
      <c r="M14" s="39"/>
      <c r="N14" s="121"/>
      <c r="O14" s="129"/>
      <c r="P14" s="92"/>
      <c r="Q14" s="96"/>
      <c r="R14" s="129"/>
      <c r="S14" s="92"/>
      <c r="T14" s="96">
        <v>25</v>
      </c>
      <c r="U14" s="121">
        <f>+Y14*W14</f>
        <v>2.5799999999999996</v>
      </c>
      <c r="V14" s="39">
        <f t="shared" si="4"/>
        <v>3000</v>
      </c>
      <c r="W14" s="120">
        <f t="shared" si="6"/>
        <v>2.1499999999999998E-2</v>
      </c>
      <c r="X14" s="121">
        <v>21.5</v>
      </c>
      <c r="Y14" s="39">
        <v>120</v>
      </c>
      <c r="Z14" s="39">
        <v>800</v>
      </c>
      <c r="AA14" s="122">
        <f t="shared" si="5"/>
        <v>10</v>
      </c>
      <c r="AB14" s="122"/>
      <c r="AC14" s="108" t="s">
        <v>53</v>
      </c>
    </row>
    <row r="15" spans="1:29" ht="18.75" x14ac:dyDescent="0.3">
      <c r="A15" s="76">
        <v>558</v>
      </c>
      <c r="B15" s="69" t="s">
        <v>25</v>
      </c>
      <c r="C15" s="68"/>
      <c r="D15" s="68">
        <f>+G15/(T15*U15)</f>
        <v>0.64</v>
      </c>
      <c r="E15" s="106" t="s">
        <v>24</v>
      </c>
      <c r="F15" s="66">
        <v>16</v>
      </c>
      <c r="G15" s="67">
        <f t="shared" si="0"/>
        <v>28.8</v>
      </c>
      <c r="H15" s="67">
        <f t="shared" si="1"/>
        <v>1858.0645161290324</v>
      </c>
      <c r="I15" s="67">
        <f t="shared" si="2"/>
        <v>9</v>
      </c>
      <c r="J15" s="67">
        <f t="shared" si="3"/>
        <v>1141.9354838709676</v>
      </c>
      <c r="K15" s="92"/>
      <c r="L15" s="134"/>
      <c r="M15" s="39"/>
      <c r="N15" s="121"/>
      <c r="O15" s="129"/>
      <c r="P15" s="92"/>
      <c r="Q15" s="96"/>
      <c r="R15" s="129"/>
      <c r="S15" s="92"/>
      <c r="T15" s="96">
        <v>25</v>
      </c>
      <c r="U15" s="121">
        <v>1.8</v>
      </c>
      <c r="V15" s="39">
        <f t="shared" si="4"/>
        <v>3000</v>
      </c>
      <c r="W15" s="120">
        <f t="shared" si="6"/>
        <v>1.55E-2</v>
      </c>
      <c r="X15" s="121">
        <v>15.5</v>
      </c>
      <c r="Y15" s="39">
        <v>120</v>
      </c>
      <c r="Z15" s="123">
        <v>3000</v>
      </c>
      <c r="AA15" s="122">
        <f t="shared" si="5"/>
        <v>37.5</v>
      </c>
      <c r="AB15" s="122"/>
      <c r="AC15" s="108" t="s">
        <v>53</v>
      </c>
    </row>
    <row r="16" spans="1:29" ht="21.2" customHeight="1" x14ac:dyDescent="0.3">
      <c r="A16" s="76">
        <v>557</v>
      </c>
      <c r="B16" s="69" t="s">
        <v>27</v>
      </c>
      <c r="C16" s="68"/>
      <c r="D16" s="68">
        <f>+G16/(T16*U16)</f>
        <v>1.1600000000000001</v>
      </c>
      <c r="E16" s="106" t="s">
        <v>26</v>
      </c>
      <c r="F16" s="66">
        <v>29</v>
      </c>
      <c r="G16" s="67">
        <f t="shared" si="0"/>
        <v>52.2</v>
      </c>
      <c r="H16" s="67">
        <f t="shared" si="1"/>
        <v>3283.0188679245284</v>
      </c>
      <c r="I16" s="67">
        <f t="shared" si="2"/>
        <v>0</v>
      </c>
      <c r="J16" s="67" t="str">
        <f t="shared" si="3"/>
        <v/>
      </c>
      <c r="K16" s="92"/>
      <c r="L16" s="134"/>
      <c r="M16" s="39"/>
      <c r="N16" s="121"/>
      <c r="O16" s="129"/>
      <c r="P16" s="92"/>
      <c r="Q16" s="96"/>
      <c r="R16" s="129"/>
      <c r="S16" s="92"/>
      <c r="T16" s="96">
        <v>25</v>
      </c>
      <c r="U16" s="121">
        <v>1.8</v>
      </c>
      <c r="V16" s="39">
        <f t="shared" si="4"/>
        <v>3000</v>
      </c>
      <c r="W16" s="120">
        <f t="shared" si="6"/>
        <v>1.5900000000000001E-2</v>
      </c>
      <c r="X16" s="121">
        <v>15.9</v>
      </c>
      <c r="Y16" s="39">
        <v>120</v>
      </c>
      <c r="Z16" s="39">
        <v>240</v>
      </c>
      <c r="AA16" s="122">
        <f t="shared" si="5"/>
        <v>3</v>
      </c>
      <c r="AB16" s="122"/>
      <c r="AC16" s="108" t="s">
        <v>53</v>
      </c>
    </row>
    <row r="19" spans="1:29" ht="24" thickBot="1" x14ac:dyDescent="0.4">
      <c r="B19" s="166" t="s">
        <v>96</v>
      </c>
      <c r="C19" s="163"/>
      <c r="D19" s="163"/>
    </row>
    <row r="20" spans="1:29" ht="24" thickBot="1" x14ac:dyDescent="0.35">
      <c r="B20" s="161" t="s">
        <v>86</v>
      </c>
      <c r="C20" s="162" t="s">
        <v>1</v>
      </c>
      <c r="D20" s="160"/>
    </row>
    <row r="21" spans="1:29" ht="54.6" customHeight="1" thickBot="1" x14ac:dyDescent="0.3">
      <c r="A21" s="15" t="s">
        <v>3</v>
      </c>
      <c r="B21" s="4" t="s">
        <v>5</v>
      </c>
      <c r="C21" s="4" t="s">
        <v>59</v>
      </c>
      <c r="D21" s="4" t="s">
        <v>76</v>
      </c>
      <c r="E21" s="4" t="s">
        <v>4</v>
      </c>
      <c r="F21" s="4" t="s">
        <v>39</v>
      </c>
      <c r="G21" s="4" t="s">
        <v>6</v>
      </c>
      <c r="H21" s="4" t="s">
        <v>7</v>
      </c>
      <c r="I21" s="18" t="s">
        <v>54</v>
      </c>
      <c r="J21" s="18" t="s">
        <v>59</v>
      </c>
      <c r="K21" s="91"/>
      <c r="L21" s="133" t="s">
        <v>75</v>
      </c>
      <c r="M21" s="133" t="s">
        <v>69</v>
      </c>
      <c r="N21" s="6" t="s">
        <v>70</v>
      </c>
      <c r="O21" s="138" t="s">
        <v>74</v>
      </c>
      <c r="P21" s="91"/>
      <c r="Q21" s="133" t="s">
        <v>71</v>
      </c>
      <c r="R21" s="6" t="s">
        <v>72</v>
      </c>
      <c r="S21" s="91"/>
      <c r="T21" s="102" t="s">
        <v>63</v>
      </c>
      <c r="U21" s="103" t="s">
        <v>38</v>
      </c>
      <c r="V21" s="103" t="s">
        <v>58</v>
      </c>
      <c r="W21" s="103" t="s">
        <v>10</v>
      </c>
      <c r="X21" s="103" t="s">
        <v>65</v>
      </c>
      <c r="Y21" s="103" t="s">
        <v>11</v>
      </c>
      <c r="Z21" s="103" t="s">
        <v>14</v>
      </c>
      <c r="AA21" s="104" t="s">
        <v>64</v>
      </c>
      <c r="AB21" s="140" t="s">
        <v>80</v>
      </c>
      <c r="AC21" s="4" t="s">
        <v>46</v>
      </c>
    </row>
    <row r="22" spans="1:29" ht="18.75" x14ac:dyDescent="0.3">
      <c r="A22" s="76">
        <v>510</v>
      </c>
      <c r="B22" s="69" t="s">
        <v>31</v>
      </c>
      <c r="C22" s="68"/>
      <c r="D22" s="68">
        <f>+G22/(T22*U22)</f>
        <v>1.5</v>
      </c>
      <c r="E22" s="106" t="s">
        <v>30</v>
      </c>
      <c r="F22" s="66">
        <v>6</v>
      </c>
      <c r="G22" s="67">
        <f t="shared" si="0"/>
        <v>180</v>
      </c>
      <c r="H22" s="67">
        <f t="shared" si="1"/>
        <v>8181.818181818182</v>
      </c>
      <c r="I22" s="67">
        <f t="shared" si="2"/>
        <v>0</v>
      </c>
      <c r="J22" s="67" t="str">
        <f t="shared" si="3"/>
        <v/>
      </c>
      <c r="K22" s="92"/>
      <c r="L22" s="134"/>
      <c r="M22" s="39"/>
      <c r="N22" s="39"/>
      <c r="O22" s="128"/>
      <c r="P22" s="92"/>
      <c r="Q22" s="96"/>
      <c r="R22" s="128"/>
      <c r="S22" s="92"/>
      <c r="T22" s="96">
        <v>4</v>
      </c>
      <c r="U22" s="39">
        <v>30</v>
      </c>
      <c r="V22" s="39">
        <f t="shared" si="4"/>
        <v>5454.545454545455</v>
      </c>
      <c r="W22" s="120">
        <f t="shared" si="6"/>
        <v>2.1999999999999999E-2</v>
      </c>
      <c r="X22" s="121">
        <v>22</v>
      </c>
      <c r="Y22" s="39">
        <f t="shared" si="7"/>
        <v>1363.6363636363637</v>
      </c>
      <c r="Z22" s="39">
        <v>11450</v>
      </c>
      <c r="AA22" s="122">
        <f t="shared" si="5"/>
        <v>12.594999999999999</v>
      </c>
      <c r="AB22" s="122"/>
      <c r="AC22" s="108" t="s">
        <v>86</v>
      </c>
    </row>
    <row r="26" spans="1:29" x14ac:dyDescent="0.25">
      <c r="B26" t="s">
        <v>98</v>
      </c>
    </row>
    <row r="27" spans="1:29" ht="18.75" x14ac:dyDescent="0.3">
      <c r="A27" s="106" t="s">
        <v>20</v>
      </c>
      <c r="B27" s="69" t="s">
        <v>21</v>
      </c>
      <c r="C27" s="68"/>
      <c r="D27" s="68">
        <f>+G27/(T27*U27)</f>
        <v>0</v>
      </c>
      <c r="E27" s="68"/>
      <c r="F27" s="66"/>
      <c r="G27" s="67">
        <f>F27*U27</f>
        <v>0</v>
      </c>
      <c r="H27" s="67">
        <f>+G27/W27</f>
        <v>0</v>
      </c>
      <c r="I27" s="67">
        <f>IF(T27-F27&lt;0,0,T27-F27)</f>
        <v>5</v>
      </c>
      <c r="J27" s="67">
        <f>+IF(V27-H27&lt;0,"",V27-H27)</f>
        <v>6833.7129840546695</v>
      </c>
      <c r="K27" s="92"/>
      <c r="L27" s="134"/>
      <c r="M27" s="39"/>
      <c r="N27" s="39"/>
      <c r="O27" s="128"/>
      <c r="P27" s="92"/>
      <c r="Q27" s="96"/>
      <c r="R27" s="128"/>
      <c r="S27" s="92"/>
      <c r="T27" s="96">
        <v>5</v>
      </c>
      <c r="U27" s="39">
        <v>30</v>
      </c>
      <c r="V27" s="39">
        <f>+T27*Y27</f>
        <v>6833.7129840546695</v>
      </c>
      <c r="W27" s="120">
        <f>+X27/1000</f>
        <v>2.1950000000000001E-2</v>
      </c>
      <c r="X27" s="121">
        <v>21.95</v>
      </c>
      <c r="Y27" s="39">
        <f>+U27/W27</f>
        <v>1366.7425968109339</v>
      </c>
      <c r="Z27" s="39">
        <v>0</v>
      </c>
      <c r="AA27" s="122">
        <f>1.5*Z27/Y27</f>
        <v>0</v>
      </c>
      <c r="AB27" s="122"/>
      <c r="AC27" s="108" t="s">
        <v>47</v>
      </c>
    </row>
  </sheetData>
  <mergeCells count="2">
    <mergeCell ref="A1:F1"/>
    <mergeCell ref="T5:AC5"/>
  </mergeCells>
  <printOptions horizontalCentered="1" verticalCentered="1"/>
  <pageMargins left="0.25" right="0.25" top="0.75" bottom="0.75" header="0.3" footer="0.3"/>
  <pageSetup paperSize="9" scale="35" fitToHeight="0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F0"/>
    <pageSetUpPr fitToPage="1"/>
  </sheetPr>
  <dimension ref="A1:AC27"/>
  <sheetViews>
    <sheetView workbookViewId="0">
      <selection sqref="A1:F1"/>
    </sheetView>
  </sheetViews>
  <sheetFormatPr baseColWidth="10" defaultRowHeight="15" x14ac:dyDescent="0.25"/>
  <cols>
    <col min="1" max="1" width="7.140625" customWidth="1"/>
    <col min="2" max="2" width="28.85546875" customWidth="1"/>
    <col min="3" max="3" width="8.85546875" customWidth="1"/>
    <col min="4" max="4" width="7.42578125" customWidth="1"/>
    <col min="5" max="5" width="9" customWidth="1"/>
    <col min="6" max="6" width="12.140625" customWidth="1"/>
    <col min="7" max="7" width="9.42578125" customWidth="1"/>
    <col min="8" max="8" width="11.42578125" customWidth="1"/>
    <col min="9" max="9" width="8.42578125" customWidth="1"/>
    <col min="10" max="10" width="12.140625" style="110" customWidth="1"/>
    <col min="11" max="11" width="3.140625" customWidth="1"/>
    <col min="12" max="13" width="9.42578125" customWidth="1"/>
    <col min="14" max="14" width="8.85546875" customWidth="1"/>
    <col min="15" max="15" width="9.7109375" customWidth="1"/>
    <col min="16" max="16" width="3.140625" customWidth="1"/>
    <col min="17" max="17" width="11.140625" customWidth="1"/>
    <col min="18" max="18" width="10.140625" customWidth="1"/>
    <col min="19" max="19" width="3.140625" customWidth="1"/>
    <col min="20" max="20" width="8.140625" customWidth="1"/>
    <col min="21" max="21" width="8" customWidth="1"/>
    <col min="22" max="22" width="9.28515625" customWidth="1"/>
    <col min="23" max="23" width="10.140625" customWidth="1"/>
    <col min="24" max="24" width="8.28515625" customWidth="1"/>
    <col min="25" max="25" width="8.85546875" customWidth="1"/>
    <col min="26" max="26" width="11.140625" customWidth="1"/>
    <col min="27" max="28" width="10.7109375" customWidth="1"/>
    <col min="29" max="29" width="11.85546875" customWidth="1"/>
  </cols>
  <sheetData>
    <row r="1" spans="1:29" ht="39.200000000000003" customHeight="1" thickBot="1" x14ac:dyDescent="0.3">
      <c r="A1" s="517" t="s">
        <v>95</v>
      </c>
      <c r="B1" s="518"/>
      <c r="C1" s="518"/>
      <c r="D1" s="518"/>
      <c r="E1" s="518"/>
      <c r="F1" s="519"/>
      <c r="J1"/>
      <c r="V1" s="1"/>
    </row>
    <row r="2" spans="1:29" ht="24.75" customHeight="1" thickBot="1" x14ac:dyDescent="0.35">
      <c r="B2" s="164" t="s">
        <v>1</v>
      </c>
      <c r="H2" s="1"/>
      <c r="I2" s="3" t="s">
        <v>55</v>
      </c>
      <c r="J2" s="3"/>
    </row>
    <row r="3" spans="1:29" ht="24.75" customHeight="1" x14ac:dyDescent="0.3">
      <c r="F3" s="1"/>
      <c r="G3" s="1"/>
      <c r="H3" s="1"/>
      <c r="I3" s="3"/>
      <c r="J3" s="3"/>
    </row>
    <row r="4" spans="1:29" ht="24.75" customHeight="1" thickBot="1" x14ac:dyDescent="0.4">
      <c r="B4" s="166" t="s">
        <v>96</v>
      </c>
      <c r="C4" s="163"/>
      <c r="D4" s="163"/>
      <c r="E4" s="163"/>
      <c r="F4" s="1"/>
      <c r="G4" s="1"/>
      <c r="H4" s="1"/>
      <c r="I4" s="3"/>
      <c r="J4" s="3"/>
    </row>
    <row r="5" spans="1:29" ht="24.75" customHeight="1" thickBot="1" x14ac:dyDescent="0.35">
      <c r="B5" s="161" t="s">
        <v>97</v>
      </c>
      <c r="C5" s="162" t="s">
        <v>1</v>
      </c>
      <c r="D5" s="160">
        <v>45567</v>
      </c>
      <c r="F5" s="1"/>
      <c r="G5" s="1"/>
      <c r="H5" s="1"/>
      <c r="I5" s="3"/>
      <c r="J5" s="3"/>
      <c r="T5" s="522" t="s">
        <v>73</v>
      </c>
      <c r="U5" s="523"/>
      <c r="V5" s="523"/>
      <c r="W5" s="523"/>
      <c r="X5" s="523"/>
      <c r="Y5" s="523"/>
      <c r="Z5" s="523"/>
      <c r="AA5" s="523"/>
      <c r="AB5" s="523"/>
      <c r="AC5" s="524"/>
    </row>
    <row r="6" spans="1:29" ht="54.6" customHeight="1" thickBot="1" x14ac:dyDescent="0.3">
      <c r="A6" s="15" t="s">
        <v>3</v>
      </c>
      <c r="B6" s="4" t="s">
        <v>5</v>
      </c>
      <c r="C6" s="4" t="s">
        <v>59</v>
      </c>
      <c r="D6" s="4" t="s">
        <v>76</v>
      </c>
      <c r="E6" s="4" t="s">
        <v>4</v>
      </c>
      <c r="F6" s="4" t="s">
        <v>39</v>
      </c>
      <c r="G6" s="4" t="s">
        <v>6</v>
      </c>
      <c r="H6" s="4" t="s">
        <v>7</v>
      </c>
      <c r="I6" s="18" t="s">
        <v>54</v>
      </c>
      <c r="J6" s="18" t="s">
        <v>59</v>
      </c>
      <c r="K6" s="91"/>
      <c r="L6" s="133" t="s">
        <v>75</v>
      </c>
      <c r="M6" s="133" t="s">
        <v>69</v>
      </c>
      <c r="N6" s="6" t="s">
        <v>70</v>
      </c>
      <c r="O6" s="138" t="s">
        <v>74</v>
      </c>
      <c r="P6" s="91"/>
      <c r="Q6" s="133" t="s">
        <v>71</v>
      </c>
      <c r="R6" s="6" t="s">
        <v>72</v>
      </c>
      <c r="S6" s="91"/>
      <c r="T6" s="102" t="s">
        <v>63</v>
      </c>
      <c r="U6" s="103" t="s">
        <v>38</v>
      </c>
      <c r="V6" s="103" t="s">
        <v>58</v>
      </c>
      <c r="W6" s="103" t="s">
        <v>10</v>
      </c>
      <c r="X6" s="103" t="s">
        <v>65</v>
      </c>
      <c r="Y6" s="103" t="s">
        <v>11</v>
      </c>
      <c r="Z6" s="103" t="s">
        <v>14</v>
      </c>
      <c r="AA6" s="104" t="s">
        <v>64</v>
      </c>
      <c r="AB6" s="140" t="s">
        <v>80</v>
      </c>
      <c r="AC6" s="4" t="s">
        <v>46</v>
      </c>
    </row>
    <row r="7" spans="1:29" ht="18.75" hidden="1" x14ac:dyDescent="0.3">
      <c r="A7" s="70">
        <v>500</v>
      </c>
      <c r="B7" s="71" t="s">
        <v>16</v>
      </c>
      <c r="C7" s="74"/>
      <c r="D7" s="74">
        <f>+G7/(T7*U7)</f>
        <v>1.6</v>
      </c>
      <c r="E7" s="111" t="s">
        <v>15</v>
      </c>
      <c r="F7" s="73">
        <v>8</v>
      </c>
      <c r="G7" s="72">
        <f t="shared" ref="G7:G22" si="0">F7*U7</f>
        <v>240</v>
      </c>
      <c r="H7" s="72">
        <f t="shared" ref="H7:H22" si="1">+G7/W7</f>
        <v>7283.7632776934752</v>
      </c>
      <c r="I7" s="72">
        <f t="shared" ref="I7:I22" si="2">IF(T7-F7&lt;0,0,T7-F7)</f>
        <v>0</v>
      </c>
      <c r="J7" s="72" t="str">
        <f t="shared" ref="J7:J22" si="3">+IF(V7-H7&lt;0,"",V7-H7)</f>
        <v/>
      </c>
      <c r="K7" s="92"/>
      <c r="L7" s="136"/>
      <c r="M7" s="137"/>
      <c r="N7" s="137"/>
      <c r="O7" s="132"/>
      <c r="P7" s="92"/>
      <c r="Q7" s="131"/>
      <c r="R7" s="132"/>
      <c r="S7" s="92"/>
      <c r="T7" s="96">
        <v>5</v>
      </c>
      <c r="U7" s="39">
        <v>30</v>
      </c>
      <c r="V7" s="39">
        <f t="shared" ref="V7:V22" si="4">+T7*Y7</f>
        <v>4552.3520485584222</v>
      </c>
      <c r="W7" s="120">
        <f>+X7/1000</f>
        <v>3.295E-2</v>
      </c>
      <c r="X7" s="121">
        <v>32.950000000000003</v>
      </c>
      <c r="Y7" s="39">
        <f>+U7/W7</f>
        <v>910.4704097116844</v>
      </c>
      <c r="Z7" s="39">
        <v>1800</v>
      </c>
      <c r="AA7" s="122">
        <f t="shared" ref="AA7:AA22" si="5">1.5*Z7/Y7</f>
        <v>2.9655</v>
      </c>
      <c r="AB7" s="141"/>
      <c r="AC7" s="107" t="s">
        <v>47</v>
      </c>
    </row>
    <row r="8" spans="1:29" ht="18.75" hidden="1" x14ac:dyDescent="0.3">
      <c r="A8" s="76">
        <v>706</v>
      </c>
      <c r="B8" s="69" t="s">
        <v>18</v>
      </c>
      <c r="C8" s="68"/>
      <c r="D8" s="68">
        <f>+G8/(T8*U8)</f>
        <v>2</v>
      </c>
      <c r="E8" s="106" t="s">
        <v>17</v>
      </c>
      <c r="F8" s="66">
        <v>8</v>
      </c>
      <c r="G8" s="67">
        <f t="shared" si="0"/>
        <v>240</v>
      </c>
      <c r="H8" s="67">
        <f t="shared" si="1"/>
        <v>10933.940774487472</v>
      </c>
      <c r="I8" s="67">
        <f t="shared" si="2"/>
        <v>0</v>
      </c>
      <c r="J8" s="67" t="str">
        <f t="shared" si="3"/>
        <v/>
      </c>
      <c r="K8" s="92"/>
      <c r="L8" s="134"/>
      <c r="M8" s="39"/>
      <c r="N8" s="39"/>
      <c r="O8" s="128"/>
      <c r="P8" s="92"/>
      <c r="Q8" s="96"/>
      <c r="R8" s="128"/>
      <c r="S8" s="92"/>
      <c r="T8" s="96">
        <v>4</v>
      </c>
      <c r="U8" s="39">
        <v>30</v>
      </c>
      <c r="V8" s="39">
        <f t="shared" si="4"/>
        <v>5466.9703872437358</v>
      </c>
      <c r="W8" s="120">
        <f t="shared" ref="W8:W22" si="6">+X8/1000</f>
        <v>2.1950000000000001E-2</v>
      </c>
      <c r="X8" s="121">
        <v>21.95</v>
      </c>
      <c r="Y8" s="39">
        <f t="shared" ref="Y8:Y22" si="7">+U8/W8</f>
        <v>1366.7425968109339</v>
      </c>
      <c r="Z8" s="39">
        <v>2400</v>
      </c>
      <c r="AA8" s="122">
        <f t="shared" si="5"/>
        <v>2.6339999999999999</v>
      </c>
      <c r="AB8" s="122"/>
      <c r="AC8" s="108" t="s">
        <v>47</v>
      </c>
    </row>
    <row r="9" spans="1:29" ht="21.2" customHeight="1" x14ac:dyDescent="0.3">
      <c r="A9" s="76">
        <v>506</v>
      </c>
      <c r="B9" s="69" t="s">
        <v>29</v>
      </c>
      <c r="C9" s="168">
        <v>6800</v>
      </c>
      <c r="D9" s="68">
        <f>+G9/(T9*U9)</f>
        <v>0.375</v>
      </c>
      <c r="E9" s="106" t="s">
        <v>28</v>
      </c>
      <c r="F9" s="66">
        <v>3</v>
      </c>
      <c r="G9" s="67">
        <f>F9*U9</f>
        <v>90</v>
      </c>
      <c r="H9" s="67">
        <f>+G9/W9</f>
        <v>4100.2277904328021</v>
      </c>
      <c r="I9" s="67">
        <f>IF(T9-F9&lt;0,0,T9-F9)</f>
        <v>5</v>
      </c>
      <c r="J9" s="67">
        <f>+IF(V9-H9&lt;0,"",V9-H9)</f>
        <v>6833.7129840546695</v>
      </c>
      <c r="K9" s="92"/>
      <c r="L9" s="134"/>
      <c r="M9" s="39"/>
      <c r="N9" s="39"/>
      <c r="O9" s="128"/>
      <c r="P9" s="92"/>
      <c r="Q9" s="96"/>
      <c r="R9" s="128"/>
      <c r="S9" s="92"/>
      <c r="T9" s="96">
        <v>8</v>
      </c>
      <c r="U9" s="39">
        <v>30</v>
      </c>
      <c r="V9" s="39">
        <f>+T9*Y9</f>
        <v>10933.940774487472</v>
      </c>
      <c r="W9" s="120">
        <f>+X9/1000</f>
        <v>2.1950000000000001E-2</v>
      </c>
      <c r="X9" s="121">
        <v>21.95</v>
      </c>
      <c r="Y9" s="39">
        <f>+U9/W9</f>
        <v>1366.7425968109339</v>
      </c>
      <c r="Z9" s="39">
        <v>20580</v>
      </c>
      <c r="AA9" s="122">
        <f>1.5*Z9/Y9</f>
        <v>22.586549999999999</v>
      </c>
      <c r="AB9" s="122"/>
      <c r="AC9" s="108" t="s">
        <v>47</v>
      </c>
    </row>
    <row r="10" spans="1:29" x14ac:dyDescent="0.25">
      <c r="J10"/>
    </row>
    <row r="11" spans="1:29" ht="24" thickBot="1" x14ac:dyDescent="0.4">
      <c r="B11" s="166" t="s">
        <v>96</v>
      </c>
      <c r="C11" s="163"/>
      <c r="D11" s="163"/>
      <c r="E11" s="163"/>
      <c r="J11"/>
    </row>
    <row r="12" spans="1:29" ht="24" thickBot="1" x14ac:dyDescent="0.35">
      <c r="B12" s="161" t="s">
        <v>53</v>
      </c>
      <c r="C12" s="162" t="s">
        <v>1</v>
      </c>
      <c r="D12" s="160">
        <v>45567</v>
      </c>
      <c r="J12"/>
    </row>
    <row r="13" spans="1:29" ht="54.6" customHeight="1" thickBot="1" x14ac:dyDescent="0.3">
      <c r="A13" s="15" t="s">
        <v>3</v>
      </c>
      <c r="B13" s="4" t="s">
        <v>5</v>
      </c>
      <c r="C13" s="4" t="s">
        <v>59</v>
      </c>
      <c r="D13" s="4" t="s">
        <v>76</v>
      </c>
      <c r="E13" s="4" t="s">
        <v>4</v>
      </c>
      <c r="F13" s="4" t="s">
        <v>39</v>
      </c>
      <c r="G13" s="4" t="s">
        <v>6</v>
      </c>
      <c r="H13" s="4" t="s">
        <v>7</v>
      </c>
      <c r="I13" s="18" t="s">
        <v>54</v>
      </c>
      <c r="J13" s="18" t="s">
        <v>59</v>
      </c>
      <c r="K13" s="91"/>
      <c r="L13" s="133" t="s">
        <v>75</v>
      </c>
      <c r="M13" s="133" t="s">
        <v>69</v>
      </c>
      <c r="N13" s="6" t="s">
        <v>70</v>
      </c>
      <c r="O13" s="138" t="s">
        <v>74</v>
      </c>
      <c r="P13" s="91"/>
      <c r="Q13" s="133" t="s">
        <v>71</v>
      </c>
      <c r="R13" s="6" t="s">
        <v>72</v>
      </c>
      <c r="S13" s="91"/>
      <c r="T13" s="102" t="s">
        <v>63</v>
      </c>
      <c r="U13" s="103" t="s">
        <v>38</v>
      </c>
      <c r="V13" s="103" t="s">
        <v>58</v>
      </c>
      <c r="W13" s="103" t="s">
        <v>10</v>
      </c>
      <c r="X13" s="103" t="s">
        <v>65</v>
      </c>
      <c r="Y13" s="103" t="s">
        <v>11</v>
      </c>
      <c r="Z13" s="103" t="s">
        <v>14</v>
      </c>
      <c r="AA13" s="104" t="s">
        <v>64</v>
      </c>
      <c r="AB13" s="140" t="s">
        <v>80</v>
      </c>
      <c r="AC13" s="4" t="s">
        <v>46</v>
      </c>
    </row>
    <row r="14" spans="1:29" ht="18.75" x14ac:dyDescent="0.3">
      <c r="A14" s="76">
        <v>654</v>
      </c>
      <c r="B14" s="69" t="s">
        <v>23</v>
      </c>
      <c r="C14" s="168">
        <v>720</v>
      </c>
      <c r="D14" s="68">
        <f>+G14/(T14*U14)</f>
        <v>0.76000000000000012</v>
      </c>
      <c r="E14" s="106" t="s">
        <v>22</v>
      </c>
      <c r="F14" s="66">
        <v>19</v>
      </c>
      <c r="G14" s="67">
        <f t="shared" si="0"/>
        <v>49.019999999999996</v>
      </c>
      <c r="H14" s="67">
        <f t="shared" si="1"/>
        <v>2280</v>
      </c>
      <c r="I14" s="67">
        <f t="shared" si="2"/>
        <v>6</v>
      </c>
      <c r="J14" s="67">
        <f t="shared" si="3"/>
        <v>720</v>
      </c>
      <c r="K14" s="92"/>
      <c r="L14" s="134"/>
      <c r="M14" s="39"/>
      <c r="N14" s="121"/>
      <c r="O14" s="129"/>
      <c r="P14" s="92"/>
      <c r="Q14" s="96"/>
      <c r="R14" s="129"/>
      <c r="S14" s="92"/>
      <c r="T14" s="96">
        <v>25</v>
      </c>
      <c r="U14" s="121">
        <f>+Y14*W14</f>
        <v>2.5799999999999996</v>
      </c>
      <c r="V14" s="39">
        <f t="shared" si="4"/>
        <v>3000</v>
      </c>
      <c r="W14" s="120">
        <f t="shared" si="6"/>
        <v>2.1499999999999998E-2</v>
      </c>
      <c r="X14" s="121">
        <v>21.5</v>
      </c>
      <c r="Y14" s="39">
        <v>120</v>
      </c>
      <c r="Z14" s="39">
        <v>800</v>
      </c>
      <c r="AA14" s="122">
        <f t="shared" si="5"/>
        <v>10</v>
      </c>
      <c r="AB14" s="122"/>
      <c r="AC14" s="108" t="s">
        <v>53</v>
      </c>
    </row>
    <row r="15" spans="1:29" ht="18.75" hidden="1" x14ac:dyDescent="0.3">
      <c r="A15" s="76">
        <v>558</v>
      </c>
      <c r="B15" s="69" t="s">
        <v>25</v>
      </c>
      <c r="C15" s="68"/>
      <c r="D15" s="68">
        <f>+G15/(T15*U15)</f>
        <v>1.44</v>
      </c>
      <c r="E15" s="106" t="s">
        <v>24</v>
      </c>
      <c r="F15" s="66">
        <v>36</v>
      </c>
      <c r="G15" s="67">
        <f t="shared" si="0"/>
        <v>64.8</v>
      </c>
      <c r="H15" s="67">
        <f t="shared" si="1"/>
        <v>4180.645161290322</v>
      </c>
      <c r="I15" s="67">
        <f t="shared" si="2"/>
        <v>0</v>
      </c>
      <c r="J15" s="67" t="str">
        <f t="shared" si="3"/>
        <v/>
      </c>
      <c r="K15" s="92"/>
      <c r="L15" s="134"/>
      <c r="M15" s="39"/>
      <c r="N15" s="121"/>
      <c r="O15" s="129"/>
      <c r="P15" s="92"/>
      <c r="Q15" s="96"/>
      <c r="R15" s="129"/>
      <c r="S15" s="92"/>
      <c r="T15" s="96">
        <v>25</v>
      </c>
      <c r="U15" s="121">
        <v>1.8</v>
      </c>
      <c r="V15" s="39">
        <f t="shared" si="4"/>
        <v>3000</v>
      </c>
      <c r="W15" s="120">
        <f t="shared" si="6"/>
        <v>1.55E-2</v>
      </c>
      <c r="X15" s="121">
        <v>15.5</v>
      </c>
      <c r="Y15" s="39">
        <v>120</v>
      </c>
      <c r="Z15" s="123">
        <v>3000</v>
      </c>
      <c r="AA15" s="122">
        <f t="shared" si="5"/>
        <v>37.5</v>
      </c>
      <c r="AB15" s="122"/>
      <c r="AC15" s="108" t="s">
        <v>53</v>
      </c>
    </row>
    <row r="16" spans="1:29" ht="21.2" hidden="1" customHeight="1" x14ac:dyDescent="0.3">
      <c r="A16" s="76">
        <v>557</v>
      </c>
      <c r="B16" s="69" t="s">
        <v>27</v>
      </c>
      <c r="C16" s="68"/>
      <c r="D16" s="68">
        <f>+G16/(T16*U16)</f>
        <v>1.1600000000000001</v>
      </c>
      <c r="E16" s="106" t="s">
        <v>26</v>
      </c>
      <c r="F16" s="66">
        <v>29</v>
      </c>
      <c r="G16" s="67">
        <f t="shared" si="0"/>
        <v>52.2</v>
      </c>
      <c r="H16" s="67">
        <f t="shared" si="1"/>
        <v>3283.0188679245284</v>
      </c>
      <c r="I16" s="67">
        <f t="shared" si="2"/>
        <v>0</v>
      </c>
      <c r="J16" s="67" t="str">
        <f t="shared" si="3"/>
        <v/>
      </c>
      <c r="K16" s="92"/>
      <c r="L16" s="134"/>
      <c r="M16" s="39"/>
      <c r="N16" s="121"/>
      <c r="O16" s="129"/>
      <c r="P16" s="92"/>
      <c r="Q16" s="96"/>
      <c r="R16" s="129"/>
      <c r="S16" s="92"/>
      <c r="T16" s="96">
        <v>25</v>
      </c>
      <c r="U16" s="121">
        <v>1.8</v>
      </c>
      <c r="V16" s="39">
        <f t="shared" si="4"/>
        <v>3000</v>
      </c>
      <c r="W16" s="120">
        <f t="shared" si="6"/>
        <v>1.5900000000000001E-2</v>
      </c>
      <c r="X16" s="121">
        <v>15.9</v>
      </c>
      <c r="Y16" s="39">
        <v>120</v>
      </c>
      <c r="Z16" s="39">
        <v>240</v>
      </c>
      <c r="AA16" s="122">
        <f t="shared" si="5"/>
        <v>3</v>
      </c>
      <c r="AB16" s="122"/>
      <c r="AC16" s="108" t="s">
        <v>53</v>
      </c>
    </row>
    <row r="19" spans="1:29" ht="24" thickBot="1" x14ac:dyDescent="0.4">
      <c r="B19" s="166" t="s">
        <v>96</v>
      </c>
      <c r="C19" s="163"/>
      <c r="D19" s="163"/>
    </row>
    <row r="20" spans="1:29" ht="24" thickBot="1" x14ac:dyDescent="0.35">
      <c r="B20" s="161" t="s">
        <v>86</v>
      </c>
      <c r="C20" s="162" t="s">
        <v>1</v>
      </c>
      <c r="D20" s="160"/>
    </row>
    <row r="21" spans="1:29" ht="54.6" customHeight="1" thickBot="1" x14ac:dyDescent="0.3">
      <c r="A21" s="15" t="s">
        <v>3</v>
      </c>
      <c r="B21" s="4" t="s">
        <v>5</v>
      </c>
      <c r="C21" s="4" t="s">
        <v>59</v>
      </c>
      <c r="D21" s="4" t="s">
        <v>76</v>
      </c>
      <c r="E21" s="4" t="s">
        <v>4</v>
      </c>
      <c r="F21" s="4" t="s">
        <v>39</v>
      </c>
      <c r="G21" s="4" t="s">
        <v>6</v>
      </c>
      <c r="H21" s="4" t="s">
        <v>7</v>
      </c>
      <c r="I21" s="18" t="s">
        <v>54</v>
      </c>
      <c r="J21" s="18" t="s">
        <v>59</v>
      </c>
      <c r="K21" s="91"/>
      <c r="L21" s="133" t="s">
        <v>75</v>
      </c>
      <c r="M21" s="133" t="s">
        <v>69</v>
      </c>
      <c r="N21" s="6" t="s">
        <v>70</v>
      </c>
      <c r="O21" s="138" t="s">
        <v>74</v>
      </c>
      <c r="P21" s="91"/>
      <c r="Q21" s="133" t="s">
        <v>71</v>
      </c>
      <c r="R21" s="6" t="s">
        <v>72</v>
      </c>
      <c r="S21" s="91"/>
      <c r="T21" s="102" t="s">
        <v>63</v>
      </c>
      <c r="U21" s="103" t="s">
        <v>38</v>
      </c>
      <c r="V21" s="103" t="s">
        <v>58</v>
      </c>
      <c r="W21" s="103" t="s">
        <v>10</v>
      </c>
      <c r="X21" s="103" t="s">
        <v>65</v>
      </c>
      <c r="Y21" s="103" t="s">
        <v>11</v>
      </c>
      <c r="Z21" s="103" t="s">
        <v>14</v>
      </c>
      <c r="AA21" s="104" t="s">
        <v>64</v>
      </c>
      <c r="AB21" s="140" t="s">
        <v>80</v>
      </c>
      <c r="AC21" s="4" t="s">
        <v>46</v>
      </c>
    </row>
    <row r="22" spans="1:29" ht="18.75" x14ac:dyDescent="0.3">
      <c r="A22" s="76">
        <v>510</v>
      </c>
      <c r="B22" s="69" t="s">
        <v>31</v>
      </c>
      <c r="C22" s="68"/>
      <c r="D22" s="68">
        <f>+G22/(T22*U22)</f>
        <v>3.5</v>
      </c>
      <c r="E22" s="106" t="s">
        <v>30</v>
      </c>
      <c r="F22" s="66">
        <v>14</v>
      </c>
      <c r="G22" s="67">
        <f t="shared" si="0"/>
        <v>420</v>
      </c>
      <c r="H22" s="67">
        <f t="shared" si="1"/>
        <v>19090.909090909092</v>
      </c>
      <c r="I22" s="67">
        <f t="shared" si="2"/>
        <v>0</v>
      </c>
      <c r="J22" s="67" t="str">
        <f t="shared" si="3"/>
        <v/>
      </c>
      <c r="K22" s="92"/>
      <c r="L22" s="134"/>
      <c r="M22" s="39"/>
      <c r="N22" s="39"/>
      <c r="O22" s="128"/>
      <c r="P22" s="92"/>
      <c r="Q22" s="96"/>
      <c r="R22" s="128"/>
      <c r="S22" s="92"/>
      <c r="T22" s="96">
        <v>4</v>
      </c>
      <c r="U22" s="39">
        <v>30</v>
      </c>
      <c r="V22" s="39">
        <f t="shared" si="4"/>
        <v>5454.545454545455</v>
      </c>
      <c r="W22" s="120">
        <f t="shared" si="6"/>
        <v>2.1999999999999999E-2</v>
      </c>
      <c r="X22" s="121">
        <v>22</v>
      </c>
      <c r="Y22" s="39">
        <f t="shared" si="7"/>
        <v>1363.6363636363637</v>
      </c>
      <c r="Z22" s="39">
        <v>11450</v>
      </c>
      <c r="AA22" s="122">
        <f t="shared" si="5"/>
        <v>12.594999999999999</v>
      </c>
      <c r="AB22" s="122"/>
      <c r="AC22" s="108" t="s">
        <v>86</v>
      </c>
    </row>
    <row r="26" spans="1:29" x14ac:dyDescent="0.25">
      <c r="B26" t="s">
        <v>98</v>
      </c>
    </row>
    <row r="27" spans="1:29" ht="18.75" x14ac:dyDescent="0.3">
      <c r="A27" s="106" t="s">
        <v>20</v>
      </c>
      <c r="B27" s="69" t="s">
        <v>21</v>
      </c>
      <c r="C27" s="68"/>
      <c r="D27" s="68">
        <f>+G27/(T27*U27)</f>
        <v>0</v>
      </c>
      <c r="E27" s="68"/>
      <c r="F27" s="66"/>
      <c r="G27" s="67">
        <f>F27*U27</f>
        <v>0</v>
      </c>
      <c r="H27" s="67">
        <f>+G27/W27</f>
        <v>0</v>
      </c>
      <c r="I27" s="67">
        <f>IF(T27-F27&lt;0,0,T27-F27)</f>
        <v>5</v>
      </c>
      <c r="J27" s="67">
        <f>+IF(V27-H27&lt;0,"",V27-H27)</f>
        <v>6833.7129840546695</v>
      </c>
      <c r="K27" s="92"/>
      <c r="L27" s="134"/>
      <c r="M27" s="39"/>
      <c r="N27" s="39"/>
      <c r="O27" s="128"/>
      <c r="P27" s="92"/>
      <c r="Q27" s="96"/>
      <c r="R27" s="128"/>
      <c r="S27" s="92"/>
      <c r="T27" s="96">
        <v>5</v>
      </c>
      <c r="U27" s="39">
        <v>30</v>
      </c>
      <c r="V27" s="39">
        <f>+T27*Y27</f>
        <v>6833.7129840546695</v>
      </c>
      <c r="W27" s="120">
        <f>+X27/1000</f>
        <v>2.1950000000000001E-2</v>
      </c>
      <c r="X27" s="121">
        <v>21.95</v>
      </c>
      <c r="Y27" s="39">
        <f>+U27/W27</f>
        <v>1366.7425968109339</v>
      </c>
      <c r="Z27" s="39">
        <v>0</v>
      </c>
      <c r="AA27" s="122">
        <f>1.5*Z27/Y27</f>
        <v>0</v>
      </c>
      <c r="AB27" s="122"/>
      <c r="AC27" s="108" t="s">
        <v>47</v>
      </c>
    </row>
  </sheetData>
  <mergeCells count="2">
    <mergeCell ref="A1:F1"/>
    <mergeCell ref="T5:AC5"/>
  </mergeCells>
  <printOptions horizontalCentered="1" verticalCentered="1"/>
  <pageMargins left="0.25" right="0.25" top="0.75" bottom="0.75" header="0.3" footer="0.3"/>
  <pageSetup paperSize="9" scale="35" fitToHeight="0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F0"/>
    <pageSetUpPr fitToPage="1"/>
  </sheetPr>
  <dimension ref="A1:AC27"/>
  <sheetViews>
    <sheetView workbookViewId="0">
      <selection sqref="A1:F1"/>
    </sheetView>
  </sheetViews>
  <sheetFormatPr baseColWidth="10" defaultRowHeight="15" x14ac:dyDescent="0.25"/>
  <cols>
    <col min="1" max="1" width="7.140625" customWidth="1"/>
    <col min="2" max="2" width="28.85546875" customWidth="1"/>
    <col min="3" max="3" width="8.85546875" customWidth="1"/>
    <col min="4" max="4" width="7.42578125" customWidth="1"/>
    <col min="5" max="5" width="9" customWidth="1"/>
    <col min="6" max="6" width="12.140625" customWidth="1"/>
    <col min="7" max="7" width="9.42578125" customWidth="1"/>
    <col min="8" max="8" width="11.42578125" customWidth="1"/>
    <col min="9" max="9" width="8.42578125" customWidth="1"/>
    <col min="10" max="10" width="12.140625" style="110" customWidth="1"/>
    <col min="11" max="11" width="3.140625" customWidth="1"/>
    <col min="12" max="13" width="9.42578125" customWidth="1"/>
    <col min="14" max="14" width="8.85546875" customWidth="1"/>
    <col min="15" max="15" width="9.7109375" customWidth="1"/>
    <col min="16" max="16" width="3.140625" customWidth="1"/>
    <col min="17" max="17" width="11.140625" customWidth="1"/>
    <col min="18" max="18" width="10.140625" customWidth="1"/>
    <col min="19" max="19" width="3.140625" customWidth="1"/>
    <col min="20" max="20" width="8.140625" customWidth="1"/>
    <col min="21" max="21" width="8" customWidth="1"/>
    <col min="22" max="22" width="9.28515625" customWidth="1"/>
    <col min="23" max="23" width="10.140625" customWidth="1"/>
    <col min="24" max="24" width="8.28515625" customWidth="1"/>
    <col min="25" max="25" width="8.85546875" customWidth="1"/>
    <col min="26" max="26" width="11.140625" customWidth="1"/>
    <col min="27" max="28" width="10.7109375" customWidth="1"/>
    <col min="29" max="29" width="11.85546875" customWidth="1"/>
  </cols>
  <sheetData>
    <row r="1" spans="1:29" ht="39.200000000000003" customHeight="1" thickBot="1" x14ac:dyDescent="0.3">
      <c r="A1" s="517" t="s">
        <v>95</v>
      </c>
      <c r="B1" s="518"/>
      <c r="C1" s="518"/>
      <c r="D1" s="518"/>
      <c r="E1" s="518"/>
      <c r="F1" s="519"/>
      <c r="J1"/>
      <c r="V1" s="1"/>
    </row>
    <row r="2" spans="1:29" ht="24.75" customHeight="1" thickBot="1" x14ac:dyDescent="0.35">
      <c r="B2" s="164" t="s">
        <v>99</v>
      </c>
      <c r="H2" s="1"/>
      <c r="I2" s="3" t="s">
        <v>55</v>
      </c>
      <c r="J2" s="3"/>
    </row>
    <row r="3" spans="1:29" ht="24.75" customHeight="1" x14ac:dyDescent="0.3">
      <c r="F3" s="1"/>
      <c r="G3" s="1"/>
      <c r="H3" s="1"/>
      <c r="I3" s="3"/>
      <c r="J3" s="3"/>
    </row>
    <row r="4" spans="1:29" ht="24.75" customHeight="1" thickBot="1" x14ac:dyDescent="0.4">
      <c r="B4" s="166" t="s">
        <v>96</v>
      </c>
      <c r="C4" s="163"/>
      <c r="D4" s="163"/>
      <c r="E4" s="163"/>
      <c r="F4" s="1"/>
      <c r="G4" s="1"/>
      <c r="H4" s="1"/>
      <c r="I4" s="3"/>
      <c r="J4" s="3"/>
    </row>
    <row r="5" spans="1:29" ht="24.75" customHeight="1" thickBot="1" x14ac:dyDescent="0.35">
      <c r="B5" s="161" t="s">
        <v>97</v>
      </c>
      <c r="C5" s="162" t="s">
        <v>1</v>
      </c>
      <c r="D5" s="160"/>
      <c r="F5" s="1"/>
      <c r="G5" s="1"/>
      <c r="H5" s="1"/>
      <c r="I5" s="3"/>
      <c r="J5" s="3"/>
      <c r="T5" s="522" t="s">
        <v>73</v>
      </c>
      <c r="U5" s="523"/>
      <c r="V5" s="523"/>
      <c r="W5" s="523"/>
      <c r="X5" s="523"/>
      <c r="Y5" s="523"/>
      <c r="Z5" s="523"/>
      <c r="AA5" s="523"/>
      <c r="AB5" s="523"/>
      <c r="AC5" s="524"/>
    </row>
    <row r="6" spans="1:29" ht="54.6" customHeight="1" thickBot="1" x14ac:dyDescent="0.3">
      <c r="A6" s="15" t="s">
        <v>3</v>
      </c>
      <c r="B6" s="4" t="s">
        <v>5</v>
      </c>
      <c r="C6" s="4" t="s">
        <v>59</v>
      </c>
      <c r="D6" s="4" t="s">
        <v>76</v>
      </c>
      <c r="E6" s="4" t="s">
        <v>4</v>
      </c>
      <c r="F6" s="4" t="s">
        <v>39</v>
      </c>
      <c r="G6" s="4" t="s">
        <v>6</v>
      </c>
      <c r="H6" s="4" t="s">
        <v>7</v>
      </c>
      <c r="I6" s="18" t="s">
        <v>54</v>
      </c>
      <c r="J6" s="18" t="s">
        <v>59</v>
      </c>
      <c r="K6" s="91"/>
      <c r="L6" s="133" t="s">
        <v>75</v>
      </c>
      <c r="M6" s="133" t="s">
        <v>69</v>
      </c>
      <c r="N6" s="6" t="s">
        <v>70</v>
      </c>
      <c r="O6" s="138" t="s">
        <v>74</v>
      </c>
      <c r="P6" s="91"/>
      <c r="Q6" s="133" t="s">
        <v>71</v>
      </c>
      <c r="R6" s="6" t="s">
        <v>72</v>
      </c>
      <c r="S6" s="91"/>
      <c r="T6" s="102" t="s">
        <v>63</v>
      </c>
      <c r="U6" s="103" t="s">
        <v>38</v>
      </c>
      <c r="V6" s="103" t="s">
        <v>58</v>
      </c>
      <c r="W6" s="103" t="s">
        <v>10</v>
      </c>
      <c r="X6" s="103" t="s">
        <v>65</v>
      </c>
      <c r="Y6" s="103" t="s">
        <v>11</v>
      </c>
      <c r="Z6" s="103" t="s">
        <v>14</v>
      </c>
      <c r="AA6" s="104" t="s">
        <v>64</v>
      </c>
      <c r="AB6" s="140" t="s">
        <v>80</v>
      </c>
      <c r="AC6" s="4" t="s">
        <v>46</v>
      </c>
    </row>
    <row r="7" spans="1:29" ht="18.75" x14ac:dyDescent="0.3">
      <c r="A7" s="70">
        <v>500</v>
      </c>
      <c r="B7" s="71" t="s">
        <v>16</v>
      </c>
      <c r="C7" s="74"/>
      <c r="D7" s="74">
        <f>+G7/(T7*U7)</f>
        <v>1.6</v>
      </c>
      <c r="E7" s="111" t="s">
        <v>15</v>
      </c>
      <c r="F7" s="73">
        <v>8</v>
      </c>
      <c r="G7" s="72">
        <f t="shared" ref="G7:G22" si="0">F7*U7</f>
        <v>240</v>
      </c>
      <c r="H7" s="72">
        <f t="shared" ref="H7:H22" si="1">+G7/W7</f>
        <v>7283.7632776934752</v>
      </c>
      <c r="I7" s="72">
        <f t="shared" ref="I7:I22" si="2">IF(T7-F7&lt;0,0,T7-F7)</f>
        <v>0</v>
      </c>
      <c r="J7" s="72" t="str">
        <f t="shared" ref="J7:J22" si="3">+IF(V7-H7&lt;0,"",V7-H7)</f>
        <v/>
      </c>
      <c r="K7" s="92"/>
      <c r="L7" s="136"/>
      <c r="M7" s="137"/>
      <c r="N7" s="137"/>
      <c r="O7" s="132"/>
      <c r="P7" s="92"/>
      <c r="Q7" s="131"/>
      <c r="R7" s="132"/>
      <c r="S7" s="92"/>
      <c r="T7" s="96">
        <v>5</v>
      </c>
      <c r="U7" s="39">
        <v>30</v>
      </c>
      <c r="V7" s="39">
        <f t="shared" ref="V7:V22" si="4">+T7*Y7</f>
        <v>4552.3520485584222</v>
      </c>
      <c r="W7" s="120">
        <f>+X7/1000</f>
        <v>3.295E-2</v>
      </c>
      <c r="X7" s="121">
        <v>32.950000000000003</v>
      </c>
      <c r="Y7" s="39">
        <f>+U7/W7</f>
        <v>910.4704097116844</v>
      </c>
      <c r="Z7" s="39">
        <v>1800</v>
      </c>
      <c r="AA7" s="122">
        <f t="shared" ref="AA7:AA22" si="5">1.5*Z7/Y7</f>
        <v>2.9655</v>
      </c>
      <c r="AB7" s="141"/>
      <c r="AC7" s="107" t="s">
        <v>47</v>
      </c>
    </row>
    <row r="8" spans="1:29" ht="18.75" x14ac:dyDescent="0.3">
      <c r="A8" s="76">
        <v>706</v>
      </c>
      <c r="B8" s="69" t="s">
        <v>18</v>
      </c>
      <c r="C8" s="68"/>
      <c r="D8" s="68">
        <f>+G8/(T8*U8)</f>
        <v>2</v>
      </c>
      <c r="E8" s="106" t="s">
        <v>17</v>
      </c>
      <c r="F8" s="66">
        <v>8</v>
      </c>
      <c r="G8" s="67">
        <f t="shared" si="0"/>
        <v>240</v>
      </c>
      <c r="H8" s="67">
        <f t="shared" si="1"/>
        <v>10933.940774487472</v>
      </c>
      <c r="I8" s="67">
        <f t="shared" si="2"/>
        <v>0</v>
      </c>
      <c r="J8" s="67" t="str">
        <f t="shared" si="3"/>
        <v/>
      </c>
      <c r="K8" s="92"/>
      <c r="L8" s="134"/>
      <c r="M8" s="39"/>
      <c r="N8" s="39"/>
      <c r="O8" s="128"/>
      <c r="P8" s="92"/>
      <c r="Q8" s="96"/>
      <c r="R8" s="128"/>
      <c r="S8" s="92"/>
      <c r="T8" s="96">
        <v>4</v>
      </c>
      <c r="U8" s="39">
        <v>30</v>
      </c>
      <c r="V8" s="39">
        <f t="shared" si="4"/>
        <v>5466.9703872437358</v>
      </c>
      <c r="W8" s="120">
        <f t="shared" ref="W8:W22" si="6">+X8/1000</f>
        <v>2.1950000000000001E-2</v>
      </c>
      <c r="X8" s="121">
        <v>21.95</v>
      </c>
      <c r="Y8" s="39">
        <f t="shared" ref="Y8:Y22" si="7">+U8/W8</f>
        <v>1366.7425968109339</v>
      </c>
      <c r="Z8" s="39">
        <v>2400</v>
      </c>
      <c r="AA8" s="122">
        <f t="shared" si="5"/>
        <v>2.6339999999999999</v>
      </c>
      <c r="AB8" s="122"/>
      <c r="AC8" s="108" t="s">
        <v>47</v>
      </c>
    </row>
    <row r="9" spans="1:29" ht="21.2" customHeight="1" x14ac:dyDescent="0.3">
      <c r="A9" s="76">
        <v>506</v>
      </c>
      <c r="B9" s="69" t="s">
        <v>29</v>
      </c>
      <c r="C9" s="68"/>
      <c r="D9" s="68">
        <f>+G9/(T9*U9)</f>
        <v>0</v>
      </c>
      <c r="E9" s="106" t="s">
        <v>28</v>
      </c>
      <c r="F9" s="66">
        <v>0</v>
      </c>
      <c r="G9" s="67">
        <f>F9*U9</f>
        <v>0</v>
      </c>
      <c r="H9" s="67">
        <f>+G9/W9</f>
        <v>0</v>
      </c>
      <c r="I9" s="67">
        <f>IF(T9-F9&lt;0,0,T9-F9)</f>
        <v>8</v>
      </c>
      <c r="J9" s="67">
        <f>+IF(V9-H9&lt;0,"",V9-H9)</f>
        <v>10933.940774487472</v>
      </c>
      <c r="K9" s="92"/>
      <c r="L9" s="134"/>
      <c r="M9" s="39"/>
      <c r="N9" s="39"/>
      <c r="O9" s="128"/>
      <c r="P9" s="92"/>
      <c r="Q9" s="96"/>
      <c r="R9" s="128"/>
      <c r="S9" s="92"/>
      <c r="T9" s="96">
        <v>8</v>
      </c>
      <c r="U9" s="39">
        <v>30</v>
      </c>
      <c r="V9" s="39">
        <f>+T9*Y9</f>
        <v>10933.940774487472</v>
      </c>
      <c r="W9" s="120">
        <f>+X9/1000</f>
        <v>2.1950000000000001E-2</v>
      </c>
      <c r="X9" s="121">
        <v>21.95</v>
      </c>
      <c r="Y9" s="39">
        <f>+U9/W9</f>
        <v>1366.7425968109339</v>
      </c>
      <c r="Z9" s="39">
        <v>20580</v>
      </c>
      <c r="AA9" s="122">
        <f>1.5*Z9/Y9</f>
        <v>22.586549999999999</v>
      </c>
      <c r="AB9" s="122"/>
      <c r="AC9" s="108" t="s">
        <v>47</v>
      </c>
    </row>
    <row r="10" spans="1:29" x14ac:dyDescent="0.25">
      <c r="J10"/>
    </row>
    <row r="11" spans="1:29" ht="24" thickBot="1" x14ac:dyDescent="0.4">
      <c r="B11" s="166" t="s">
        <v>96</v>
      </c>
      <c r="C11" s="163"/>
      <c r="D11" s="163"/>
      <c r="E11" s="163"/>
      <c r="J11"/>
    </row>
    <row r="12" spans="1:29" ht="24" thickBot="1" x14ac:dyDescent="0.35">
      <c r="B12" s="161" t="s">
        <v>53</v>
      </c>
      <c r="C12" s="162" t="s">
        <v>1</v>
      </c>
      <c r="D12" s="160"/>
      <c r="J12"/>
    </row>
    <row r="13" spans="1:29" ht="54.6" customHeight="1" thickBot="1" x14ac:dyDescent="0.3">
      <c r="A13" s="15" t="s">
        <v>3</v>
      </c>
      <c r="B13" s="4" t="s">
        <v>5</v>
      </c>
      <c r="C13" s="4" t="s">
        <v>59</v>
      </c>
      <c r="D13" s="4" t="s">
        <v>76</v>
      </c>
      <c r="E13" s="4" t="s">
        <v>4</v>
      </c>
      <c r="F13" s="4" t="s">
        <v>39</v>
      </c>
      <c r="G13" s="4" t="s">
        <v>6</v>
      </c>
      <c r="H13" s="4" t="s">
        <v>7</v>
      </c>
      <c r="I13" s="18" t="s">
        <v>54</v>
      </c>
      <c r="J13" s="18" t="s">
        <v>59</v>
      </c>
      <c r="K13" s="91"/>
      <c r="L13" s="133" t="s">
        <v>75</v>
      </c>
      <c r="M13" s="133" t="s">
        <v>69</v>
      </c>
      <c r="N13" s="6" t="s">
        <v>70</v>
      </c>
      <c r="O13" s="138" t="s">
        <v>74</v>
      </c>
      <c r="P13" s="91"/>
      <c r="Q13" s="133" t="s">
        <v>71</v>
      </c>
      <c r="R13" s="6" t="s">
        <v>72</v>
      </c>
      <c r="S13" s="91"/>
      <c r="T13" s="102" t="s">
        <v>63</v>
      </c>
      <c r="U13" s="103" t="s">
        <v>38</v>
      </c>
      <c r="V13" s="103" t="s">
        <v>58</v>
      </c>
      <c r="W13" s="103" t="s">
        <v>10</v>
      </c>
      <c r="X13" s="103" t="s">
        <v>65</v>
      </c>
      <c r="Y13" s="103" t="s">
        <v>11</v>
      </c>
      <c r="Z13" s="103" t="s">
        <v>14</v>
      </c>
      <c r="AA13" s="104" t="s">
        <v>64</v>
      </c>
      <c r="AB13" s="140" t="s">
        <v>80</v>
      </c>
      <c r="AC13" s="4" t="s">
        <v>46</v>
      </c>
    </row>
    <row r="14" spans="1:29" ht="18.75" x14ac:dyDescent="0.3">
      <c r="A14" s="76">
        <v>654</v>
      </c>
      <c r="B14" s="69" t="s">
        <v>23</v>
      </c>
      <c r="C14" s="68"/>
      <c r="D14" s="68">
        <f>+G14/(T14*U14)</f>
        <v>0.64</v>
      </c>
      <c r="E14" s="106" t="s">
        <v>22</v>
      </c>
      <c r="F14" s="66">
        <v>16</v>
      </c>
      <c r="G14" s="67">
        <f t="shared" si="0"/>
        <v>41.279999999999994</v>
      </c>
      <c r="H14" s="67">
        <f t="shared" si="1"/>
        <v>1919.9999999999998</v>
      </c>
      <c r="I14" s="67">
        <f t="shared" si="2"/>
        <v>9</v>
      </c>
      <c r="J14" s="67">
        <f t="shared" si="3"/>
        <v>1080.0000000000002</v>
      </c>
      <c r="K14" s="92"/>
      <c r="L14" s="134"/>
      <c r="M14" s="39"/>
      <c r="N14" s="121"/>
      <c r="O14" s="129"/>
      <c r="P14" s="92"/>
      <c r="Q14" s="96"/>
      <c r="R14" s="129"/>
      <c r="S14" s="92"/>
      <c r="T14" s="96">
        <v>25</v>
      </c>
      <c r="U14" s="121">
        <f>+Y14*W14</f>
        <v>2.5799999999999996</v>
      </c>
      <c r="V14" s="39">
        <f t="shared" si="4"/>
        <v>3000</v>
      </c>
      <c r="W14" s="120">
        <f t="shared" si="6"/>
        <v>2.1499999999999998E-2</v>
      </c>
      <c r="X14" s="121">
        <v>21.5</v>
      </c>
      <c r="Y14" s="39">
        <v>120</v>
      </c>
      <c r="Z14" s="39">
        <v>800</v>
      </c>
      <c r="AA14" s="122">
        <f t="shared" si="5"/>
        <v>10</v>
      </c>
      <c r="AB14" s="122"/>
      <c r="AC14" s="108" t="s">
        <v>53</v>
      </c>
    </row>
    <row r="15" spans="1:29" ht="18.75" x14ac:dyDescent="0.3">
      <c r="A15" s="76">
        <v>558</v>
      </c>
      <c r="B15" s="69" t="s">
        <v>25</v>
      </c>
      <c r="C15" s="68"/>
      <c r="D15" s="68">
        <f>+G15/(T15*U15)</f>
        <v>1.44</v>
      </c>
      <c r="E15" s="106" t="s">
        <v>24</v>
      </c>
      <c r="F15" s="66">
        <v>36</v>
      </c>
      <c r="G15" s="67">
        <f t="shared" si="0"/>
        <v>64.8</v>
      </c>
      <c r="H15" s="67">
        <f t="shared" si="1"/>
        <v>4180.645161290322</v>
      </c>
      <c r="I15" s="67">
        <f t="shared" si="2"/>
        <v>0</v>
      </c>
      <c r="J15" s="67" t="str">
        <f t="shared" si="3"/>
        <v/>
      </c>
      <c r="K15" s="92"/>
      <c r="L15" s="134"/>
      <c r="M15" s="39"/>
      <c r="N15" s="121"/>
      <c r="O15" s="129"/>
      <c r="P15" s="92"/>
      <c r="Q15" s="96"/>
      <c r="R15" s="129"/>
      <c r="S15" s="92"/>
      <c r="T15" s="96">
        <v>25</v>
      </c>
      <c r="U15" s="121">
        <v>1.8</v>
      </c>
      <c r="V15" s="39">
        <f t="shared" si="4"/>
        <v>3000</v>
      </c>
      <c r="W15" s="120">
        <f t="shared" si="6"/>
        <v>1.55E-2</v>
      </c>
      <c r="X15" s="121">
        <v>15.5</v>
      </c>
      <c r="Y15" s="39">
        <v>120</v>
      </c>
      <c r="Z15" s="123">
        <v>3000</v>
      </c>
      <c r="AA15" s="122">
        <f t="shared" si="5"/>
        <v>37.5</v>
      </c>
      <c r="AB15" s="122"/>
      <c r="AC15" s="108" t="s">
        <v>53</v>
      </c>
    </row>
    <row r="16" spans="1:29" ht="21.2" customHeight="1" x14ac:dyDescent="0.3">
      <c r="A16" s="76">
        <v>557</v>
      </c>
      <c r="B16" s="69" t="s">
        <v>27</v>
      </c>
      <c r="C16" s="68"/>
      <c r="D16" s="68">
        <f>+G16/(T16*U16)</f>
        <v>1</v>
      </c>
      <c r="E16" s="106" t="s">
        <v>26</v>
      </c>
      <c r="F16" s="66">
        <v>25</v>
      </c>
      <c r="G16" s="67">
        <f t="shared" si="0"/>
        <v>45</v>
      </c>
      <c r="H16" s="67">
        <f t="shared" si="1"/>
        <v>2830.1886792452829</v>
      </c>
      <c r="I16" s="67">
        <f t="shared" si="2"/>
        <v>0</v>
      </c>
      <c r="J16" s="67">
        <f t="shared" si="3"/>
        <v>169.81132075471714</v>
      </c>
      <c r="K16" s="92"/>
      <c r="L16" s="134"/>
      <c r="M16" s="39"/>
      <c r="N16" s="121"/>
      <c r="O16" s="129"/>
      <c r="P16" s="92"/>
      <c r="Q16" s="96"/>
      <c r="R16" s="129"/>
      <c r="S16" s="92"/>
      <c r="T16" s="96">
        <v>25</v>
      </c>
      <c r="U16" s="121">
        <v>1.8</v>
      </c>
      <c r="V16" s="39">
        <f t="shared" si="4"/>
        <v>3000</v>
      </c>
      <c r="W16" s="120">
        <f t="shared" si="6"/>
        <v>1.5900000000000001E-2</v>
      </c>
      <c r="X16" s="121">
        <v>15.9</v>
      </c>
      <c r="Y16" s="39">
        <v>120</v>
      </c>
      <c r="Z16" s="39">
        <v>240</v>
      </c>
      <c r="AA16" s="122">
        <f t="shared" si="5"/>
        <v>3</v>
      </c>
      <c r="AB16" s="122"/>
      <c r="AC16" s="108" t="s">
        <v>53</v>
      </c>
    </row>
    <row r="19" spans="1:29" ht="24" thickBot="1" x14ac:dyDescent="0.4">
      <c r="B19" s="166" t="s">
        <v>96</v>
      </c>
      <c r="C19" s="163"/>
      <c r="D19" s="163"/>
    </row>
    <row r="20" spans="1:29" ht="24" thickBot="1" x14ac:dyDescent="0.35">
      <c r="B20" s="161" t="s">
        <v>86</v>
      </c>
      <c r="C20" s="162" t="s">
        <v>1</v>
      </c>
      <c r="D20" s="160"/>
    </row>
    <row r="21" spans="1:29" ht="54.6" customHeight="1" thickBot="1" x14ac:dyDescent="0.3">
      <c r="A21" s="15" t="s">
        <v>3</v>
      </c>
      <c r="B21" s="4" t="s">
        <v>5</v>
      </c>
      <c r="C21" s="4" t="s">
        <v>59</v>
      </c>
      <c r="D21" s="4" t="s">
        <v>76</v>
      </c>
      <c r="E21" s="4" t="s">
        <v>4</v>
      </c>
      <c r="F21" s="4" t="s">
        <v>39</v>
      </c>
      <c r="G21" s="4" t="s">
        <v>6</v>
      </c>
      <c r="H21" s="4" t="s">
        <v>7</v>
      </c>
      <c r="I21" s="18" t="s">
        <v>54</v>
      </c>
      <c r="J21" s="18" t="s">
        <v>59</v>
      </c>
      <c r="K21" s="91"/>
      <c r="L21" s="133" t="s">
        <v>75</v>
      </c>
      <c r="M21" s="133" t="s">
        <v>69</v>
      </c>
      <c r="N21" s="6" t="s">
        <v>70</v>
      </c>
      <c r="O21" s="138" t="s">
        <v>74</v>
      </c>
      <c r="P21" s="91"/>
      <c r="Q21" s="133" t="s">
        <v>71</v>
      </c>
      <c r="R21" s="6" t="s">
        <v>72</v>
      </c>
      <c r="S21" s="91"/>
      <c r="T21" s="102" t="s">
        <v>63</v>
      </c>
      <c r="U21" s="103" t="s">
        <v>38</v>
      </c>
      <c r="V21" s="103" t="s">
        <v>58</v>
      </c>
      <c r="W21" s="103" t="s">
        <v>10</v>
      </c>
      <c r="X21" s="103" t="s">
        <v>65</v>
      </c>
      <c r="Y21" s="103" t="s">
        <v>11</v>
      </c>
      <c r="Z21" s="103" t="s">
        <v>14</v>
      </c>
      <c r="AA21" s="104" t="s">
        <v>64</v>
      </c>
      <c r="AB21" s="140" t="s">
        <v>80</v>
      </c>
      <c r="AC21" s="4" t="s">
        <v>46</v>
      </c>
    </row>
    <row r="22" spans="1:29" ht="18.75" x14ac:dyDescent="0.3">
      <c r="A22" s="76">
        <v>510</v>
      </c>
      <c r="B22" s="69" t="s">
        <v>31</v>
      </c>
      <c r="C22" s="68"/>
      <c r="D22" s="68">
        <f>+G22/(T22*U22)</f>
        <v>0.25</v>
      </c>
      <c r="E22" s="106" t="s">
        <v>30</v>
      </c>
      <c r="F22" s="66">
        <v>1</v>
      </c>
      <c r="G22" s="67">
        <f t="shared" si="0"/>
        <v>30</v>
      </c>
      <c r="H22" s="67">
        <f t="shared" si="1"/>
        <v>1363.6363636363637</v>
      </c>
      <c r="I22" s="67">
        <f t="shared" si="2"/>
        <v>3</v>
      </c>
      <c r="J22" s="67">
        <f t="shared" si="3"/>
        <v>4090.909090909091</v>
      </c>
      <c r="K22" s="92"/>
      <c r="L22" s="134"/>
      <c r="M22" s="39"/>
      <c r="N22" s="39"/>
      <c r="O22" s="128"/>
      <c r="P22" s="92"/>
      <c r="Q22" s="96"/>
      <c r="R22" s="128"/>
      <c r="S22" s="92"/>
      <c r="T22" s="96">
        <v>4</v>
      </c>
      <c r="U22" s="39">
        <v>30</v>
      </c>
      <c r="V22" s="39">
        <f t="shared" si="4"/>
        <v>5454.545454545455</v>
      </c>
      <c r="W22" s="120">
        <f t="shared" si="6"/>
        <v>2.1999999999999999E-2</v>
      </c>
      <c r="X22" s="121">
        <v>22</v>
      </c>
      <c r="Y22" s="39">
        <f t="shared" si="7"/>
        <v>1363.6363636363637</v>
      </c>
      <c r="Z22" s="39">
        <v>11450</v>
      </c>
      <c r="AA22" s="122">
        <f t="shared" si="5"/>
        <v>12.594999999999999</v>
      </c>
      <c r="AB22" s="122"/>
      <c r="AC22" s="108" t="s">
        <v>86</v>
      </c>
    </row>
    <row r="26" spans="1:29" x14ac:dyDescent="0.25">
      <c r="B26" t="s">
        <v>98</v>
      </c>
    </row>
    <row r="27" spans="1:29" ht="18.75" x14ac:dyDescent="0.3">
      <c r="A27" s="106" t="s">
        <v>20</v>
      </c>
      <c r="B27" s="69" t="s">
        <v>21</v>
      </c>
      <c r="C27" s="68"/>
      <c r="D27" s="68">
        <f>+G27/(T27*U27)</f>
        <v>0</v>
      </c>
      <c r="E27" s="68"/>
      <c r="F27" s="66"/>
      <c r="G27" s="67">
        <f>F27*U27</f>
        <v>0</v>
      </c>
      <c r="H27" s="67">
        <f>+G27/W27</f>
        <v>0</v>
      </c>
      <c r="I27" s="67">
        <f>IF(T27-F27&lt;0,0,T27-F27)</f>
        <v>5</v>
      </c>
      <c r="J27" s="67">
        <f>+IF(V27-H27&lt;0,"",V27-H27)</f>
        <v>6833.7129840546695</v>
      </c>
      <c r="K27" s="92"/>
      <c r="L27" s="134"/>
      <c r="M27" s="39"/>
      <c r="N27" s="39"/>
      <c r="O27" s="128"/>
      <c r="P27" s="92"/>
      <c r="Q27" s="96"/>
      <c r="R27" s="128"/>
      <c r="S27" s="92"/>
      <c r="T27" s="96">
        <v>5</v>
      </c>
      <c r="U27" s="39">
        <v>30</v>
      </c>
      <c r="V27" s="39">
        <f>+T27*Y27</f>
        <v>6833.7129840546695</v>
      </c>
      <c r="W27" s="120">
        <f>+X27/1000</f>
        <v>2.1950000000000001E-2</v>
      </c>
      <c r="X27" s="121">
        <v>21.95</v>
      </c>
      <c r="Y27" s="39">
        <f>+U27/W27</f>
        <v>1366.7425968109339</v>
      </c>
      <c r="Z27" s="39">
        <v>0</v>
      </c>
      <c r="AA27" s="122">
        <f>1.5*Z27/Y27</f>
        <v>0</v>
      </c>
      <c r="AB27" s="122"/>
      <c r="AC27" s="108" t="s">
        <v>47</v>
      </c>
    </row>
  </sheetData>
  <mergeCells count="2">
    <mergeCell ref="A1:F1"/>
    <mergeCell ref="T5:AC5"/>
  </mergeCells>
  <printOptions horizontalCentered="1" verticalCentered="1"/>
  <pageMargins left="0.25" right="0.25" top="0.75" bottom="0.75" header="0.3" footer="0.3"/>
  <pageSetup paperSize="9" scale="35" fitToHeight="0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F0"/>
    <pageSetUpPr fitToPage="1"/>
  </sheetPr>
  <dimension ref="A1:AC27"/>
  <sheetViews>
    <sheetView workbookViewId="0">
      <selection sqref="A1:F1"/>
    </sheetView>
  </sheetViews>
  <sheetFormatPr baseColWidth="10" defaultRowHeight="15" x14ac:dyDescent="0.25"/>
  <cols>
    <col min="1" max="1" width="7.140625" customWidth="1"/>
    <col min="2" max="2" width="28.85546875" customWidth="1"/>
    <col min="3" max="3" width="8.85546875" customWidth="1"/>
    <col min="4" max="4" width="7.42578125" customWidth="1"/>
    <col min="5" max="5" width="9" customWidth="1"/>
    <col min="6" max="6" width="12.140625" customWidth="1"/>
    <col min="7" max="7" width="9.42578125" customWidth="1"/>
    <col min="8" max="8" width="11.42578125" customWidth="1"/>
    <col min="9" max="9" width="8.42578125" customWidth="1"/>
    <col min="10" max="10" width="12.140625" style="110" customWidth="1"/>
    <col min="11" max="11" width="3.140625" customWidth="1"/>
    <col min="12" max="13" width="9.42578125" customWidth="1"/>
    <col min="14" max="14" width="8.85546875" customWidth="1"/>
    <col min="15" max="15" width="9.7109375" customWidth="1"/>
    <col min="16" max="16" width="3.140625" customWidth="1"/>
    <col min="17" max="17" width="11.140625" customWidth="1"/>
    <col min="18" max="18" width="10.140625" customWidth="1"/>
    <col min="19" max="19" width="3.140625" customWidth="1"/>
    <col min="20" max="20" width="8.140625" customWidth="1"/>
    <col min="21" max="21" width="8" customWidth="1"/>
    <col min="22" max="22" width="9.28515625" customWidth="1"/>
    <col min="23" max="23" width="10.140625" customWidth="1"/>
    <col min="24" max="24" width="8.28515625" customWidth="1"/>
    <col min="25" max="25" width="8.85546875" customWidth="1"/>
    <col min="26" max="26" width="11.140625" customWidth="1"/>
    <col min="27" max="28" width="10.7109375" customWidth="1"/>
    <col min="29" max="29" width="11.85546875" customWidth="1"/>
  </cols>
  <sheetData>
    <row r="1" spans="1:29" ht="39.200000000000003" customHeight="1" thickBot="1" x14ac:dyDescent="0.3">
      <c r="A1" s="517" t="s">
        <v>95</v>
      </c>
      <c r="B1" s="518"/>
      <c r="C1" s="518"/>
      <c r="D1" s="518"/>
      <c r="E1" s="518"/>
      <c r="F1" s="519"/>
      <c r="J1"/>
      <c r="V1" s="1"/>
    </row>
    <row r="2" spans="1:29" ht="24.75" customHeight="1" thickBot="1" x14ac:dyDescent="0.35">
      <c r="B2" s="164" t="s">
        <v>1</v>
      </c>
      <c r="H2" s="1"/>
      <c r="I2" s="3" t="s">
        <v>55</v>
      </c>
      <c r="J2" s="3"/>
    </row>
    <row r="3" spans="1:29" ht="24.75" customHeight="1" x14ac:dyDescent="0.3">
      <c r="F3" s="1"/>
      <c r="G3" s="1"/>
      <c r="H3" s="1"/>
      <c r="I3" s="3"/>
      <c r="J3" s="3"/>
    </row>
    <row r="4" spans="1:29" ht="24.75" customHeight="1" thickBot="1" x14ac:dyDescent="0.4">
      <c r="B4" s="166" t="s">
        <v>96</v>
      </c>
      <c r="C4" s="163"/>
      <c r="D4" s="163"/>
      <c r="E4" s="163"/>
      <c r="F4" s="1"/>
      <c r="G4" s="1"/>
      <c r="H4" s="1"/>
      <c r="I4" s="3"/>
      <c r="J4" s="3"/>
    </row>
    <row r="5" spans="1:29" ht="24.75" customHeight="1" thickBot="1" x14ac:dyDescent="0.35">
      <c r="B5" s="161" t="s">
        <v>97</v>
      </c>
      <c r="C5" s="162" t="s">
        <v>1</v>
      </c>
      <c r="D5" s="160"/>
      <c r="F5" s="1"/>
      <c r="G5" s="1"/>
      <c r="H5" s="1"/>
      <c r="I5" s="3"/>
      <c r="J5" s="3"/>
      <c r="T5" s="522" t="s">
        <v>73</v>
      </c>
      <c r="U5" s="523"/>
      <c r="V5" s="523"/>
      <c r="W5" s="523"/>
      <c r="X5" s="523"/>
      <c r="Y5" s="523"/>
      <c r="Z5" s="523"/>
      <c r="AA5" s="523"/>
      <c r="AB5" s="523"/>
      <c r="AC5" s="524"/>
    </row>
    <row r="6" spans="1:29" ht="54.6" customHeight="1" thickBot="1" x14ac:dyDescent="0.3">
      <c r="A6" s="15" t="s">
        <v>3</v>
      </c>
      <c r="B6" s="4" t="s">
        <v>5</v>
      </c>
      <c r="C6" s="4" t="s">
        <v>59</v>
      </c>
      <c r="D6" s="4" t="s">
        <v>76</v>
      </c>
      <c r="E6" s="4" t="s">
        <v>4</v>
      </c>
      <c r="F6" s="4" t="s">
        <v>39</v>
      </c>
      <c r="G6" s="4" t="s">
        <v>6</v>
      </c>
      <c r="H6" s="4" t="s">
        <v>7</v>
      </c>
      <c r="I6" s="18" t="s">
        <v>54</v>
      </c>
      <c r="J6" s="18" t="s">
        <v>59</v>
      </c>
      <c r="K6" s="91"/>
      <c r="L6" s="133" t="s">
        <v>75</v>
      </c>
      <c r="M6" s="133" t="s">
        <v>69</v>
      </c>
      <c r="N6" s="6" t="s">
        <v>70</v>
      </c>
      <c r="O6" s="138" t="s">
        <v>74</v>
      </c>
      <c r="P6" s="91"/>
      <c r="Q6" s="133" t="s">
        <v>71</v>
      </c>
      <c r="R6" s="6" t="s">
        <v>72</v>
      </c>
      <c r="S6" s="91"/>
      <c r="T6" s="102" t="s">
        <v>63</v>
      </c>
      <c r="U6" s="103" t="s">
        <v>38</v>
      </c>
      <c r="V6" s="103" t="s">
        <v>58</v>
      </c>
      <c r="W6" s="103" t="s">
        <v>10</v>
      </c>
      <c r="X6" s="103" t="s">
        <v>65</v>
      </c>
      <c r="Y6" s="103" t="s">
        <v>11</v>
      </c>
      <c r="Z6" s="103" t="s">
        <v>14</v>
      </c>
      <c r="AA6" s="104" t="s">
        <v>64</v>
      </c>
      <c r="AB6" s="140" t="s">
        <v>80</v>
      </c>
      <c r="AC6" s="4" t="s">
        <v>46</v>
      </c>
    </row>
    <row r="7" spans="1:29" ht="18.75" x14ac:dyDescent="0.3">
      <c r="A7" s="70">
        <v>500</v>
      </c>
      <c r="B7" s="71" t="s">
        <v>16</v>
      </c>
      <c r="C7" s="74"/>
      <c r="D7" s="74">
        <f>+G7/(T7*U7)</f>
        <v>1.2</v>
      </c>
      <c r="E7" s="111" t="s">
        <v>15</v>
      </c>
      <c r="F7" s="73">
        <v>6</v>
      </c>
      <c r="G7" s="72">
        <f t="shared" ref="G7:G22" si="0">F7*U7</f>
        <v>180</v>
      </c>
      <c r="H7" s="72">
        <f t="shared" ref="H7:H22" si="1">+G7/W7</f>
        <v>5462.8224582701059</v>
      </c>
      <c r="I7" s="72">
        <f t="shared" ref="I7:I22" si="2">IF(T7-F7&lt;0,0,T7-F7)</f>
        <v>0</v>
      </c>
      <c r="J7" s="72" t="str">
        <f t="shared" ref="J7:J22" si="3">+IF(V7-H7&lt;0,"",V7-H7)</f>
        <v/>
      </c>
      <c r="K7" s="92"/>
      <c r="L7" s="136"/>
      <c r="M7" s="137"/>
      <c r="N7" s="137"/>
      <c r="O7" s="132"/>
      <c r="P7" s="92"/>
      <c r="Q7" s="131"/>
      <c r="R7" s="132"/>
      <c r="S7" s="92"/>
      <c r="T7" s="96">
        <v>5</v>
      </c>
      <c r="U7" s="39">
        <v>30</v>
      </c>
      <c r="V7" s="39">
        <f t="shared" ref="V7:V22" si="4">+T7*Y7</f>
        <v>4552.3520485584222</v>
      </c>
      <c r="W7" s="120">
        <f>+X7/1000</f>
        <v>3.295E-2</v>
      </c>
      <c r="X7" s="121">
        <v>32.950000000000003</v>
      </c>
      <c r="Y7" s="39">
        <f>+U7/W7</f>
        <v>910.4704097116844</v>
      </c>
      <c r="Z7" s="39">
        <v>1800</v>
      </c>
      <c r="AA7" s="122">
        <f t="shared" ref="AA7:AA22" si="5">1.5*Z7/Y7</f>
        <v>2.9655</v>
      </c>
      <c r="AB7" s="141"/>
      <c r="AC7" s="107" t="s">
        <v>47</v>
      </c>
    </row>
    <row r="8" spans="1:29" ht="18.75" x14ac:dyDescent="0.3">
      <c r="A8" s="76">
        <v>706</v>
      </c>
      <c r="B8" s="69" t="s">
        <v>18</v>
      </c>
      <c r="C8" s="68"/>
      <c r="D8" s="68">
        <f>+G8/(T8*U8)</f>
        <v>2.75</v>
      </c>
      <c r="E8" s="106" t="s">
        <v>17</v>
      </c>
      <c r="F8" s="66">
        <v>11</v>
      </c>
      <c r="G8" s="67">
        <f t="shared" si="0"/>
        <v>330</v>
      </c>
      <c r="H8" s="67">
        <f t="shared" si="1"/>
        <v>15034.168564920274</v>
      </c>
      <c r="I8" s="67">
        <f t="shared" si="2"/>
        <v>0</v>
      </c>
      <c r="J8" s="67" t="str">
        <f t="shared" si="3"/>
        <v/>
      </c>
      <c r="K8" s="92"/>
      <c r="L8" s="134"/>
      <c r="M8" s="39"/>
      <c r="N8" s="39"/>
      <c r="O8" s="128"/>
      <c r="P8" s="92"/>
      <c r="Q8" s="96"/>
      <c r="R8" s="128"/>
      <c r="S8" s="92"/>
      <c r="T8" s="96">
        <v>4</v>
      </c>
      <c r="U8" s="39">
        <v>30</v>
      </c>
      <c r="V8" s="39">
        <f t="shared" si="4"/>
        <v>5466.9703872437358</v>
      </c>
      <c r="W8" s="120">
        <f t="shared" ref="W8:W22" si="6">+X8/1000</f>
        <v>2.1950000000000001E-2</v>
      </c>
      <c r="X8" s="121">
        <v>21.95</v>
      </c>
      <c r="Y8" s="39">
        <f t="shared" ref="Y8:Y22" si="7">+U8/W8</f>
        <v>1366.7425968109339</v>
      </c>
      <c r="Z8" s="39">
        <v>2400</v>
      </c>
      <c r="AA8" s="122">
        <f t="shared" si="5"/>
        <v>2.6339999999999999</v>
      </c>
      <c r="AB8" s="122"/>
      <c r="AC8" s="108" t="s">
        <v>47</v>
      </c>
    </row>
    <row r="9" spans="1:29" ht="21.2" customHeight="1" x14ac:dyDescent="0.3">
      <c r="A9" s="76">
        <v>506</v>
      </c>
      <c r="B9" s="69" t="s">
        <v>29</v>
      </c>
      <c r="C9" s="68"/>
      <c r="D9" s="68">
        <f>+G9/(T9*U9)</f>
        <v>1.125</v>
      </c>
      <c r="E9" s="106" t="s">
        <v>28</v>
      </c>
      <c r="F9" s="66">
        <v>9</v>
      </c>
      <c r="G9" s="67">
        <f>F9*U9</f>
        <v>270</v>
      </c>
      <c r="H9" s="67">
        <f>+G9/W9</f>
        <v>12300.683371298404</v>
      </c>
      <c r="I9" s="67">
        <f>IF(T9-F9&lt;0,0,T9-F9)</f>
        <v>0</v>
      </c>
      <c r="J9" s="67" t="str">
        <f>+IF(V9-H9&lt;0,"",V9-H9)</f>
        <v/>
      </c>
      <c r="K9" s="92"/>
      <c r="L9" s="134"/>
      <c r="M9" s="39"/>
      <c r="N9" s="39"/>
      <c r="O9" s="128"/>
      <c r="P9" s="92"/>
      <c r="Q9" s="96"/>
      <c r="R9" s="128"/>
      <c r="S9" s="92"/>
      <c r="T9" s="96">
        <v>8</v>
      </c>
      <c r="U9" s="39">
        <v>30</v>
      </c>
      <c r="V9" s="39">
        <f>+T9*Y9</f>
        <v>10933.940774487472</v>
      </c>
      <c r="W9" s="120">
        <f>+X9/1000</f>
        <v>2.1950000000000001E-2</v>
      </c>
      <c r="X9" s="121">
        <v>21.95</v>
      </c>
      <c r="Y9" s="39">
        <f>+U9/W9</f>
        <v>1366.7425968109339</v>
      </c>
      <c r="Z9" s="39">
        <v>20580</v>
      </c>
      <c r="AA9" s="122">
        <f>1.5*Z9/Y9</f>
        <v>22.586549999999999</v>
      </c>
      <c r="AB9" s="122"/>
      <c r="AC9" s="108" t="s">
        <v>47</v>
      </c>
    </row>
    <row r="10" spans="1:29" x14ac:dyDescent="0.25">
      <c r="J10"/>
    </row>
    <row r="11" spans="1:29" ht="24" thickBot="1" x14ac:dyDescent="0.4">
      <c r="B11" s="166" t="s">
        <v>96</v>
      </c>
      <c r="C11" s="163"/>
      <c r="D11" s="163"/>
      <c r="E11" s="163"/>
      <c r="J11"/>
    </row>
    <row r="12" spans="1:29" ht="24" thickBot="1" x14ac:dyDescent="0.35">
      <c r="B12" s="161" t="s">
        <v>53</v>
      </c>
      <c r="C12" s="162" t="s">
        <v>1</v>
      </c>
      <c r="D12" s="160">
        <v>45554</v>
      </c>
      <c r="J12"/>
    </row>
    <row r="13" spans="1:29" ht="54.6" customHeight="1" thickBot="1" x14ac:dyDescent="0.3">
      <c r="A13" s="15" t="s">
        <v>3</v>
      </c>
      <c r="B13" s="4" t="s">
        <v>5</v>
      </c>
      <c r="C13" s="4" t="s">
        <v>59</v>
      </c>
      <c r="D13" s="4" t="s">
        <v>76</v>
      </c>
      <c r="E13" s="4" t="s">
        <v>4</v>
      </c>
      <c r="F13" s="4" t="s">
        <v>39</v>
      </c>
      <c r="G13" s="4" t="s">
        <v>6</v>
      </c>
      <c r="H13" s="4" t="s">
        <v>7</v>
      </c>
      <c r="I13" s="18" t="s">
        <v>54</v>
      </c>
      <c r="J13" s="18" t="s">
        <v>59</v>
      </c>
      <c r="K13" s="91"/>
      <c r="L13" s="133" t="s">
        <v>75</v>
      </c>
      <c r="M13" s="133" t="s">
        <v>69</v>
      </c>
      <c r="N13" s="6" t="s">
        <v>70</v>
      </c>
      <c r="O13" s="138" t="s">
        <v>74</v>
      </c>
      <c r="P13" s="91"/>
      <c r="Q13" s="133" t="s">
        <v>71</v>
      </c>
      <c r="R13" s="6" t="s">
        <v>72</v>
      </c>
      <c r="S13" s="91"/>
      <c r="T13" s="102" t="s">
        <v>63</v>
      </c>
      <c r="U13" s="103" t="s">
        <v>38</v>
      </c>
      <c r="V13" s="103" t="s">
        <v>58</v>
      </c>
      <c r="W13" s="103" t="s">
        <v>10</v>
      </c>
      <c r="X13" s="103" t="s">
        <v>65</v>
      </c>
      <c r="Y13" s="103" t="s">
        <v>11</v>
      </c>
      <c r="Z13" s="103" t="s">
        <v>14</v>
      </c>
      <c r="AA13" s="104" t="s">
        <v>64</v>
      </c>
      <c r="AB13" s="140" t="s">
        <v>80</v>
      </c>
      <c r="AC13" s="4" t="s">
        <v>46</v>
      </c>
    </row>
    <row r="14" spans="1:29" ht="18.75" x14ac:dyDescent="0.3">
      <c r="A14" s="76">
        <v>654</v>
      </c>
      <c r="B14" s="69" t="s">
        <v>23</v>
      </c>
      <c r="C14" s="67">
        <v>1080.0000000000002</v>
      </c>
      <c r="D14" s="68">
        <f>+G14/(T14*U14)</f>
        <v>0.64</v>
      </c>
      <c r="E14" s="106" t="s">
        <v>22</v>
      </c>
      <c r="F14" s="66">
        <v>16</v>
      </c>
      <c r="G14" s="67">
        <f t="shared" si="0"/>
        <v>41.279999999999994</v>
      </c>
      <c r="H14" s="67">
        <f t="shared" si="1"/>
        <v>1919.9999999999998</v>
      </c>
      <c r="I14" s="67">
        <f t="shared" si="2"/>
        <v>9</v>
      </c>
      <c r="J14" s="67">
        <f t="shared" si="3"/>
        <v>1080.0000000000002</v>
      </c>
      <c r="K14" s="92"/>
      <c r="L14" s="134"/>
      <c r="M14" s="39"/>
      <c r="N14" s="121"/>
      <c r="O14" s="129"/>
      <c r="P14" s="167">
        <f>+H14/Z14</f>
        <v>2.4</v>
      </c>
      <c r="Q14" s="96"/>
      <c r="R14" s="129"/>
      <c r="S14" s="92"/>
      <c r="T14" s="96">
        <v>25</v>
      </c>
      <c r="U14" s="121">
        <f>+Y14*W14</f>
        <v>2.5799999999999996</v>
      </c>
      <c r="V14" s="39">
        <f>+T14*Y14</f>
        <v>3000</v>
      </c>
      <c r="W14" s="120">
        <f t="shared" si="6"/>
        <v>2.1499999999999998E-2</v>
      </c>
      <c r="X14" s="121">
        <v>21.5</v>
      </c>
      <c r="Y14" s="39">
        <v>120</v>
      </c>
      <c r="Z14" s="39">
        <v>800</v>
      </c>
      <c r="AA14" s="122">
        <f t="shared" si="5"/>
        <v>10</v>
      </c>
      <c r="AB14" s="122"/>
      <c r="AC14" s="108" t="s">
        <v>53</v>
      </c>
    </row>
    <row r="15" spans="1:29" ht="18.75" x14ac:dyDescent="0.3">
      <c r="A15" s="76">
        <v>558</v>
      </c>
      <c r="B15" s="69" t="s">
        <v>25</v>
      </c>
      <c r="C15" s="67">
        <v>1025.8064516129032</v>
      </c>
      <c r="D15" s="68">
        <f>+G15/(T15*U15)</f>
        <v>0.68</v>
      </c>
      <c r="E15" s="106" t="s">
        <v>24</v>
      </c>
      <c r="F15" s="66">
        <v>17</v>
      </c>
      <c r="G15" s="67">
        <f t="shared" si="0"/>
        <v>30.6</v>
      </c>
      <c r="H15" s="67">
        <f t="shared" si="1"/>
        <v>1974.1935483870968</v>
      </c>
      <c r="I15" s="67">
        <f t="shared" si="2"/>
        <v>8</v>
      </c>
      <c r="J15" s="67">
        <f t="shared" si="3"/>
        <v>1025.8064516129032</v>
      </c>
      <c r="K15" s="92"/>
      <c r="L15" s="134"/>
      <c r="M15" s="39"/>
      <c r="N15" s="121"/>
      <c r="O15" s="129"/>
      <c r="P15" s="92"/>
      <c r="Q15" s="96"/>
      <c r="R15" s="129"/>
      <c r="S15" s="92"/>
      <c r="T15" s="96">
        <v>25</v>
      </c>
      <c r="U15" s="121">
        <v>1.8</v>
      </c>
      <c r="V15" s="39">
        <f t="shared" si="4"/>
        <v>3000</v>
      </c>
      <c r="W15" s="120">
        <f t="shared" si="6"/>
        <v>1.55E-2</v>
      </c>
      <c r="X15" s="121">
        <v>15.5</v>
      </c>
      <c r="Y15" s="39">
        <v>120</v>
      </c>
      <c r="Z15" s="123">
        <v>3000</v>
      </c>
      <c r="AA15" s="122">
        <f t="shared" si="5"/>
        <v>37.5</v>
      </c>
      <c r="AB15" s="122"/>
      <c r="AC15" s="108" t="s">
        <v>53</v>
      </c>
    </row>
    <row r="16" spans="1:29" ht="21.2" customHeight="1" x14ac:dyDescent="0.3">
      <c r="A16" s="76">
        <v>557</v>
      </c>
      <c r="B16" s="69" t="s">
        <v>27</v>
      </c>
      <c r="C16" s="68"/>
      <c r="D16" s="68">
        <f>+G16/(T16*U16)</f>
        <v>1.4</v>
      </c>
      <c r="E16" s="106" t="s">
        <v>26</v>
      </c>
      <c r="F16" s="66">
        <v>35</v>
      </c>
      <c r="G16" s="67">
        <f t="shared" si="0"/>
        <v>63</v>
      </c>
      <c r="H16" s="67">
        <f t="shared" si="1"/>
        <v>3962.2641509433961</v>
      </c>
      <c r="I16" s="67">
        <f t="shared" si="2"/>
        <v>0</v>
      </c>
      <c r="J16" s="67" t="str">
        <f t="shared" si="3"/>
        <v/>
      </c>
      <c r="K16" s="92"/>
      <c r="L16" s="134"/>
      <c r="M16" s="39"/>
      <c r="N16" s="121"/>
      <c r="O16" s="129"/>
      <c r="P16" s="92"/>
      <c r="Q16" s="96"/>
      <c r="R16" s="129"/>
      <c r="S16" s="92"/>
      <c r="T16" s="96">
        <v>25</v>
      </c>
      <c r="U16" s="121">
        <v>1.8</v>
      </c>
      <c r="V16" s="39">
        <f t="shared" si="4"/>
        <v>3000</v>
      </c>
      <c r="W16" s="120">
        <f t="shared" si="6"/>
        <v>1.5900000000000001E-2</v>
      </c>
      <c r="X16" s="121">
        <v>15.9</v>
      </c>
      <c r="Y16" s="39">
        <v>120</v>
      </c>
      <c r="Z16" s="39">
        <v>240</v>
      </c>
      <c r="AA16" s="122">
        <f t="shared" si="5"/>
        <v>3</v>
      </c>
      <c r="AB16" s="122"/>
      <c r="AC16" s="108" t="s">
        <v>53</v>
      </c>
    </row>
    <row r="17" spans="1:29" ht="18.75" x14ac:dyDescent="0.25">
      <c r="F17" s="165"/>
    </row>
    <row r="19" spans="1:29" ht="24" thickBot="1" x14ac:dyDescent="0.4">
      <c r="B19" s="166" t="s">
        <v>96</v>
      </c>
      <c r="C19" s="163"/>
      <c r="D19" s="163"/>
    </row>
    <row r="20" spans="1:29" ht="24" thickBot="1" x14ac:dyDescent="0.35">
      <c r="B20" s="161" t="s">
        <v>86</v>
      </c>
      <c r="C20" s="162" t="s">
        <v>1</v>
      </c>
      <c r="D20" s="160">
        <v>45554</v>
      </c>
    </row>
    <row r="21" spans="1:29" ht="54.6" customHeight="1" thickBot="1" x14ac:dyDescent="0.3">
      <c r="A21" s="15" t="s">
        <v>3</v>
      </c>
      <c r="B21" s="4" t="s">
        <v>5</v>
      </c>
      <c r="C21" s="4" t="s">
        <v>59</v>
      </c>
      <c r="D21" s="4" t="s">
        <v>76</v>
      </c>
      <c r="E21" s="4" t="s">
        <v>4</v>
      </c>
      <c r="F21" s="4" t="s">
        <v>39</v>
      </c>
      <c r="G21" s="4" t="s">
        <v>6</v>
      </c>
      <c r="H21" s="4" t="s">
        <v>7</v>
      </c>
      <c r="I21" s="18" t="s">
        <v>54</v>
      </c>
      <c r="J21" s="18" t="s">
        <v>59</v>
      </c>
      <c r="K21" s="91"/>
      <c r="L21" s="133" t="s">
        <v>75</v>
      </c>
      <c r="M21" s="133" t="s">
        <v>69</v>
      </c>
      <c r="N21" s="6" t="s">
        <v>70</v>
      </c>
      <c r="O21" s="138" t="s">
        <v>74</v>
      </c>
      <c r="P21" s="91"/>
      <c r="Q21" s="133" t="s">
        <v>71</v>
      </c>
      <c r="R21" s="6" t="s">
        <v>72</v>
      </c>
      <c r="S21" s="91"/>
      <c r="T21" s="102" t="s">
        <v>63</v>
      </c>
      <c r="U21" s="103" t="s">
        <v>38</v>
      </c>
      <c r="V21" s="103" t="s">
        <v>58</v>
      </c>
      <c r="W21" s="103" t="s">
        <v>10</v>
      </c>
      <c r="X21" s="103" t="s">
        <v>65</v>
      </c>
      <c r="Y21" s="103" t="s">
        <v>11</v>
      </c>
      <c r="Z21" s="103" t="s">
        <v>14</v>
      </c>
      <c r="AA21" s="104" t="s">
        <v>64</v>
      </c>
      <c r="AB21" s="140" t="s">
        <v>80</v>
      </c>
      <c r="AC21" s="4" t="s">
        <v>46</v>
      </c>
    </row>
    <row r="22" spans="1:29" ht="18.75" x14ac:dyDescent="0.3">
      <c r="A22" s="76">
        <v>510</v>
      </c>
      <c r="B22" s="69" t="s">
        <v>31</v>
      </c>
      <c r="C22" s="67">
        <v>4090.909090909091</v>
      </c>
      <c r="D22" s="68">
        <f>+G22/(T22*U22)</f>
        <v>0.25</v>
      </c>
      <c r="E22" s="106" t="s">
        <v>30</v>
      </c>
      <c r="F22" s="66">
        <v>1</v>
      </c>
      <c r="G22" s="67">
        <f t="shared" si="0"/>
        <v>30</v>
      </c>
      <c r="H22" s="67">
        <f t="shared" si="1"/>
        <v>1363.6363636363637</v>
      </c>
      <c r="I22" s="67">
        <f t="shared" si="2"/>
        <v>3</v>
      </c>
      <c r="J22" s="67">
        <f t="shared" si="3"/>
        <v>4090.909090909091</v>
      </c>
      <c r="K22" s="92"/>
      <c r="L22" s="134"/>
      <c r="M22" s="39"/>
      <c r="N22" s="39"/>
      <c r="O22" s="128"/>
      <c r="P22" s="92"/>
      <c r="Q22" s="96"/>
      <c r="R22" s="128"/>
      <c r="S22" s="92"/>
      <c r="T22" s="96">
        <v>4</v>
      </c>
      <c r="U22" s="39">
        <v>30</v>
      </c>
      <c r="V22" s="39">
        <f t="shared" si="4"/>
        <v>5454.545454545455</v>
      </c>
      <c r="W22" s="120">
        <f t="shared" si="6"/>
        <v>2.1999999999999999E-2</v>
      </c>
      <c r="X22" s="121">
        <v>22</v>
      </c>
      <c r="Y22" s="39">
        <f t="shared" si="7"/>
        <v>1363.6363636363637</v>
      </c>
      <c r="Z22" s="39">
        <v>11450</v>
      </c>
      <c r="AA22" s="122">
        <f t="shared" si="5"/>
        <v>12.594999999999999</v>
      </c>
      <c r="AB22" s="122"/>
      <c r="AC22" s="108" t="s">
        <v>86</v>
      </c>
    </row>
    <row r="26" spans="1:29" x14ac:dyDescent="0.25">
      <c r="B26" t="s">
        <v>98</v>
      </c>
    </row>
    <row r="27" spans="1:29" ht="18.75" x14ac:dyDescent="0.3">
      <c r="A27" s="106" t="s">
        <v>20</v>
      </c>
      <c r="B27" s="69" t="s">
        <v>21</v>
      </c>
      <c r="C27" s="68"/>
      <c r="D27" s="68">
        <f>+G27/(T27*U27)</f>
        <v>0</v>
      </c>
      <c r="E27" s="68"/>
      <c r="F27" s="66"/>
      <c r="G27" s="67">
        <f>F27*U27</f>
        <v>0</v>
      </c>
      <c r="H27" s="67">
        <f>+G27/W27</f>
        <v>0</v>
      </c>
      <c r="I27" s="67">
        <f>IF(T27-F27&lt;0,0,T27-F27)</f>
        <v>5</v>
      </c>
      <c r="J27" s="67">
        <f>+IF(V27-H27&lt;0,"",V27-H27)</f>
        <v>6833.7129840546695</v>
      </c>
      <c r="K27" s="92"/>
      <c r="L27" s="134"/>
      <c r="M27" s="39"/>
      <c r="N27" s="39"/>
      <c r="O27" s="128"/>
      <c r="P27" s="92"/>
      <c r="Q27" s="96"/>
      <c r="R27" s="128"/>
      <c r="S27" s="92"/>
      <c r="T27" s="96">
        <v>5</v>
      </c>
      <c r="U27" s="39">
        <v>30</v>
      </c>
      <c r="V27" s="39">
        <f>+T27*Y27</f>
        <v>6833.7129840546695</v>
      </c>
      <c r="W27" s="120">
        <f>+X27/1000</f>
        <v>2.1950000000000001E-2</v>
      </c>
      <c r="X27" s="121">
        <v>21.95</v>
      </c>
      <c r="Y27" s="39">
        <f>+U27/W27</f>
        <v>1366.7425968109339</v>
      </c>
      <c r="Z27" s="39">
        <v>0</v>
      </c>
      <c r="AA27" s="122">
        <f>1.5*Z27/Y27</f>
        <v>0</v>
      </c>
      <c r="AB27" s="122"/>
      <c r="AC27" s="108" t="s">
        <v>47</v>
      </c>
    </row>
  </sheetData>
  <mergeCells count="2">
    <mergeCell ref="A1:F1"/>
    <mergeCell ref="T5:AC5"/>
  </mergeCells>
  <printOptions horizontalCentered="1" verticalCentered="1"/>
  <pageMargins left="0.25" right="0.25" top="0.75" bottom="0.75" header="0.3" footer="0.3"/>
  <pageSetup paperSize="9" scale="35" fitToHeight="0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F0"/>
    <pageSetUpPr fitToPage="1"/>
  </sheetPr>
  <dimension ref="A1:AC27"/>
  <sheetViews>
    <sheetView workbookViewId="0">
      <selection sqref="A1:F1"/>
    </sheetView>
  </sheetViews>
  <sheetFormatPr baseColWidth="10" defaultRowHeight="15" x14ac:dyDescent="0.25"/>
  <cols>
    <col min="1" max="1" width="7.140625" customWidth="1"/>
    <col min="2" max="2" width="28.85546875" customWidth="1"/>
    <col min="3" max="3" width="8.85546875" customWidth="1"/>
    <col min="4" max="4" width="7.42578125" customWidth="1"/>
    <col min="5" max="5" width="9" hidden="1" customWidth="1"/>
    <col min="6" max="6" width="12.140625" hidden="1" customWidth="1"/>
    <col min="7" max="7" width="9.42578125" hidden="1" customWidth="1"/>
    <col min="8" max="8" width="11.42578125" hidden="1" customWidth="1"/>
    <col min="9" max="9" width="8.42578125" hidden="1" customWidth="1"/>
    <col min="10" max="10" width="12.140625" style="110" hidden="1" customWidth="1"/>
    <col min="11" max="11" width="24.28515625" customWidth="1"/>
    <col min="12" max="13" width="9.42578125" customWidth="1"/>
    <col min="14" max="14" width="8.85546875" customWidth="1"/>
    <col min="15" max="15" width="9.7109375" customWidth="1"/>
    <col min="16" max="16" width="3.140625" customWidth="1"/>
    <col min="17" max="17" width="11.140625" customWidth="1"/>
    <col min="18" max="18" width="10.140625" customWidth="1"/>
    <col min="19" max="19" width="3.140625" customWidth="1"/>
    <col min="20" max="20" width="8.140625" customWidth="1"/>
    <col min="21" max="21" width="8" customWidth="1"/>
    <col min="22" max="23" width="9.28515625" customWidth="1"/>
    <col min="24" max="24" width="8.28515625" customWidth="1"/>
    <col min="25" max="25" width="8.85546875" customWidth="1"/>
    <col min="26" max="26" width="11.42578125" customWidth="1"/>
    <col min="27" max="28" width="10.7109375" customWidth="1"/>
    <col min="29" max="29" width="11.85546875" customWidth="1"/>
  </cols>
  <sheetData>
    <row r="1" spans="1:29" ht="39.200000000000003" customHeight="1" thickBot="1" x14ac:dyDescent="0.3">
      <c r="A1" s="517" t="s">
        <v>95</v>
      </c>
      <c r="B1" s="518"/>
      <c r="C1" s="518"/>
      <c r="D1" s="518"/>
      <c r="E1" s="518"/>
      <c r="F1" s="519"/>
      <c r="J1"/>
      <c r="V1" s="1"/>
    </row>
    <row r="2" spans="1:29" ht="24.75" customHeight="1" thickBot="1" x14ac:dyDescent="0.35">
      <c r="B2" s="164" t="s">
        <v>1</v>
      </c>
      <c r="H2" s="1"/>
      <c r="I2" s="3" t="s">
        <v>55</v>
      </c>
      <c r="J2" s="3"/>
    </row>
    <row r="3" spans="1:29" ht="24.75" customHeight="1" x14ac:dyDescent="0.3">
      <c r="F3" s="1"/>
      <c r="G3" s="1"/>
      <c r="H3" s="1"/>
      <c r="I3" s="3"/>
      <c r="J3" s="3"/>
    </row>
    <row r="4" spans="1:29" ht="24.75" customHeight="1" thickBot="1" x14ac:dyDescent="0.4">
      <c r="B4" s="163" t="s">
        <v>96</v>
      </c>
      <c r="C4" s="163"/>
      <c r="D4" s="163"/>
      <c r="E4" s="163"/>
      <c r="F4" s="1"/>
      <c r="G4" s="1"/>
      <c r="H4" s="1"/>
      <c r="I4" s="3"/>
      <c r="J4" s="3"/>
    </row>
    <row r="5" spans="1:29" ht="24.75" customHeight="1" thickBot="1" x14ac:dyDescent="0.35">
      <c r="B5" s="161" t="s">
        <v>97</v>
      </c>
      <c r="C5" s="162" t="s">
        <v>1</v>
      </c>
      <c r="D5" s="160"/>
      <c r="F5" s="1"/>
      <c r="G5" s="1"/>
      <c r="H5" s="1"/>
      <c r="I5" s="3"/>
      <c r="J5" s="3"/>
      <c r="T5" s="522" t="s">
        <v>73</v>
      </c>
      <c r="U5" s="523"/>
      <c r="V5" s="523"/>
      <c r="W5" s="523"/>
      <c r="X5" s="523"/>
      <c r="Y5" s="523"/>
      <c r="Z5" s="523"/>
      <c r="AA5" s="523"/>
      <c r="AB5" s="523"/>
      <c r="AC5" s="524"/>
    </row>
    <row r="6" spans="1:29" ht="54.6" customHeight="1" thickBot="1" x14ac:dyDescent="0.3">
      <c r="A6" s="15" t="s">
        <v>3</v>
      </c>
      <c r="B6" s="4" t="s">
        <v>5</v>
      </c>
      <c r="C6" s="4" t="s">
        <v>59</v>
      </c>
      <c r="D6" s="4" t="s">
        <v>76</v>
      </c>
      <c r="E6" s="4" t="s">
        <v>4</v>
      </c>
      <c r="F6" s="4" t="s">
        <v>39</v>
      </c>
      <c r="G6" s="4" t="s">
        <v>6</v>
      </c>
      <c r="H6" s="4" t="s">
        <v>7</v>
      </c>
      <c r="I6" s="18" t="s">
        <v>54</v>
      </c>
      <c r="J6" s="18" t="s">
        <v>59</v>
      </c>
      <c r="K6" s="91"/>
      <c r="L6" s="133" t="s">
        <v>75</v>
      </c>
      <c r="M6" s="133" t="s">
        <v>69</v>
      </c>
      <c r="N6" s="6" t="s">
        <v>70</v>
      </c>
      <c r="O6" s="138" t="s">
        <v>74</v>
      </c>
      <c r="P6" s="91"/>
      <c r="Q6" s="133" t="s">
        <v>71</v>
      </c>
      <c r="R6" s="6" t="s">
        <v>72</v>
      </c>
      <c r="S6" s="91"/>
      <c r="T6" s="102" t="s">
        <v>63</v>
      </c>
      <c r="U6" s="103" t="s">
        <v>38</v>
      </c>
      <c r="V6" s="103" t="s">
        <v>58</v>
      </c>
      <c r="W6" s="103" t="s">
        <v>10</v>
      </c>
      <c r="X6" s="103" t="s">
        <v>65</v>
      </c>
      <c r="Y6" s="103" t="s">
        <v>11</v>
      </c>
      <c r="Z6" s="103" t="s">
        <v>14</v>
      </c>
      <c r="AA6" s="104" t="s">
        <v>64</v>
      </c>
      <c r="AB6" s="140" t="s">
        <v>80</v>
      </c>
      <c r="AC6" s="4" t="s">
        <v>46</v>
      </c>
    </row>
    <row r="7" spans="1:29" ht="18.75" hidden="1" x14ac:dyDescent="0.3">
      <c r="A7" s="70">
        <v>500</v>
      </c>
      <c r="B7" s="71" t="s">
        <v>16</v>
      </c>
      <c r="C7" s="74"/>
      <c r="D7" s="74">
        <f>+G7/(T7*U7)</f>
        <v>1.2</v>
      </c>
      <c r="E7" s="111" t="s">
        <v>15</v>
      </c>
      <c r="F7" s="73">
        <v>6</v>
      </c>
      <c r="G7" s="72">
        <f t="shared" ref="G7:G22" si="0">F7*U7</f>
        <v>180</v>
      </c>
      <c r="H7" s="72">
        <f t="shared" ref="H7:H22" si="1">+G7/W7</f>
        <v>5462.8224582701059</v>
      </c>
      <c r="I7" s="72">
        <f t="shared" ref="I7:I22" si="2">IF(T7-F7&lt;0,0,T7-F7)</f>
        <v>0</v>
      </c>
      <c r="J7" s="72" t="str">
        <f t="shared" ref="J7:J22" si="3">+IF(V7-H7&lt;0,"",V7-H7)</f>
        <v/>
      </c>
      <c r="K7" s="92"/>
      <c r="L7" s="136"/>
      <c r="M7" s="137"/>
      <c r="N7" s="137"/>
      <c r="O7" s="132"/>
      <c r="P7" s="92"/>
      <c r="Q7" s="131"/>
      <c r="R7" s="132"/>
      <c r="S7" s="92"/>
      <c r="T7" s="96">
        <v>5</v>
      </c>
      <c r="U7" s="39">
        <v>30</v>
      </c>
      <c r="V7" s="39">
        <f t="shared" ref="V7:V22" si="4">+T7*Y7</f>
        <v>4552.3520485584222</v>
      </c>
      <c r="W7" s="120">
        <f>+X7/1000</f>
        <v>3.295E-2</v>
      </c>
      <c r="X7" s="121">
        <v>32.950000000000003</v>
      </c>
      <c r="Y7" s="39">
        <f>+U7/W7</f>
        <v>910.4704097116844</v>
      </c>
      <c r="Z7" s="39">
        <v>2520</v>
      </c>
      <c r="AA7" s="122">
        <f t="shared" ref="AA7:AA22" si="5">1.5*Z7/Y7</f>
        <v>4.1516999999999999</v>
      </c>
      <c r="AB7" s="141"/>
      <c r="AC7" s="107" t="s">
        <v>47</v>
      </c>
    </row>
    <row r="8" spans="1:29" ht="18.75" hidden="1" x14ac:dyDescent="0.3">
      <c r="A8" s="76">
        <v>706</v>
      </c>
      <c r="B8" s="69" t="s">
        <v>18</v>
      </c>
      <c r="C8" s="68"/>
      <c r="D8" s="68">
        <f>+G8/(T8*U8)</f>
        <v>1.75</v>
      </c>
      <c r="E8" s="106" t="s">
        <v>17</v>
      </c>
      <c r="F8" s="66">
        <v>7</v>
      </c>
      <c r="G8" s="67">
        <f t="shared" si="0"/>
        <v>210</v>
      </c>
      <c r="H8" s="67">
        <f t="shared" si="1"/>
        <v>9567.1981776765369</v>
      </c>
      <c r="I8" s="67">
        <f t="shared" si="2"/>
        <v>0</v>
      </c>
      <c r="J8" s="67" t="str">
        <f t="shared" si="3"/>
        <v/>
      </c>
      <c r="K8" s="92"/>
      <c r="L8" s="134"/>
      <c r="M8" s="39"/>
      <c r="N8" s="39"/>
      <c r="O8" s="128"/>
      <c r="P8" s="92"/>
      <c r="Q8" s="96"/>
      <c r="R8" s="128"/>
      <c r="S8" s="92"/>
      <c r="T8" s="96">
        <v>4</v>
      </c>
      <c r="U8" s="39">
        <v>30</v>
      </c>
      <c r="V8" s="39">
        <f t="shared" si="4"/>
        <v>5466.9703872437358</v>
      </c>
      <c r="W8" s="120">
        <f t="shared" ref="W8:W22" si="6">+X8/1000</f>
        <v>2.1950000000000001E-2</v>
      </c>
      <c r="X8" s="121">
        <v>21.95</v>
      </c>
      <c r="Y8" s="39">
        <f t="shared" ref="Y8:Y22" si="7">+U8/W8</f>
        <v>1366.7425968109339</v>
      </c>
      <c r="Z8" s="39">
        <v>3600</v>
      </c>
      <c r="AA8" s="122">
        <f t="shared" si="5"/>
        <v>3.9510000000000001</v>
      </c>
      <c r="AB8" s="122"/>
      <c r="AC8" s="108" t="s">
        <v>47</v>
      </c>
    </row>
    <row r="9" spans="1:29" ht="21.2" customHeight="1" x14ac:dyDescent="0.3">
      <c r="A9" s="76">
        <v>506</v>
      </c>
      <c r="B9" s="69" t="s">
        <v>29</v>
      </c>
      <c r="C9" s="67">
        <v>9567.1981776765369</v>
      </c>
      <c r="D9" s="68">
        <f>+G9/(T9*U9)</f>
        <v>0.125</v>
      </c>
      <c r="E9" s="106" t="s">
        <v>28</v>
      </c>
      <c r="F9" s="66">
        <v>1</v>
      </c>
      <c r="G9" s="67">
        <f>F9*U9</f>
        <v>30</v>
      </c>
      <c r="H9" s="67">
        <f>+G9/W9</f>
        <v>1366.7425968109339</v>
      </c>
      <c r="I9" s="67">
        <f>IF(T9-F9&lt;0,0,T9-F9)</f>
        <v>7</v>
      </c>
      <c r="J9" s="67">
        <f>+IF(V9-H9&lt;0,"",V9-H9)</f>
        <v>9567.1981776765369</v>
      </c>
      <c r="K9" s="92"/>
      <c r="L9" s="134"/>
      <c r="M9" s="39"/>
      <c r="N9" s="39"/>
      <c r="O9" s="128"/>
      <c r="P9" s="92"/>
      <c r="Q9" s="96"/>
      <c r="R9" s="128"/>
      <c r="S9" s="92"/>
      <c r="T9" s="96">
        <v>8</v>
      </c>
      <c r="U9" s="39">
        <v>30</v>
      </c>
      <c r="V9" s="39">
        <f>+T9*Y9</f>
        <v>10933.940774487472</v>
      </c>
      <c r="W9" s="120">
        <f>+X9/1000</f>
        <v>2.1950000000000001E-2</v>
      </c>
      <c r="X9" s="121">
        <v>21.95</v>
      </c>
      <c r="Y9" s="39">
        <f>+U9/W9</f>
        <v>1366.7425968109339</v>
      </c>
      <c r="Z9" s="39">
        <v>18612</v>
      </c>
      <c r="AA9" s="122">
        <f>1.5*Z9/Y9</f>
        <v>20.426670000000001</v>
      </c>
      <c r="AB9" s="122"/>
      <c r="AC9" s="108" t="s">
        <v>47</v>
      </c>
    </row>
    <row r="10" spans="1:29" x14ac:dyDescent="0.25">
      <c r="J10"/>
    </row>
    <row r="11" spans="1:29" ht="24" thickBot="1" x14ac:dyDescent="0.4">
      <c r="B11" s="163" t="s">
        <v>96</v>
      </c>
      <c r="C11" s="163"/>
      <c r="D11" s="163"/>
      <c r="E11" s="163"/>
      <c r="J11"/>
    </row>
    <row r="12" spans="1:29" ht="24" thickBot="1" x14ac:dyDescent="0.35">
      <c r="B12" s="161" t="s">
        <v>53</v>
      </c>
      <c r="C12" s="162" t="s">
        <v>1</v>
      </c>
      <c r="D12" s="160"/>
      <c r="J12"/>
    </row>
    <row r="13" spans="1:29" ht="54.6" customHeight="1" thickBot="1" x14ac:dyDescent="0.3">
      <c r="A13" s="15" t="s">
        <v>3</v>
      </c>
      <c r="B13" s="4" t="s">
        <v>5</v>
      </c>
      <c r="C13" s="4" t="s">
        <v>59</v>
      </c>
      <c r="D13" s="4" t="s">
        <v>76</v>
      </c>
      <c r="E13" s="4" t="s">
        <v>4</v>
      </c>
      <c r="F13" s="4" t="s">
        <v>39</v>
      </c>
      <c r="G13" s="4" t="s">
        <v>6</v>
      </c>
      <c r="H13" s="4" t="s">
        <v>7</v>
      </c>
      <c r="I13" s="18" t="s">
        <v>54</v>
      </c>
      <c r="J13" s="18" t="s">
        <v>59</v>
      </c>
      <c r="K13" s="91"/>
      <c r="L13" s="133" t="s">
        <v>75</v>
      </c>
      <c r="M13" s="133" t="s">
        <v>69</v>
      </c>
      <c r="N13" s="6" t="s">
        <v>70</v>
      </c>
      <c r="O13" s="138" t="s">
        <v>74</v>
      </c>
      <c r="P13" s="91"/>
      <c r="Q13" s="133" t="s">
        <v>71</v>
      </c>
      <c r="R13" s="6" t="s">
        <v>72</v>
      </c>
      <c r="S13" s="91"/>
      <c r="T13" s="102" t="s">
        <v>63</v>
      </c>
      <c r="U13" s="103" t="s">
        <v>38</v>
      </c>
      <c r="V13" s="103" t="s">
        <v>58</v>
      </c>
      <c r="W13" s="103" t="s">
        <v>10</v>
      </c>
      <c r="X13" s="103" t="s">
        <v>65</v>
      </c>
      <c r="Y13" s="103" t="s">
        <v>11</v>
      </c>
      <c r="Z13" s="103" t="s">
        <v>14</v>
      </c>
      <c r="AA13" s="104" t="s">
        <v>64</v>
      </c>
      <c r="AB13" s="140" t="s">
        <v>80</v>
      </c>
      <c r="AC13" s="4" t="s">
        <v>46</v>
      </c>
    </row>
    <row r="14" spans="1:29" ht="18.75" x14ac:dyDescent="0.3">
      <c r="A14" s="76">
        <v>654</v>
      </c>
      <c r="B14" s="69" t="s">
        <v>23</v>
      </c>
      <c r="C14" s="67">
        <v>1080.0000000000002</v>
      </c>
      <c r="D14" s="68">
        <f>+G14/(T14*U14)</f>
        <v>0.64</v>
      </c>
      <c r="E14" s="106" t="s">
        <v>22</v>
      </c>
      <c r="F14" s="66">
        <v>16</v>
      </c>
      <c r="G14" s="67">
        <f t="shared" si="0"/>
        <v>41.279999999999994</v>
      </c>
      <c r="H14" s="67">
        <f t="shared" si="1"/>
        <v>1919.9999999999998</v>
      </c>
      <c r="I14" s="67">
        <f t="shared" si="2"/>
        <v>9</v>
      </c>
      <c r="J14" s="67">
        <f t="shared" si="3"/>
        <v>1080.0000000000002</v>
      </c>
      <c r="K14" s="92"/>
      <c r="L14" s="134"/>
      <c r="M14" s="39"/>
      <c r="N14" s="121"/>
      <c r="O14" s="129"/>
      <c r="P14" s="92"/>
      <c r="Q14" s="96"/>
      <c r="R14" s="129"/>
      <c r="S14" s="92"/>
      <c r="T14" s="96">
        <v>25</v>
      </c>
      <c r="U14" s="121">
        <f>+Y14*W14</f>
        <v>2.5799999999999996</v>
      </c>
      <c r="V14" s="39">
        <f t="shared" si="4"/>
        <v>3000</v>
      </c>
      <c r="W14" s="120">
        <f t="shared" si="6"/>
        <v>2.1499999999999998E-2</v>
      </c>
      <c r="X14" s="121">
        <v>21.5</v>
      </c>
      <c r="Y14" s="39">
        <v>120</v>
      </c>
      <c r="Z14" s="39">
        <v>1200</v>
      </c>
      <c r="AA14" s="122">
        <f t="shared" si="5"/>
        <v>15</v>
      </c>
      <c r="AB14" s="122"/>
      <c r="AC14" s="108" t="s">
        <v>53</v>
      </c>
    </row>
    <row r="15" spans="1:29" ht="18.75" x14ac:dyDescent="0.3">
      <c r="A15" s="76">
        <v>558</v>
      </c>
      <c r="B15" s="69" t="s">
        <v>25</v>
      </c>
      <c r="C15" s="67">
        <v>1025.8064516129032</v>
      </c>
      <c r="D15" s="68">
        <f>+G15/(T15*U15)</f>
        <v>0.68</v>
      </c>
      <c r="E15" s="106" t="s">
        <v>24</v>
      </c>
      <c r="F15" s="66">
        <v>17</v>
      </c>
      <c r="G15" s="67">
        <f t="shared" si="0"/>
        <v>30.6</v>
      </c>
      <c r="H15" s="67">
        <f t="shared" si="1"/>
        <v>1974.1935483870968</v>
      </c>
      <c r="I15" s="67">
        <f t="shared" si="2"/>
        <v>8</v>
      </c>
      <c r="J15" s="67">
        <f t="shared" si="3"/>
        <v>1025.8064516129032</v>
      </c>
      <c r="K15" s="92"/>
      <c r="L15" s="134"/>
      <c r="M15" s="39"/>
      <c r="N15" s="121"/>
      <c r="O15" s="129"/>
      <c r="P15" s="92"/>
      <c r="Q15" s="96"/>
      <c r="R15" s="129"/>
      <c r="S15" s="92"/>
      <c r="T15" s="96">
        <v>25</v>
      </c>
      <c r="U15" s="121">
        <v>1.8</v>
      </c>
      <c r="V15" s="39">
        <f t="shared" si="4"/>
        <v>3000</v>
      </c>
      <c r="W15" s="120">
        <f t="shared" si="6"/>
        <v>1.55E-2</v>
      </c>
      <c r="X15" s="121">
        <v>15.5</v>
      </c>
      <c r="Y15" s="39">
        <v>120</v>
      </c>
      <c r="Z15" s="39">
        <v>1600</v>
      </c>
      <c r="AA15" s="122">
        <f t="shared" si="5"/>
        <v>20</v>
      </c>
      <c r="AB15" s="122"/>
      <c r="AC15" s="108" t="s">
        <v>53</v>
      </c>
    </row>
    <row r="16" spans="1:29" ht="21.2" hidden="1" customHeight="1" x14ac:dyDescent="0.3">
      <c r="A16" s="76">
        <v>557</v>
      </c>
      <c r="B16" s="69" t="s">
        <v>27</v>
      </c>
      <c r="C16" s="68"/>
      <c r="D16" s="68">
        <f>+G16/(T16*U16)</f>
        <v>1.4</v>
      </c>
      <c r="E16" s="106" t="s">
        <v>26</v>
      </c>
      <c r="F16" s="66">
        <v>35</v>
      </c>
      <c r="G16" s="67">
        <f t="shared" si="0"/>
        <v>63</v>
      </c>
      <c r="H16" s="67">
        <f t="shared" si="1"/>
        <v>3962.2641509433961</v>
      </c>
      <c r="I16" s="67">
        <f t="shared" si="2"/>
        <v>0</v>
      </c>
      <c r="J16" s="67" t="str">
        <f t="shared" si="3"/>
        <v/>
      </c>
      <c r="K16" s="92"/>
      <c r="L16" s="134"/>
      <c r="M16" s="39"/>
      <c r="N16" s="121"/>
      <c r="O16" s="129"/>
      <c r="P16" s="92"/>
      <c r="Q16" s="96"/>
      <c r="R16" s="129"/>
      <c r="S16" s="92"/>
      <c r="T16" s="96">
        <v>25</v>
      </c>
      <c r="U16" s="121">
        <v>1.8</v>
      </c>
      <c r="V16" s="39">
        <f t="shared" si="4"/>
        <v>3000</v>
      </c>
      <c r="W16" s="120">
        <f t="shared" si="6"/>
        <v>1.5900000000000001E-2</v>
      </c>
      <c r="X16" s="121">
        <v>15.9</v>
      </c>
      <c r="Y16" s="39">
        <v>120</v>
      </c>
      <c r="Z16" s="39">
        <v>1600</v>
      </c>
      <c r="AA16" s="122">
        <f t="shared" si="5"/>
        <v>20</v>
      </c>
      <c r="AB16" s="122"/>
      <c r="AC16" s="108" t="s">
        <v>53</v>
      </c>
    </row>
    <row r="19" spans="1:29" ht="24" thickBot="1" x14ac:dyDescent="0.4">
      <c r="B19" s="163" t="s">
        <v>96</v>
      </c>
      <c r="C19" s="163"/>
      <c r="D19" s="163"/>
    </row>
    <row r="20" spans="1:29" ht="24" thickBot="1" x14ac:dyDescent="0.35">
      <c r="B20" s="161" t="s">
        <v>86</v>
      </c>
      <c r="C20" s="162" t="s">
        <v>1</v>
      </c>
      <c r="D20" s="160"/>
    </row>
    <row r="21" spans="1:29" ht="54.6" customHeight="1" thickBot="1" x14ac:dyDescent="0.3">
      <c r="A21" s="15" t="s">
        <v>3</v>
      </c>
      <c r="B21" s="4" t="s">
        <v>5</v>
      </c>
      <c r="C21" s="4" t="s">
        <v>59</v>
      </c>
      <c r="D21" s="4" t="s">
        <v>76</v>
      </c>
      <c r="E21" s="4" t="s">
        <v>4</v>
      </c>
      <c r="F21" s="4" t="s">
        <v>39</v>
      </c>
      <c r="G21" s="4" t="s">
        <v>6</v>
      </c>
      <c r="H21" s="4" t="s">
        <v>7</v>
      </c>
      <c r="I21" s="18" t="s">
        <v>54</v>
      </c>
      <c r="J21" s="18" t="s">
        <v>59</v>
      </c>
      <c r="K21" s="91"/>
      <c r="L21" s="133" t="s">
        <v>75</v>
      </c>
      <c r="M21" s="133" t="s">
        <v>69</v>
      </c>
      <c r="N21" s="6" t="s">
        <v>70</v>
      </c>
      <c r="O21" s="138" t="s">
        <v>74</v>
      </c>
      <c r="P21" s="91"/>
      <c r="Q21" s="133" t="s">
        <v>71</v>
      </c>
      <c r="R21" s="6" t="s">
        <v>72</v>
      </c>
      <c r="S21" s="91"/>
      <c r="T21" s="102" t="s">
        <v>63</v>
      </c>
      <c r="U21" s="103" t="s">
        <v>38</v>
      </c>
      <c r="V21" s="103" t="s">
        <v>58</v>
      </c>
      <c r="W21" s="103" t="s">
        <v>10</v>
      </c>
      <c r="X21" s="103" t="s">
        <v>65</v>
      </c>
      <c r="Y21" s="103" t="s">
        <v>11</v>
      </c>
      <c r="Z21" s="103" t="s">
        <v>14</v>
      </c>
      <c r="AA21" s="104" t="s">
        <v>64</v>
      </c>
      <c r="AB21" s="140" t="s">
        <v>80</v>
      </c>
      <c r="AC21" s="4" t="s">
        <v>46</v>
      </c>
    </row>
    <row r="22" spans="1:29" ht="18.75" x14ac:dyDescent="0.3">
      <c r="A22" s="76">
        <v>510</v>
      </c>
      <c r="B22" s="69" t="s">
        <v>31</v>
      </c>
      <c r="C22" s="67">
        <v>4090.909090909091</v>
      </c>
      <c r="D22" s="68">
        <f>+G22/(T22*U22)</f>
        <v>0.25</v>
      </c>
      <c r="E22" s="106" t="s">
        <v>30</v>
      </c>
      <c r="F22" s="66">
        <v>1</v>
      </c>
      <c r="G22" s="67">
        <f t="shared" si="0"/>
        <v>30</v>
      </c>
      <c r="H22" s="67">
        <f t="shared" si="1"/>
        <v>1363.6363636363637</v>
      </c>
      <c r="I22" s="67">
        <f t="shared" si="2"/>
        <v>3</v>
      </c>
      <c r="J22" s="67">
        <f t="shared" si="3"/>
        <v>4090.909090909091</v>
      </c>
      <c r="K22" s="92"/>
      <c r="L22" s="134"/>
      <c r="M22" s="39"/>
      <c r="N22" s="39"/>
      <c r="O22" s="128"/>
      <c r="P22" s="92"/>
      <c r="Q22" s="96"/>
      <c r="R22" s="128"/>
      <c r="S22" s="92"/>
      <c r="T22" s="96">
        <v>4</v>
      </c>
      <c r="U22" s="39">
        <v>30</v>
      </c>
      <c r="V22" s="39">
        <f t="shared" si="4"/>
        <v>5454.545454545455</v>
      </c>
      <c r="W22" s="120">
        <f t="shared" si="6"/>
        <v>2.1999999999999999E-2</v>
      </c>
      <c r="X22" s="121">
        <v>22</v>
      </c>
      <c r="Y22" s="39">
        <f t="shared" si="7"/>
        <v>1363.6363636363637</v>
      </c>
      <c r="Z22" s="39">
        <v>6000</v>
      </c>
      <c r="AA22" s="122">
        <f t="shared" si="5"/>
        <v>6.6</v>
      </c>
      <c r="AB22" s="122"/>
      <c r="AC22" s="108" t="s">
        <v>86</v>
      </c>
    </row>
    <row r="26" spans="1:29" x14ac:dyDescent="0.25">
      <c r="B26" t="s">
        <v>98</v>
      </c>
    </row>
    <row r="27" spans="1:29" ht="18.75" x14ac:dyDescent="0.3">
      <c r="A27" s="106" t="s">
        <v>20</v>
      </c>
      <c r="B27" s="69" t="s">
        <v>21</v>
      </c>
      <c r="C27" s="68"/>
      <c r="D27" s="68">
        <f>+G27/(T27*U27)</f>
        <v>0</v>
      </c>
      <c r="E27" s="68"/>
      <c r="F27" s="66"/>
      <c r="G27" s="67">
        <f>F27*U27</f>
        <v>0</v>
      </c>
      <c r="H27" s="67">
        <f>+G27/W27</f>
        <v>0</v>
      </c>
      <c r="I27" s="67">
        <f>IF(T27-F27&lt;0,0,T27-F27)</f>
        <v>5</v>
      </c>
      <c r="J27" s="67">
        <f>+IF(V27-H27&lt;0,"",V27-H27)</f>
        <v>6833.7129840546695</v>
      </c>
      <c r="K27" s="92"/>
      <c r="L27" s="134"/>
      <c r="M27" s="39"/>
      <c r="N27" s="39"/>
      <c r="O27" s="128"/>
      <c r="P27" s="92"/>
      <c r="Q27" s="96"/>
      <c r="R27" s="128"/>
      <c r="S27" s="92"/>
      <c r="T27" s="96">
        <v>5</v>
      </c>
      <c r="U27" s="39">
        <v>30</v>
      </c>
      <c r="V27" s="39">
        <f>+T27*Y27</f>
        <v>6833.7129840546695</v>
      </c>
      <c r="W27" s="120">
        <f>+X27/1000</f>
        <v>2.1950000000000001E-2</v>
      </c>
      <c r="X27" s="121">
        <v>21.95</v>
      </c>
      <c r="Y27" s="39">
        <f>+U27/W27</f>
        <v>1366.7425968109339</v>
      </c>
      <c r="Z27" s="39">
        <v>0</v>
      </c>
      <c r="AA27" s="122">
        <f>1.5*Z27/Y27</f>
        <v>0</v>
      </c>
      <c r="AB27" s="122"/>
      <c r="AC27" s="108" t="s">
        <v>47</v>
      </c>
    </row>
  </sheetData>
  <mergeCells count="2">
    <mergeCell ref="A1:F1"/>
    <mergeCell ref="T5:AC5"/>
  </mergeCells>
  <printOptions horizontalCentered="1" verticalCentered="1"/>
  <pageMargins left="0.25" right="0.25" top="0.75" bottom="0.75" header="0.3" footer="0.3"/>
  <pageSetup paperSize="9" scale="41" fitToHeight="0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F0"/>
  </sheetPr>
  <dimension ref="A1:AE15"/>
  <sheetViews>
    <sheetView workbookViewId="0"/>
  </sheetViews>
  <sheetFormatPr baseColWidth="10" defaultRowHeight="15" x14ac:dyDescent="0.25"/>
  <cols>
    <col min="2" max="2" width="6.28515625" customWidth="1"/>
    <col min="3" max="3" width="8.85546875" customWidth="1"/>
    <col min="4" max="4" width="28.85546875" customWidth="1"/>
    <col min="5" max="5" width="10.85546875" customWidth="1"/>
    <col min="6" max="6" width="7.28515625" customWidth="1"/>
    <col min="7" max="7" width="9.42578125" customWidth="1"/>
    <col min="8" max="8" width="14.28515625" customWidth="1"/>
    <col min="9" max="9" width="15.28515625" customWidth="1"/>
    <col min="10" max="10" width="11.42578125" customWidth="1"/>
    <col min="11" max="11" width="8.42578125" customWidth="1"/>
    <col min="12" max="12" width="12.140625" style="110" customWidth="1"/>
    <col min="13" max="13" width="3.140625" customWidth="1"/>
    <col min="14" max="15" width="9.42578125" customWidth="1"/>
    <col min="16" max="16" width="8.85546875" customWidth="1"/>
    <col min="17" max="17" width="9.7109375" customWidth="1"/>
    <col min="18" max="18" width="3.140625" customWidth="1"/>
    <col min="19" max="19" width="11.140625" customWidth="1"/>
    <col min="20" max="20" width="10.140625" customWidth="1"/>
    <col min="21" max="21" width="3.140625" customWidth="1"/>
    <col min="22" max="22" width="8.140625" customWidth="1"/>
    <col min="23" max="23" width="8" customWidth="1"/>
    <col min="24" max="25" width="9.28515625" customWidth="1"/>
    <col min="26" max="26" width="8.28515625" customWidth="1"/>
    <col min="27" max="27" width="8.85546875" customWidth="1"/>
    <col min="28" max="28" width="9.140625" customWidth="1"/>
    <col min="29" max="30" width="10.7109375" customWidth="1"/>
    <col min="31" max="31" width="11.85546875" customWidth="1"/>
  </cols>
  <sheetData>
    <row r="1" spans="1:31" ht="47.25" thickBot="1" x14ac:dyDescent="0.3">
      <c r="B1" s="527" t="s">
        <v>0</v>
      </c>
      <c r="C1" s="528"/>
      <c r="D1" s="529"/>
      <c r="E1" s="157"/>
      <c r="H1" s="1"/>
      <c r="I1" s="1"/>
      <c r="J1" s="1"/>
      <c r="K1" s="1"/>
      <c r="L1" s="93"/>
      <c r="X1" s="1"/>
    </row>
    <row r="2" spans="1:31" ht="24.75" customHeight="1" thickBot="1" x14ac:dyDescent="0.35">
      <c r="B2" s="530" t="s">
        <v>1</v>
      </c>
      <c r="C2" s="531"/>
      <c r="D2" s="149">
        <v>45539</v>
      </c>
      <c r="E2" s="158"/>
      <c r="H2" s="1"/>
      <c r="I2" s="1"/>
      <c r="J2" s="1"/>
      <c r="K2" s="3" t="s">
        <v>55</v>
      </c>
      <c r="L2" s="3"/>
      <c r="V2" s="522" t="s">
        <v>73</v>
      </c>
      <c r="W2" s="523"/>
      <c r="X2" s="523"/>
      <c r="Y2" s="523"/>
      <c r="Z2" s="523"/>
      <c r="AA2" s="523"/>
      <c r="AB2" s="523"/>
      <c r="AC2" s="523"/>
      <c r="AD2" s="523"/>
      <c r="AE2" s="524"/>
    </row>
    <row r="3" spans="1:31" ht="54.6" customHeight="1" thickBot="1" x14ac:dyDescent="0.3">
      <c r="A3" s="4" t="s">
        <v>46</v>
      </c>
      <c r="B3" s="15" t="s">
        <v>3</v>
      </c>
      <c r="C3" s="4" t="s">
        <v>4</v>
      </c>
      <c r="D3" s="4" t="s">
        <v>5</v>
      </c>
      <c r="E3" s="4" t="s">
        <v>59</v>
      </c>
      <c r="F3" s="4" t="s">
        <v>76</v>
      </c>
      <c r="G3" s="4" t="s">
        <v>92</v>
      </c>
      <c r="H3" s="4" t="s">
        <v>90</v>
      </c>
      <c r="I3" s="4" t="s">
        <v>6</v>
      </c>
      <c r="J3" s="4" t="s">
        <v>7</v>
      </c>
      <c r="K3" s="18" t="s">
        <v>54</v>
      </c>
      <c r="L3" s="18" t="s">
        <v>59</v>
      </c>
      <c r="M3" s="91"/>
      <c r="N3" s="133" t="s">
        <v>75</v>
      </c>
      <c r="O3" s="133" t="s">
        <v>69</v>
      </c>
      <c r="P3" s="6" t="s">
        <v>70</v>
      </c>
      <c r="Q3" s="138" t="s">
        <v>74</v>
      </c>
      <c r="R3" s="91"/>
      <c r="S3" s="133" t="s">
        <v>71</v>
      </c>
      <c r="T3" s="6" t="s">
        <v>72</v>
      </c>
      <c r="U3" s="91"/>
      <c r="V3" s="102" t="s">
        <v>89</v>
      </c>
      <c r="W3" s="103" t="s">
        <v>91</v>
      </c>
      <c r="X3" s="103" t="s">
        <v>58</v>
      </c>
      <c r="Y3" s="103" t="s">
        <v>10</v>
      </c>
      <c r="Z3" s="103" t="s">
        <v>65</v>
      </c>
      <c r="AA3" s="103" t="s">
        <v>11</v>
      </c>
      <c r="AB3" s="103" t="s">
        <v>14</v>
      </c>
      <c r="AC3" s="104" t="s">
        <v>64</v>
      </c>
      <c r="AD3" s="140" t="s">
        <v>80</v>
      </c>
      <c r="AE3" s="4" t="s">
        <v>46</v>
      </c>
    </row>
    <row r="4" spans="1:31" ht="19.5" thickBot="1" x14ac:dyDescent="0.35">
      <c r="A4" s="107" t="s">
        <v>47</v>
      </c>
      <c r="B4" s="70">
        <v>500</v>
      </c>
      <c r="C4" s="111" t="s">
        <v>15</v>
      </c>
      <c r="D4" s="71" t="s">
        <v>16</v>
      </c>
      <c r="E4" s="159" t="str">
        <f>+IF(X4-J4&lt;=0,"",X4-J4)</f>
        <v/>
      </c>
      <c r="F4" s="74">
        <f t="shared" ref="F4:F10" si="0">+I4/(V4*W4)</f>
        <v>1.6</v>
      </c>
      <c r="G4" s="74"/>
      <c r="H4" s="73">
        <v>8</v>
      </c>
      <c r="I4" s="72">
        <f>H4*W4</f>
        <v>240</v>
      </c>
      <c r="J4" s="72">
        <f t="shared" ref="J4:J10" si="1">+I4/Y4</f>
        <v>7283.7632776934752</v>
      </c>
      <c r="K4" s="72">
        <f t="shared" ref="K4:K10" si="2">IF(V4-H4&lt;0,0,V4-H4)</f>
        <v>0</v>
      </c>
      <c r="L4" s="72" t="str">
        <f t="shared" ref="L4:L10" si="3">+IF(X4-J4&lt;0,"",X4-J4)</f>
        <v/>
      </c>
      <c r="M4" s="92"/>
      <c r="N4" s="136"/>
      <c r="O4" s="137"/>
      <c r="P4" s="137"/>
      <c r="Q4" s="132"/>
      <c r="R4" s="92"/>
      <c r="S4" s="131"/>
      <c r="T4" s="132"/>
      <c r="U4" s="92"/>
      <c r="V4" s="96">
        <v>5</v>
      </c>
      <c r="W4" s="39">
        <v>30</v>
      </c>
      <c r="X4" s="39">
        <f t="shared" ref="X4:X10" si="4">+V4*AA4</f>
        <v>4552.3520485584222</v>
      </c>
      <c r="Y4" s="120">
        <f>+Z4/1000</f>
        <v>3.295E-2</v>
      </c>
      <c r="Z4" s="121">
        <v>32.950000000000003</v>
      </c>
      <c r="AA4" s="39">
        <f>+W4/Y4</f>
        <v>910.4704097116844</v>
      </c>
      <c r="AB4" s="39">
        <v>2520</v>
      </c>
      <c r="AC4" s="122">
        <f t="shared" ref="AC4:AC10" si="5">1.5*AB4/AA4</f>
        <v>4.1516999999999999</v>
      </c>
      <c r="AD4" s="141"/>
      <c r="AE4" s="107" t="s">
        <v>47</v>
      </c>
    </row>
    <row r="5" spans="1:31" ht="19.5" thickBot="1" x14ac:dyDescent="0.35">
      <c r="A5" s="108" t="s">
        <v>47</v>
      </c>
      <c r="B5" s="76">
        <v>706</v>
      </c>
      <c r="C5" s="106" t="s">
        <v>17</v>
      </c>
      <c r="D5" s="69" t="s">
        <v>18</v>
      </c>
      <c r="E5" s="159" t="str">
        <f t="shared" ref="E5:E10" si="6">+IF(X5-J5&lt;=0,"",X5-J5)</f>
        <v/>
      </c>
      <c r="F5" s="68">
        <f t="shared" si="0"/>
        <v>2.25</v>
      </c>
      <c r="G5" s="68"/>
      <c r="H5" s="66">
        <v>9</v>
      </c>
      <c r="I5" s="67">
        <f t="shared" ref="I5:I10" si="7">H5*W5</f>
        <v>270</v>
      </c>
      <c r="J5" s="67">
        <f t="shared" si="1"/>
        <v>12300.683371298404</v>
      </c>
      <c r="K5" s="67">
        <f t="shared" si="2"/>
        <v>0</v>
      </c>
      <c r="L5" s="67" t="str">
        <f t="shared" si="3"/>
        <v/>
      </c>
      <c r="M5" s="92"/>
      <c r="N5" s="134"/>
      <c r="O5" s="39"/>
      <c r="P5" s="39"/>
      <c r="Q5" s="128"/>
      <c r="R5" s="92"/>
      <c r="S5" s="96"/>
      <c r="T5" s="128"/>
      <c r="U5" s="92"/>
      <c r="V5" s="96">
        <v>4</v>
      </c>
      <c r="W5" s="39">
        <v>30</v>
      </c>
      <c r="X5" s="39">
        <f t="shared" si="4"/>
        <v>5466.9703872437358</v>
      </c>
      <c r="Y5" s="120">
        <f t="shared" ref="Y5:Y10" si="8">+Z5/1000</f>
        <v>2.1950000000000001E-2</v>
      </c>
      <c r="Z5" s="121">
        <v>21.95</v>
      </c>
      <c r="AA5" s="39">
        <f t="shared" ref="AA5" si="9">+W5/Y5</f>
        <v>1366.7425968109339</v>
      </c>
      <c r="AB5" s="39">
        <v>3600</v>
      </c>
      <c r="AC5" s="122">
        <f t="shared" si="5"/>
        <v>3.9510000000000001</v>
      </c>
      <c r="AD5" s="122"/>
      <c r="AE5" s="108" t="s">
        <v>47</v>
      </c>
    </row>
    <row r="6" spans="1:31" ht="21.2" customHeight="1" thickBot="1" x14ac:dyDescent="0.35">
      <c r="A6" s="108" t="s">
        <v>47</v>
      </c>
      <c r="B6" s="76">
        <v>506</v>
      </c>
      <c r="C6" s="106" t="s">
        <v>28</v>
      </c>
      <c r="D6" s="69" t="s">
        <v>29</v>
      </c>
      <c r="E6" s="159">
        <f>+IF(X6-J6&lt;=0,"",X6-J6)</f>
        <v>10933.940774487472</v>
      </c>
      <c r="F6" s="68">
        <f>+I6/(V6*W6)</f>
        <v>0</v>
      </c>
      <c r="G6" s="68"/>
      <c r="H6" s="66">
        <v>0</v>
      </c>
      <c r="I6" s="67">
        <f>H6*W6</f>
        <v>0</v>
      </c>
      <c r="J6" s="67">
        <f>+I6/Y6</f>
        <v>0</v>
      </c>
      <c r="K6" s="67">
        <f>IF(V6-H6&lt;0,0,V6-H6)</f>
        <v>8</v>
      </c>
      <c r="L6" s="67">
        <f>+IF(X6-J6&lt;0,"",X6-J6)</f>
        <v>10933.940774487472</v>
      </c>
      <c r="M6" s="92"/>
      <c r="N6" s="134"/>
      <c r="O6" s="39"/>
      <c r="P6" s="39"/>
      <c r="Q6" s="128"/>
      <c r="R6" s="92"/>
      <c r="S6" s="96"/>
      <c r="T6" s="128"/>
      <c r="U6" s="92"/>
      <c r="V6" s="96">
        <v>8</v>
      </c>
      <c r="W6" s="39">
        <v>30</v>
      </c>
      <c r="X6" s="39">
        <f>+V6*AA6</f>
        <v>10933.940774487472</v>
      </c>
      <c r="Y6" s="120">
        <f>+Z6/1000</f>
        <v>2.1950000000000001E-2</v>
      </c>
      <c r="Z6" s="121">
        <v>21.95</v>
      </c>
      <c r="AA6" s="39">
        <f>+W6/Y6</f>
        <v>1366.7425968109339</v>
      </c>
      <c r="AB6" s="39">
        <v>18612</v>
      </c>
      <c r="AC6" s="122">
        <f>1.5*AB6/AA6</f>
        <v>20.426670000000001</v>
      </c>
      <c r="AD6" s="122"/>
      <c r="AE6" s="108" t="s">
        <v>47</v>
      </c>
    </row>
    <row r="7" spans="1:31" ht="19.5" thickBot="1" x14ac:dyDescent="0.35">
      <c r="A7" s="108" t="s">
        <v>86</v>
      </c>
      <c r="B7" s="76">
        <v>510</v>
      </c>
      <c r="C7" s="106" t="s">
        <v>30</v>
      </c>
      <c r="D7" s="69" t="s">
        <v>31</v>
      </c>
      <c r="E7" s="159" t="str">
        <f>+IF(X7-J7&lt;=0,"",X7-J7)</f>
        <v/>
      </c>
      <c r="F7" s="68">
        <f>+I7/(V7*W7)</f>
        <v>1.5</v>
      </c>
      <c r="G7" s="68"/>
      <c r="H7" s="66">
        <v>6</v>
      </c>
      <c r="I7" s="67">
        <f>H7*W7</f>
        <v>180</v>
      </c>
      <c r="J7" s="67">
        <f>+I7/Y7</f>
        <v>8181.818181818182</v>
      </c>
      <c r="K7" s="67">
        <f>IF(V7-H7&lt;0,0,V7-H7)</f>
        <v>0</v>
      </c>
      <c r="L7" s="67" t="str">
        <f>+IF(X7-J7&lt;0,"",X7-J7)</f>
        <v/>
      </c>
      <c r="M7" s="92"/>
      <c r="N7" s="134"/>
      <c r="O7" s="39"/>
      <c r="P7" s="39"/>
      <c r="Q7" s="128"/>
      <c r="R7" s="92"/>
      <c r="S7" s="96"/>
      <c r="T7" s="128"/>
      <c r="U7" s="92"/>
      <c r="V7" s="96">
        <v>4</v>
      </c>
      <c r="W7" s="39">
        <v>30</v>
      </c>
      <c r="X7" s="39">
        <f>+V7*AA7</f>
        <v>5454.545454545455</v>
      </c>
      <c r="Y7" s="120">
        <f>+Z7/1000</f>
        <v>2.1999999999999999E-2</v>
      </c>
      <c r="Z7" s="121">
        <v>22</v>
      </c>
      <c r="AA7" s="39">
        <f>+W7/Y7</f>
        <v>1363.6363636363637</v>
      </c>
      <c r="AB7" s="39">
        <v>6000</v>
      </c>
      <c r="AC7" s="122">
        <f>1.5*AB7/AA7</f>
        <v>6.6</v>
      </c>
      <c r="AD7" s="122"/>
      <c r="AE7" s="108" t="s">
        <v>86</v>
      </c>
    </row>
    <row r="8" spans="1:31" ht="19.5" thickBot="1" x14ac:dyDescent="0.35">
      <c r="A8" s="108" t="s">
        <v>53</v>
      </c>
      <c r="B8" s="76">
        <v>654</v>
      </c>
      <c r="C8" s="106" t="s">
        <v>22</v>
      </c>
      <c r="D8" s="69" t="s">
        <v>23</v>
      </c>
      <c r="E8" s="159">
        <f t="shared" si="6"/>
        <v>720</v>
      </c>
      <c r="F8" s="68">
        <f t="shared" si="0"/>
        <v>0.76000000000000012</v>
      </c>
      <c r="G8" s="68"/>
      <c r="H8" s="66">
        <v>19</v>
      </c>
      <c r="I8" s="67">
        <f t="shared" si="7"/>
        <v>49.019999999999996</v>
      </c>
      <c r="J8" s="67">
        <f t="shared" si="1"/>
        <v>2280</v>
      </c>
      <c r="K8" s="67">
        <f t="shared" si="2"/>
        <v>6</v>
      </c>
      <c r="L8" s="67">
        <f t="shared" si="3"/>
        <v>720</v>
      </c>
      <c r="M8" s="92"/>
      <c r="N8" s="134"/>
      <c r="O8" s="39"/>
      <c r="P8" s="121"/>
      <c r="Q8" s="129"/>
      <c r="R8" s="92"/>
      <c r="S8" s="96"/>
      <c r="T8" s="129"/>
      <c r="U8" s="92"/>
      <c r="V8" s="96">
        <v>25</v>
      </c>
      <c r="W8" s="121">
        <f>+AA8*Y8</f>
        <v>2.5799999999999996</v>
      </c>
      <c r="X8" s="39">
        <f t="shared" si="4"/>
        <v>3000</v>
      </c>
      <c r="Y8" s="120">
        <f t="shared" si="8"/>
        <v>2.1499999999999998E-2</v>
      </c>
      <c r="Z8" s="121">
        <v>21.5</v>
      </c>
      <c r="AA8" s="39">
        <v>120</v>
      </c>
      <c r="AB8" s="39">
        <v>1200</v>
      </c>
      <c r="AC8" s="122">
        <f t="shared" si="5"/>
        <v>15</v>
      </c>
      <c r="AD8" s="122"/>
      <c r="AE8" s="108" t="s">
        <v>53</v>
      </c>
    </row>
    <row r="9" spans="1:31" ht="19.5" thickBot="1" x14ac:dyDescent="0.35">
      <c r="A9" s="108" t="s">
        <v>53</v>
      </c>
      <c r="B9" s="76">
        <v>558</v>
      </c>
      <c r="C9" s="106" t="s">
        <v>24</v>
      </c>
      <c r="D9" s="69" t="s">
        <v>94</v>
      </c>
      <c r="E9" s="159" t="str">
        <f t="shared" si="6"/>
        <v/>
      </c>
      <c r="F9" s="68">
        <f t="shared" si="0"/>
        <v>1.44</v>
      </c>
      <c r="G9" s="68"/>
      <c r="H9" s="66">
        <v>36</v>
      </c>
      <c r="I9" s="67">
        <f>H9*W9</f>
        <v>64.8</v>
      </c>
      <c r="J9" s="67">
        <f t="shared" si="1"/>
        <v>4180.645161290322</v>
      </c>
      <c r="K9" s="67">
        <f t="shared" si="2"/>
        <v>0</v>
      </c>
      <c r="L9" s="67" t="str">
        <f t="shared" si="3"/>
        <v/>
      </c>
      <c r="M9" s="92"/>
      <c r="N9" s="134"/>
      <c r="O9" s="39"/>
      <c r="P9" s="121"/>
      <c r="Q9" s="129"/>
      <c r="R9" s="92"/>
      <c r="S9" s="96"/>
      <c r="T9" s="129"/>
      <c r="U9" s="92"/>
      <c r="V9" s="96">
        <v>25</v>
      </c>
      <c r="W9" s="121">
        <v>1.8</v>
      </c>
      <c r="X9" s="39">
        <f t="shared" si="4"/>
        <v>3000</v>
      </c>
      <c r="Y9" s="120">
        <f t="shared" si="8"/>
        <v>1.55E-2</v>
      </c>
      <c r="Z9" s="121">
        <v>15.5</v>
      </c>
      <c r="AA9" s="39">
        <v>120</v>
      </c>
      <c r="AB9" s="39">
        <v>1600</v>
      </c>
      <c r="AC9" s="122">
        <f t="shared" si="5"/>
        <v>20</v>
      </c>
      <c r="AD9" s="122"/>
      <c r="AE9" s="108" t="s">
        <v>53</v>
      </c>
    </row>
    <row r="10" spans="1:31" ht="21.2" customHeight="1" x14ac:dyDescent="0.3">
      <c r="A10" s="108" t="s">
        <v>53</v>
      </c>
      <c r="B10" s="76">
        <v>557</v>
      </c>
      <c r="C10" s="106" t="s">
        <v>26</v>
      </c>
      <c r="D10" s="69" t="s">
        <v>93</v>
      </c>
      <c r="E10" s="159" t="str">
        <f t="shared" si="6"/>
        <v/>
      </c>
      <c r="F10" s="68">
        <f t="shared" si="0"/>
        <v>1.1600000000000001</v>
      </c>
      <c r="G10" s="68"/>
      <c r="H10" s="66">
        <v>29</v>
      </c>
      <c r="I10" s="67">
        <f t="shared" si="7"/>
        <v>52.2</v>
      </c>
      <c r="J10" s="67">
        <f t="shared" si="1"/>
        <v>3283.0188679245284</v>
      </c>
      <c r="K10" s="67">
        <f t="shared" si="2"/>
        <v>0</v>
      </c>
      <c r="L10" s="67" t="str">
        <f t="shared" si="3"/>
        <v/>
      </c>
      <c r="M10" s="92"/>
      <c r="N10" s="134"/>
      <c r="O10" s="39"/>
      <c r="P10" s="121"/>
      <c r="Q10" s="129"/>
      <c r="R10" s="92"/>
      <c r="S10" s="96"/>
      <c r="T10" s="129"/>
      <c r="U10" s="92"/>
      <c r="V10" s="96">
        <v>25</v>
      </c>
      <c r="W10" s="121">
        <v>1.8</v>
      </c>
      <c r="X10" s="39">
        <f t="shared" si="4"/>
        <v>3000</v>
      </c>
      <c r="Y10" s="120">
        <f t="shared" si="8"/>
        <v>1.5900000000000001E-2</v>
      </c>
      <c r="Z10" s="121">
        <v>15.9</v>
      </c>
      <c r="AA10" s="39">
        <v>120</v>
      </c>
      <c r="AB10" s="39">
        <v>1600</v>
      </c>
      <c r="AC10" s="122">
        <f t="shared" si="5"/>
        <v>20</v>
      </c>
      <c r="AD10" s="122"/>
      <c r="AE10" s="108" t="s">
        <v>53</v>
      </c>
    </row>
    <row r="15" spans="1:31" ht="18.75" x14ac:dyDescent="0.3">
      <c r="B15" s="76" t="s">
        <v>19</v>
      </c>
      <c r="C15" s="106" t="s">
        <v>20</v>
      </c>
      <c r="D15" s="69" t="s">
        <v>21</v>
      </c>
      <c r="E15" s="69"/>
      <c r="F15" s="68">
        <f>+I15/(V15*W15)</f>
        <v>0.6</v>
      </c>
      <c r="G15" s="68"/>
      <c r="H15" s="66">
        <v>3</v>
      </c>
      <c r="I15" s="67">
        <f>H15*W15</f>
        <v>90</v>
      </c>
      <c r="J15" s="67">
        <f>+I15/Y15</f>
        <v>4100.2277904328021</v>
      </c>
      <c r="K15" s="67">
        <f>IF(V15-H15&lt;0,0,V15-H15)</f>
        <v>2</v>
      </c>
      <c r="L15" s="67">
        <f>+IF(X15-J15&lt;0,"",X15-J15)</f>
        <v>2733.4851936218674</v>
      </c>
      <c r="M15" s="92"/>
      <c r="N15" s="134"/>
      <c r="O15" s="39"/>
      <c r="P15" s="39"/>
      <c r="Q15" s="128"/>
      <c r="R15" s="92"/>
      <c r="S15" s="96"/>
      <c r="T15" s="128"/>
      <c r="U15" s="92"/>
      <c r="V15" s="96">
        <v>5</v>
      </c>
      <c r="W15" s="39">
        <v>30</v>
      </c>
      <c r="X15" s="39">
        <f>+V15*AA15</f>
        <v>6833.7129840546695</v>
      </c>
      <c r="Y15" s="120">
        <f>+Z15/1000</f>
        <v>2.1950000000000001E-2</v>
      </c>
      <c r="Z15" s="121">
        <v>21.95</v>
      </c>
      <c r="AA15" s="39">
        <f>+W15/Y15</f>
        <v>1366.7425968109339</v>
      </c>
      <c r="AB15" s="39">
        <v>0</v>
      </c>
      <c r="AC15" s="122">
        <f>1.5*AB15/AA15</f>
        <v>0</v>
      </c>
      <c r="AD15" s="122"/>
      <c r="AE15" s="108" t="s">
        <v>47</v>
      </c>
    </row>
  </sheetData>
  <autoFilter ref="B3:AB10" xr:uid="{00000000-0009-0000-0000-00003B000000}"/>
  <mergeCells count="3">
    <mergeCell ref="B1:D1"/>
    <mergeCell ref="B2:C2"/>
    <mergeCell ref="V2:AE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F0"/>
  </sheetPr>
  <dimension ref="A1:AE15"/>
  <sheetViews>
    <sheetView workbookViewId="0"/>
  </sheetViews>
  <sheetFormatPr baseColWidth="10" defaultRowHeight="15" x14ac:dyDescent="0.25"/>
  <cols>
    <col min="2" max="2" width="6.28515625" customWidth="1"/>
    <col min="3" max="3" width="8.85546875" customWidth="1"/>
    <col min="4" max="4" width="28.85546875" customWidth="1"/>
    <col min="5" max="5" width="8.28515625" customWidth="1"/>
    <col min="6" max="6" width="7.28515625" customWidth="1"/>
    <col min="7" max="7" width="8.42578125" customWidth="1"/>
    <col min="8" max="8" width="14.28515625" customWidth="1"/>
    <col min="9" max="9" width="15.28515625" customWidth="1"/>
    <col min="10" max="10" width="11.42578125" customWidth="1"/>
    <col min="11" max="11" width="8.42578125" customWidth="1"/>
    <col min="12" max="12" width="12.140625" style="110" customWidth="1"/>
    <col min="13" max="13" width="3.140625" customWidth="1"/>
    <col min="14" max="15" width="9.42578125" customWidth="1"/>
    <col min="16" max="16" width="8.85546875" customWidth="1"/>
    <col min="17" max="17" width="9.7109375" customWidth="1"/>
    <col min="18" max="18" width="3.140625" customWidth="1"/>
    <col min="19" max="19" width="11.140625" customWidth="1"/>
    <col min="20" max="20" width="10.140625" customWidth="1"/>
    <col min="21" max="21" width="3.140625" customWidth="1"/>
    <col min="22" max="22" width="8.140625" customWidth="1"/>
    <col min="23" max="23" width="8" customWidth="1"/>
    <col min="24" max="25" width="9.28515625" customWidth="1"/>
    <col min="26" max="26" width="8.28515625" customWidth="1"/>
    <col min="27" max="27" width="8.85546875" customWidth="1"/>
    <col min="28" max="28" width="9.140625" customWidth="1"/>
    <col min="29" max="30" width="10.7109375" customWidth="1"/>
    <col min="31" max="31" width="11.85546875" customWidth="1"/>
  </cols>
  <sheetData>
    <row r="1" spans="1:31" ht="47.25" thickBot="1" x14ac:dyDescent="0.3">
      <c r="B1" s="527" t="s">
        <v>0</v>
      </c>
      <c r="C1" s="528"/>
      <c r="D1" s="529"/>
      <c r="E1" s="157"/>
      <c r="H1" s="1"/>
      <c r="I1" s="1"/>
      <c r="J1" s="1"/>
      <c r="K1" s="1"/>
      <c r="L1" s="93"/>
      <c r="X1" s="1"/>
    </row>
    <row r="2" spans="1:31" ht="24.75" customHeight="1" thickBot="1" x14ac:dyDescent="0.35">
      <c r="B2" s="530" t="s">
        <v>1</v>
      </c>
      <c r="C2" s="531"/>
      <c r="D2" s="149">
        <v>45532</v>
      </c>
      <c r="E2" s="158"/>
      <c r="H2" s="1"/>
      <c r="I2" s="1"/>
      <c r="J2" s="1"/>
      <c r="K2" s="3" t="s">
        <v>55</v>
      </c>
      <c r="L2" s="3"/>
      <c r="V2" s="522" t="s">
        <v>73</v>
      </c>
      <c r="W2" s="523"/>
      <c r="X2" s="523"/>
      <c r="Y2" s="523"/>
      <c r="Z2" s="523"/>
      <c r="AA2" s="523"/>
      <c r="AB2" s="523"/>
      <c r="AC2" s="523"/>
      <c r="AD2" s="523"/>
      <c r="AE2" s="524"/>
    </row>
    <row r="3" spans="1:31" ht="54.6" customHeight="1" thickBot="1" x14ac:dyDescent="0.3">
      <c r="A3" s="4" t="s">
        <v>46</v>
      </c>
      <c r="B3" s="15" t="s">
        <v>3</v>
      </c>
      <c r="C3" s="4" t="s">
        <v>4</v>
      </c>
      <c r="D3" s="4" t="s">
        <v>5</v>
      </c>
      <c r="E3" s="4" t="s">
        <v>59</v>
      </c>
      <c r="F3" s="4" t="s">
        <v>76</v>
      </c>
      <c r="G3" s="4" t="s">
        <v>92</v>
      </c>
      <c r="H3" s="4" t="s">
        <v>90</v>
      </c>
      <c r="I3" s="4" t="s">
        <v>6</v>
      </c>
      <c r="J3" s="4" t="s">
        <v>7</v>
      </c>
      <c r="K3" s="18" t="s">
        <v>54</v>
      </c>
      <c r="L3" s="18" t="s">
        <v>59</v>
      </c>
      <c r="M3" s="91"/>
      <c r="N3" s="133" t="s">
        <v>75</v>
      </c>
      <c r="O3" s="133" t="s">
        <v>69</v>
      </c>
      <c r="P3" s="6" t="s">
        <v>70</v>
      </c>
      <c r="Q3" s="138" t="s">
        <v>74</v>
      </c>
      <c r="R3" s="91"/>
      <c r="S3" s="133" t="s">
        <v>71</v>
      </c>
      <c r="T3" s="6" t="s">
        <v>72</v>
      </c>
      <c r="U3" s="91"/>
      <c r="V3" s="102" t="s">
        <v>89</v>
      </c>
      <c r="W3" s="103" t="s">
        <v>91</v>
      </c>
      <c r="X3" s="103" t="s">
        <v>58</v>
      </c>
      <c r="Y3" s="103" t="s">
        <v>10</v>
      </c>
      <c r="Z3" s="103" t="s">
        <v>65</v>
      </c>
      <c r="AA3" s="103" t="s">
        <v>11</v>
      </c>
      <c r="AB3" s="103" t="s">
        <v>14</v>
      </c>
      <c r="AC3" s="104" t="s">
        <v>64</v>
      </c>
      <c r="AD3" s="140" t="s">
        <v>80</v>
      </c>
      <c r="AE3" s="4" t="s">
        <v>46</v>
      </c>
    </row>
    <row r="4" spans="1:31" ht="19.5" thickBot="1" x14ac:dyDescent="0.35">
      <c r="A4" s="107" t="s">
        <v>47</v>
      </c>
      <c r="B4" s="70">
        <v>500</v>
      </c>
      <c r="C4" s="111" t="s">
        <v>15</v>
      </c>
      <c r="D4" s="71" t="s">
        <v>16</v>
      </c>
      <c r="E4" s="159" t="str">
        <f>+IF(X4-J4&lt;=0,"",X4-J4)</f>
        <v/>
      </c>
      <c r="F4" s="74">
        <f t="shared" ref="F4:F10" si="0">+I4/(V4*W4)</f>
        <v>1</v>
      </c>
      <c r="G4" s="74"/>
      <c r="H4" s="73">
        <v>5</v>
      </c>
      <c r="I4" s="72">
        <f>H4*W4</f>
        <v>150</v>
      </c>
      <c r="J4" s="72">
        <f t="shared" ref="J4:J10" si="1">+I4/Y4</f>
        <v>4552.3520485584222</v>
      </c>
      <c r="K4" s="72">
        <f t="shared" ref="K4:K10" si="2">IF(V4-H4&lt;0,0,V4-H4)</f>
        <v>0</v>
      </c>
      <c r="L4" s="72">
        <f t="shared" ref="L4:L10" si="3">+IF(X4-J4&lt;0,"",X4-J4)</f>
        <v>0</v>
      </c>
      <c r="M4" s="92"/>
      <c r="N4" s="136"/>
      <c r="O4" s="137"/>
      <c r="P4" s="137"/>
      <c r="Q4" s="132"/>
      <c r="R4" s="92"/>
      <c r="S4" s="131"/>
      <c r="T4" s="132"/>
      <c r="U4" s="92"/>
      <c r="V4" s="96">
        <v>5</v>
      </c>
      <c r="W4" s="39">
        <v>30</v>
      </c>
      <c r="X4" s="39">
        <f t="shared" ref="X4:X10" si="4">+V4*AA4</f>
        <v>4552.3520485584222</v>
      </c>
      <c r="Y4" s="120">
        <f>+Z4/1000</f>
        <v>3.295E-2</v>
      </c>
      <c r="Z4" s="121">
        <v>32.950000000000003</v>
      </c>
      <c r="AA4" s="39">
        <f>+W4/Y4</f>
        <v>910.4704097116844</v>
      </c>
      <c r="AB4" s="39">
        <v>2520</v>
      </c>
      <c r="AC4" s="122">
        <f t="shared" ref="AC4:AC10" si="5">1.5*AB4/AA4</f>
        <v>4.1516999999999999</v>
      </c>
      <c r="AD4" s="141"/>
      <c r="AE4" s="107" t="s">
        <v>47</v>
      </c>
    </row>
    <row r="5" spans="1:31" ht="19.5" thickBot="1" x14ac:dyDescent="0.35">
      <c r="A5" s="108" t="s">
        <v>47</v>
      </c>
      <c r="B5" s="76">
        <v>706</v>
      </c>
      <c r="C5" s="106" t="s">
        <v>17</v>
      </c>
      <c r="D5" s="69" t="s">
        <v>18</v>
      </c>
      <c r="E5" s="159" t="str">
        <f t="shared" ref="E5:E10" si="6">+IF(X5-J5&lt;=0,"",X5-J5)</f>
        <v/>
      </c>
      <c r="F5" s="68">
        <f t="shared" si="0"/>
        <v>1.8</v>
      </c>
      <c r="G5" s="68"/>
      <c r="H5" s="66">
        <v>9</v>
      </c>
      <c r="I5" s="67">
        <f t="shared" ref="I5:I10" si="7">H5*W5</f>
        <v>270</v>
      </c>
      <c r="J5" s="67">
        <f t="shared" si="1"/>
        <v>12300.683371298404</v>
      </c>
      <c r="K5" s="67">
        <f t="shared" si="2"/>
        <v>0</v>
      </c>
      <c r="L5" s="67" t="str">
        <f t="shared" si="3"/>
        <v/>
      </c>
      <c r="M5" s="92"/>
      <c r="N5" s="134"/>
      <c r="O5" s="39"/>
      <c r="P5" s="39"/>
      <c r="Q5" s="128"/>
      <c r="R5" s="92"/>
      <c r="S5" s="96"/>
      <c r="T5" s="128"/>
      <c r="U5" s="92"/>
      <c r="V5" s="96">
        <v>5</v>
      </c>
      <c r="W5" s="39">
        <v>30</v>
      </c>
      <c r="X5" s="39">
        <f t="shared" si="4"/>
        <v>6833.7129840546695</v>
      </c>
      <c r="Y5" s="120">
        <f t="shared" ref="Y5:Y10" si="8">+Z5/1000</f>
        <v>2.1950000000000001E-2</v>
      </c>
      <c r="Z5" s="121">
        <v>21.95</v>
      </c>
      <c r="AA5" s="39">
        <f t="shared" ref="AA5" si="9">+W5/Y5</f>
        <v>1366.7425968109339</v>
      </c>
      <c r="AB5" s="39">
        <v>3600</v>
      </c>
      <c r="AC5" s="122">
        <f t="shared" si="5"/>
        <v>3.9510000000000001</v>
      </c>
      <c r="AD5" s="122"/>
      <c r="AE5" s="108" t="s">
        <v>47</v>
      </c>
    </row>
    <row r="6" spans="1:31" ht="21.2" customHeight="1" thickBot="1" x14ac:dyDescent="0.35">
      <c r="A6" s="108" t="s">
        <v>47</v>
      </c>
      <c r="B6" s="76">
        <v>506</v>
      </c>
      <c r="C6" s="106" t="s">
        <v>28</v>
      </c>
      <c r="D6" s="69" t="s">
        <v>29</v>
      </c>
      <c r="E6" s="159">
        <f>+IF(X6-J6&lt;=0,"",X6-J6)</f>
        <v>34168.564920273348</v>
      </c>
      <c r="F6" s="68">
        <f>+I6/(V6*W6)</f>
        <v>0</v>
      </c>
      <c r="G6" s="68"/>
      <c r="H6" s="66">
        <v>0</v>
      </c>
      <c r="I6" s="67">
        <f>H6*W6</f>
        <v>0</v>
      </c>
      <c r="J6" s="67">
        <f>+I6/Y6</f>
        <v>0</v>
      </c>
      <c r="K6" s="67">
        <f>IF(V6-H6&lt;0,0,V6-H6)</f>
        <v>25</v>
      </c>
      <c r="L6" s="67">
        <f>+IF(X6-J6&lt;0,"",X6-J6)</f>
        <v>34168.564920273348</v>
      </c>
      <c r="M6" s="92"/>
      <c r="N6" s="134"/>
      <c r="O6" s="39"/>
      <c r="P6" s="39"/>
      <c r="Q6" s="128"/>
      <c r="R6" s="92"/>
      <c r="S6" s="96"/>
      <c r="T6" s="128"/>
      <c r="U6" s="92"/>
      <c r="V6" s="96">
        <v>25</v>
      </c>
      <c r="W6" s="39">
        <v>30</v>
      </c>
      <c r="X6" s="39">
        <f>+V6*AA6</f>
        <v>34168.564920273348</v>
      </c>
      <c r="Y6" s="120">
        <f>+Z6/1000</f>
        <v>2.1950000000000001E-2</v>
      </c>
      <c r="Z6" s="121">
        <v>21.95</v>
      </c>
      <c r="AA6" s="39">
        <f>+W6/Y6</f>
        <v>1366.7425968109339</v>
      </c>
      <c r="AB6" s="39">
        <v>18612</v>
      </c>
      <c r="AC6" s="122">
        <f>1.5*AB6/AA6</f>
        <v>20.426670000000001</v>
      </c>
      <c r="AD6" s="122"/>
      <c r="AE6" s="108" t="s">
        <v>47</v>
      </c>
    </row>
    <row r="7" spans="1:31" ht="19.5" thickBot="1" x14ac:dyDescent="0.35">
      <c r="A7" s="108" t="s">
        <v>86</v>
      </c>
      <c r="B7" s="76">
        <v>510</v>
      </c>
      <c r="C7" s="106" t="s">
        <v>30</v>
      </c>
      <c r="D7" s="69" t="s">
        <v>31</v>
      </c>
      <c r="E7" s="159">
        <f>+IF(X7-J7&lt;=0,"",X7-J7)</f>
        <v>20454.545454545456</v>
      </c>
      <c r="F7" s="68">
        <f>+I7/(V7*W7)</f>
        <v>0</v>
      </c>
      <c r="G7" s="68"/>
      <c r="H7" s="66">
        <v>0</v>
      </c>
      <c r="I7" s="67">
        <f>H7*W7</f>
        <v>0</v>
      </c>
      <c r="J7" s="67">
        <f>+I7/Y7</f>
        <v>0</v>
      </c>
      <c r="K7" s="67">
        <f>IF(V7-H7&lt;0,0,V7-H7)</f>
        <v>15</v>
      </c>
      <c r="L7" s="67">
        <f>+IF(X7-J7&lt;0,"",X7-J7)</f>
        <v>20454.545454545456</v>
      </c>
      <c r="M7" s="92"/>
      <c r="N7" s="134"/>
      <c r="O7" s="39"/>
      <c r="P7" s="39"/>
      <c r="Q7" s="128"/>
      <c r="R7" s="92"/>
      <c r="S7" s="96"/>
      <c r="T7" s="128"/>
      <c r="U7" s="92"/>
      <c r="V7" s="96">
        <v>15</v>
      </c>
      <c r="W7" s="39">
        <v>30</v>
      </c>
      <c r="X7" s="39">
        <f>+V7*AA7</f>
        <v>20454.545454545456</v>
      </c>
      <c r="Y7" s="120">
        <f>+Z7/1000</f>
        <v>2.1999999999999999E-2</v>
      </c>
      <c r="Z7" s="121">
        <v>22</v>
      </c>
      <c r="AA7" s="39">
        <f>+W7/Y7</f>
        <v>1363.6363636363637</v>
      </c>
      <c r="AB7" s="39">
        <v>6000</v>
      </c>
      <c r="AC7" s="122">
        <f>1.5*AB7/AA7</f>
        <v>6.6</v>
      </c>
      <c r="AD7" s="122"/>
      <c r="AE7" s="108" t="s">
        <v>86</v>
      </c>
    </row>
    <row r="8" spans="1:31" ht="19.5" thickBot="1" x14ac:dyDescent="0.35">
      <c r="A8" s="108" t="s">
        <v>53</v>
      </c>
      <c r="B8" s="76">
        <v>654</v>
      </c>
      <c r="C8" s="106" t="s">
        <v>22</v>
      </c>
      <c r="D8" s="69" t="s">
        <v>23</v>
      </c>
      <c r="E8" s="159">
        <f t="shared" si="6"/>
        <v>120</v>
      </c>
      <c r="F8" s="68">
        <f t="shared" si="0"/>
        <v>0.95000000000000007</v>
      </c>
      <c r="G8" s="68"/>
      <c r="H8" s="66">
        <v>19</v>
      </c>
      <c r="I8" s="67">
        <f t="shared" si="7"/>
        <v>49.019999999999996</v>
      </c>
      <c r="J8" s="67">
        <f t="shared" si="1"/>
        <v>2280</v>
      </c>
      <c r="K8" s="67">
        <f t="shared" si="2"/>
        <v>1</v>
      </c>
      <c r="L8" s="67">
        <f t="shared" si="3"/>
        <v>120</v>
      </c>
      <c r="M8" s="92"/>
      <c r="N8" s="134"/>
      <c r="O8" s="39"/>
      <c r="P8" s="121"/>
      <c r="Q8" s="129"/>
      <c r="R8" s="92"/>
      <c r="S8" s="96"/>
      <c r="T8" s="129"/>
      <c r="U8" s="92"/>
      <c r="V8" s="96">
        <v>20</v>
      </c>
      <c r="W8" s="121">
        <f>+AA8*Y8</f>
        <v>2.5799999999999996</v>
      </c>
      <c r="X8" s="39">
        <f t="shared" si="4"/>
        <v>2400</v>
      </c>
      <c r="Y8" s="120">
        <f t="shared" si="8"/>
        <v>2.1499999999999998E-2</v>
      </c>
      <c r="Z8" s="121">
        <v>21.5</v>
      </c>
      <c r="AA8" s="39">
        <v>120</v>
      </c>
      <c r="AB8" s="39">
        <v>1200</v>
      </c>
      <c r="AC8" s="122">
        <f t="shared" si="5"/>
        <v>15</v>
      </c>
      <c r="AD8" s="122"/>
      <c r="AE8" s="108" t="s">
        <v>53</v>
      </c>
    </row>
    <row r="9" spans="1:31" ht="19.5" thickBot="1" x14ac:dyDescent="0.35">
      <c r="A9" s="108" t="s">
        <v>53</v>
      </c>
      <c r="B9" s="76">
        <v>558</v>
      </c>
      <c r="C9" s="106" t="s">
        <v>24</v>
      </c>
      <c r="D9" s="69" t="s">
        <v>94</v>
      </c>
      <c r="E9" s="159">
        <f t="shared" si="6"/>
        <v>1548.3870967741937</v>
      </c>
      <c r="F9" s="68">
        <f t="shared" si="0"/>
        <v>0.7</v>
      </c>
      <c r="G9" s="68"/>
      <c r="H9" s="66">
        <v>28</v>
      </c>
      <c r="I9" s="67">
        <f>H9*W9</f>
        <v>50.4</v>
      </c>
      <c r="J9" s="67">
        <f t="shared" si="1"/>
        <v>3251.6129032258063</v>
      </c>
      <c r="K9" s="67">
        <f t="shared" si="2"/>
        <v>12</v>
      </c>
      <c r="L9" s="67">
        <f t="shared" si="3"/>
        <v>1548.3870967741937</v>
      </c>
      <c r="M9" s="92"/>
      <c r="N9" s="134"/>
      <c r="O9" s="39"/>
      <c r="P9" s="121"/>
      <c r="Q9" s="129"/>
      <c r="R9" s="92"/>
      <c r="S9" s="96"/>
      <c r="T9" s="129"/>
      <c r="U9" s="92"/>
      <c r="V9" s="96">
        <v>40</v>
      </c>
      <c r="W9" s="121">
        <v>1.8</v>
      </c>
      <c r="X9" s="39">
        <f t="shared" si="4"/>
        <v>4800</v>
      </c>
      <c r="Y9" s="120">
        <f t="shared" si="8"/>
        <v>1.55E-2</v>
      </c>
      <c r="Z9" s="121">
        <v>15.5</v>
      </c>
      <c r="AA9" s="39">
        <v>120</v>
      </c>
      <c r="AB9" s="39">
        <v>1600</v>
      </c>
      <c r="AC9" s="122">
        <f t="shared" si="5"/>
        <v>20</v>
      </c>
      <c r="AD9" s="122"/>
      <c r="AE9" s="108" t="s">
        <v>53</v>
      </c>
    </row>
    <row r="10" spans="1:31" ht="21.2" customHeight="1" x14ac:dyDescent="0.3">
      <c r="A10" s="108" t="s">
        <v>53</v>
      </c>
      <c r="B10" s="76">
        <v>557</v>
      </c>
      <c r="C10" s="106" t="s">
        <v>26</v>
      </c>
      <c r="D10" s="69" t="s">
        <v>93</v>
      </c>
      <c r="E10" s="159" t="str">
        <f t="shared" si="6"/>
        <v/>
      </c>
      <c r="F10" s="68">
        <f t="shared" si="0"/>
        <v>3.5999999999999996</v>
      </c>
      <c r="G10" s="68"/>
      <c r="H10" s="66">
        <v>36</v>
      </c>
      <c r="I10" s="67">
        <f t="shared" si="7"/>
        <v>64.8</v>
      </c>
      <c r="J10" s="67">
        <f t="shared" si="1"/>
        <v>4075.4716981132069</v>
      </c>
      <c r="K10" s="67">
        <f t="shared" si="2"/>
        <v>0</v>
      </c>
      <c r="L10" s="67" t="str">
        <f t="shared" si="3"/>
        <v/>
      </c>
      <c r="M10" s="92"/>
      <c r="N10" s="134"/>
      <c r="O10" s="39"/>
      <c r="P10" s="121"/>
      <c r="Q10" s="129"/>
      <c r="R10" s="92"/>
      <c r="S10" s="96"/>
      <c r="T10" s="129"/>
      <c r="U10" s="92"/>
      <c r="V10" s="96">
        <v>10</v>
      </c>
      <c r="W10" s="121">
        <v>1.8</v>
      </c>
      <c r="X10" s="39">
        <f t="shared" si="4"/>
        <v>1200</v>
      </c>
      <c r="Y10" s="120">
        <f t="shared" si="8"/>
        <v>1.5900000000000001E-2</v>
      </c>
      <c r="Z10" s="121">
        <v>15.9</v>
      </c>
      <c r="AA10" s="39">
        <v>120</v>
      </c>
      <c r="AB10" s="39">
        <v>1600</v>
      </c>
      <c r="AC10" s="122">
        <f t="shared" si="5"/>
        <v>20</v>
      </c>
      <c r="AD10" s="122"/>
      <c r="AE10" s="108" t="s">
        <v>53</v>
      </c>
    </row>
    <row r="15" spans="1:31" ht="18.75" x14ac:dyDescent="0.3">
      <c r="B15" s="76" t="s">
        <v>19</v>
      </c>
      <c r="C15" s="106" t="s">
        <v>20</v>
      </c>
      <c r="D15" s="69" t="s">
        <v>21</v>
      </c>
      <c r="E15" s="69"/>
      <c r="F15" s="68">
        <f>+I15/(V15*W15)</f>
        <v>0.6</v>
      </c>
      <c r="G15" s="68"/>
      <c r="H15" s="66">
        <v>3</v>
      </c>
      <c r="I15" s="67">
        <f>H15*W15</f>
        <v>90</v>
      </c>
      <c r="J15" s="67">
        <f>+I15/Y15</f>
        <v>4100.2277904328021</v>
      </c>
      <c r="K15" s="67">
        <f>IF(V15-H15&lt;0,0,V15-H15)</f>
        <v>2</v>
      </c>
      <c r="L15" s="67">
        <f>+IF(X15-J15&lt;0,"",X15-J15)</f>
        <v>2733.4851936218674</v>
      </c>
      <c r="M15" s="92"/>
      <c r="N15" s="134"/>
      <c r="O15" s="39"/>
      <c r="P15" s="39"/>
      <c r="Q15" s="128"/>
      <c r="R15" s="92"/>
      <c r="S15" s="96"/>
      <c r="T15" s="128"/>
      <c r="U15" s="92"/>
      <c r="V15" s="96">
        <v>5</v>
      </c>
      <c r="W15" s="39">
        <v>30</v>
      </c>
      <c r="X15" s="39">
        <f>+V15*AA15</f>
        <v>6833.7129840546695</v>
      </c>
      <c r="Y15" s="120">
        <f>+Z15/1000</f>
        <v>2.1950000000000001E-2</v>
      </c>
      <c r="Z15" s="121">
        <v>21.95</v>
      </c>
      <c r="AA15" s="39">
        <f>+W15/Y15</f>
        <v>1366.7425968109339</v>
      </c>
      <c r="AB15" s="39">
        <v>0</v>
      </c>
      <c r="AC15" s="122">
        <f>1.5*AB15/AA15</f>
        <v>0</v>
      </c>
      <c r="AD15" s="122"/>
      <c r="AE15" s="108" t="s">
        <v>47</v>
      </c>
    </row>
  </sheetData>
  <autoFilter ref="B3:AB10" xr:uid="{00000000-0009-0000-0000-00003C000000}"/>
  <mergeCells count="3">
    <mergeCell ref="B1:D1"/>
    <mergeCell ref="B2:C2"/>
    <mergeCell ref="V2:AE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F0"/>
  </sheetPr>
  <dimension ref="A1:AB15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85546875" customWidth="1"/>
    <col min="4" max="4" width="7.28515625" customWidth="1"/>
    <col min="5" max="5" width="12.140625" customWidth="1"/>
    <col min="6" max="6" width="15.28515625" bestFit="1" customWidth="1"/>
    <col min="7" max="7" width="11.42578125" customWidth="1"/>
    <col min="8" max="8" width="8.42578125" customWidth="1"/>
    <col min="9" max="9" width="12.140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7" width="10.7109375" customWidth="1"/>
    <col min="28" max="28" width="11.85546875" customWidth="1"/>
  </cols>
  <sheetData>
    <row r="1" spans="1:28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8" ht="24.75" customHeight="1" thickBot="1" x14ac:dyDescent="0.35">
      <c r="A2" s="530" t="s">
        <v>1</v>
      </c>
      <c r="B2" s="531"/>
      <c r="C2" s="149">
        <v>45532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3"/>
      <c r="AB2" s="524"/>
    </row>
    <row r="3" spans="1:28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140" t="s">
        <v>80</v>
      </c>
      <c r="AB3" s="4" t="s">
        <v>46</v>
      </c>
    </row>
    <row r="4" spans="1:28" ht="18.75" x14ac:dyDescent="0.3">
      <c r="A4" s="70">
        <v>500</v>
      </c>
      <c r="B4" s="111" t="s">
        <v>15</v>
      </c>
      <c r="C4" s="71" t="s">
        <v>16</v>
      </c>
      <c r="D4" s="74">
        <f t="shared" ref="D4:D10" si="0">+F4/(S4*T4)</f>
        <v>1</v>
      </c>
      <c r="E4" s="73">
        <v>5</v>
      </c>
      <c r="F4" s="72">
        <f t="shared" ref="F4:F10" si="1">E4*T4</f>
        <v>150</v>
      </c>
      <c r="G4" s="72">
        <f t="shared" ref="G4:G10" si="2">+F4/V4</f>
        <v>4552.3520485584222</v>
      </c>
      <c r="H4" s="72">
        <f t="shared" ref="H4:H10" si="3">IF(S4-E4&lt;0,0,S4-E4)</f>
        <v>0</v>
      </c>
      <c r="I4" s="72">
        <f t="shared" ref="I4:I10" si="4">+IF(U4-G4&lt;0,"",U4-G4)</f>
        <v>0</v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0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0" si="6">1.5*Y4/X4</f>
        <v>4.1516999999999999</v>
      </c>
      <c r="AA4" s="141"/>
      <c r="AB4" s="107" t="s">
        <v>47</v>
      </c>
    </row>
    <row r="5" spans="1:28" ht="18.75" x14ac:dyDescent="0.3">
      <c r="A5" s="76">
        <v>706</v>
      </c>
      <c r="B5" s="106" t="s">
        <v>17</v>
      </c>
      <c r="C5" s="69" t="s">
        <v>18</v>
      </c>
      <c r="D5" s="68">
        <f t="shared" si="0"/>
        <v>2.25</v>
      </c>
      <c r="E5" s="66">
        <v>9</v>
      </c>
      <c r="F5" s="67">
        <f t="shared" si="1"/>
        <v>270</v>
      </c>
      <c r="G5" s="67">
        <f t="shared" si="2"/>
        <v>12300.683371298404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0" si="7">+W5/1000</f>
        <v>2.1950000000000001E-2</v>
      </c>
      <c r="W5" s="121">
        <v>21.95</v>
      </c>
      <c r="X5" s="39">
        <f t="shared" ref="X5:X10" si="8">+T5/V5</f>
        <v>1366.7425968109339</v>
      </c>
      <c r="Y5" s="39">
        <v>3600</v>
      </c>
      <c r="Z5" s="122">
        <f t="shared" si="6"/>
        <v>3.9510000000000001</v>
      </c>
      <c r="AA5" s="122"/>
      <c r="AB5" s="108" t="s">
        <v>47</v>
      </c>
    </row>
    <row r="6" spans="1:28" ht="18.75" x14ac:dyDescent="0.3">
      <c r="A6" s="76">
        <v>654</v>
      </c>
      <c r="B6" s="106" t="s">
        <v>22</v>
      </c>
      <c r="C6" s="69" t="s">
        <v>23</v>
      </c>
      <c r="D6" s="68">
        <f t="shared" si="0"/>
        <v>0.76000000000000012</v>
      </c>
      <c r="E6" s="66">
        <v>19</v>
      </c>
      <c r="F6" s="67">
        <f t="shared" si="1"/>
        <v>49.019999999999996</v>
      </c>
      <c r="G6" s="67">
        <f t="shared" si="2"/>
        <v>2280</v>
      </c>
      <c r="H6" s="67">
        <f t="shared" si="3"/>
        <v>6</v>
      </c>
      <c r="I6" s="67">
        <f t="shared" si="4"/>
        <v>720</v>
      </c>
      <c r="J6" s="92"/>
      <c r="K6" s="134"/>
      <c r="L6" s="39"/>
      <c r="M6" s="121"/>
      <c r="N6" s="129"/>
      <c r="O6" s="92"/>
      <c r="P6" s="96"/>
      <c r="Q6" s="129"/>
      <c r="R6" s="92"/>
      <c r="S6" s="96">
        <v>25</v>
      </c>
      <c r="T6" s="121">
        <f>+X6*V6</f>
        <v>2.5799999999999996</v>
      </c>
      <c r="U6" s="39">
        <f t="shared" si="5"/>
        <v>3000</v>
      </c>
      <c r="V6" s="120">
        <f t="shared" si="7"/>
        <v>2.1499999999999998E-2</v>
      </c>
      <c r="W6" s="121">
        <v>21.5</v>
      </c>
      <c r="X6" s="39">
        <v>120</v>
      </c>
      <c r="Y6" s="39">
        <v>1200</v>
      </c>
      <c r="Z6" s="122">
        <f t="shared" si="6"/>
        <v>15</v>
      </c>
      <c r="AA6" s="122"/>
      <c r="AB6" s="108" t="s">
        <v>53</v>
      </c>
    </row>
    <row r="7" spans="1:28" ht="18.75" x14ac:dyDescent="0.3">
      <c r="A7" s="76">
        <v>558</v>
      </c>
      <c r="B7" s="106" t="s">
        <v>24</v>
      </c>
      <c r="C7" s="69" t="s">
        <v>25</v>
      </c>
      <c r="D7" s="68">
        <f t="shared" si="0"/>
        <v>1.1199999999999999</v>
      </c>
      <c r="E7" s="66">
        <v>28</v>
      </c>
      <c r="F7" s="67">
        <f t="shared" si="1"/>
        <v>50.4</v>
      </c>
      <c r="G7" s="67">
        <f t="shared" si="2"/>
        <v>3251.6129032258063</v>
      </c>
      <c r="H7" s="67">
        <f t="shared" si="3"/>
        <v>0</v>
      </c>
      <c r="I7" s="67" t="str">
        <f t="shared" si="4"/>
        <v/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v>1.8</v>
      </c>
      <c r="U7" s="39">
        <f t="shared" si="5"/>
        <v>3000</v>
      </c>
      <c r="V7" s="120">
        <f t="shared" si="7"/>
        <v>1.55E-2</v>
      </c>
      <c r="W7" s="121">
        <v>15.5</v>
      </c>
      <c r="X7" s="39">
        <v>120</v>
      </c>
      <c r="Y7" s="39">
        <v>1600</v>
      </c>
      <c r="Z7" s="122">
        <f t="shared" si="6"/>
        <v>20</v>
      </c>
      <c r="AA7" s="122"/>
      <c r="AB7" s="108" t="s">
        <v>53</v>
      </c>
    </row>
    <row r="8" spans="1:28" ht="21.2" customHeight="1" x14ac:dyDescent="0.3">
      <c r="A8" s="76">
        <v>557</v>
      </c>
      <c r="B8" s="106" t="s">
        <v>26</v>
      </c>
      <c r="C8" s="69" t="s">
        <v>27</v>
      </c>
      <c r="D8" s="68">
        <f t="shared" si="0"/>
        <v>1.44</v>
      </c>
      <c r="E8" s="66">
        <v>36</v>
      </c>
      <c r="F8" s="67">
        <f t="shared" si="1"/>
        <v>64.8</v>
      </c>
      <c r="G8" s="67">
        <f t="shared" si="2"/>
        <v>4075.4716981132069</v>
      </c>
      <c r="H8" s="67">
        <f t="shared" si="3"/>
        <v>0</v>
      </c>
      <c r="I8" s="67" t="str">
        <f t="shared" si="4"/>
        <v/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1.5900000000000001E-2</v>
      </c>
      <c r="W8" s="121">
        <v>15.9</v>
      </c>
      <c r="X8" s="39">
        <v>120</v>
      </c>
      <c r="Y8" s="39">
        <v>1600</v>
      </c>
      <c r="Z8" s="122">
        <f t="shared" si="6"/>
        <v>20</v>
      </c>
      <c r="AA8" s="122"/>
      <c r="AB8" s="108" t="s">
        <v>53</v>
      </c>
    </row>
    <row r="9" spans="1:28" ht="21.2" customHeight="1" x14ac:dyDescent="0.3">
      <c r="A9" s="76">
        <v>506</v>
      </c>
      <c r="B9" s="106" t="s">
        <v>28</v>
      </c>
      <c r="C9" s="69" t="s">
        <v>29</v>
      </c>
      <c r="D9" s="68">
        <f t="shared" si="0"/>
        <v>0</v>
      </c>
      <c r="E9" s="66">
        <v>0</v>
      </c>
      <c r="F9" s="67">
        <f t="shared" si="1"/>
        <v>0</v>
      </c>
      <c r="G9" s="67">
        <f t="shared" si="2"/>
        <v>0</v>
      </c>
      <c r="H9" s="67">
        <f t="shared" si="3"/>
        <v>8</v>
      </c>
      <c r="I9" s="67">
        <f t="shared" si="4"/>
        <v>10933.940774487472</v>
      </c>
      <c r="J9" s="92"/>
      <c r="K9" s="134"/>
      <c r="L9" s="39"/>
      <c r="M9" s="39"/>
      <c r="N9" s="128"/>
      <c r="O9" s="92"/>
      <c r="P9" s="96"/>
      <c r="Q9" s="128"/>
      <c r="R9" s="92"/>
      <c r="S9" s="96">
        <v>8</v>
      </c>
      <c r="T9" s="39">
        <v>30</v>
      </c>
      <c r="U9" s="39">
        <f t="shared" si="5"/>
        <v>10933.940774487472</v>
      </c>
      <c r="V9" s="120">
        <f t="shared" si="7"/>
        <v>2.1950000000000001E-2</v>
      </c>
      <c r="W9" s="121">
        <v>21.95</v>
      </c>
      <c r="X9" s="39">
        <f t="shared" si="8"/>
        <v>1366.7425968109339</v>
      </c>
      <c r="Y9" s="39">
        <v>18612</v>
      </c>
      <c r="Z9" s="122">
        <f t="shared" si="6"/>
        <v>20.426670000000001</v>
      </c>
      <c r="AA9" s="122"/>
      <c r="AB9" s="108" t="s">
        <v>47</v>
      </c>
    </row>
    <row r="10" spans="1:28" ht="18.75" x14ac:dyDescent="0.3">
      <c r="A10" s="76">
        <v>510</v>
      </c>
      <c r="B10" s="106" t="s">
        <v>30</v>
      </c>
      <c r="C10" s="69" t="s">
        <v>31</v>
      </c>
      <c r="D10" s="68">
        <f t="shared" si="0"/>
        <v>0</v>
      </c>
      <c r="E10" s="66">
        <v>0</v>
      </c>
      <c r="F10" s="67">
        <f t="shared" si="1"/>
        <v>0</v>
      </c>
      <c r="G10" s="67">
        <f t="shared" si="2"/>
        <v>0</v>
      </c>
      <c r="H10" s="67">
        <f t="shared" si="3"/>
        <v>4</v>
      </c>
      <c r="I10" s="67">
        <f t="shared" si="4"/>
        <v>5454.545454545455</v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4</v>
      </c>
      <c r="T10" s="39">
        <v>30</v>
      </c>
      <c r="U10" s="39">
        <f t="shared" si="5"/>
        <v>5454.545454545455</v>
      </c>
      <c r="V10" s="120">
        <f t="shared" si="7"/>
        <v>2.1999999999999999E-2</v>
      </c>
      <c r="W10" s="121">
        <v>22</v>
      </c>
      <c r="X10" s="39">
        <f t="shared" si="8"/>
        <v>1363.6363636363637</v>
      </c>
      <c r="Y10" s="39">
        <v>6000</v>
      </c>
      <c r="Z10" s="122">
        <f t="shared" si="6"/>
        <v>6.6</v>
      </c>
      <c r="AA10" s="122"/>
      <c r="AB10" s="108" t="s">
        <v>86</v>
      </c>
    </row>
    <row r="15" spans="1:28" ht="18.75" x14ac:dyDescent="0.3">
      <c r="A15" s="76" t="s">
        <v>19</v>
      </c>
      <c r="B15" s="106" t="s">
        <v>20</v>
      </c>
      <c r="C15" s="69" t="s">
        <v>21</v>
      </c>
      <c r="D15" s="68">
        <f>+F15/(S15*T15)</f>
        <v>0.6</v>
      </c>
      <c r="E15" s="66">
        <v>3</v>
      </c>
      <c r="F15" s="67">
        <f>E15*T15</f>
        <v>90</v>
      </c>
      <c r="G15" s="67">
        <f>+F15/V15</f>
        <v>4100.2277904328021</v>
      </c>
      <c r="H15" s="67">
        <f>IF(S15-E15&lt;0,0,S15-E15)</f>
        <v>2</v>
      </c>
      <c r="I15" s="67">
        <f>+IF(U15-G15&lt;0,"",U15-G15)</f>
        <v>2733.4851936218674</v>
      </c>
      <c r="J15" s="92"/>
      <c r="K15" s="134"/>
      <c r="L15" s="39"/>
      <c r="M15" s="39"/>
      <c r="N15" s="128"/>
      <c r="O15" s="92"/>
      <c r="P15" s="96"/>
      <c r="Q15" s="128"/>
      <c r="R15" s="92"/>
      <c r="S15" s="96">
        <v>5</v>
      </c>
      <c r="T15" s="39">
        <v>30</v>
      </c>
      <c r="U15" s="39">
        <f>+S15*X15</f>
        <v>6833.7129840546695</v>
      </c>
      <c r="V15" s="120">
        <f>+W15/1000</f>
        <v>2.1950000000000001E-2</v>
      </c>
      <c r="W15" s="121">
        <v>21.95</v>
      </c>
      <c r="X15" s="39">
        <f>+T15/V15</f>
        <v>1366.7425968109339</v>
      </c>
      <c r="Y15" s="39">
        <v>0</v>
      </c>
      <c r="Z15" s="122">
        <f>1.5*Y15/X15</f>
        <v>0</v>
      </c>
      <c r="AA15" s="122"/>
      <c r="AB15" s="108" t="s">
        <v>47</v>
      </c>
    </row>
  </sheetData>
  <autoFilter ref="A3:Y10" xr:uid="{00000000-0009-0000-0000-00003D000000}"/>
  <mergeCells count="3">
    <mergeCell ref="A1:C1"/>
    <mergeCell ref="A2:B2"/>
    <mergeCell ref="S2:AB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00B0F0"/>
  </sheetPr>
  <dimension ref="A1:J10"/>
  <sheetViews>
    <sheetView workbookViewId="0">
      <selection sqref="A1:I1"/>
    </sheetView>
  </sheetViews>
  <sheetFormatPr baseColWidth="10" defaultRowHeight="15" x14ac:dyDescent="0.25"/>
  <cols>
    <col min="1" max="1" width="26.85546875" customWidth="1"/>
    <col min="2" max="2" width="10.28515625" customWidth="1"/>
    <col min="3" max="3" width="10.7109375" customWidth="1"/>
    <col min="4" max="4" width="11.140625" customWidth="1"/>
    <col min="5" max="5" width="8.140625" customWidth="1"/>
    <col min="6" max="6" width="3.42578125" customWidth="1"/>
    <col min="7" max="7" width="8.28515625" customWidth="1"/>
    <col min="8" max="8" width="10.28515625" customWidth="1"/>
    <col min="9" max="9" width="12.28515625" customWidth="1"/>
    <col min="10" max="10" width="12.140625" customWidth="1"/>
  </cols>
  <sheetData>
    <row r="1" spans="1:10" ht="33" customHeight="1" thickBot="1" x14ac:dyDescent="0.3">
      <c r="A1" s="532" t="s">
        <v>87</v>
      </c>
      <c r="B1" s="532"/>
      <c r="C1" s="532"/>
      <c r="D1" s="532"/>
      <c r="E1" s="532"/>
      <c r="F1" s="532"/>
      <c r="G1" s="532"/>
      <c r="H1" s="532"/>
      <c r="I1" s="533"/>
      <c r="J1" s="1"/>
    </row>
    <row r="2" spans="1:10" ht="24.75" customHeight="1" thickBot="1" x14ac:dyDescent="0.3">
      <c r="A2" s="156" t="s">
        <v>1</v>
      </c>
      <c r="B2" s="534">
        <v>45527</v>
      </c>
      <c r="C2" s="535"/>
      <c r="D2" s="535"/>
    </row>
    <row r="3" spans="1:10" ht="54.6" customHeight="1" thickBot="1" x14ac:dyDescent="0.3">
      <c r="A3" s="6" t="s">
        <v>5</v>
      </c>
      <c r="B3" s="153" t="s">
        <v>59</v>
      </c>
      <c r="C3" s="154" t="s">
        <v>58</v>
      </c>
      <c r="D3" s="6" t="s">
        <v>7</v>
      </c>
      <c r="E3" s="6" t="s">
        <v>76</v>
      </c>
      <c r="G3" s="6" t="s">
        <v>88</v>
      </c>
      <c r="H3" s="154" t="s">
        <v>14</v>
      </c>
      <c r="I3" s="6" t="s">
        <v>46</v>
      </c>
    </row>
    <row r="4" spans="1:10" ht="18.75" x14ac:dyDescent="0.3">
      <c r="A4" s="152" t="s">
        <v>29</v>
      </c>
      <c r="B4" s="150">
        <v>10933.940774487472</v>
      </c>
      <c r="C4" s="137">
        <v>10933.940774487472</v>
      </c>
      <c r="D4" s="150">
        <v>0</v>
      </c>
      <c r="E4" s="151">
        <v>0</v>
      </c>
      <c r="G4" s="151">
        <v>0.72598323662153452</v>
      </c>
      <c r="H4" s="137">
        <v>18612</v>
      </c>
      <c r="I4" s="155" t="s">
        <v>47</v>
      </c>
    </row>
    <row r="5" spans="1:10" ht="18.75" x14ac:dyDescent="0.3">
      <c r="A5" s="69" t="s">
        <v>31</v>
      </c>
      <c r="B5" s="67">
        <v>4090.909090909091</v>
      </c>
      <c r="C5" s="39">
        <v>5454.545454545455</v>
      </c>
      <c r="D5" s="67">
        <v>1363.6363636363637</v>
      </c>
      <c r="E5" s="68">
        <v>0.25</v>
      </c>
      <c r="G5" s="68">
        <v>0.56083333333333329</v>
      </c>
      <c r="H5" s="39">
        <v>6000</v>
      </c>
      <c r="I5" s="108" t="s">
        <v>86</v>
      </c>
    </row>
    <row r="6" spans="1:10" ht="33" customHeight="1" x14ac:dyDescent="0.3">
      <c r="A6" s="69" t="s">
        <v>23</v>
      </c>
      <c r="B6" s="67">
        <v>720</v>
      </c>
      <c r="C6" s="39">
        <v>3000</v>
      </c>
      <c r="D6" s="67">
        <v>2280</v>
      </c>
      <c r="E6" s="68">
        <v>0.76000000000000012</v>
      </c>
      <c r="G6" s="68">
        <v>0.86842105263157898</v>
      </c>
      <c r="H6" s="39">
        <v>1200</v>
      </c>
      <c r="I6" s="108" t="s">
        <v>53</v>
      </c>
    </row>
    <row r="7" spans="1:10" ht="16.5" customHeight="1" x14ac:dyDescent="0.3">
      <c r="A7" s="69" t="s">
        <v>16</v>
      </c>
      <c r="B7" s="67">
        <v>0</v>
      </c>
      <c r="C7" s="39">
        <v>4552.3520485584222</v>
      </c>
      <c r="D7" s="67">
        <v>4552.3520485584222</v>
      </c>
      <c r="E7" s="68">
        <v>1</v>
      </c>
      <c r="G7" s="68"/>
      <c r="H7" s="39">
        <v>2520</v>
      </c>
      <c r="I7" s="108" t="s">
        <v>47</v>
      </c>
    </row>
    <row r="8" spans="1:10" ht="15" customHeight="1" x14ac:dyDescent="0.3">
      <c r="A8" s="69" t="s">
        <v>25</v>
      </c>
      <c r="B8" s="67" t="s">
        <v>78</v>
      </c>
      <c r="C8" s="39">
        <v>3000</v>
      </c>
      <c r="D8" s="67">
        <v>3251.6129032258063</v>
      </c>
      <c r="E8" s="68">
        <v>1.1199999999999999</v>
      </c>
      <c r="G8" s="68"/>
      <c r="H8" s="39">
        <v>1600</v>
      </c>
      <c r="I8" s="108" t="s">
        <v>53</v>
      </c>
    </row>
    <row r="9" spans="1:10" ht="14.25" customHeight="1" x14ac:dyDescent="0.3">
      <c r="A9" s="69" t="s">
        <v>27</v>
      </c>
      <c r="B9" s="67" t="s">
        <v>78</v>
      </c>
      <c r="C9" s="39">
        <v>3000</v>
      </c>
      <c r="D9" s="67">
        <v>4075.4716981132069</v>
      </c>
      <c r="E9" s="68">
        <v>1.44</v>
      </c>
      <c r="G9" s="68"/>
      <c r="H9" s="39">
        <v>1600</v>
      </c>
      <c r="I9" s="108" t="s">
        <v>53</v>
      </c>
    </row>
    <row r="10" spans="1:10" ht="14.25" customHeight="1" x14ac:dyDescent="0.3">
      <c r="A10" s="69" t="s">
        <v>18</v>
      </c>
      <c r="B10" s="67" t="s">
        <v>78</v>
      </c>
      <c r="C10" s="39">
        <v>5466.9703872437358</v>
      </c>
      <c r="D10" s="67">
        <v>12300.683371298404</v>
      </c>
      <c r="E10" s="68">
        <v>2.25</v>
      </c>
      <c r="G10" s="68"/>
      <c r="H10" s="39">
        <v>3600</v>
      </c>
      <c r="I10" s="108" t="s">
        <v>47</v>
      </c>
    </row>
  </sheetData>
  <autoFilter ref="A3:K10" xr:uid="{00000000-0009-0000-0000-00003E000000}">
    <sortState ref="A4:J10">
      <sortCondition ref="E3:E10"/>
    </sortState>
  </autoFilter>
  <mergeCells count="2">
    <mergeCell ref="A1:I1"/>
    <mergeCell ref="B2:D2"/>
  </mergeCells>
  <printOptions horizontalCentered="1" verticalCentered="1"/>
  <pageMargins left="0.25" right="0.25" top="0.75" bottom="0.75" header="0.3" footer="0.3"/>
  <pageSetup paperSize="9" scale="125" orientation="landscape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00B0F0"/>
  </sheetPr>
  <dimension ref="A1:AB15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85546875" customWidth="1"/>
    <col min="4" max="4" width="7.28515625" hidden="1" customWidth="1"/>
    <col min="5" max="5" width="12.140625" customWidth="1"/>
    <col min="6" max="6" width="15.28515625" bestFit="1" customWidth="1"/>
    <col min="7" max="7" width="11.42578125" customWidth="1"/>
    <col min="8" max="8" width="8.42578125" customWidth="1"/>
    <col min="9" max="9" width="12.140625" style="110" customWidth="1"/>
    <col min="10" max="10" width="3.140625" customWidth="1"/>
    <col min="11" max="12" width="9.42578125" customWidth="1"/>
    <col min="13" max="13" width="12.42578125" customWidth="1"/>
    <col min="14" max="14" width="9.7109375" customWidth="1"/>
    <col min="15" max="15" width="3.140625" customWidth="1"/>
    <col min="16" max="16" width="11.140625" customWidth="1"/>
    <col min="17" max="17" width="13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7" width="10.7109375" customWidth="1"/>
    <col min="28" max="28" width="11.85546875" customWidth="1"/>
  </cols>
  <sheetData>
    <row r="1" spans="1:28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8" ht="24.75" customHeight="1" thickBot="1" x14ac:dyDescent="0.35">
      <c r="A2" s="530" t="s">
        <v>1</v>
      </c>
      <c r="B2" s="531"/>
      <c r="C2" s="149">
        <v>45511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3"/>
      <c r="AB2" s="524"/>
    </row>
    <row r="3" spans="1:28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140" t="s">
        <v>80</v>
      </c>
      <c r="AB3" s="4" t="s">
        <v>46</v>
      </c>
    </row>
    <row r="4" spans="1:28" ht="18.75" x14ac:dyDescent="0.3">
      <c r="A4" s="70">
        <v>500</v>
      </c>
      <c r="B4" s="111" t="s">
        <v>15</v>
      </c>
      <c r="C4" s="71" t="s">
        <v>16</v>
      </c>
      <c r="D4" s="74">
        <f t="shared" ref="D4:D10" si="0">+F4/(S4*T4)</f>
        <v>1</v>
      </c>
      <c r="E4" s="73">
        <v>5</v>
      </c>
      <c r="F4" s="72">
        <f t="shared" ref="F4:F10" si="1">E4*T4</f>
        <v>150</v>
      </c>
      <c r="G4" s="72">
        <f t="shared" ref="G4:G10" si="2">+F4/V4</f>
        <v>4552.3520485584222</v>
      </c>
      <c r="H4" s="72">
        <f t="shared" ref="H4:H10" si="3">IF(S4-E4&lt;0,0,S4-E4)</f>
        <v>0</v>
      </c>
      <c r="I4" s="72">
        <f t="shared" ref="I4:I10" si="4">+IF(U4-G4&lt;0,"",U4-G4)</f>
        <v>0</v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0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0" si="6">1.5*Y4/X4</f>
        <v>4.1516999999999999</v>
      </c>
      <c r="AA4" s="141"/>
      <c r="AB4" s="107" t="s">
        <v>47</v>
      </c>
    </row>
    <row r="5" spans="1:28" ht="18.75" x14ac:dyDescent="0.3">
      <c r="A5" s="76">
        <v>706</v>
      </c>
      <c r="B5" s="106" t="s">
        <v>17</v>
      </c>
      <c r="C5" s="69" t="s">
        <v>18</v>
      </c>
      <c r="D5" s="68">
        <f t="shared" si="0"/>
        <v>2.25</v>
      </c>
      <c r="E5" s="66">
        <v>9</v>
      </c>
      <c r="F5" s="67">
        <f t="shared" si="1"/>
        <v>270</v>
      </c>
      <c r="G5" s="67">
        <f t="shared" si="2"/>
        <v>12300.683371298404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0" si="7">+W5/1000</f>
        <v>2.1950000000000001E-2</v>
      </c>
      <c r="W5" s="121">
        <v>21.95</v>
      </c>
      <c r="X5" s="39">
        <f t="shared" ref="X5:X10" si="8">+T5/V5</f>
        <v>1366.7425968109339</v>
      </c>
      <c r="Y5" s="39">
        <v>3600</v>
      </c>
      <c r="Z5" s="122">
        <f t="shared" si="6"/>
        <v>3.9510000000000001</v>
      </c>
      <c r="AA5" s="122"/>
      <c r="AB5" s="108" t="s">
        <v>47</v>
      </c>
    </row>
    <row r="6" spans="1:28" ht="18.75" x14ac:dyDescent="0.3">
      <c r="A6" s="76">
        <v>654</v>
      </c>
      <c r="B6" s="106" t="s">
        <v>22</v>
      </c>
      <c r="C6" s="69" t="s">
        <v>23</v>
      </c>
      <c r="D6" s="68">
        <f t="shared" si="0"/>
        <v>0.76000000000000012</v>
      </c>
      <c r="E6" s="66">
        <v>19</v>
      </c>
      <c r="F6" s="67">
        <f t="shared" si="1"/>
        <v>49.019999999999996</v>
      </c>
      <c r="G6" s="67">
        <f t="shared" si="2"/>
        <v>2280</v>
      </c>
      <c r="H6" s="67">
        <f t="shared" si="3"/>
        <v>6</v>
      </c>
      <c r="I6" s="67">
        <f t="shared" si="4"/>
        <v>720</v>
      </c>
      <c r="J6" s="92"/>
      <c r="K6" s="139">
        <f>+M6/Q6</f>
        <v>0.86842105263157898</v>
      </c>
      <c r="L6" s="39"/>
      <c r="M6" s="121">
        <v>792</v>
      </c>
      <c r="N6" s="129"/>
      <c r="O6" s="92"/>
      <c r="P6" s="96"/>
      <c r="Q6" s="129">
        <f>38*24</f>
        <v>912</v>
      </c>
      <c r="R6" s="92"/>
      <c r="S6" s="96">
        <v>25</v>
      </c>
      <c r="T6" s="121">
        <f>+X6*V6</f>
        <v>2.5799999999999996</v>
      </c>
      <c r="U6" s="39">
        <f t="shared" si="5"/>
        <v>3000</v>
      </c>
      <c r="V6" s="120">
        <f t="shared" si="7"/>
        <v>2.1499999999999998E-2</v>
      </c>
      <c r="W6" s="121">
        <v>21.5</v>
      </c>
      <c r="X6" s="39">
        <v>120</v>
      </c>
      <c r="Y6" s="39">
        <v>1200</v>
      </c>
      <c r="Z6" s="122">
        <f t="shared" si="6"/>
        <v>15</v>
      </c>
      <c r="AA6" s="122"/>
      <c r="AB6" s="108" t="s">
        <v>53</v>
      </c>
    </row>
    <row r="7" spans="1:28" ht="18.75" x14ac:dyDescent="0.3">
      <c r="A7" s="76">
        <v>558</v>
      </c>
      <c r="B7" s="106" t="s">
        <v>24</v>
      </c>
      <c r="C7" s="69" t="s">
        <v>25</v>
      </c>
      <c r="D7" s="68">
        <f t="shared" si="0"/>
        <v>1.1199999999999999</v>
      </c>
      <c r="E7" s="66">
        <v>28</v>
      </c>
      <c r="F7" s="67">
        <f t="shared" si="1"/>
        <v>50.4</v>
      </c>
      <c r="G7" s="67">
        <f t="shared" si="2"/>
        <v>3251.6129032258063</v>
      </c>
      <c r="H7" s="67">
        <f t="shared" si="3"/>
        <v>0</v>
      </c>
      <c r="I7" s="67" t="str">
        <f t="shared" si="4"/>
        <v/>
      </c>
      <c r="J7" s="92"/>
      <c r="K7" s="139" t="e">
        <f>+M7/Q7</f>
        <v>#DIV/0!</v>
      </c>
      <c r="L7" s="39"/>
      <c r="M7" s="121"/>
      <c r="N7" s="129"/>
      <c r="O7" s="92"/>
      <c r="P7" s="96"/>
      <c r="Q7" s="129"/>
      <c r="R7" s="92"/>
      <c r="S7" s="96">
        <v>25</v>
      </c>
      <c r="T7" s="121">
        <v>1.8</v>
      </c>
      <c r="U7" s="39">
        <f t="shared" si="5"/>
        <v>3000</v>
      </c>
      <c r="V7" s="120">
        <f t="shared" si="7"/>
        <v>1.55E-2</v>
      </c>
      <c r="W7" s="121">
        <v>15.5</v>
      </c>
      <c r="X7" s="39">
        <v>120</v>
      </c>
      <c r="Y7" s="39">
        <v>1600</v>
      </c>
      <c r="Z7" s="122">
        <f t="shared" si="6"/>
        <v>20</v>
      </c>
      <c r="AA7" s="122"/>
      <c r="AB7" s="108" t="s">
        <v>53</v>
      </c>
    </row>
    <row r="8" spans="1:28" ht="21.2" customHeight="1" x14ac:dyDescent="0.3">
      <c r="A8" s="76">
        <v>557</v>
      </c>
      <c r="B8" s="106" t="s">
        <v>26</v>
      </c>
      <c r="C8" s="69" t="s">
        <v>27</v>
      </c>
      <c r="D8" s="68">
        <f t="shared" si="0"/>
        <v>1.44</v>
      </c>
      <c r="E8" s="66">
        <v>36</v>
      </c>
      <c r="F8" s="67">
        <f t="shared" si="1"/>
        <v>64.8</v>
      </c>
      <c r="G8" s="67">
        <f t="shared" si="2"/>
        <v>4075.4716981132069</v>
      </c>
      <c r="H8" s="67">
        <f t="shared" si="3"/>
        <v>0</v>
      </c>
      <c r="I8" s="67" t="str">
        <f t="shared" si="4"/>
        <v/>
      </c>
      <c r="J8" s="92"/>
      <c r="K8" s="139" t="e">
        <f>+M8/Q8</f>
        <v>#DIV/0!</v>
      </c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1.5900000000000001E-2</v>
      </c>
      <c r="W8" s="121">
        <v>15.9</v>
      </c>
      <c r="X8" s="39">
        <v>120</v>
      </c>
      <c r="Y8" s="39">
        <v>1600</v>
      </c>
      <c r="Z8" s="122">
        <f t="shared" si="6"/>
        <v>20</v>
      </c>
      <c r="AA8" s="122"/>
      <c r="AB8" s="108" t="s">
        <v>53</v>
      </c>
    </row>
    <row r="9" spans="1:28" ht="21.2" customHeight="1" x14ac:dyDescent="0.3">
      <c r="A9" s="76">
        <v>506</v>
      </c>
      <c r="B9" s="106" t="s">
        <v>28</v>
      </c>
      <c r="C9" s="69" t="s">
        <v>29</v>
      </c>
      <c r="D9" s="68">
        <f t="shared" si="0"/>
        <v>0</v>
      </c>
      <c r="E9" s="66">
        <v>0</v>
      </c>
      <c r="F9" s="67">
        <f t="shared" si="1"/>
        <v>0</v>
      </c>
      <c r="G9" s="67">
        <f t="shared" si="2"/>
        <v>0</v>
      </c>
      <c r="H9" s="67">
        <f t="shared" si="3"/>
        <v>8</v>
      </c>
      <c r="I9" s="67">
        <f t="shared" si="4"/>
        <v>10933.940774487472</v>
      </c>
      <c r="J9" s="92"/>
      <c r="K9" s="139">
        <f>+M9/Q9</f>
        <v>0.72598323662153452</v>
      </c>
      <c r="L9" s="39"/>
      <c r="M9" s="137">
        <v>13512</v>
      </c>
      <c r="N9" s="128"/>
      <c r="O9" s="92"/>
      <c r="P9" s="96"/>
      <c r="Q9" s="128">
        <f>1551*12</f>
        <v>18612</v>
      </c>
      <c r="R9" s="92"/>
      <c r="S9" s="96">
        <v>8</v>
      </c>
      <c r="T9" s="39">
        <v>30</v>
      </c>
      <c r="U9" s="39">
        <f t="shared" si="5"/>
        <v>10933.940774487472</v>
      </c>
      <c r="V9" s="120">
        <f t="shared" si="7"/>
        <v>2.1950000000000001E-2</v>
      </c>
      <c r="W9" s="121">
        <v>21.95</v>
      </c>
      <c r="X9" s="39">
        <f t="shared" si="8"/>
        <v>1366.7425968109339</v>
      </c>
      <c r="Y9" s="39">
        <v>18612</v>
      </c>
      <c r="Z9" s="122">
        <f t="shared" si="6"/>
        <v>20.426670000000001</v>
      </c>
      <c r="AA9" s="122"/>
      <c r="AB9" s="108" t="s">
        <v>47</v>
      </c>
    </row>
    <row r="10" spans="1:28" ht="18.75" x14ac:dyDescent="0.3">
      <c r="A10" s="76">
        <v>510</v>
      </c>
      <c r="B10" s="106" t="s">
        <v>30</v>
      </c>
      <c r="C10" s="69" t="s">
        <v>31</v>
      </c>
      <c r="D10" s="68">
        <f t="shared" si="0"/>
        <v>0.25</v>
      </c>
      <c r="E10" s="66">
        <v>1</v>
      </c>
      <c r="F10" s="67">
        <f t="shared" si="1"/>
        <v>30</v>
      </c>
      <c r="G10" s="67">
        <f t="shared" si="2"/>
        <v>1363.6363636363637</v>
      </c>
      <c r="H10" s="67">
        <f t="shared" si="3"/>
        <v>3</v>
      </c>
      <c r="I10" s="67">
        <f t="shared" si="4"/>
        <v>4090.909090909091</v>
      </c>
      <c r="J10" s="92"/>
      <c r="K10" s="139">
        <f>+M10/Q10</f>
        <v>0.56083333333333329</v>
      </c>
      <c r="L10" s="39"/>
      <c r="M10" s="39">
        <v>3365</v>
      </c>
      <c r="N10" s="128"/>
      <c r="O10" s="92"/>
      <c r="P10" s="96"/>
      <c r="Q10" s="128">
        <f>500*12</f>
        <v>6000</v>
      </c>
      <c r="R10" s="92"/>
      <c r="S10" s="96">
        <v>4</v>
      </c>
      <c r="T10" s="39">
        <v>30</v>
      </c>
      <c r="U10" s="39">
        <f t="shared" si="5"/>
        <v>5454.545454545455</v>
      </c>
      <c r="V10" s="120">
        <f t="shared" si="7"/>
        <v>2.1999999999999999E-2</v>
      </c>
      <c r="W10" s="121">
        <v>22</v>
      </c>
      <c r="X10" s="39">
        <f t="shared" si="8"/>
        <v>1363.6363636363637</v>
      </c>
      <c r="Y10" s="39">
        <v>6000</v>
      </c>
      <c r="Z10" s="122">
        <f t="shared" si="6"/>
        <v>6.6</v>
      </c>
      <c r="AA10" s="122"/>
      <c r="AB10" s="108" t="s">
        <v>86</v>
      </c>
    </row>
    <row r="15" spans="1:28" ht="18.75" x14ac:dyDescent="0.3">
      <c r="A15" s="76" t="s">
        <v>19</v>
      </c>
      <c r="B15" s="106" t="s">
        <v>20</v>
      </c>
      <c r="C15" s="69" t="s">
        <v>21</v>
      </c>
      <c r="D15" s="68">
        <f>+F15/(S15*T15)</f>
        <v>0</v>
      </c>
      <c r="E15" s="66"/>
      <c r="F15" s="67">
        <f>E15*T15</f>
        <v>0</v>
      </c>
      <c r="G15" s="67">
        <f>+F15/V15</f>
        <v>0</v>
      </c>
      <c r="H15" s="67">
        <f>IF(S15-E15&lt;0,0,S15-E15)</f>
        <v>5</v>
      </c>
      <c r="I15" s="67">
        <f>+IF(U15-G15&lt;0,"",U15-G15)</f>
        <v>6833.7129840546695</v>
      </c>
      <c r="J15" s="92"/>
      <c r="K15" s="134"/>
      <c r="L15" s="39"/>
      <c r="M15" s="39"/>
      <c r="N15" s="128"/>
      <c r="O15" s="92"/>
      <c r="P15" s="96"/>
      <c r="Q15" s="128"/>
      <c r="R15" s="92"/>
      <c r="S15" s="96">
        <v>5</v>
      </c>
      <c r="T15" s="39">
        <v>30</v>
      </c>
      <c r="U15" s="39">
        <f>+S15*X15</f>
        <v>6833.7129840546695</v>
      </c>
      <c r="V15" s="120">
        <f>+W15/1000</f>
        <v>2.1950000000000001E-2</v>
      </c>
      <c r="W15" s="121">
        <v>21.95</v>
      </c>
      <c r="X15" s="39">
        <f>+T15/V15</f>
        <v>1366.7425968109339</v>
      </c>
      <c r="Y15" s="39">
        <v>0</v>
      </c>
      <c r="Z15" s="122">
        <f>1.5*Y15/X15</f>
        <v>0</v>
      </c>
      <c r="AA15" s="122"/>
      <c r="AB15" s="108" t="s">
        <v>47</v>
      </c>
    </row>
  </sheetData>
  <autoFilter ref="A3:Y10" xr:uid="{00000000-0009-0000-0000-00003F000000}"/>
  <mergeCells count="3">
    <mergeCell ref="A1:C1"/>
    <mergeCell ref="A2:B2"/>
    <mergeCell ref="S2:AB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00B0F0"/>
  </sheetPr>
  <dimension ref="A1:AB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85546875" customWidth="1"/>
    <col min="4" max="4" width="7.28515625" customWidth="1"/>
    <col min="5" max="5" width="12.140625" customWidth="1"/>
    <col min="6" max="6" width="15.28515625" bestFit="1" customWidth="1"/>
    <col min="7" max="7" width="11.42578125" customWidth="1"/>
    <col min="8" max="8" width="8.42578125" customWidth="1"/>
    <col min="9" max="9" width="12.140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7" width="10.7109375" customWidth="1"/>
    <col min="28" max="28" width="11.85546875" customWidth="1"/>
  </cols>
  <sheetData>
    <row r="1" spans="1:28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8" ht="24.75" customHeight="1" thickBot="1" x14ac:dyDescent="0.35">
      <c r="A2" s="530" t="s">
        <v>1</v>
      </c>
      <c r="B2" s="531"/>
      <c r="C2" s="149">
        <v>45517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3"/>
      <c r="AB2" s="524"/>
    </row>
    <row r="3" spans="1:28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140" t="s">
        <v>80</v>
      </c>
      <c r="AB3" s="4" t="s">
        <v>46</v>
      </c>
    </row>
    <row r="4" spans="1:28" ht="18.75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1.2</v>
      </c>
      <c r="E4" s="73">
        <v>6</v>
      </c>
      <c r="F4" s="72">
        <f t="shared" ref="F4:F11" si="1">E4*T4</f>
        <v>180</v>
      </c>
      <c r="G4" s="72">
        <f t="shared" ref="G4:G11" si="2">+F4/V4</f>
        <v>5462.8224582701059</v>
      </c>
      <c r="H4" s="72">
        <f t="shared" ref="H4:H12" si="3">IF(S4-E4&lt;0,0,S4-E4)</f>
        <v>0</v>
      </c>
      <c r="I4" s="72" t="str">
        <f t="shared" ref="I4:I19" si="4">+IF(U4-G4&lt;0,"",U4-G4)</f>
        <v/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41"/>
      <c r="AB4" s="107" t="s">
        <v>47</v>
      </c>
    </row>
    <row r="5" spans="1:28" ht="18.75" x14ac:dyDescent="0.3">
      <c r="A5" s="76">
        <v>706</v>
      </c>
      <c r="B5" s="106" t="s">
        <v>17</v>
      </c>
      <c r="C5" s="69" t="s">
        <v>18</v>
      </c>
      <c r="D5" s="68">
        <f t="shared" si="0"/>
        <v>2.5</v>
      </c>
      <c r="E5" s="66">
        <v>10</v>
      </c>
      <c r="F5" s="67">
        <f t="shared" si="1"/>
        <v>300</v>
      </c>
      <c r="G5" s="67">
        <f t="shared" si="2"/>
        <v>13667.425968109339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9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22"/>
      <c r="AB5" s="108" t="s">
        <v>47</v>
      </c>
    </row>
    <row r="6" spans="1:28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0.6</v>
      </c>
      <c r="E6" s="66">
        <v>3</v>
      </c>
      <c r="F6" s="67">
        <f t="shared" si="1"/>
        <v>90</v>
      </c>
      <c r="G6" s="67">
        <f t="shared" si="2"/>
        <v>4100.2277904328021</v>
      </c>
      <c r="H6" s="67">
        <f t="shared" si="3"/>
        <v>2</v>
      </c>
      <c r="I6" s="67">
        <f t="shared" si="4"/>
        <v>2733.4851936218674</v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22"/>
      <c r="AB6" s="108" t="s">
        <v>47</v>
      </c>
    </row>
    <row r="7" spans="1:28" ht="18.75" x14ac:dyDescent="0.3">
      <c r="A7" s="76">
        <v>654</v>
      </c>
      <c r="B7" s="106" t="s">
        <v>22</v>
      </c>
      <c r="C7" s="69" t="s">
        <v>23</v>
      </c>
      <c r="D7" s="68">
        <f t="shared" si="0"/>
        <v>0.84000000000000008</v>
      </c>
      <c r="E7" s="66">
        <v>21</v>
      </c>
      <c r="F7" s="67">
        <f t="shared" si="1"/>
        <v>54.179999999999993</v>
      </c>
      <c r="G7" s="67">
        <f t="shared" si="2"/>
        <v>2520</v>
      </c>
      <c r="H7" s="67">
        <f t="shared" si="3"/>
        <v>4</v>
      </c>
      <c r="I7" s="67">
        <f t="shared" si="4"/>
        <v>480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22"/>
      <c r="AB7" s="108" t="s">
        <v>53</v>
      </c>
    </row>
    <row r="8" spans="1:28" ht="18.75" x14ac:dyDescent="0.3">
      <c r="A8" s="76">
        <v>558</v>
      </c>
      <c r="B8" s="106" t="s">
        <v>24</v>
      </c>
      <c r="C8" s="69" t="s">
        <v>25</v>
      </c>
      <c r="D8" s="68">
        <f t="shared" si="0"/>
        <v>1.24</v>
      </c>
      <c r="E8" s="66">
        <v>31</v>
      </c>
      <c r="F8" s="67">
        <f t="shared" si="1"/>
        <v>55.800000000000004</v>
      </c>
      <c r="G8" s="67">
        <f t="shared" si="2"/>
        <v>3600.0000000000005</v>
      </c>
      <c r="H8" s="67">
        <f t="shared" si="3"/>
        <v>0</v>
      </c>
      <c r="I8" s="67" t="str">
        <f t="shared" si="4"/>
        <v/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22"/>
      <c r="AB8" s="108" t="s">
        <v>53</v>
      </c>
    </row>
    <row r="9" spans="1:28" ht="21.2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1.44</v>
      </c>
      <c r="E9" s="66">
        <v>36</v>
      </c>
      <c r="F9" s="67">
        <f t="shared" si="1"/>
        <v>64.8</v>
      </c>
      <c r="G9" s="67">
        <f t="shared" si="2"/>
        <v>4075.4716981132069</v>
      </c>
      <c r="H9" s="67">
        <f t="shared" si="3"/>
        <v>0</v>
      </c>
      <c r="I9" s="67" t="str">
        <f t="shared" si="4"/>
        <v/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22"/>
      <c r="AB9" s="108" t="s">
        <v>53</v>
      </c>
    </row>
    <row r="10" spans="1:28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0.375</v>
      </c>
      <c r="E10" s="66">
        <v>3</v>
      </c>
      <c r="F10" s="67">
        <f t="shared" si="1"/>
        <v>90</v>
      </c>
      <c r="G10" s="67">
        <f t="shared" si="2"/>
        <v>4100.2277904328021</v>
      </c>
      <c r="H10" s="67">
        <f t="shared" si="3"/>
        <v>5</v>
      </c>
      <c r="I10" s="67">
        <f t="shared" si="4"/>
        <v>6833.7129840546695</v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22"/>
      <c r="AB10" s="108" t="s">
        <v>47</v>
      </c>
    </row>
    <row r="11" spans="1:28" ht="18.75" x14ac:dyDescent="0.3">
      <c r="A11" s="76">
        <v>510</v>
      </c>
      <c r="B11" s="106" t="s">
        <v>30</v>
      </c>
      <c r="C11" s="69" t="s">
        <v>31</v>
      </c>
      <c r="D11" s="68">
        <f t="shared" si="0"/>
        <v>0.75</v>
      </c>
      <c r="E11" s="66">
        <v>3</v>
      </c>
      <c r="F11" s="67">
        <f t="shared" si="1"/>
        <v>90</v>
      </c>
      <c r="G11" s="67">
        <f t="shared" si="2"/>
        <v>4090.909090909091</v>
      </c>
      <c r="H11" s="67">
        <f t="shared" si="3"/>
        <v>1</v>
      </c>
      <c r="I11" s="67">
        <f t="shared" si="4"/>
        <v>1363.636363636364</v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22"/>
      <c r="AB11" s="108" t="s">
        <v>47</v>
      </c>
    </row>
    <row r="12" spans="1:28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0</v>
      </c>
      <c r="E12" s="538">
        <v>0</v>
      </c>
      <c r="F12" s="540">
        <f>+E12*T12</f>
        <v>0</v>
      </c>
      <c r="G12" s="540">
        <f>+E12*S12</f>
        <v>0</v>
      </c>
      <c r="H12" s="540">
        <f t="shared" si="3"/>
        <v>12</v>
      </c>
      <c r="I12" s="540">
        <f t="shared" si="4"/>
        <v>3456</v>
      </c>
      <c r="J12" s="92"/>
      <c r="K12" s="134"/>
      <c r="L12" s="39"/>
      <c r="M12" s="121"/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si="7"/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22">
        <v>2400</v>
      </c>
      <c r="AB12" s="108" t="s">
        <v>49</v>
      </c>
    </row>
    <row r="13" spans="1:28" ht="18.75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4"/>
      <c r="L13" s="39"/>
      <c r="M13" s="121"/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7"/>
        <v>2.0899999999999998E-2</v>
      </c>
      <c r="W13" s="121">
        <v>20.9</v>
      </c>
      <c r="X13" s="39">
        <v>288</v>
      </c>
      <c r="Y13" s="39">
        <v>2688</v>
      </c>
      <c r="Z13" s="122"/>
      <c r="AA13" s="122">
        <v>2400</v>
      </c>
      <c r="AB13" s="108" t="s">
        <v>49</v>
      </c>
    </row>
    <row r="14" spans="1:28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>
        <v>0</v>
      </c>
      <c r="F14" s="540">
        <f>+E14*T14</f>
        <v>0</v>
      </c>
      <c r="G14" s="540">
        <f>+E14*S14</f>
        <v>0</v>
      </c>
      <c r="H14" s="540">
        <f>IF(S14-E14&lt;0,0,S14-E14)</f>
        <v>24</v>
      </c>
      <c r="I14" s="540">
        <f t="shared" si="4"/>
        <v>3456</v>
      </c>
      <c r="J14" s="92"/>
      <c r="K14" s="134"/>
      <c r="L14" s="39"/>
      <c r="M14" s="121"/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7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22">
        <v>1346</v>
      </c>
      <c r="AB14" s="108" t="s">
        <v>49</v>
      </c>
    </row>
    <row r="15" spans="1:28" ht="18.75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4"/>
      <c r="L15" s="39"/>
      <c r="M15" s="121"/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7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22">
        <v>1346</v>
      </c>
      <c r="AB15" s="108" t="s">
        <v>49</v>
      </c>
    </row>
    <row r="16" spans="1:28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4"/>
      <c r="L16" s="39"/>
      <c r="M16" s="39"/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7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22"/>
      <c r="AB16" s="108" t="s">
        <v>50</v>
      </c>
    </row>
    <row r="17" spans="1:28" ht="18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4"/>
      <c r="L17" s="39"/>
      <c r="M17" s="39"/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7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22"/>
      <c r="AB17" s="108" t="s">
        <v>50</v>
      </c>
    </row>
    <row r="18" spans="1:28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>
        <v>0</v>
      </c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4"/>
      <c r="L18" s="39"/>
      <c r="M18" s="39"/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7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22"/>
      <c r="AB18" s="108" t="s">
        <v>50</v>
      </c>
    </row>
    <row r="19" spans="1:28" ht="19.5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5"/>
      <c r="L19" s="119"/>
      <c r="M19" s="119"/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7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27"/>
      <c r="AB19" s="109" t="s">
        <v>50</v>
      </c>
    </row>
  </sheetData>
  <autoFilter ref="A3:Y19" xr:uid="{00000000-0009-0000-0000-000040000000}"/>
  <mergeCells count="33">
    <mergeCell ref="H14:H15"/>
    <mergeCell ref="I14:I15"/>
    <mergeCell ref="U14:U15"/>
    <mergeCell ref="U16:U17"/>
    <mergeCell ref="I18:I19"/>
    <mergeCell ref="U18:U19"/>
    <mergeCell ref="I16:I17"/>
    <mergeCell ref="D16:D17"/>
    <mergeCell ref="E16:E17"/>
    <mergeCell ref="F16:F17"/>
    <mergeCell ref="G16:G17"/>
    <mergeCell ref="H16:H17"/>
    <mergeCell ref="D18:D19"/>
    <mergeCell ref="E18:E19"/>
    <mergeCell ref="F18:F19"/>
    <mergeCell ref="G18:G19"/>
    <mergeCell ref="H18:H19"/>
    <mergeCell ref="B14:B15"/>
    <mergeCell ref="D14:D15"/>
    <mergeCell ref="E14:E15"/>
    <mergeCell ref="F14:F15"/>
    <mergeCell ref="G14:G15"/>
    <mergeCell ref="A1:C1"/>
    <mergeCell ref="A2:B2"/>
    <mergeCell ref="S2:AB2"/>
    <mergeCell ref="B12:B13"/>
    <mergeCell ref="D12:D13"/>
    <mergeCell ref="E12:E13"/>
    <mergeCell ref="F12:F13"/>
    <mergeCell ref="G12:G13"/>
    <mergeCell ref="H12:H13"/>
    <mergeCell ref="I12:I13"/>
    <mergeCell ref="U12:U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00B0F0"/>
    <pageSetUpPr fitToPage="1"/>
  </sheetPr>
  <dimension ref="A1:AC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6" width="10.140625" customWidth="1"/>
    <col min="7" max="7" width="10.7109375" style="110" customWidth="1"/>
    <col min="8" max="8" width="12.140625" customWidth="1"/>
    <col min="9" max="9" width="7.28515625" customWidth="1"/>
    <col min="10" max="10" width="9.140625" customWidth="1"/>
    <col min="11" max="11" width="8.42578125" customWidth="1"/>
    <col min="12" max="12" width="12.140625" style="110" customWidth="1"/>
    <col min="13" max="13" width="3.140625" customWidth="1"/>
    <col min="14" max="15" width="9.42578125" customWidth="1"/>
    <col min="16" max="16" width="8.85546875" customWidth="1"/>
    <col min="17" max="17" width="9.7109375" customWidth="1"/>
    <col min="18" max="18" width="3.140625" customWidth="1"/>
    <col min="19" max="19" width="11.140625" customWidth="1"/>
    <col min="20" max="20" width="10.140625" customWidth="1"/>
    <col min="21" max="21" width="3.140625" customWidth="1"/>
    <col min="22" max="22" width="8.140625" customWidth="1"/>
    <col min="23" max="23" width="8" customWidth="1"/>
    <col min="24" max="24" width="9.28515625" customWidth="1"/>
    <col min="25" max="25" width="8.28515625" customWidth="1"/>
    <col min="26" max="26" width="8.85546875" customWidth="1"/>
    <col min="27" max="28" width="10.7109375" customWidth="1"/>
    <col min="29" max="29" width="11.85546875" customWidth="1"/>
  </cols>
  <sheetData>
    <row r="1" spans="1:29" ht="47.25" thickBot="1" x14ac:dyDescent="0.3">
      <c r="A1" s="527" t="s">
        <v>0</v>
      </c>
      <c r="B1" s="528"/>
      <c r="C1" s="529"/>
      <c r="D1" s="1"/>
      <c r="F1" s="1"/>
      <c r="G1" s="93"/>
      <c r="H1" s="1"/>
      <c r="J1" s="1"/>
      <c r="K1" s="1"/>
      <c r="L1" s="93"/>
    </row>
    <row r="2" spans="1:29" ht="24.75" customHeight="1" thickBot="1" x14ac:dyDescent="0.35">
      <c r="A2" s="530" t="s">
        <v>1</v>
      </c>
      <c r="B2" s="531"/>
      <c r="C2" s="149">
        <v>45512</v>
      </c>
      <c r="D2" s="1"/>
      <c r="E2" s="147"/>
      <c r="F2" s="147"/>
      <c r="G2" s="3"/>
      <c r="H2" s="1"/>
      <c r="J2" s="1"/>
      <c r="K2" s="3" t="s">
        <v>55</v>
      </c>
      <c r="L2" s="3"/>
      <c r="V2" s="146" t="s">
        <v>73</v>
      </c>
      <c r="W2" s="147"/>
      <c r="X2" s="147"/>
      <c r="Y2" s="147"/>
      <c r="Z2" s="147"/>
      <c r="AA2" s="147"/>
      <c r="AB2" s="147"/>
      <c r="AC2" s="148"/>
    </row>
    <row r="3" spans="1:29" ht="54.6" customHeight="1" thickBot="1" x14ac:dyDescent="0.3">
      <c r="A3" s="15" t="s">
        <v>3</v>
      </c>
      <c r="B3" s="4" t="s">
        <v>4</v>
      </c>
      <c r="C3" s="4" t="s">
        <v>5</v>
      </c>
      <c r="D3" s="4" t="s">
        <v>7</v>
      </c>
      <c r="E3" s="103" t="s">
        <v>14</v>
      </c>
      <c r="F3" s="103" t="s">
        <v>58</v>
      </c>
      <c r="G3" s="18" t="s">
        <v>59</v>
      </c>
      <c r="H3" s="4" t="s">
        <v>8</v>
      </c>
      <c r="I3" s="4" t="s">
        <v>76</v>
      </c>
      <c r="J3" s="4" t="s">
        <v>6</v>
      </c>
      <c r="K3" s="18" t="s">
        <v>54</v>
      </c>
      <c r="L3" s="18" t="s">
        <v>59</v>
      </c>
      <c r="M3" s="91"/>
      <c r="N3" s="133" t="s">
        <v>75</v>
      </c>
      <c r="O3" s="133" t="s">
        <v>69</v>
      </c>
      <c r="P3" s="6" t="s">
        <v>70</v>
      </c>
      <c r="Q3" s="138" t="s">
        <v>74</v>
      </c>
      <c r="R3" s="91"/>
      <c r="S3" s="133" t="s">
        <v>71</v>
      </c>
      <c r="T3" s="6" t="s">
        <v>72</v>
      </c>
      <c r="U3" s="91"/>
      <c r="V3" s="102" t="s">
        <v>63</v>
      </c>
      <c r="W3" s="103" t="s">
        <v>38</v>
      </c>
      <c r="X3" s="103" t="s">
        <v>10</v>
      </c>
      <c r="Y3" s="103" t="s">
        <v>65</v>
      </c>
      <c r="Z3" s="103" t="s">
        <v>11</v>
      </c>
      <c r="AA3" s="104" t="s">
        <v>64</v>
      </c>
      <c r="AB3" s="140" t="s">
        <v>80</v>
      </c>
      <c r="AC3" s="4" t="s">
        <v>46</v>
      </c>
    </row>
    <row r="4" spans="1:29" ht="19.5" thickBot="1" x14ac:dyDescent="0.35">
      <c r="A4" s="70">
        <v>500</v>
      </c>
      <c r="B4" s="111" t="s">
        <v>15</v>
      </c>
      <c r="C4" s="71" t="s">
        <v>16</v>
      </c>
      <c r="D4" s="72">
        <f>VLOOKUP(C4,'Garage Vacio 07-08'!C:I,5,0)</f>
        <v>5462.8224582701059</v>
      </c>
      <c r="E4" s="39">
        <f>VLOOKUP(C4,'Garage Vacio 07-08'!C:AB,23,0)</f>
        <v>2520</v>
      </c>
      <c r="F4" s="39">
        <f>VLOOKUP(C4,'Garage Vacio 07-08'!C:AC,19,0)</f>
        <v>4552.3520485584222</v>
      </c>
      <c r="G4" s="72" t="str">
        <f>+IF(VLOOKUP(C4,'Garage Vacio 07-08'!C:AB,7,0)=0,"",VLOOKUP(C4,'Garage Vacio 07-08'!C:AB,7,0))</f>
        <v/>
      </c>
      <c r="H4" s="73"/>
      <c r="I4" s="74">
        <f>+VLOOKUP(C4,'Garage Vacio 07-08'!C:AB,2,0)</f>
        <v>1.2</v>
      </c>
      <c r="J4" s="72">
        <f>+VLOOKUP(C4,'Garage Vacio 07-08'!C:AC,4,0)</f>
        <v>180</v>
      </c>
      <c r="K4" s="72">
        <f>+VLOOKUP(C4,'Garage Vacio 07-08'!C:AD,6,0)</f>
        <v>0</v>
      </c>
      <c r="L4" s="72" t="s">
        <v>78</v>
      </c>
      <c r="M4" s="92"/>
      <c r="N4" s="136"/>
      <c r="O4" s="137"/>
      <c r="P4" s="137"/>
      <c r="Q4" s="132"/>
      <c r="R4" s="92"/>
      <c r="S4" s="131"/>
      <c r="T4" s="132"/>
      <c r="U4" s="92"/>
      <c r="V4" s="96">
        <v>5</v>
      </c>
      <c r="W4" s="39">
        <v>30</v>
      </c>
      <c r="X4" s="120">
        <v>3.295E-2</v>
      </c>
      <c r="Y4" s="121">
        <v>32.950000000000003</v>
      </c>
      <c r="Z4" s="39">
        <v>910.4704097116844</v>
      </c>
      <c r="AA4" s="122">
        <v>4.1516999999999999</v>
      </c>
      <c r="AB4" s="141"/>
      <c r="AC4" s="107" t="s">
        <v>47</v>
      </c>
    </row>
    <row r="5" spans="1:29" ht="19.5" thickBot="1" x14ac:dyDescent="0.35">
      <c r="A5" s="76">
        <v>706</v>
      </c>
      <c r="B5" s="106" t="s">
        <v>17</v>
      </c>
      <c r="C5" s="69" t="s">
        <v>18</v>
      </c>
      <c r="D5" s="72">
        <f>VLOOKUP(C5,'Garage Vacio 07-08'!C:I,5,0)</f>
        <v>13667.425968109339</v>
      </c>
      <c r="E5" s="39">
        <f>VLOOKUP(C5,'Garage Vacio 07-08'!C:AB,23,0)</f>
        <v>3600</v>
      </c>
      <c r="F5" s="39">
        <f>VLOOKUP(C5,'Garage Vacio 07-08'!C:AC,19,0)</f>
        <v>5466.9703872437358</v>
      </c>
      <c r="G5" s="67" t="str">
        <f>+IF(VLOOKUP(C5,'Garage Vacio 07-08'!C:AB,7,0)=0,"",VLOOKUP(C5,'Garage Vacio 07-08'!C:AB,7,0))</f>
        <v/>
      </c>
      <c r="H5" s="66"/>
      <c r="I5" s="74">
        <f>+VLOOKUP(C5,'Garage Vacio 07-08'!C:AB,2,0)</f>
        <v>2.5</v>
      </c>
      <c r="J5" s="72">
        <f>+VLOOKUP(C5,'Garage Vacio 07-08'!C:AC,4,0)</f>
        <v>300</v>
      </c>
      <c r="K5" s="72">
        <f>+VLOOKUP(C5,'Garage Vacio 07-08'!C:AD,6,0)</f>
        <v>0</v>
      </c>
      <c r="L5" s="67" t="s">
        <v>78</v>
      </c>
      <c r="M5" s="92"/>
      <c r="N5" s="134"/>
      <c r="O5" s="39"/>
      <c r="P5" s="39"/>
      <c r="Q5" s="128"/>
      <c r="R5" s="92"/>
      <c r="S5" s="96"/>
      <c r="T5" s="128"/>
      <c r="U5" s="92"/>
      <c r="V5" s="96">
        <v>4</v>
      </c>
      <c r="W5" s="39">
        <v>30</v>
      </c>
      <c r="X5" s="120">
        <v>2.1950000000000001E-2</v>
      </c>
      <c r="Y5" s="121">
        <v>21.95</v>
      </c>
      <c r="Z5" s="39">
        <v>1366.7425968109339</v>
      </c>
      <c r="AA5" s="122">
        <v>3.9510000000000001</v>
      </c>
      <c r="AB5" s="122"/>
      <c r="AC5" s="108" t="s">
        <v>47</v>
      </c>
    </row>
    <row r="6" spans="1:29" ht="19.5" thickBot="1" x14ac:dyDescent="0.35">
      <c r="A6" s="76" t="s">
        <v>19</v>
      </c>
      <c r="B6" s="106" t="s">
        <v>20</v>
      </c>
      <c r="C6" s="69" t="s">
        <v>21</v>
      </c>
      <c r="D6" s="72">
        <f>VLOOKUP(C6,'Garage Vacio 07-08'!C:I,5,0)</f>
        <v>4100.2277904328021</v>
      </c>
      <c r="E6" s="39">
        <f>VLOOKUP(C6,'Garage Vacio 07-08'!C:AB,23,0)</f>
        <v>0</v>
      </c>
      <c r="F6" s="39">
        <f>VLOOKUP(C6,'Garage Vacio 07-08'!C:AC,19,0)</f>
        <v>6833.7129840546695</v>
      </c>
      <c r="G6" s="67">
        <f>+IF(VLOOKUP(C6,'Garage Vacio 07-08'!C:AB,7,0)=0,"",VLOOKUP(C6,'Garage Vacio 07-08'!C:AB,7,0))</f>
        <v>2733.4851936218674</v>
      </c>
      <c r="H6" s="66"/>
      <c r="I6" s="74">
        <f>+VLOOKUP(C6,'Garage Vacio 07-08'!C:AB,2,0)</f>
        <v>0.6</v>
      </c>
      <c r="J6" s="72">
        <f>+VLOOKUP(C6,'Garage Vacio 07-08'!C:AC,4,0)</f>
        <v>90</v>
      </c>
      <c r="K6" s="72">
        <f>+VLOOKUP(C6,'Garage Vacio 07-08'!C:AD,6,0)</f>
        <v>2</v>
      </c>
      <c r="L6" s="67">
        <v>2733.4851936218674</v>
      </c>
      <c r="M6" s="92"/>
      <c r="N6" s="134"/>
      <c r="O6" s="39"/>
      <c r="P6" s="39"/>
      <c r="Q6" s="128"/>
      <c r="R6" s="92"/>
      <c r="S6" s="96"/>
      <c r="T6" s="128"/>
      <c r="U6" s="92"/>
      <c r="V6" s="96">
        <v>5</v>
      </c>
      <c r="W6" s="39">
        <v>30</v>
      </c>
      <c r="X6" s="120">
        <v>2.1950000000000001E-2</v>
      </c>
      <c r="Y6" s="121">
        <v>21.95</v>
      </c>
      <c r="Z6" s="39">
        <v>1366.7425968109339</v>
      </c>
      <c r="AA6" s="122">
        <v>0</v>
      </c>
      <c r="AB6" s="122"/>
      <c r="AC6" s="108" t="s">
        <v>47</v>
      </c>
    </row>
    <row r="7" spans="1:29" ht="19.5" thickBot="1" x14ac:dyDescent="0.35">
      <c r="A7" s="76">
        <v>654</v>
      </c>
      <c r="B7" s="106" t="s">
        <v>22</v>
      </c>
      <c r="C7" s="69" t="s">
        <v>23</v>
      </c>
      <c r="D7" s="72">
        <f>VLOOKUP(C7,'Garage Vacio 07-08'!C:I,5,0)</f>
        <v>2520</v>
      </c>
      <c r="E7" s="39">
        <f>VLOOKUP(C7,'Garage Vacio 07-08'!C:AB,23,0)</f>
        <v>1200</v>
      </c>
      <c r="F7" s="39">
        <f>VLOOKUP(C7,'Garage Vacio 07-08'!C:AC,19,0)</f>
        <v>3000</v>
      </c>
      <c r="G7" s="67">
        <f>+IF(VLOOKUP(C7,'Garage Vacio 07-08'!C:AB,7,0)=0,"",VLOOKUP(C7,'Garage Vacio 07-08'!C:AB,7,0))</f>
        <v>480</v>
      </c>
      <c r="H7" s="66"/>
      <c r="I7" s="74">
        <f>+VLOOKUP(C7,'Garage Vacio 07-08'!C:AB,2,0)</f>
        <v>0.84000000000000008</v>
      </c>
      <c r="J7" s="72">
        <f>+VLOOKUP(C7,'Garage Vacio 07-08'!C:AC,4,0)</f>
        <v>54.179999999999993</v>
      </c>
      <c r="K7" s="72">
        <f>+VLOOKUP(C7,'Garage Vacio 07-08'!C:AD,6,0)</f>
        <v>4</v>
      </c>
      <c r="L7" s="67">
        <v>480</v>
      </c>
      <c r="M7" s="92"/>
      <c r="N7" s="134"/>
      <c r="O7" s="39"/>
      <c r="P7" s="121"/>
      <c r="Q7" s="129"/>
      <c r="R7" s="92"/>
      <c r="S7" s="96"/>
      <c r="T7" s="129"/>
      <c r="U7" s="92"/>
      <c r="V7" s="96">
        <v>25</v>
      </c>
      <c r="W7" s="121">
        <v>2.5799999999999996</v>
      </c>
      <c r="X7" s="120">
        <v>2.1499999999999998E-2</v>
      </c>
      <c r="Y7" s="121">
        <v>21.5</v>
      </c>
      <c r="Z7" s="39">
        <v>120</v>
      </c>
      <c r="AA7" s="122">
        <v>15</v>
      </c>
      <c r="AB7" s="122"/>
      <c r="AC7" s="108" t="s">
        <v>53</v>
      </c>
    </row>
    <row r="8" spans="1:29" ht="19.5" thickBot="1" x14ac:dyDescent="0.35">
      <c r="A8" s="76">
        <v>558</v>
      </c>
      <c r="B8" s="106" t="s">
        <v>24</v>
      </c>
      <c r="C8" s="69" t="s">
        <v>25</v>
      </c>
      <c r="D8" s="72">
        <f>VLOOKUP(C8,'Garage Vacio 07-08'!C:I,5,0)</f>
        <v>3948.3870967741937</v>
      </c>
      <c r="E8" s="39">
        <f>VLOOKUP(C8,'Garage Vacio 07-08'!C:AB,23,0)</f>
        <v>1600</v>
      </c>
      <c r="F8" s="39">
        <f>VLOOKUP(C8,'Garage Vacio 07-08'!C:AC,19,0)</f>
        <v>3000</v>
      </c>
      <c r="G8" s="67" t="str">
        <f>+IF(VLOOKUP(C8,'Garage Vacio 07-08'!C:AB,7,0)=0,"",VLOOKUP(C8,'Garage Vacio 07-08'!C:AB,7,0))</f>
        <v/>
      </c>
      <c r="H8" s="66"/>
      <c r="I8" s="74">
        <f>+VLOOKUP(C8,'Garage Vacio 07-08'!C:AB,2,0)</f>
        <v>1.36</v>
      </c>
      <c r="J8" s="72">
        <f>+VLOOKUP(C8,'Garage Vacio 07-08'!C:AC,4,0)</f>
        <v>61.2</v>
      </c>
      <c r="K8" s="72">
        <f>+VLOOKUP(C8,'Garage Vacio 07-08'!C:AD,6,0)</f>
        <v>0</v>
      </c>
      <c r="L8" s="67" t="s">
        <v>78</v>
      </c>
      <c r="M8" s="92"/>
      <c r="N8" s="134"/>
      <c r="O8" s="39"/>
      <c r="P8" s="121"/>
      <c r="Q8" s="129"/>
      <c r="R8" s="92"/>
      <c r="S8" s="96"/>
      <c r="T8" s="129"/>
      <c r="U8" s="92"/>
      <c r="V8" s="96">
        <v>25</v>
      </c>
      <c r="W8" s="121">
        <v>1.8</v>
      </c>
      <c r="X8" s="120">
        <v>1.55E-2</v>
      </c>
      <c r="Y8" s="121">
        <v>15.5</v>
      </c>
      <c r="Z8" s="39">
        <v>120</v>
      </c>
      <c r="AA8" s="122">
        <v>20</v>
      </c>
      <c r="AB8" s="122"/>
      <c r="AC8" s="108" t="s">
        <v>53</v>
      </c>
    </row>
    <row r="9" spans="1:29" ht="21.2" customHeight="1" thickBot="1" x14ac:dyDescent="0.35">
      <c r="A9" s="76">
        <v>557</v>
      </c>
      <c r="B9" s="106" t="s">
        <v>26</v>
      </c>
      <c r="C9" s="69" t="s">
        <v>27</v>
      </c>
      <c r="D9" s="72">
        <f>VLOOKUP(C9,'Garage Vacio 07-08'!C:I,5,0)</f>
        <v>4528.3018867924529</v>
      </c>
      <c r="E9" s="39">
        <f>VLOOKUP(C9,'Garage Vacio 07-08'!C:AB,23,0)</f>
        <v>1600</v>
      </c>
      <c r="F9" s="39">
        <f>VLOOKUP(C9,'Garage Vacio 07-08'!C:AC,19,0)</f>
        <v>3000</v>
      </c>
      <c r="G9" s="67" t="str">
        <f>+IF(VLOOKUP(C9,'Garage Vacio 07-08'!C:AB,7,0)=0,"",VLOOKUP(C9,'Garage Vacio 07-08'!C:AB,7,0))</f>
        <v/>
      </c>
      <c r="H9" s="66"/>
      <c r="I9" s="74">
        <f>+VLOOKUP(C9,'Garage Vacio 07-08'!C:AB,2,0)</f>
        <v>1.6</v>
      </c>
      <c r="J9" s="72">
        <f>+VLOOKUP(C9,'Garage Vacio 07-08'!C:AC,4,0)</f>
        <v>72</v>
      </c>
      <c r="K9" s="72">
        <f>+VLOOKUP(C9,'Garage Vacio 07-08'!C:AD,6,0)</f>
        <v>0</v>
      </c>
      <c r="L9" s="67" t="s">
        <v>78</v>
      </c>
      <c r="M9" s="92"/>
      <c r="N9" s="134"/>
      <c r="O9" s="39"/>
      <c r="P9" s="121"/>
      <c r="Q9" s="129"/>
      <c r="R9" s="92"/>
      <c r="S9" s="96"/>
      <c r="T9" s="129"/>
      <c r="U9" s="92"/>
      <c r="V9" s="96">
        <v>25</v>
      </c>
      <c r="W9" s="121">
        <v>1.8</v>
      </c>
      <c r="X9" s="120">
        <v>1.5900000000000001E-2</v>
      </c>
      <c r="Y9" s="121">
        <v>15.9</v>
      </c>
      <c r="Z9" s="39">
        <v>120</v>
      </c>
      <c r="AA9" s="122">
        <v>20</v>
      </c>
      <c r="AB9" s="122"/>
      <c r="AC9" s="108" t="s">
        <v>53</v>
      </c>
    </row>
    <row r="10" spans="1:29" ht="21.2" customHeight="1" thickBot="1" x14ac:dyDescent="0.35">
      <c r="A10" s="76">
        <v>506</v>
      </c>
      <c r="B10" s="106" t="s">
        <v>28</v>
      </c>
      <c r="C10" s="69" t="s">
        <v>29</v>
      </c>
      <c r="D10" s="67">
        <f>VLOOKUP(C10,'Garage Vacio 07-08'!C:I,5,0)</f>
        <v>0</v>
      </c>
      <c r="E10" s="39">
        <f>VLOOKUP(C10,'Garage Vacio 07-08'!C:AB,23,0)</f>
        <v>18612</v>
      </c>
      <c r="F10" s="39">
        <f>VLOOKUP(C10,'Garage Vacio 07-08'!C:AC,19,0)</f>
        <v>10933.940774487472</v>
      </c>
      <c r="G10" s="67">
        <f>+IF(VLOOKUP(C10,'Garage Vacio 07-08'!C:AB,7,0)=0,"",VLOOKUP(C10,'Garage Vacio 07-08'!C:AB,7,0))</f>
        <v>10933.940774487472</v>
      </c>
      <c r="H10" s="66"/>
      <c r="I10" s="74">
        <f>+VLOOKUP(C10,'Garage Vacio 07-08'!C:AB,2,0)</f>
        <v>0</v>
      </c>
      <c r="J10" s="72">
        <f>+VLOOKUP(C10,'Garage Vacio 07-08'!C:AC,4,0)</f>
        <v>0</v>
      </c>
      <c r="K10" s="72">
        <f>+VLOOKUP(C10,'Garage Vacio 07-08'!C:AD,6,0)</f>
        <v>8</v>
      </c>
      <c r="L10" s="67">
        <v>10933.940774487472</v>
      </c>
      <c r="M10" s="92"/>
      <c r="N10" s="134"/>
      <c r="O10" s="39"/>
      <c r="P10" s="39"/>
      <c r="Q10" s="128"/>
      <c r="R10" s="92"/>
      <c r="S10" s="96"/>
      <c r="T10" s="128"/>
      <c r="U10" s="92"/>
      <c r="V10" s="96">
        <v>8</v>
      </c>
      <c r="W10" s="39">
        <v>30</v>
      </c>
      <c r="X10" s="120">
        <v>2.1950000000000001E-2</v>
      </c>
      <c r="Y10" s="121">
        <v>21.95</v>
      </c>
      <c r="Z10" s="39">
        <v>1366.7425968109339</v>
      </c>
      <c r="AA10" s="122">
        <v>20.426670000000001</v>
      </c>
      <c r="AB10" s="122"/>
      <c r="AC10" s="108" t="s">
        <v>47</v>
      </c>
    </row>
    <row r="11" spans="1:29" ht="18.75" x14ac:dyDescent="0.3">
      <c r="A11" s="76">
        <v>510</v>
      </c>
      <c r="B11" s="106" t="s">
        <v>30</v>
      </c>
      <c r="C11" s="69" t="s">
        <v>31</v>
      </c>
      <c r="D11" s="67">
        <f>VLOOKUP(C11,'Garage Vacio 07-08'!C:I,5,0)</f>
        <v>0</v>
      </c>
      <c r="E11" s="39">
        <f>VLOOKUP(C11,'Garage Vacio 07-08'!C:AB,23,0)</f>
        <v>6000</v>
      </c>
      <c r="F11" s="39">
        <f>VLOOKUP(C11,'Garage Vacio 07-08'!C:AC,19,0)</f>
        <v>5454.545454545455</v>
      </c>
      <c r="G11" s="67">
        <f>+IF(VLOOKUP(C11,'Garage Vacio 07-08'!C:AB,7,0)=0,"",VLOOKUP(C11,'Garage Vacio 07-08'!C:AB,7,0))</f>
        <v>5454.545454545455</v>
      </c>
      <c r="H11" s="66"/>
      <c r="I11" s="68">
        <f>+VLOOKUP(C11,'Garage Vacio 07-08'!C:AB,2,0)</f>
        <v>0</v>
      </c>
      <c r="J11" s="72">
        <f>+VLOOKUP(C11,'Garage Vacio 07-08'!C:AC,4,0)</f>
        <v>0</v>
      </c>
      <c r="K11" s="72">
        <f>+VLOOKUP(C11,'Garage Vacio 07-08'!C:AD,6,0)</f>
        <v>4</v>
      </c>
      <c r="L11" s="67">
        <v>5454.545454545455</v>
      </c>
      <c r="M11" s="92"/>
      <c r="N11" s="134"/>
      <c r="O11" s="39"/>
      <c r="P11" s="39"/>
      <c r="Q11" s="128"/>
      <c r="R11" s="92"/>
      <c r="S11" s="96"/>
      <c r="T11" s="128"/>
      <c r="U11" s="92"/>
      <c r="V11" s="96">
        <v>4</v>
      </c>
      <c r="W11" s="39">
        <v>30</v>
      </c>
      <c r="X11" s="120">
        <v>2.1999999999999999E-2</v>
      </c>
      <c r="Y11" s="121">
        <v>22</v>
      </c>
      <c r="Z11" s="39">
        <v>1363.6363636363637</v>
      </c>
      <c r="AA11" s="122">
        <v>6.6</v>
      </c>
      <c r="AB11" s="122"/>
      <c r="AC11" s="108" t="s">
        <v>47</v>
      </c>
    </row>
    <row r="12" spans="1:29" ht="18.75" x14ac:dyDescent="0.3">
      <c r="A12" s="76">
        <v>824</v>
      </c>
      <c r="B12" s="536" t="s">
        <v>32</v>
      </c>
      <c r="C12" s="69" t="s">
        <v>36</v>
      </c>
      <c r="D12" s="540">
        <f>VLOOKUP(C12,'Garage Vacio 07-08'!C:I,5,0)</f>
        <v>0</v>
      </c>
      <c r="E12" s="39">
        <f>VLOOKUP(C12,'Garage Vacio 07-08'!C:AB,23,0)</f>
        <v>8000</v>
      </c>
      <c r="F12" s="541">
        <f>VLOOKUP(C12,'Garage Vacio 07-08'!C:AC,19,0)</f>
        <v>3456</v>
      </c>
      <c r="G12" s="548">
        <f>+IF(VLOOKUP(C12,'Garage Vacio 07-08'!C:AB,7,0)=0,"",VLOOKUP(C12,'Garage Vacio 07-08'!C:AB,7,0))</f>
        <v>3456</v>
      </c>
      <c r="H12" s="538"/>
      <c r="I12" s="537">
        <f>+VLOOKUP(C12,'Garage Vacio 07-08'!C:AB,2,0)</f>
        <v>0</v>
      </c>
      <c r="J12" s="540">
        <f>+VLOOKUP(C12,'Garage Vacio 07-08'!C:AC,4,0)</f>
        <v>0</v>
      </c>
      <c r="K12" s="540">
        <f>+VLOOKUP(C12,'Garage Vacio 07-08'!C:AD,6,0)</f>
        <v>12</v>
      </c>
      <c r="L12" s="540">
        <v>3456</v>
      </c>
      <c r="M12" s="92"/>
      <c r="N12" s="134"/>
      <c r="O12" s="39"/>
      <c r="P12" s="121"/>
      <c r="Q12" s="129"/>
      <c r="R12" s="92"/>
      <c r="S12" s="96"/>
      <c r="T12" s="129"/>
      <c r="U12" s="92"/>
      <c r="V12" s="96">
        <v>12</v>
      </c>
      <c r="W12" s="121">
        <v>5.8</v>
      </c>
      <c r="X12" s="120">
        <v>2.0899999999999998E-2</v>
      </c>
      <c r="Y12" s="121">
        <v>20.9</v>
      </c>
      <c r="Z12" s="39">
        <v>288</v>
      </c>
      <c r="AA12" s="122">
        <v>55.666666666666664</v>
      </c>
      <c r="AB12" s="122">
        <v>2400</v>
      </c>
      <c r="AC12" s="108" t="s">
        <v>49</v>
      </c>
    </row>
    <row r="13" spans="1:29" ht="18.75" x14ac:dyDescent="0.3">
      <c r="A13" s="76">
        <v>26</v>
      </c>
      <c r="B13" s="536"/>
      <c r="C13" s="69" t="s">
        <v>37</v>
      </c>
      <c r="D13" s="540">
        <f>VLOOKUP(C13,'Garage Vacio 07-08'!C:I,5,0)</f>
        <v>0</v>
      </c>
      <c r="E13" s="39">
        <f>VLOOKUP(C13,'Garage Vacio 07-08'!C:AB,23,0)</f>
        <v>2688</v>
      </c>
      <c r="F13" s="541">
        <f>VLOOKUP(C13,'Garage Vacio 07-08'!C:AC,19,0)</f>
        <v>0</v>
      </c>
      <c r="G13" s="549" t="str">
        <f>+IF(VLOOKUP(C13,'Garage Vacio 07-08'!C:AB,7,0)=0,"",VLOOKUP(C13,'Garage Vacio 07-08'!C:AB,7,0))</f>
        <v/>
      </c>
      <c r="H13" s="539"/>
      <c r="I13" s="537">
        <f>+VLOOKUP(C13,'Garage Vacio 07-08'!C:AB,2,0)</f>
        <v>0</v>
      </c>
      <c r="J13" s="540">
        <f>+VLOOKUP(C13,'Garage Vacio 07-08'!C:AC,4,0)</f>
        <v>0</v>
      </c>
      <c r="K13" s="540">
        <f>+VLOOKUP(C13,'Garage Vacio 07-08'!C:AD,6,0)</f>
        <v>0</v>
      </c>
      <c r="L13" s="540">
        <v>0</v>
      </c>
      <c r="M13" s="92"/>
      <c r="N13" s="134"/>
      <c r="O13" s="39"/>
      <c r="P13" s="121"/>
      <c r="Q13" s="129"/>
      <c r="R13" s="92"/>
      <c r="S13" s="96"/>
      <c r="T13" s="129"/>
      <c r="U13" s="92"/>
      <c r="V13" s="96">
        <v>12</v>
      </c>
      <c r="W13" s="121">
        <v>5.8</v>
      </c>
      <c r="X13" s="120">
        <v>2.0899999999999998E-2</v>
      </c>
      <c r="Y13" s="121">
        <v>20.9</v>
      </c>
      <c r="Z13" s="39">
        <v>288</v>
      </c>
      <c r="AA13" s="122"/>
      <c r="AB13" s="122">
        <v>2400</v>
      </c>
      <c r="AC13" s="108" t="s">
        <v>49</v>
      </c>
    </row>
    <row r="14" spans="1:29" ht="18.75" x14ac:dyDescent="0.3">
      <c r="A14" s="76">
        <v>825</v>
      </c>
      <c r="B14" s="536" t="s">
        <v>35</v>
      </c>
      <c r="C14" s="69" t="s">
        <v>33</v>
      </c>
      <c r="D14" s="540">
        <f>VLOOKUP(C14,'Garage Vacio 07-08'!C:I,5,0)</f>
        <v>0</v>
      </c>
      <c r="E14" s="39">
        <f>VLOOKUP(C14,'Garage Vacio 07-08'!C:AB,23,0)</f>
        <v>4320</v>
      </c>
      <c r="F14" s="541">
        <f>VLOOKUP(C14,'Garage Vacio 07-08'!C:AC,19,0)</f>
        <v>3456</v>
      </c>
      <c r="G14" s="548">
        <f>+IF(VLOOKUP(C14,'Garage Vacio 07-08'!C:AB,7,0)=0,"",VLOOKUP(C14,'Garage Vacio 07-08'!C:AB,7,0))</f>
        <v>3456</v>
      </c>
      <c r="H14" s="539"/>
      <c r="I14" s="537">
        <f>+VLOOKUP(C14,'Garage Vacio 07-08'!C:AB,2,0)</f>
        <v>0</v>
      </c>
      <c r="J14" s="540">
        <f>+VLOOKUP(C14,'Garage Vacio 07-08'!C:AC,4,0)</f>
        <v>0</v>
      </c>
      <c r="K14" s="540">
        <f>+VLOOKUP(C14,'Garage Vacio 07-08'!C:AD,6,0)</f>
        <v>24</v>
      </c>
      <c r="L14" s="540">
        <v>3456</v>
      </c>
      <c r="M14" s="92"/>
      <c r="N14" s="134"/>
      <c r="O14" s="39"/>
      <c r="P14" s="121"/>
      <c r="Q14" s="129"/>
      <c r="R14" s="92"/>
      <c r="S14" s="96"/>
      <c r="T14" s="129"/>
      <c r="U14" s="92"/>
      <c r="V14" s="96">
        <v>24</v>
      </c>
      <c r="W14" s="121">
        <v>5.8</v>
      </c>
      <c r="X14" s="120">
        <v>3.95E-2</v>
      </c>
      <c r="Y14" s="121">
        <v>39.5</v>
      </c>
      <c r="Z14" s="39">
        <v>144</v>
      </c>
      <c r="AA14" s="122">
        <v>75</v>
      </c>
      <c r="AB14" s="122">
        <v>1346</v>
      </c>
      <c r="AC14" s="108" t="s">
        <v>49</v>
      </c>
    </row>
    <row r="15" spans="1:29" ht="18.75" x14ac:dyDescent="0.3">
      <c r="A15" s="76">
        <v>27</v>
      </c>
      <c r="B15" s="536"/>
      <c r="C15" s="69" t="s">
        <v>34</v>
      </c>
      <c r="D15" s="540">
        <f>VLOOKUP(C15,'Garage Vacio 07-08'!C:I,5,0)</f>
        <v>0</v>
      </c>
      <c r="E15" s="39">
        <f>VLOOKUP(C15,'Garage Vacio 07-08'!C:AB,23,0)</f>
        <v>2880</v>
      </c>
      <c r="F15" s="541">
        <f>VLOOKUP(C15,'Garage Vacio 07-08'!C:AC,19,0)</f>
        <v>0</v>
      </c>
      <c r="G15" s="549" t="str">
        <f>+IF(VLOOKUP(C15,'Garage Vacio 07-08'!C:AB,7,0)=0,"",VLOOKUP(C15,'Garage Vacio 07-08'!C:AB,7,0))</f>
        <v/>
      </c>
      <c r="H15" s="539"/>
      <c r="I15" s="537">
        <f>+VLOOKUP(C15,'Garage Vacio 07-08'!C:AB,2,0)</f>
        <v>0</v>
      </c>
      <c r="J15" s="540">
        <f>+VLOOKUP(C15,'Garage Vacio 07-08'!C:AC,4,0)</f>
        <v>0</v>
      </c>
      <c r="K15" s="540">
        <f>+VLOOKUP(C15,'Garage Vacio 07-08'!C:AD,6,0)</f>
        <v>0</v>
      </c>
      <c r="L15" s="540">
        <v>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24</v>
      </c>
      <c r="W15" s="121">
        <v>5.8</v>
      </c>
      <c r="X15" s="120">
        <v>3.9200000000000006E-2</v>
      </c>
      <c r="Y15" s="121">
        <v>39.200000000000003</v>
      </c>
      <c r="Z15" s="39">
        <v>144</v>
      </c>
      <c r="AA15" s="122"/>
      <c r="AB15" s="122">
        <v>1346</v>
      </c>
      <c r="AC15" s="108" t="s">
        <v>49</v>
      </c>
    </row>
    <row r="16" spans="1:29" ht="21.2" customHeight="1" x14ac:dyDescent="0.3">
      <c r="A16" s="76">
        <v>29</v>
      </c>
      <c r="B16" s="106" t="s">
        <v>42</v>
      </c>
      <c r="C16" s="69" t="s">
        <v>51</v>
      </c>
      <c r="D16" s="545">
        <f>VLOOKUP(C16,'Garage Vacio 07-08'!C:I,5,0)</f>
        <v>0</v>
      </c>
      <c r="E16" s="123">
        <f>VLOOKUP(C16,'Garage Vacio 07-08'!C:AB,23,0)</f>
        <v>1704</v>
      </c>
      <c r="F16" s="541">
        <f>VLOOKUP(C16,'Garage Vacio 07-08'!C:AC,19,0)</f>
        <v>1920</v>
      </c>
      <c r="G16" s="548">
        <f>+IF(VLOOKUP(C16,'Garage Vacio 07-08'!C:AB,7,0)=0,"",VLOOKUP(C16,'Garage Vacio 07-08'!C:AB,7,0))</f>
        <v>1920</v>
      </c>
      <c r="H16" s="539"/>
      <c r="I16" s="537">
        <f>+VLOOKUP(C16,'Garage Vacio 07-08'!C:AB,2,0)</f>
        <v>0</v>
      </c>
      <c r="J16" s="540">
        <f>+VLOOKUP(C16,'Garage Vacio 07-08'!C:AC,4,0)</f>
        <v>0</v>
      </c>
      <c r="K16" s="540">
        <f>+VLOOKUP(C16,'Garage Vacio 07-08'!C:AD,6,0)</f>
        <v>80</v>
      </c>
      <c r="L16" s="540">
        <v>1920</v>
      </c>
      <c r="M16" s="92"/>
      <c r="N16" s="134"/>
      <c r="O16" s="39"/>
      <c r="P16" s="39"/>
      <c r="Q16" s="128"/>
      <c r="R16" s="92"/>
      <c r="S16" s="96"/>
      <c r="T16" s="128"/>
      <c r="U16" s="92"/>
      <c r="V16" s="96">
        <v>80</v>
      </c>
      <c r="W16" s="39">
        <v>2.4</v>
      </c>
      <c r="X16" s="120">
        <v>8.8999999999999996E-2</v>
      </c>
      <c r="Y16" s="121">
        <v>89</v>
      </c>
      <c r="Z16" s="39">
        <v>24</v>
      </c>
      <c r="AA16" s="122">
        <v>213</v>
      </c>
      <c r="AB16" s="122"/>
      <c r="AC16" s="108" t="s">
        <v>50</v>
      </c>
    </row>
    <row r="17" spans="1:29" ht="18" customHeight="1" x14ac:dyDescent="0.3">
      <c r="A17" s="76">
        <v>828</v>
      </c>
      <c r="B17" s="106" t="s">
        <v>42</v>
      </c>
      <c r="C17" s="69" t="s">
        <v>60</v>
      </c>
      <c r="D17" s="545">
        <f>VLOOKUP(C17,'Garage Vacio 07-08'!C:I,5,0)</f>
        <v>0</v>
      </c>
      <c r="E17" s="123">
        <f>VLOOKUP(C17,'Garage Vacio 07-08'!C:AB,23,0)</f>
        <v>768</v>
      </c>
      <c r="F17" s="541">
        <f>VLOOKUP(C17,'Garage Vacio 07-08'!C:AC,19,0)</f>
        <v>0</v>
      </c>
      <c r="G17" s="549" t="str">
        <f>+IF(VLOOKUP(C17,'Garage Vacio 07-08'!C:AB,7,0)=0,"",VLOOKUP(C17,'Garage Vacio 07-08'!C:AB,7,0))</f>
        <v/>
      </c>
      <c r="H17" s="539"/>
      <c r="I17" s="537">
        <f>+VLOOKUP(C17,'Garage Vacio 07-08'!C:AB,2,0)</f>
        <v>0</v>
      </c>
      <c r="J17" s="540">
        <f>+VLOOKUP(C17,'Garage Vacio 07-08'!C:AC,4,0)</f>
        <v>0</v>
      </c>
      <c r="K17" s="540">
        <f>+VLOOKUP(C17,'Garage Vacio 07-08'!C:AD,6,0)</f>
        <v>0</v>
      </c>
      <c r="L17" s="540">
        <v>0</v>
      </c>
      <c r="M17" s="92"/>
      <c r="N17" s="134"/>
      <c r="O17" s="39"/>
      <c r="P17" s="39"/>
      <c r="Q17" s="128"/>
      <c r="R17" s="92"/>
      <c r="S17" s="96"/>
      <c r="T17" s="128"/>
      <c r="U17" s="92"/>
      <c r="V17" s="96">
        <v>40</v>
      </c>
      <c r="W17" s="39">
        <v>2.4</v>
      </c>
      <c r="X17" s="120">
        <v>8.8999999999999996E-2</v>
      </c>
      <c r="Y17" s="121">
        <v>89</v>
      </c>
      <c r="Z17" s="39">
        <v>24</v>
      </c>
      <c r="AA17" s="122">
        <v>96</v>
      </c>
      <c r="AB17" s="122"/>
      <c r="AC17" s="108" t="s">
        <v>50</v>
      </c>
    </row>
    <row r="18" spans="1:29" ht="21.2" customHeight="1" x14ac:dyDescent="0.3">
      <c r="A18" s="76">
        <v>30</v>
      </c>
      <c r="B18" s="106" t="s">
        <v>43</v>
      </c>
      <c r="C18" s="69" t="s">
        <v>52</v>
      </c>
      <c r="D18" s="545">
        <f>VLOOKUP(C18,'Garage Vacio 07-08'!C:I,5,0)</f>
        <v>0</v>
      </c>
      <c r="E18" s="123">
        <f>VLOOKUP(C18,'Garage Vacio 07-08'!C:AB,23,0)</f>
        <v>2184</v>
      </c>
      <c r="F18" s="541">
        <f>VLOOKUP(C18,'Garage Vacio 07-08'!C:AC,19,0)</f>
        <v>2400</v>
      </c>
      <c r="G18" s="548">
        <f>+IF(VLOOKUP(C18,'Garage Vacio 07-08'!C:AB,7,0)=0,"",VLOOKUP(C18,'Garage Vacio 07-08'!C:AB,7,0))</f>
        <v>2400</v>
      </c>
      <c r="H18" s="539"/>
      <c r="I18" s="537">
        <f>+VLOOKUP(C18,'Garage Vacio 07-08'!C:AB,2,0)</f>
        <v>0</v>
      </c>
      <c r="J18" s="540">
        <f>+VLOOKUP(C18,'Garage Vacio 07-08'!C:AC,4,0)</f>
        <v>0</v>
      </c>
      <c r="K18" s="540">
        <f>+VLOOKUP(C18,'Garage Vacio 07-08'!C:AD,6,0)</f>
        <v>80</v>
      </c>
      <c r="L18" s="540">
        <v>2400</v>
      </c>
      <c r="M18" s="92"/>
      <c r="N18" s="134"/>
      <c r="O18" s="39"/>
      <c r="P18" s="39"/>
      <c r="Q18" s="128"/>
      <c r="R18" s="92"/>
      <c r="S18" s="96"/>
      <c r="T18" s="128"/>
      <c r="U18" s="92"/>
      <c r="V18" s="96">
        <v>100</v>
      </c>
      <c r="W18" s="39">
        <v>3.2</v>
      </c>
      <c r="X18" s="120">
        <v>0.124</v>
      </c>
      <c r="Y18" s="121">
        <v>124</v>
      </c>
      <c r="Z18" s="39">
        <v>24</v>
      </c>
      <c r="AA18" s="122">
        <v>273</v>
      </c>
      <c r="AB18" s="122"/>
      <c r="AC18" s="108" t="s">
        <v>50</v>
      </c>
    </row>
    <row r="19" spans="1:29" ht="19.5" thickBot="1" x14ac:dyDescent="0.35">
      <c r="A19" s="78">
        <v>830</v>
      </c>
      <c r="B19" s="112" t="s">
        <v>43</v>
      </c>
      <c r="C19" s="79" t="s">
        <v>61</v>
      </c>
      <c r="D19" s="546">
        <f>VLOOKUP(C19,'Garage Vacio 07-08'!C:I,5,0)</f>
        <v>0</v>
      </c>
      <c r="E19" s="126">
        <f>VLOOKUP(C19,'Garage Vacio 07-08'!C:AB,23,0)</f>
        <v>1728</v>
      </c>
      <c r="F19" s="547">
        <f>VLOOKUP(C19,'Garage Vacio 07-08'!C:AC,19,0)</f>
        <v>0</v>
      </c>
      <c r="G19" s="550" t="str">
        <f>+IF(VLOOKUP(C19,'Garage Vacio 07-08'!C:AB,7,0)=0,"",VLOOKUP(C19,'Garage Vacio 07-08'!C:AB,7,0))</f>
        <v/>
      </c>
      <c r="H19" s="543"/>
      <c r="I19" s="542">
        <f>+VLOOKUP(C19,'Garage Vacio 07-08'!C:AB,2,0)</f>
        <v>0</v>
      </c>
      <c r="J19" s="544">
        <f>+VLOOKUP(C19,'Garage Vacio 07-08'!C:AC,4,0)</f>
        <v>0</v>
      </c>
      <c r="K19" s="544">
        <f>+VLOOKUP(C19,'Garage Vacio 07-08'!C:AD,6,0)</f>
        <v>0</v>
      </c>
      <c r="L19" s="544">
        <v>0</v>
      </c>
      <c r="M19" s="92"/>
      <c r="N19" s="135"/>
      <c r="O19" s="119"/>
      <c r="P19" s="119"/>
      <c r="Q19" s="130"/>
      <c r="R19" s="92"/>
      <c r="S19" s="98"/>
      <c r="T19" s="130"/>
      <c r="U19" s="92"/>
      <c r="V19" s="98">
        <v>80</v>
      </c>
      <c r="W19" s="119">
        <v>3.2</v>
      </c>
      <c r="X19" s="124">
        <v>0.124</v>
      </c>
      <c r="Y19" s="125">
        <v>124</v>
      </c>
      <c r="Z19" s="119">
        <v>24</v>
      </c>
      <c r="AA19" s="127">
        <v>216</v>
      </c>
      <c r="AB19" s="127"/>
      <c r="AC19" s="109" t="s">
        <v>50</v>
      </c>
    </row>
  </sheetData>
  <autoFilter ref="A3:Z19" xr:uid="{00000000-0009-0000-0000-000041000000}"/>
  <mergeCells count="36">
    <mergeCell ref="J18:J19"/>
    <mergeCell ref="K18:K19"/>
    <mergeCell ref="L18:L19"/>
    <mergeCell ref="D18:D19"/>
    <mergeCell ref="F18:F19"/>
    <mergeCell ref="G18:G19"/>
    <mergeCell ref="H18:H19"/>
    <mergeCell ref="I18:I19"/>
    <mergeCell ref="I14:I15"/>
    <mergeCell ref="J14:J15"/>
    <mergeCell ref="K14:K15"/>
    <mergeCell ref="L14:L15"/>
    <mergeCell ref="D16:D17"/>
    <mergeCell ref="F16:F17"/>
    <mergeCell ref="G16:G17"/>
    <mergeCell ref="H16:H17"/>
    <mergeCell ref="I16:I17"/>
    <mergeCell ref="J16:J17"/>
    <mergeCell ref="K16:K17"/>
    <mergeCell ref="L16:L17"/>
    <mergeCell ref="H12:H13"/>
    <mergeCell ref="I12:I13"/>
    <mergeCell ref="J12:J13"/>
    <mergeCell ref="K12:K13"/>
    <mergeCell ref="L12:L13"/>
    <mergeCell ref="B14:B15"/>
    <mergeCell ref="D14:D15"/>
    <mergeCell ref="F14:F15"/>
    <mergeCell ref="G14:G15"/>
    <mergeCell ref="H14:H15"/>
    <mergeCell ref="G12:G13"/>
    <mergeCell ref="A1:C1"/>
    <mergeCell ref="A2:B2"/>
    <mergeCell ref="B12:B13"/>
    <mergeCell ref="D12:D13"/>
    <mergeCell ref="F12:F13"/>
  </mergeCells>
  <printOptions horizontalCentered="1" verticalCentered="1"/>
  <pageMargins left="0.25" right="0.25" top="0.75" bottom="0.75" header="0.3" footer="0.3"/>
  <pageSetup paperSize="9" fitToWidth="0" orientation="landscape" r:id="rId1"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00B0F0"/>
  </sheetPr>
  <dimension ref="A1:AB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85546875" customWidth="1"/>
    <col min="4" max="4" width="7.28515625" customWidth="1"/>
    <col min="5" max="5" width="12.140625" customWidth="1"/>
    <col min="6" max="6" width="15.28515625" bestFit="1" customWidth="1"/>
    <col min="7" max="7" width="11.42578125" customWidth="1"/>
    <col min="8" max="8" width="8.42578125" customWidth="1"/>
    <col min="9" max="9" width="12.140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7" width="10.7109375" customWidth="1"/>
    <col min="28" max="28" width="11.85546875" customWidth="1"/>
  </cols>
  <sheetData>
    <row r="1" spans="1:28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8" ht="24.75" customHeight="1" thickBot="1" x14ac:dyDescent="0.35">
      <c r="A2" s="530" t="s">
        <v>1</v>
      </c>
      <c r="B2" s="531"/>
      <c r="C2" s="149">
        <v>45511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3"/>
      <c r="AB2" s="524"/>
    </row>
    <row r="3" spans="1:28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140" t="s">
        <v>80</v>
      </c>
      <c r="AB3" s="4" t="s">
        <v>46</v>
      </c>
    </row>
    <row r="4" spans="1:28" ht="18.75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1.2</v>
      </c>
      <c r="E4" s="73">
        <v>6</v>
      </c>
      <c r="F4" s="72">
        <f t="shared" ref="F4:F11" si="1">E4*T4</f>
        <v>180</v>
      </c>
      <c r="G4" s="72">
        <f t="shared" ref="G4:G11" si="2">+F4/V4</f>
        <v>5462.8224582701059</v>
      </c>
      <c r="H4" s="72">
        <f t="shared" ref="H4:H12" si="3">IF(S4-E4&lt;0,0,S4-E4)</f>
        <v>0</v>
      </c>
      <c r="I4" s="72" t="str">
        <f t="shared" ref="I4:I19" si="4">+IF(U4-G4&lt;0,"",U4-G4)</f>
        <v/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41"/>
      <c r="AB4" s="107" t="s">
        <v>47</v>
      </c>
    </row>
    <row r="5" spans="1:28" ht="18.75" x14ac:dyDescent="0.3">
      <c r="A5" s="76">
        <v>706</v>
      </c>
      <c r="B5" s="106" t="s">
        <v>17</v>
      </c>
      <c r="C5" s="69" t="s">
        <v>18</v>
      </c>
      <c r="D5" s="68">
        <f t="shared" si="0"/>
        <v>2.5</v>
      </c>
      <c r="E5" s="66">
        <v>10</v>
      </c>
      <c r="F5" s="67">
        <f t="shared" si="1"/>
        <v>300</v>
      </c>
      <c r="G5" s="67">
        <f t="shared" si="2"/>
        <v>13667.425968109339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9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22"/>
      <c r="AB5" s="108" t="s">
        <v>47</v>
      </c>
    </row>
    <row r="6" spans="1:28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0.6</v>
      </c>
      <c r="E6" s="66">
        <v>3</v>
      </c>
      <c r="F6" s="67">
        <f t="shared" si="1"/>
        <v>90</v>
      </c>
      <c r="G6" s="67">
        <f t="shared" si="2"/>
        <v>4100.2277904328021</v>
      </c>
      <c r="H6" s="67">
        <f t="shared" si="3"/>
        <v>2</v>
      </c>
      <c r="I6" s="67">
        <f t="shared" si="4"/>
        <v>2733.4851936218674</v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22"/>
      <c r="AB6" s="108" t="s">
        <v>47</v>
      </c>
    </row>
    <row r="7" spans="1:28" ht="18.75" x14ac:dyDescent="0.3">
      <c r="A7" s="76">
        <v>654</v>
      </c>
      <c r="B7" s="106" t="s">
        <v>22</v>
      </c>
      <c r="C7" s="69" t="s">
        <v>23</v>
      </c>
      <c r="D7" s="68">
        <f t="shared" si="0"/>
        <v>0.84000000000000008</v>
      </c>
      <c r="E7" s="66">
        <v>21</v>
      </c>
      <c r="F7" s="67">
        <f t="shared" si="1"/>
        <v>54.179999999999993</v>
      </c>
      <c r="G7" s="67">
        <f t="shared" si="2"/>
        <v>2520</v>
      </c>
      <c r="H7" s="67">
        <f t="shared" si="3"/>
        <v>4</v>
      </c>
      <c r="I7" s="67">
        <f t="shared" si="4"/>
        <v>480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22"/>
      <c r="AB7" s="108" t="s">
        <v>53</v>
      </c>
    </row>
    <row r="8" spans="1:28" ht="18.75" x14ac:dyDescent="0.3">
      <c r="A8" s="76">
        <v>558</v>
      </c>
      <c r="B8" s="106" t="s">
        <v>24</v>
      </c>
      <c r="C8" s="69" t="s">
        <v>25</v>
      </c>
      <c r="D8" s="68">
        <f t="shared" si="0"/>
        <v>1.36</v>
      </c>
      <c r="E8" s="66">
        <v>34</v>
      </c>
      <c r="F8" s="67">
        <f t="shared" si="1"/>
        <v>61.2</v>
      </c>
      <c r="G8" s="67">
        <f t="shared" si="2"/>
        <v>3948.3870967741937</v>
      </c>
      <c r="H8" s="67">
        <f t="shared" si="3"/>
        <v>0</v>
      </c>
      <c r="I8" s="67" t="str">
        <f t="shared" si="4"/>
        <v/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22"/>
      <c r="AB8" s="108" t="s">
        <v>53</v>
      </c>
    </row>
    <row r="9" spans="1:28" ht="21.2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1.6</v>
      </c>
      <c r="E9" s="66">
        <v>40</v>
      </c>
      <c r="F9" s="67">
        <f t="shared" si="1"/>
        <v>72</v>
      </c>
      <c r="G9" s="67">
        <f t="shared" si="2"/>
        <v>4528.3018867924529</v>
      </c>
      <c r="H9" s="67">
        <f t="shared" si="3"/>
        <v>0</v>
      </c>
      <c r="I9" s="67" t="str">
        <f t="shared" si="4"/>
        <v/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22"/>
      <c r="AB9" s="108" t="s">
        <v>53</v>
      </c>
    </row>
    <row r="10" spans="1:28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0</v>
      </c>
      <c r="E10" s="66">
        <v>0</v>
      </c>
      <c r="F10" s="67">
        <f t="shared" si="1"/>
        <v>0</v>
      </c>
      <c r="G10" s="67">
        <f t="shared" si="2"/>
        <v>0</v>
      </c>
      <c r="H10" s="67">
        <f t="shared" si="3"/>
        <v>8</v>
      </c>
      <c r="I10" s="67">
        <f t="shared" si="4"/>
        <v>10933.940774487472</v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22"/>
      <c r="AB10" s="108" t="s">
        <v>47</v>
      </c>
    </row>
    <row r="11" spans="1:28" ht="18.75" x14ac:dyDescent="0.3">
      <c r="A11" s="76">
        <v>510</v>
      </c>
      <c r="B11" s="106" t="s">
        <v>30</v>
      </c>
      <c r="C11" s="69" t="s">
        <v>31</v>
      </c>
      <c r="D11" s="68">
        <f t="shared" si="0"/>
        <v>0</v>
      </c>
      <c r="E11" s="66">
        <v>0</v>
      </c>
      <c r="F11" s="67">
        <f t="shared" si="1"/>
        <v>0</v>
      </c>
      <c r="G11" s="67">
        <f t="shared" si="2"/>
        <v>0</v>
      </c>
      <c r="H11" s="67">
        <f t="shared" si="3"/>
        <v>4</v>
      </c>
      <c r="I11" s="67">
        <f t="shared" si="4"/>
        <v>5454.545454545455</v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22"/>
      <c r="AB11" s="108" t="s">
        <v>47</v>
      </c>
    </row>
    <row r="12" spans="1:28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0</v>
      </c>
      <c r="E12" s="538">
        <v>0</v>
      </c>
      <c r="F12" s="540">
        <f>+E12*T12</f>
        <v>0</v>
      </c>
      <c r="G12" s="540">
        <f>+E12*S12</f>
        <v>0</v>
      </c>
      <c r="H12" s="540">
        <f t="shared" si="3"/>
        <v>12</v>
      </c>
      <c r="I12" s="540">
        <f t="shared" si="4"/>
        <v>3456</v>
      </c>
      <c r="J12" s="92"/>
      <c r="K12" s="134"/>
      <c r="L12" s="39"/>
      <c r="M12" s="121"/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si="7"/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22">
        <v>2400</v>
      </c>
      <c r="AB12" s="108" t="s">
        <v>49</v>
      </c>
    </row>
    <row r="13" spans="1:28" ht="18.75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4"/>
      <c r="L13" s="39"/>
      <c r="M13" s="121"/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7"/>
        <v>2.0899999999999998E-2</v>
      </c>
      <c r="W13" s="121">
        <v>20.9</v>
      </c>
      <c r="X13" s="39">
        <v>288</v>
      </c>
      <c r="Y13" s="39">
        <v>2688</v>
      </c>
      <c r="Z13" s="122"/>
      <c r="AA13" s="122">
        <v>2400</v>
      </c>
      <c r="AB13" s="108" t="s">
        <v>49</v>
      </c>
    </row>
    <row r="14" spans="1:28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>
        <v>0</v>
      </c>
      <c r="F14" s="540">
        <f>+E14*T14</f>
        <v>0</v>
      </c>
      <c r="G14" s="540">
        <f>+E14*S14</f>
        <v>0</v>
      </c>
      <c r="H14" s="540">
        <f>IF(S14-E14&lt;0,0,S14-E14)</f>
        <v>24</v>
      </c>
      <c r="I14" s="540">
        <f t="shared" si="4"/>
        <v>3456</v>
      </c>
      <c r="J14" s="92"/>
      <c r="K14" s="134"/>
      <c r="L14" s="39"/>
      <c r="M14" s="121"/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7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22">
        <v>1346</v>
      </c>
      <c r="AB14" s="108" t="s">
        <v>49</v>
      </c>
    </row>
    <row r="15" spans="1:28" ht="18.75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4"/>
      <c r="L15" s="39"/>
      <c r="M15" s="121"/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7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22">
        <v>1346</v>
      </c>
      <c r="AB15" s="108" t="s">
        <v>49</v>
      </c>
    </row>
    <row r="16" spans="1:28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4"/>
      <c r="L16" s="39"/>
      <c r="M16" s="39"/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7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22"/>
      <c r="AB16" s="108" t="s">
        <v>50</v>
      </c>
    </row>
    <row r="17" spans="1:28" ht="18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4"/>
      <c r="L17" s="39"/>
      <c r="M17" s="39"/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7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22"/>
      <c r="AB17" s="108" t="s">
        <v>50</v>
      </c>
    </row>
    <row r="18" spans="1:28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>
        <v>0</v>
      </c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4"/>
      <c r="L18" s="39"/>
      <c r="M18" s="39"/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7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22"/>
      <c r="AB18" s="108" t="s">
        <v>50</v>
      </c>
    </row>
    <row r="19" spans="1:28" ht="19.5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5"/>
      <c r="L19" s="119"/>
      <c r="M19" s="119"/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7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27"/>
      <c r="AB19" s="109" t="s">
        <v>50</v>
      </c>
    </row>
  </sheetData>
  <autoFilter ref="A3:Y19" xr:uid="{00000000-0009-0000-0000-000042000000}"/>
  <mergeCells count="33">
    <mergeCell ref="H14:H15"/>
    <mergeCell ref="I14:I15"/>
    <mergeCell ref="U14:U15"/>
    <mergeCell ref="U16:U17"/>
    <mergeCell ref="I18:I19"/>
    <mergeCell ref="U18:U19"/>
    <mergeCell ref="I16:I17"/>
    <mergeCell ref="D16:D17"/>
    <mergeCell ref="E16:E17"/>
    <mergeCell ref="F16:F17"/>
    <mergeCell ref="G16:G17"/>
    <mergeCell ref="H16:H17"/>
    <mergeCell ref="D18:D19"/>
    <mergeCell ref="E18:E19"/>
    <mergeCell ref="F18:F19"/>
    <mergeCell ref="G18:G19"/>
    <mergeCell ref="H18:H19"/>
    <mergeCell ref="B14:B15"/>
    <mergeCell ref="D14:D15"/>
    <mergeCell ref="E14:E15"/>
    <mergeCell ref="F14:F15"/>
    <mergeCell ref="G14:G15"/>
    <mergeCell ref="A1:C1"/>
    <mergeCell ref="A2:B2"/>
    <mergeCell ref="S2:AB2"/>
    <mergeCell ref="B12:B13"/>
    <mergeCell ref="D12:D13"/>
    <mergeCell ref="E12:E13"/>
    <mergeCell ref="F12:F13"/>
    <mergeCell ref="G12:G13"/>
    <mergeCell ref="H12:H13"/>
    <mergeCell ref="I12:I13"/>
    <mergeCell ref="U12:U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00B0F0"/>
    <pageSetUpPr fitToPage="1"/>
  </sheetPr>
  <dimension ref="A1:AC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4" width="10.140625" customWidth="1"/>
    <col min="5" max="5" width="9.140625" customWidth="1"/>
    <col min="6" max="6" width="9.28515625" customWidth="1"/>
    <col min="7" max="7" width="9.28515625" style="110" customWidth="1"/>
    <col min="8" max="8" width="12.140625" customWidth="1"/>
    <col min="9" max="9" width="7.28515625" customWidth="1"/>
    <col min="10" max="10" width="9.140625" customWidth="1"/>
    <col min="11" max="11" width="8.42578125" customWidth="1"/>
    <col min="12" max="12" width="12.140625" style="110" customWidth="1"/>
    <col min="13" max="13" width="3.140625" customWidth="1"/>
    <col min="14" max="15" width="9.42578125" customWidth="1"/>
    <col min="16" max="16" width="8.85546875" customWidth="1"/>
    <col min="17" max="17" width="9.7109375" customWidth="1"/>
    <col min="18" max="18" width="3.140625" customWidth="1"/>
    <col min="19" max="19" width="11.140625" customWidth="1"/>
    <col min="20" max="20" width="10.140625" customWidth="1"/>
    <col min="21" max="21" width="3.140625" customWidth="1"/>
    <col min="22" max="22" width="8.140625" customWidth="1"/>
    <col min="23" max="23" width="8" customWidth="1"/>
    <col min="24" max="24" width="9.28515625" customWidth="1"/>
    <col min="25" max="25" width="8.28515625" customWidth="1"/>
    <col min="26" max="26" width="8.85546875" customWidth="1"/>
    <col min="27" max="28" width="10.7109375" customWidth="1"/>
    <col min="29" max="29" width="11.85546875" customWidth="1"/>
  </cols>
  <sheetData>
    <row r="1" spans="1:29" ht="47.25" thickBot="1" x14ac:dyDescent="0.3">
      <c r="A1" s="527" t="s">
        <v>0</v>
      </c>
      <c r="B1" s="528"/>
      <c r="C1" s="529"/>
      <c r="D1" s="1"/>
      <c r="F1" s="1"/>
      <c r="G1" s="93"/>
      <c r="H1" s="1"/>
      <c r="J1" s="1"/>
      <c r="K1" s="1"/>
      <c r="L1" s="93"/>
    </row>
    <row r="2" spans="1:29" ht="24.75" customHeight="1" thickBot="1" x14ac:dyDescent="0.35">
      <c r="A2" s="530" t="s">
        <v>1</v>
      </c>
      <c r="B2" s="531"/>
      <c r="C2" s="105">
        <v>45504</v>
      </c>
      <c r="D2" s="1"/>
      <c r="E2" s="147"/>
      <c r="F2" s="147"/>
      <c r="G2" s="3"/>
      <c r="H2" s="1"/>
      <c r="J2" s="1"/>
      <c r="K2" s="3" t="s">
        <v>55</v>
      </c>
      <c r="L2" s="3"/>
      <c r="V2" s="146" t="s">
        <v>73</v>
      </c>
      <c r="W2" s="147"/>
      <c r="X2" s="147"/>
      <c r="Y2" s="147"/>
      <c r="Z2" s="147"/>
      <c r="AA2" s="147"/>
      <c r="AB2" s="147"/>
      <c r="AC2" s="148"/>
    </row>
    <row r="3" spans="1:29" ht="54.6" customHeight="1" thickBot="1" x14ac:dyDescent="0.3">
      <c r="A3" s="15" t="s">
        <v>3</v>
      </c>
      <c r="B3" s="4" t="s">
        <v>4</v>
      </c>
      <c r="C3" s="4" t="s">
        <v>5</v>
      </c>
      <c r="D3" s="4" t="s">
        <v>7</v>
      </c>
      <c r="E3" s="103" t="s">
        <v>14</v>
      </c>
      <c r="F3" s="103" t="s">
        <v>58</v>
      </c>
      <c r="G3" s="18" t="s">
        <v>59</v>
      </c>
      <c r="H3" s="4" t="s">
        <v>8</v>
      </c>
      <c r="I3" s="4" t="s">
        <v>76</v>
      </c>
      <c r="J3" s="4" t="s">
        <v>6</v>
      </c>
      <c r="K3" s="18" t="s">
        <v>54</v>
      </c>
      <c r="L3" s="18" t="s">
        <v>59</v>
      </c>
      <c r="M3" s="91"/>
      <c r="N3" s="133" t="s">
        <v>75</v>
      </c>
      <c r="O3" s="133" t="s">
        <v>69</v>
      </c>
      <c r="P3" s="6" t="s">
        <v>70</v>
      </c>
      <c r="Q3" s="138" t="s">
        <v>74</v>
      </c>
      <c r="R3" s="91"/>
      <c r="S3" s="133" t="s">
        <v>71</v>
      </c>
      <c r="T3" s="6" t="s">
        <v>72</v>
      </c>
      <c r="U3" s="91"/>
      <c r="V3" s="102" t="s">
        <v>63</v>
      </c>
      <c r="W3" s="103" t="s">
        <v>38</v>
      </c>
      <c r="X3" s="103" t="s">
        <v>10</v>
      </c>
      <c r="Y3" s="103" t="s">
        <v>65</v>
      </c>
      <c r="Z3" s="103" t="s">
        <v>11</v>
      </c>
      <c r="AA3" s="104" t="s">
        <v>64</v>
      </c>
      <c r="AB3" s="140" t="s">
        <v>80</v>
      </c>
      <c r="AC3" s="4" t="s">
        <v>46</v>
      </c>
    </row>
    <row r="4" spans="1:29" ht="18.75" x14ac:dyDescent="0.3">
      <c r="A4" s="70">
        <v>500</v>
      </c>
      <c r="B4" s="111" t="s">
        <v>15</v>
      </c>
      <c r="C4" s="71" t="s">
        <v>16</v>
      </c>
      <c r="D4" s="72">
        <v>5462.8224582701059</v>
      </c>
      <c r="E4" s="39">
        <v>2520</v>
      </c>
      <c r="F4" s="39">
        <v>4552.3520485584222</v>
      </c>
      <c r="G4" s="72" t="s">
        <v>78</v>
      </c>
      <c r="H4" s="73"/>
      <c r="I4" s="74">
        <v>1.2</v>
      </c>
      <c r="J4" s="72">
        <v>180</v>
      </c>
      <c r="K4" s="72">
        <v>0</v>
      </c>
      <c r="L4" s="72" t="s">
        <v>78</v>
      </c>
      <c r="M4" s="92"/>
      <c r="N4" s="136"/>
      <c r="O4" s="137"/>
      <c r="P4" s="137"/>
      <c r="Q4" s="132"/>
      <c r="R4" s="92"/>
      <c r="S4" s="131"/>
      <c r="T4" s="132"/>
      <c r="U4" s="92"/>
      <c r="V4" s="96">
        <v>5</v>
      </c>
      <c r="W4" s="39">
        <v>30</v>
      </c>
      <c r="X4" s="120">
        <v>3.295E-2</v>
      </c>
      <c r="Y4" s="121">
        <v>32.950000000000003</v>
      </c>
      <c r="Z4" s="39">
        <v>910.4704097116844</v>
      </c>
      <c r="AA4" s="122">
        <v>4.1516999999999999</v>
      </c>
      <c r="AB4" s="141"/>
      <c r="AC4" s="107" t="s">
        <v>47</v>
      </c>
    </row>
    <row r="5" spans="1:29" ht="18.75" x14ac:dyDescent="0.3">
      <c r="A5" s="76">
        <v>706</v>
      </c>
      <c r="B5" s="106" t="s">
        <v>17</v>
      </c>
      <c r="C5" s="69" t="s">
        <v>18</v>
      </c>
      <c r="D5" s="67">
        <v>13667.425968109339</v>
      </c>
      <c r="E5" s="39">
        <v>3600</v>
      </c>
      <c r="F5" s="39">
        <v>5466.9703872437358</v>
      </c>
      <c r="G5" s="67" t="s">
        <v>78</v>
      </c>
      <c r="H5" s="66"/>
      <c r="I5" s="68">
        <v>2.5</v>
      </c>
      <c r="J5" s="67">
        <v>300</v>
      </c>
      <c r="K5" s="67">
        <v>0</v>
      </c>
      <c r="L5" s="67" t="s">
        <v>78</v>
      </c>
      <c r="M5" s="92"/>
      <c r="N5" s="134"/>
      <c r="O5" s="39"/>
      <c r="P5" s="39"/>
      <c r="Q5" s="128"/>
      <c r="R5" s="92"/>
      <c r="S5" s="96"/>
      <c r="T5" s="128"/>
      <c r="U5" s="92"/>
      <c r="V5" s="96">
        <v>4</v>
      </c>
      <c r="W5" s="39">
        <v>30</v>
      </c>
      <c r="X5" s="120">
        <v>2.1950000000000001E-2</v>
      </c>
      <c r="Y5" s="121">
        <v>21.95</v>
      </c>
      <c r="Z5" s="39">
        <v>1366.7425968109339</v>
      </c>
      <c r="AA5" s="122">
        <v>3.9510000000000001</v>
      </c>
      <c r="AB5" s="122"/>
      <c r="AC5" s="108" t="s">
        <v>47</v>
      </c>
    </row>
    <row r="6" spans="1:29" ht="18.75" x14ac:dyDescent="0.3">
      <c r="A6" s="76" t="s">
        <v>19</v>
      </c>
      <c r="B6" s="106" t="s">
        <v>20</v>
      </c>
      <c r="C6" s="69" t="s">
        <v>21</v>
      </c>
      <c r="D6" s="67">
        <v>4100.2277904328021</v>
      </c>
      <c r="E6" s="39">
        <v>0</v>
      </c>
      <c r="F6" s="39">
        <v>6833.7129840546695</v>
      </c>
      <c r="G6" s="67">
        <v>2733.4851936218674</v>
      </c>
      <c r="H6" s="66"/>
      <c r="I6" s="68">
        <v>0.6</v>
      </c>
      <c r="J6" s="67">
        <v>90</v>
      </c>
      <c r="K6" s="67">
        <v>2</v>
      </c>
      <c r="L6" s="67">
        <v>2733.4851936218674</v>
      </c>
      <c r="M6" s="92"/>
      <c r="N6" s="134"/>
      <c r="O6" s="39"/>
      <c r="P6" s="39"/>
      <c r="Q6" s="128"/>
      <c r="R6" s="92"/>
      <c r="S6" s="96"/>
      <c r="T6" s="128"/>
      <c r="U6" s="92"/>
      <c r="V6" s="96">
        <v>5</v>
      </c>
      <c r="W6" s="39">
        <v>30</v>
      </c>
      <c r="X6" s="120">
        <v>2.1950000000000001E-2</v>
      </c>
      <c r="Y6" s="121">
        <v>21.95</v>
      </c>
      <c r="Z6" s="39">
        <v>1366.7425968109339</v>
      </c>
      <c r="AA6" s="122">
        <v>0</v>
      </c>
      <c r="AB6" s="122"/>
      <c r="AC6" s="108" t="s">
        <v>47</v>
      </c>
    </row>
    <row r="7" spans="1:29" ht="18.75" x14ac:dyDescent="0.3">
      <c r="A7" s="76">
        <v>654</v>
      </c>
      <c r="B7" s="106" t="s">
        <v>22</v>
      </c>
      <c r="C7" s="69" t="s">
        <v>23</v>
      </c>
      <c r="D7" s="67">
        <v>2520</v>
      </c>
      <c r="E7" s="39">
        <v>1200</v>
      </c>
      <c r="F7" s="39">
        <v>3000</v>
      </c>
      <c r="G7" s="67">
        <v>480</v>
      </c>
      <c r="H7" s="66"/>
      <c r="I7" s="68">
        <v>0.84000000000000008</v>
      </c>
      <c r="J7" s="67">
        <v>54.179999999999993</v>
      </c>
      <c r="K7" s="67">
        <v>4</v>
      </c>
      <c r="L7" s="67">
        <v>480</v>
      </c>
      <c r="M7" s="92"/>
      <c r="N7" s="134"/>
      <c r="O7" s="39"/>
      <c r="P7" s="121"/>
      <c r="Q7" s="129"/>
      <c r="R7" s="92"/>
      <c r="S7" s="96"/>
      <c r="T7" s="129"/>
      <c r="U7" s="92"/>
      <c r="V7" s="96">
        <v>25</v>
      </c>
      <c r="W7" s="121">
        <v>2.5799999999999996</v>
      </c>
      <c r="X7" s="120">
        <v>2.1499999999999998E-2</v>
      </c>
      <c r="Y7" s="121">
        <v>21.5</v>
      </c>
      <c r="Z7" s="39">
        <v>120</v>
      </c>
      <c r="AA7" s="122">
        <v>15</v>
      </c>
      <c r="AB7" s="122"/>
      <c r="AC7" s="108" t="s">
        <v>53</v>
      </c>
    </row>
    <row r="8" spans="1:29" ht="18.75" x14ac:dyDescent="0.3">
      <c r="A8" s="76">
        <v>558</v>
      </c>
      <c r="B8" s="106" t="s">
        <v>24</v>
      </c>
      <c r="C8" s="69" t="s">
        <v>25</v>
      </c>
      <c r="D8" s="67">
        <v>3948.3870967741937</v>
      </c>
      <c r="E8" s="39">
        <v>1600</v>
      </c>
      <c r="F8" s="39">
        <v>3000</v>
      </c>
      <c r="G8" s="67" t="s">
        <v>78</v>
      </c>
      <c r="H8" s="66"/>
      <c r="I8" s="68">
        <v>1.36</v>
      </c>
      <c r="J8" s="67">
        <v>61.2</v>
      </c>
      <c r="K8" s="67">
        <v>0</v>
      </c>
      <c r="L8" s="67" t="s">
        <v>78</v>
      </c>
      <c r="M8" s="92"/>
      <c r="N8" s="134"/>
      <c r="O8" s="39"/>
      <c r="P8" s="121"/>
      <c r="Q8" s="129"/>
      <c r="R8" s="92"/>
      <c r="S8" s="96"/>
      <c r="T8" s="129"/>
      <c r="U8" s="92"/>
      <c r="V8" s="96">
        <v>25</v>
      </c>
      <c r="W8" s="121">
        <v>1.8</v>
      </c>
      <c r="X8" s="120">
        <v>1.55E-2</v>
      </c>
      <c r="Y8" s="121">
        <v>15.5</v>
      </c>
      <c r="Z8" s="39">
        <v>120</v>
      </c>
      <c r="AA8" s="122">
        <v>20</v>
      </c>
      <c r="AB8" s="122"/>
      <c r="AC8" s="108" t="s">
        <v>53</v>
      </c>
    </row>
    <row r="9" spans="1:29" ht="21.2" customHeight="1" x14ac:dyDescent="0.3">
      <c r="A9" s="76">
        <v>557</v>
      </c>
      <c r="B9" s="106" t="s">
        <v>26</v>
      </c>
      <c r="C9" s="69" t="s">
        <v>27</v>
      </c>
      <c r="D9" s="67">
        <v>3962.2641509433961</v>
      </c>
      <c r="E9" s="39">
        <v>1600</v>
      </c>
      <c r="F9" s="39">
        <v>3000</v>
      </c>
      <c r="G9" s="67" t="s">
        <v>78</v>
      </c>
      <c r="H9" s="66"/>
      <c r="I9" s="68">
        <v>1.4</v>
      </c>
      <c r="J9" s="67">
        <v>63</v>
      </c>
      <c r="K9" s="67">
        <v>0</v>
      </c>
      <c r="L9" s="67" t="s">
        <v>78</v>
      </c>
      <c r="M9" s="92"/>
      <c r="N9" s="134"/>
      <c r="O9" s="39"/>
      <c r="P9" s="121"/>
      <c r="Q9" s="129"/>
      <c r="R9" s="92"/>
      <c r="S9" s="96"/>
      <c r="T9" s="129"/>
      <c r="U9" s="92"/>
      <c r="V9" s="96">
        <v>25</v>
      </c>
      <c r="W9" s="121">
        <v>1.8</v>
      </c>
      <c r="X9" s="120">
        <v>1.5900000000000001E-2</v>
      </c>
      <c r="Y9" s="121">
        <v>15.9</v>
      </c>
      <c r="Z9" s="39">
        <v>120</v>
      </c>
      <c r="AA9" s="122">
        <v>20</v>
      </c>
      <c r="AB9" s="122"/>
      <c r="AC9" s="108" t="s">
        <v>53</v>
      </c>
    </row>
    <row r="10" spans="1:29" ht="21.2" customHeight="1" x14ac:dyDescent="0.3">
      <c r="A10" s="76">
        <v>506</v>
      </c>
      <c r="B10" s="106" t="s">
        <v>28</v>
      </c>
      <c r="C10" s="69" t="s">
        <v>29</v>
      </c>
      <c r="D10" s="67">
        <v>0</v>
      </c>
      <c r="E10" s="39">
        <v>18612</v>
      </c>
      <c r="F10" s="39">
        <v>10933.940774487472</v>
      </c>
      <c r="G10" s="67">
        <v>10933.940774487472</v>
      </c>
      <c r="H10" s="66"/>
      <c r="I10" s="68">
        <v>0</v>
      </c>
      <c r="J10" s="67">
        <v>0</v>
      </c>
      <c r="K10" s="67">
        <v>8</v>
      </c>
      <c r="L10" s="67">
        <v>10933.940774487472</v>
      </c>
      <c r="M10" s="92"/>
      <c r="N10" s="134"/>
      <c r="O10" s="39"/>
      <c r="P10" s="39"/>
      <c r="Q10" s="128"/>
      <c r="R10" s="92"/>
      <c r="S10" s="96"/>
      <c r="T10" s="128"/>
      <c r="U10" s="92"/>
      <c r="V10" s="96">
        <v>8</v>
      </c>
      <c r="W10" s="39">
        <v>30</v>
      </c>
      <c r="X10" s="120">
        <v>2.1950000000000001E-2</v>
      </c>
      <c r="Y10" s="121">
        <v>21.95</v>
      </c>
      <c r="Z10" s="39">
        <v>1366.7425968109339</v>
      </c>
      <c r="AA10" s="122">
        <v>20.426670000000001</v>
      </c>
      <c r="AB10" s="122"/>
      <c r="AC10" s="108" t="s">
        <v>47</v>
      </c>
    </row>
    <row r="11" spans="1:29" ht="18.75" x14ac:dyDescent="0.3">
      <c r="A11" s="76">
        <v>510</v>
      </c>
      <c r="B11" s="106" t="s">
        <v>30</v>
      </c>
      <c r="C11" s="69" t="s">
        <v>31</v>
      </c>
      <c r="D11" s="67">
        <v>0</v>
      </c>
      <c r="E11" s="39">
        <v>6000</v>
      </c>
      <c r="F11" s="39">
        <v>5454.545454545455</v>
      </c>
      <c r="G11" s="67">
        <v>5454.545454545455</v>
      </c>
      <c r="H11" s="66"/>
      <c r="I11" s="68">
        <v>0</v>
      </c>
      <c r="J11" s="67">
        <v>0</v>
      </c>
      <c r="K11" s="67">
        <v>4</v>
      </c>
      <c r="L11" s="67">
        <v>5454.545454545455</v>
      </c>
      <c r="M11" s="92"/>
      <c r="N11" s="134"/>
      <c r="O11" s="39"/>
      <c r="P11" s="39"/>
      <c r="Q11" s="128"/>
      <c r="R11" s="92"/>
      <c r="S11" s="96"/>
      <c r="T11" s="128"/>
      <c r="U11" s="92"/>
      <c r="V11" s="96">
        <v>4</v>
      </c>
      <c r="W11" s="39">
        <v>30</v>
      </c>
      <c r="X11" s="120">
        <v>2.1999999999999999E-2</v>
      </c>
      <c r="Y11" s="121">
        <v>22</v>
      </c>
      <c r="Z11" s="39">
        <v>1363.6363636363637</v>
      </c>
      <c r="AA11" s="122">
        <v>6.6</v>
      </c>
      <c r="AB11" s="122"/>
      <c r="AC11" s="108" t="s">
        <v>47</v>
      </c>
    </row>
    <row r="12" spans="1:29" ht="18.75" x14ac:dyDescent="0.3">
      <c r="A12" s="76">
        <v>824</v>
      </c>
      <c r="B12" s="536" t="s">
        <v>32</v>
      </c>
      <c r="C12" s="69" t="s">
        <v>36</v>
      </c>
      <c r="D12" s="540">
        <v>0</v>
      </c>
      <c r="E12" s="39">
        <v>8000</v>
      </c>
      <c r="F12" s="541">
        <v>3456</v>
      </c>
      <c r="G12" s="540">
        <v>3456</v>
      </c>
      <c r="H12" s="538"/>
      <c r="I12" s="537">
        <v>0</v>
      </c>
      <c r="J12" s="540">
        <v>0</v>
      </c>
      <c r="K12" s="540">
        <v>12</v>
      </c>
      <c r="L12" s="540">
        <v>3456</v>
      </c>
      <c r="M12" s="92"/>
      <c r="N12" s="134"/>
      <c r="O12" s="39"/>
      <c r="P12" s="121"/>
      <c r="Q12" s="129"/>
      <c r="R12" s="92"/>
      <c r="S12" s="96"/>
      <c r="T12" s="129"/>
      <c r="U12" s="92"/>
      <c r="V12" s="96">
        <v>12</v>
      </c>
      <c r="W12" s="121">
        <v>5.8</v>
      </c>
      <c r="X12" s="120">
        <v>2.0899999999999998E-2</v>
      </c>
      <c r="Y12" s="121">
        <v>20.9</v>
      </c>
      <c r="Z12" s="39">
        <v>288</v>
      </c>
      <c r="AA12" s="122">
        <v>55.666666666666664</v>
      </c>
      <c r="AB12" s="122">
        <v>2400</v>
      </c>
      <c r="AC12" s="108" t="s">
        <v>49</v>
      </c>
    </row>
    <row r="13" spans="1:29" ht="18.75" x14ac:dyDescent="0.3">
      <c r="A13" s="76">
        <v>26</v>
      </c>
      <c r="B13" s="536"/>
      <c r="C13" s="69" t="s">
        <v>37</v>
      </c>
      <c r="D13" s="540"/>
      <c r="E13" s="39">
        <v>2688</v>
      </c>
      <c r="F13" s="541"/>
      <c r="G13" s="540">
        <v>0</v>
      </c>
      <c r="H13" s="539"/>
      <c r="I13" s="537">
        <v>0</v>
      </c>
      <c r="J13" s="540"/>
      <c r="K13" s="540"/>
      <c r="L13" s="540">
        <v>0</v>
      </c>
      <c r="M13" s="92"/>
      <c r="N13" s="134"/>
      <c r="O13" s="39"/>
      <c r="P13" s="121"/>
      <c r="Q13" s="129"/>
      <c r="R13" s="92"/>
      <c r="S13" s="96"/>
      <c r="T13" s="129"/>
      <c r="U13" s="92"/>
      <c r="V13" s="96">
        <v>12</v>
      </c>
      <c r="W13" s="121">
        <v>5.8</v>
      </c>
      <c r="X13" s="120">
        <v>2.0899999999999998E-2</v>
      </c>
      <c r="Y13" s="121">
        <v>20.9</v>
      </c>
      <c r="Z13" s="39">
        <v>288</v>
      </c>
      <c r="AA13" s="122"/>
      <c r="AB13" s="122">
        <v>2400</v>
      </c>
      <c r="AC13" s="108" t="s">
        <v>49</v>
      </c>
    </row>
    <row r="14" spans="1:29" ht="18.75" x14ac:dyDescent="0.3">
      <c r="A14" s="76">
        <v>825</v>
      </c>
      <c r="B14" s="536" t="s">
        <v>35</v>
      </c>
      <c r="C14" s="69" t="s">
        <v>33</v>
      </c>
      <c r="D14" s="540">
        <v>0</v>
      </c>
      <c r="E14" s="39">
        <v>4320</v>
      </c>
      <c r="F14" s="541">
        <v>3456</v>
      </c>
      <c r="G14" s="540">
        <v>3456</v>
      </c>
      <c r="H14" s="539"/>
      <c r="I14" s="537">
        <v>0</v>
      </c>
      <c r="J14" s="540">
        <v>0</v>
      </c>
      <c r="K14" s="540">
        <v>24</v>
      </c>
      <c r="L14" s="540">
        <v>3456</v>
      </c>
      <c r="M14" s="92"/>
      <c r="N14" s="134"/>
      <c r="O14" s="39"/>
      <c r="P14" s="121"/>
      <c r="Q14" s="129"/>
      <c r="R14" s="92"/>
      <c r="S14" s="96"/>
      <c r="T14" s="129"/>
      <c r="U14" s="92"/>
      <c r="V14" s="96">
        <v>24</v>
      </c>
      <c r="W14" s="121">
        <v>5.8</v>
      </c>
      <c r="X14" s="120">
        <v>3.95E-2</v>
      </c>
      <c r="Y14" s="121">
        <v>39.5</v>
      </c>
      <c r="Z14" s="39">
        <v>144</v>
      </c>
      <c r="AA14" s="122">
        <v>75</v>
      </c>
      <c r="AB14" s="122">
        <v>1346</v>
      </c>
      <c r="AC14" s="108" t="s">
        <v>49</v>
      </c>
    </row>
    <row r="15" spans="1:29" ht="18.75" x14ac:dyDescent="0.3">
      <c r="A15" s="76">
        <v>27</v>
      </c>
      <c r="B15" s="536"/>
      <c r="C15" s="69" t="s">
        <v>34</v>
      </c>
      <c r="D15" s="540"/>
      <c r="E15" s="39">
        <v>2880</v>
      </c>
      <c r="F15" s="541"/>
      <c r="G15" s="540">
        <v>0</v>
      </c>
      <c r="H15" s="539"/>
      <c r="I15" s="537">
        <v>0</v>
      </c>
      <c r="J15" s="540"/>
      <c r="K15" s="540"/>
      <c r="L15" s="540">
        <v>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24</v>
      </c>
      <c r="W15" s="121">
        <v>5.8</v>
      </c>
      <c r="X15" s="120">
        <v>3.9200000000000006E-2</v>
      </c>
      <c r="Y15" s="121">
        <v>39.200000000000003</v>
      </c>
      <c r="Z15" s="39">
        <v>144</v>
      </c>
      <c r="AA15" s="122"/>
      <c r="AB15" s="122">
        <v>1346</v>
      </c>
      <c r="AC15" s="108" t="s">
        <v>49</v>
      </c>
    </row>
    <row r="16" spans="1:29" ht="21.2" customHeight="1" x14ac:dyDescent="0.3">
      <c r="A16" s="76">
        <v>29</v>
      </c>
      <c r="B16" s="106" t="s">
        <v>42</v>
      </c>
      <c r="C16" s="69" t="s">
        <v>51</v>
      </c>
      <c r="D16" s="545">
        <v>0</v>
      </c>
      <c r="E16" s="123">
        <v>1704</v>
      </c>
      <c r="F16" s="541">
        <v>1920</v>
      </c>
      <c r="G16" s="540">
        <v>1920</v>
      </c>
      <c r="H16" s="539"/>
      <c r="I16" s="537">
        <v>0</v>
      </c>
      <c r="J16" s="540">
        <v>0</v>
      </c>
      <c r="K16" s="540">
        <v>80</v>
      </c>
      <c r="L16" s="540">
        <v>1920</v>
      </c>
      <c r="M16" s="92"/>
      <c r="N16" s="134"/>
      <c r="O16" s="39"/>
      <c r="P16" s="39"/>
      <c r="Q16" s="128"/>
      <c r="R16" s="92"/>
      <c r="S16" s="96"/>
      <c r="T16" s="128"/>
      <c r="U16" s="92"/>
      <c r="V16" s="96">
        <v>80</v>
      </c>
      <c r="W16" s="39">
        <v>2.4</v>
      </c>
      <c r="X16" s="120">
        <v>8.8999999999999996E-2</v>
      </c>
      <c r="Y16" s="121">
        <v>89</v>
      </c>
      <c r="Z16" s="39">
        <v>24</v>
      </c>
      <c r="AA16" s="122">
        <v>213</v>
      </c>
      <c r="AB16" s="122"/>
      <c r="AC16" s="108" t="s">
        <v>50</v>
      </c>
    </row>
    <row r="17" spans="1:29" ht="18" customHeight="1" x14ac:dyDescent="0.3">
      <c r="A17" s="76">
        <v>828</v>
      </c>
      <c r="B17" s="106" t="s">
        <v>42</v>
      </c>
      <c r="C17" s="69" t="s">
        <v>60</v>
      </c>
      <c r="D17" s="545"/>
      <c r="E17" s="123">
        <v>768</v>
      </c>
      <c r="F17" s="541"/>
      <c r="G17" s="540">
        <v>0</v>
      </c>
      <c r="H17" s="539"/>
      <c r="I17" s="537">
        <v>0</v>
      </c>
      <c r="J17" s="540"/>
      <c r="K17" s="540"/>
      <c r="L17" s="540">
        <v>0</v>
      </c>
      <c r="M17" s="92"/>
      <c r="N17" s="134"/>
      <c r="O17" s="39"/>
      <c r="P17" s="39"/>
      <c r="Q17" s="128"/>
      <c r="R17" s="92"/>
      <c r="S17" s="96"/>
      <c r="T17" s="128"/>
      <c r="U17" s="92"/>
      <c r="V17" s="96">
        <v>40</v>
      </c>
      <c r="W17" s="39">
        <v>2.4</v>
      </c>
      <c r="X17" s="120">
        <v>8.8999999999999996E-2</v>
      </c>
      <c r="Y17" s="121">
        <v>89</v>
      </c>
      <c r="Z17" s="39">
        <v>24</v>
      </c>
      <c r="AA17" s="122">
        <v>96</v>
      </c>
      <c r="AB17" s="122"/>
      <c r="AC17" s="108" t="s">
        <v>50</v>
      </c>
    </row>
    <row r="18" spans="1:29" ht="21.2" customHeight="1" x14ac:dyDescent="0.3">
      <c r="A18" s="76">
        <v>30</v>
      </c>
      <c r="B18" s="106" t="s">
        <v>43</v>
      </c>
      <c r="C18" s="69" t="s">
        <v>52</v>
      </c>
      <c r="D18" s="545">
        <v>0</v>
      </c>
      <c r="E18" s="123">
        <v>2184</v>
      </c>
      <c r="F18" s="541">
        <v>2400</v>
      </c>
      <c r="G18" s="540">
        <v>2400</v>
      </c>
      <c r="H18" s="539"/>
      <c r="I18" s="537">
        <v>0</v>
      </c>
      <c r="J18" s="540">
        <v>0</v>
      </c>
      <c r="K18" s="540">
        <v>80</v>
      </c>
      <c r="L18" s="540">
        <v>2400</v>
      </c>
      <c r="M18" s="92"/>
      <c r="N18" s="134"/>
      <c r="O18" s="39"/>
      <c r="P18" s="39"/>
      <c r="Q18" s="128"/>
      <c r="R18" s="92"/>
      <c r="S18" s="96"/>
      <c r="T18" s="128"/>
      <c r="U18" s="92"/>
      <c r="V18" s="96">
        <v>100</v>
      </c>
      <c r="W18" s="39">
        <v>3.2</v>
      </c>
      <c r="X18" s="120">
        <v>0.124</v>
      </c>
      <c r="Y18" s="121">
        <v>124</v>
      </c>
      <c r="Z18" s="39">
        <v>24</v>
      </c>
      <c r="AA18" s="122">
        <v>273</v>
      </c>
      <c r="AB18" s="122"/>
      <c r="AC18" s="108" t="s">
        <v>50</v>
      </c>
    </row>
    <row r="19" spans="1:29" ht="19.5" thickBot="1" x14ac:dyDescent="0.35">
      <c r="A19" s="78">
        <v>830</v>
      </c>
      <c r="B19" s="112" t="s">
        <v>43</v>
      </c>
      <c r="C19" s="79" t="s">
        <v>61</v>
      </c>
      <c r="D19" s="546"/>
      <c r="E19" s="126">
        <v>1728</v>
      </c>
      <c r="F19" s="547"/>
      <c r="G19" s="544">
        <v>0</v>
      </c>
      <c r="H19" s="543"/>
      <c r="I19" s="542">
        <v>0</v>
      </c>
      <c r="J19" s="544">
        <v>0</v>
      </c>
      <c r="K19" s="544"/>
      <c r="L19" s="544">
        <v>0</v>
      </c>
      <c r="M19" s="92"/>
      <c r="N19" s="135"/>
      <c r="O19" s="119"/>
      <c r="P19" s="119"/>
      <c r="Q19" s="130"/>
      <c r="R19" s="92"/>
      <c r="S19" s="98"/>
      <c r="T19" s="130"/>
      <c r="U19" s="92"/>
      <c r="V19" s="98">
        <v>80</v>
      </c>
      <c r="W19" s="119">
        <v>3.2</v>
      </c>
      <c r="X19" s="124">
        <v>0.124</v>
      </c>
      <c r="Y19" s="125">
        <v>124</v>
      </c>
      <c r="Z19" s="119">
        <v>24</v>
      </c>
      <c r="AA19" s="127">
        <v>216</v>
      </c>
      <c r="AB19" s="127"/>
      <c r="AC19" s="109" t="s">
        <v>50</v>
      </c>
    </row>
  </sheetData>
  <autoFilter ref="A3:Z19" xr:uid="{00000000-0009-0000-0000-000043000000}"/>
  <mergeCells count="36">
    <mergeCell ref="A1:C1"/>
    <mergeCell ref="A2:B2"/>
    <mergeCell ref="B12:B13"/>
    <mergeCell ref="I12:I13"/>
    <mergeCell ref="H12:H13"/>
    <mergeCell ref="D12:D13"/>
    <mergeCell ref="B14:B15"/>
    <mergeCell ref="I14:I15"/>
    <mergeCell ref="H14:H15"/>
    <mergeCell ref="J14:J15"/>
    <mergeCell ref="D14:D15"/>
    <mergeCell ref="F14:F15"/>
    <mergeCell ref="J16:J17"/>
    <mergeCell ref="D16:D17"/>
    <mergeCell ref="K16:K17"/>
    <mergeCell ref="L16:L17"/>
    <mergeCell ref="F12:F13"/>
    <mergeCell ref="K14:K15"/>
    <mergeCell ref="L14:L15"/>
    <mergeCell ref="G12:G13"/>
    <mergeCell ref="J12:J13"/>
    <mergeCell ref="K12:K13"/>
    <mergeCell ref="L12:L13"/>
    <mergeCell ref="G14:G15"/>
    <mergeCell ref="G16:G17"/>
    <mergeCell ref="F16:F17"/>
    <mergeCell ref="I16:I17"/>
    <mergeCell ref="H16:H17"/>
    <mergeCell ref="J18:J19"/>
    <mergeCell ref="D18:D19"/>
    <mergeCell ref="K18:K19"/>
    <mergeCell ref="L18:L19"/>
    <mergeCell ref="F18:F19"/>
    <mergeCell ref="G18:G19"/>
    <mergeCell ref="I18:I19"/>
    <mergeCell ref="H18:H19"/>
  </mergeCells>
  <printOptions horizontalCentered="1" verticalCentered="1"/>
  <pageMargins left="0.25" right="0.25" top="0.75" bottom="0.75" header="0.3" footer="0.3"/>
  <pageSetup paperSize="9" fitToWidth="0" orientation="landscape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00B0F0"/>
  </sheetPr>
  <dimension ref="A1:AB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4" width="7.28515625" customWidth="1"/>
    <col min="5" max="5" width="12.140625" customWidth="1"/>
    <col min="6" max="6" width="15.28515625" bestFit="1" customWidth="1"/>
    <col min="7" max="7" width="11.42578125" customWidth="1"/>
    <col min="8" max="8" width="8.42578125" customWidth="1"/>
    <col min="9" max="9" width="12.140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7" width="10.7109375" customWidth="1"/>
    <col min="28" max="28" width="11.85546875" customWidth="1"/>
  </cols>
  <sheetData>
    <row r="1" spans="1:28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8" ht="24.75" customHeight="1" thickBot="1" x14ac:dyDescent="0.35">
      <c r="A2" s="530" t="s">
        <v>1</v>
      </c>
      <c r="B2" s="531"/>
      <c r="C2" s="105">
        <v>45497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3"/>
      <c r="AB2" s="524"/>
    </row>
    <row r="3" spans="1:28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140" t="s">
        <v>80</v>
      </c>
      <c r="AB3" s="4" t="s">
        <v>46</v>
      </c>
    </row>
    <row r="4" spans="1:28" ht="18.75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1.2</v>
      </c>
      <c r="E4" s="73">
        <v>6</v>
      </c>
      <c r="F4" s="72">
        <f t="shared" ref="F4:F11" si="1">E4*T4</f>
        <v>180</v>
      </c>
      <c r="G4" s="72">
        <f t="shared" ref="G4:G11" si="2">+F4/V4</f>
        <v>5462.8224582701059</v>
      </c>
      <c r="H4" s="72">
        <f t="shared" ref="H4:H12" si="3">IF(S4-E4&lt;0,0,S4-E4)</f>
        <v>0</v>
      </c>
      <c r="I4" s="72" t="str">
        <f t="shared" ref="I4:I19" si="4">+IF(U4-G4&lt;0,"",U4-G4)</f>
        <v/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41"/>
      <c r="AB4" s="107" t="s">
        <v>47</v>
      </c>
    </row>
    <row r="5" spans="1:28" ht="18.75" x14ac:dyDescent="0.3">
      <c r="A5" s="76">
        <v>706</v>
      </c>
      <c r="B5" s="106" t="s">
        <v>17</v>
      </c>
      <c r="C5" s="69" t="s">
        <v>18</v>
      </c>
      <c r="D5" s="68">
        <f t="shared" si="0"/>
        <v>2.5</v>
      </c>
      <c r="E5" s="66">
        <v>10</v>
      </c>
      <c r="F5" s="67">
        <f t="shared" si="1"/>
        <v>300</v>
      </c>
      <c r="G5" s="67">
        <f t="shared" si="2"/>
        <v>13667.425968109339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9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22"/>
      <c r="AB5" s="108" t="s">
        <v>47</v>
      </c>
    </row>
    <row r="6" spans="1:28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0.6</v>
      </c>
      <c r="E6" s="66">
        <v>3</v>
      </c>
      <c r="F6" s="67">
        <f t="shared" si="1"/>
        <v>90</v>
      </c>
      <c r="G6" s="67">
        <f t="shared" si="2"/>
        <v>4100.2277904328021</v>
      </c>
      <c r="H6" s="67">
        <f t="shared" si="3"/>
        <v>2</v>
      </c>
      <c r="I6" s="67">
        <f t="shared" si="4"/>
        <v>2733.4851936218674</v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22"/>
      <c r="AB6" s="108" t="s">
        <v>47</v>
      </c>
    </row>
    <row r="7" spans="1:28" ht="18.75" x14ac:dyDescent="0.3">
      <c r="A7" s="76">
        <v>654</v>
      </c>
      <c r="B7" s="106" t="s">
        <v>22</v>
      </c>
      <c r="C7" s="69" t="s">
        <v>23</v>
      </c>
      <c r="D7" s="68">
        <f t="shared" si="0"/>
        <v>0.84000000000000008</v>
      </c>
      <c r="E7" s="66">
        <v>21</v>
      </c>
      <c r="F7" s="67">
        <f t="shared" si="1"/>
        <v>54.179999999999993</v>
      </c>
      <c r="G7" s="67">
        <f t="shared" si="2"/>
        <v>2520</v>
      </c>
      <c r="H7" s="67">
        <f t="shared" si="3"/>
        <v>4</v>
      </c>
      <c r="I7" s="67">
        <f t="shared" si="4"/>
        <v>480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22"/>
      <c r="AB7" s="108" t="s">
        <v>53</v>
      </c>
    </row>
    <row r="8" spans="1:28" ht="18.75" x14ac:dyDescent="0.3">
      <c r="A8" s="76">
        <v>558</v>
      </c>
      <c r="B8" s="106" t="s">
        <v>24</v>
      </c>
      <c r="C8" s="69" t="s">
        <v>25</v>
      </c>
      <c r="D8" s="68">
        <f t="shared" si="0"/>
        <v>1.36</v>
      </c>
      <c r="E8" s="66">
        <v>34</v>
      </c>
      <c r="F8" s="67">
        <f t="shared" si="1"/>
        <v>61.2</v>
      </c>
      <c r="G8" s="67">
        <f t="shared" si="2"/>
        <v>3948.3870967741937</v>
      </c>
      <c r="H8" s="67">
        <f t="shared" si="3"/>
        <v>0</v>
      </c>
      <c r="I8" s="67" t="str">
        <f t="shared" si="4"/>
        <v/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22"/>
      <c r="AB8" s="108" t="s">
        <v>53</v>
      </c>
    </row>
    <row r="9" spans="1:28" ht="21.2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1.4</v>
      </c>
      <c r="E9" s="66">
        <v>35</v>
      </c>
      <c r="F9" s="67">
        <f t="shared" si="1"/>
        <v>63</v>
      </c>
      <c r="G9" s="67">
        <f t="shared" si="2"/>
        <v>3962.2641509433961</v>
      </c>
      <c r="H9" s="67">
        <f t="shared" si="3"/>
        <v>0</v>
      </c>
      <c r="I9" s="67" t="str">
        <f t="shared" si="4"/>
        <v/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22"/>
      <c r="AB9" s="108" t="s">
        <v>53</v>
      </c>
    </row>
    <row r="10" spans="1:28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0</v>
      </c>
      <c r="E10" s="66">
        <v>0</v>
      </c>
      <c r="F10" s="67">
        <f t="shared" si="1"/>
        <v>0</v>
      </c>
      <c r="G10" s="67">
        <f t="shared" si="2"/>
        <v>0</v>
      </c>
      <c r="H10" s="67">
        <f t="shared" si="3"/>
        <v>8</v>
      </c>
      <c r="I10" s="67">
        <f t="shared" si="4"/>
        <v>10933.940774487472</v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22"/>
      <c r="AB10" s="108" t="s">
        <v>47</v>
      </c>
    </row>
    <row r="11" spans="1:28" ht="18.75" x14ac:dyDescent="0.3">
      <c r="A11" s="76">
        <v>510</v>
      </c>
      <c r="B11" s="106" t="s">
        <v>30</v>
      </c>
      <c r="C11" s="69" t="s">
        <v>31</v>
      </c>
      <c r="D11" s="68">
        <f t="shared" si="0"/>
        <v>0</v>
      </c>
      <c r="E11" s="66">
        <v>0</v>
      </c>
      <c r="F11" s="67">
        <f t="shared" si="1"/>
        <v>0</v>
      </c>
      <c r="G11" s="67">
        <f t="shared" si="2"/>
        <v>0</v>
      </c>
      <c r="H11" s="67">
        <f t="shared" si="3"/>
        <v>4</v>
      </c>
      <c r="I11" s="67">
        <f t="shared" si="4"/>
        <v>5454.545454545455</v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22"/>
      <c r="AB11" s="108" t="s">
        <v>47</v>
      </c>
    </row>
    <row r="12" spans="1:28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0</v>
      </c>
      <c r="E12" s="538">
        <v>0</v>
      </c>
      <c r="F12" s="540">
        <f>+E12*T12</f>
        <v>0</v>
      </c>
      <c r="G12" s="540">
        <f>+E12*S12</f>
        <v>0</v>
      </c>
      <c r="H12" s="540">
        <f t="shared" si="3"/>
        <v>12</v>
      </c>
      <c r="I12" s="540">
        <f t="shared" si="4"/>
        <v>3456</v>
      </c>
      <c r="J12" s="92"/>
      <c r="K12" s="134"/>
      <c r="L12" s="39"/>
      <c r="M12" s="121"/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si="7"/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22">
        <v>2400</v>
      </c>
      <c r="AB12" s="108" t="s">
        <v>49</v>
      </c>
    </row>
    <row r="13" spans="1:28" ht="18.75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4"/>
      <c r="L13" s="39"/>
      <c r="M13" s="121"/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7"/>
        <v>2.0899999999999998E-2</v>
      </c>
      <c r="W13" s="121">
        <v>20.9</v>
      </c>
      <c r="X13" s="39">
        <v>288</v>
      </c>
      <c r="Y13" s="39">
        <v>2688</v>
      </c>
      <c r="Z13" s="122"/>
      <c r="AA13" s="122">
        <v>2400</v>
      </c>
      <c r="AB13" s="108" t="s">
        <v>49</v>
      </c>
    </row>
    <row r="14" spans="1:28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>
        <v>0</v>
      </c>
      <c r="F14" s="540">
        <f>+E14*T14</f>
        <v>0</v>
      </c>
      <c r="G14" s="540">
        <f>+E14*S14</f>
        <v>0</v>
      </c>
      <c r="H14" s="540">
        <f>IF(S14-E14&lt;0,0,S14-E14)</f>
        <v>24</v>
      </c>
      <c r="I14" s="540">
        <f t="shared" si="4"/>
        <v>3456</v>
      </c>
      <c r="J14" s="92"/>
      <c r="K14" s="134"/>
      <c r="L14" s="39"/>
      <c r="M14" s="121"/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7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22">
        <v>1346</v>
      </c>
      <c r="AB14" s="108" t="s">
        <v>49</v>
      </c>
    </row>
    <row r="15" spans="1:28" ht="18.75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4"/>
      <c r="L15" s="39"/>
      <c r="M15" s="121"/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7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22">
        <v>1346</v>
      </c>
      <c r="AB15" s="108" t="s">
        <v>49</v>
      </c>
    </row>
    <row r="16" spans="1:28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4"/>
      <c r="L16" s="39"/>
      <c r="M16" s="39"/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7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22"/>
      <c r="AB16" s="108" t="s">
        <v>50</v>
      </c>
    </row>
    <row r="17" spans="1:28" ht="18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4"/>
      <c r="L17" s="39"/>
      <c r="M17" s="39"/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7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22"/>
      <c r="AB17" s="108" t="s">
        <v>50</v>
      </c>
    </row>
    <row r="18" spans="1:28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>
        <v>0</v>
      </c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4"/>
      <c r="L18" s="39"/>
      <c r="M18" s="39"/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7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22"/>
      <c r="AB18" s="108" t="s">
        <v>50</v>
      </c>
    </row>
    <row r="19" spans="1:28" ht="19.5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5"/>
      <c r="L19" s="119"/>
      <c r="M19" s="119"/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7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27"/>
      <c r="AB19" s="109" t="s">
        <v>50</v>
      </c>
    </row>
  </sheetData>
  <autoFilter ref="A3:Y19" xr:uid="{00000000-0009-0000-0000-000044000000}"/>
  <mergeCells count="33">
    <mergeCell ref="A1:C1"/>
    <mergeCell ref="A2:B2"/>
    <mergeCell ref="S2:AB2"/>
    <mergeCell ref="B12:B13"/>
    <mergeCell ref="D12:D13"/>
    <mergeCell ref="E12:E13"/>
    <mergeCell ref="F12:F13"/>
    <mergeCell ref="G12:G13"/>
    <mergeCell ref="H12:H13"/>
    <mergeCell ref="I12:I13"/>
    <mergeCell ref="U12:U13"/>
    <mergeCell ref="B14:B15"/>
    <mergeCell ref="D14:D15"/>
    <mergeCell ref="E14:E15"/>
    <mergeCell ref="F14:F15"/>
    <mergeCell ref="G14:G15"/>
    <mergeCell ref="D18:D19"/>
    <mergeCell ref="E18:E19"/>
    <mergeCell ref="F18:F19"/>
    <mergeCell ref="G18:G19"/>
    <mergeCell ref="H18:H19"/>
    <mergeCell ref="D16:D17"/>
    <mergeCell ref="E16:E17"/>
    <mergeCell ref="F16:F17"/>
    <mergeCell ref="G16:G17"/>
    <mergeCell ref="H16:H17"/>
    <mergeCell ref="H14:H15"/>
    <mergeCell ref="I14:I15"/>
    <mergeCell ref="U14:U15"/>
    <mergeCell ref="U16:U17"/>
    <mergeCell ref="I18:I19"/>
    <mergeCell ref="U18:U19"/>
    <mergeCell ref="I16:I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00B0F0"/>
    <pageSetUpPr fitToPage="1"/>
  </sheetPr>
  <dimension ref="A1:AC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4" width="7.28515625" customWidth="1"/>
    <col min="5" max="5" width="9.140625" customWidth="1"/>
    <col min="6" max="6" width="11.42578125" customWidth="1"/>
    <col min="7" max="7" width="6.85546875" customWidth="1"/>
    <col min="8" max="8" width="12.140625" style="110" customWidth="1"/>
    <col min="9" max="9" width="10.140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1" width="10.140625" customWidth="1"/>
    <col min="22" max="22" width="10" customWidth="1"/>
    <col min="23" max="23" width="8.28515625" customWidth="1"/>
    <col min="24" max="24" width="8.85546875" customWidth="1"/>
    <col min="25" max="25" width="9.140625" customWidth="1"/>
    <col min="26" max="26" width="10.7109375" customWidth="1"/>
    <col min="27" max="27" width="12.28515625" customWidth="1"/>
  </cols>
  <sheetData>
    <row r="1" spans="1:29" ht="47.25" thickBot="1" x14ac:dyDescent="0.3">
      <c r="A1" s="527" t="s">
        <v>0</v>
      </c>
      <c r="B1" s="528"/>
      <c r="C1" s="529"/>
      <c r="E1" s="1"/>
      <c r="F1" s="1"/>
      <c r="G1" s="1"/>
      <c r="H1" s="93"/>
      <c r="I1" s="93"/>
      <c r="U1" s="1"/>
    </row>
    <row r="2" spans="1:29" ht="24.75" customHeight="1" thickBot="1" x14ac:dyDescent="0.35">
      <c r="A2" s="530" t="s">
        <v>1</v>
      </c>
      <c r="B2" s="531"/>
      <c r="C2" s="145">
        <v>45497</v>
      </c>
      <c r="E2" s="1"/>
      <c r="F2" s="1"/>
      <c r="G2" s="3" t="s">
        <v>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6</v>
      </c>
      <c r="F3" s="4" t="s">
        <v>7</v>
      </c>
      <c r="G3" s="18" t="s">
        <v>83</v>
      </c>
      <c r="H3" s="18" t="s">
        <v>59</v>
      </c>
      <c r="I3" s="18" t="s">
        <v>79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8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4" t="s">
        <v>46</v>
      </c>
      <c r="AC3" s="91" t="s">
        <v>85</v>
      </c>
    </row>
    <row r="4" spans="1:29" ht="19.5" thickBot="1" x14ac:dyDescent="0.35">
      <c r="A4" s="70" t="s">
        <v>19</v>
      </c>
      <c r="B4" s="111" t="s">
        <v>20</v>
      </c>
      <c r="C4" s="71" t="s">
        <v>21</v>
      </c>
      <c r="D4" s="74">
        <f>VLOOKUP(A4,'Garage 24-7'!$A$6:$I$19,4,0)</f>
        <v>0.6</v>
      </c>
      <c r="E4" s="72">
        <f>VLOOKUP(A4,'Garage 24-7'!$A$6:$I$19,6,0)</f>
        <v>90</v>
      </c>
      <c r="F4" s="144">
        <f>VLOOKUP(A4,'Garage 24-7'!$A$6:$I$19,7,0)</f>
        <v>4100.2277904328021</v>
      </c>
      <c r="G4" s="72">
        <f>VLOOKUP(A4,'Garage 24-7'!$A$6:$I$19,8,0)</f>
        <v>2</v>
      </c>
      <c r="H4" s="72">
        <f>VLOOKUP(A4,'Garage 24-7'!$A$6:$I$19,9,0)</f>
        <v>2733.4851936218674</v>
      </c>
      <c r="I4" s="72"/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v>6833.7129840546695</v>
      </c>
      <c r="V4" s="120">
        <v>2.1950000000000001E-2</v>
      </c>
      <c r="W4" s="121">
        <v>21.95</v>
      </c>
      <c r="X4" s="39">
        <v>1366.7425968109339</v>
      </c>
      <c r="Y4" s="39">
        <v>0</v>
      </c>
      <c r="Z4" s="122">
        <v>0</v>
      </c>
      <c r="AA4" s="107" t="s">
        <v>47</v>
      </c>
    </row>
    <row r="5" spans="1:29" ht="19.5" thickBot="1" x14ac:dyDescent="0.35">
      <c r="A5" s="76">
        <v>654</v>
      </c>
      <c r="B5" s="106" t="s">
        <v>22</v>
      </c>
      <c r="C5" s="69" t="s">
        <v>23</v>
      </c>
      <c r="D5" s="68">
        <f>VLOOKUP(A5,'Garage 24-7'!$A$6:$I$19,4,0)</f>
        <v>0.84000000000000008</v>
      </c>
      <c r="E5" s="72">
        <f>VLOOKUP(A5,'Garage 24-7'!$A$6:$I$19,6,0)</f>
        <v>54.179999999999993</v>
      </c>
      <c r="F5" s="144">
        <f>VLOOKUP(A5,'Garage 24-7'!$A$6:$I$19,7,0)</f>
        <v>2520</v>
      </c>
      <c r="G5" s="72">
        <f>VLOOKUP(A5,'Garage 24-7'!$A$6:$I$19,8,0)</f>
        <v>4</v>
      </c>
      <c r="H5" s="72">
        <f>VLOOKUP(A5,'Garage 24-7'!$A$6:$I$19,9,0)</f>
        <v>480</v>
      </c>
      <c r="I5" s="67"/>
      <c r="J5" s="92"/>
      <c r="K5" s="134"/>
      <c r="L5" s="39"/>
      <c r="M5" s="39"/>
      <c r="N5" s="128"/>
      <c r="O5" s="92"/>
      <c r="P5" s="96"/>
      <c r="Q5" s="128"/>
      <c r="R5" s="92"/>
      <c r="S5" s="96">
        <v>25</v>
      </c>
      <c r="T5" s="39">
        <v>2.5799999999999996</v>
      </c>
      <c r="U5" s="39">
        <v>3000</v>
      </c>
      <c r="V5" s="120">
        <v>2.1499999999999998E-2</v>
      </c>
      <c r="W5" s="121">
        <v>21.5</v>
      </c>
      <c r="X5" s="39">
        <v>120</v>
      </c>
      <c r="Y5" s="39">
        <v>1200</v>
      </c>
      <c r="Z5" s="122">
        <v>15</v>
      </c>
      <c r="AA5" s="108" t="s">
        <v>53</v>
      </c>
    </row>
    <row r="6" spans="1:29" ht="19.5" thickBot="1" x14ac:dyDescent="0.35">
      <c r="A6" s="76">
        <v>506</v>
      </c>
      <c r="B6" s="106" t="s">
        <v>28</v>
      </c>
      <c r="C6" s="69" t="s">
        <v>29</v>
      </c>
      <c r="D6" s="68">
        <f>VLOOKUP(A6,'Garage 24-7'!$A$6:$I$19,4,0)</f>
        <v>0.5</v>
      </c>
      <c r="E6" s="72">
        <f>VLOOKUP(A6,'Garage 24-7'!$A$6:$I$19,6,0)</f>
        <v>120</v>
      </c>
      <c r="F6" s="144">
        <f>VLOOKUP(A6,'Garage 24-7'!$A$6:$I$19,7,0)</f>
        <v>5466.9703872437358</v>
      </c>
      <c r="G6" s="72">
        <f>VLOOKUP(A6,'Garage 24-7'!$A$6:$I$19,8,0)</f>
        <v>4</v>
      </c>
      <c r="H6" s="72">
        <f>VLOOKUP(A6,'Garage 24-7'!$A$6:$I$19,9,0)</f>
        <v>5466.9703872437358</v>
      </c>
      <c r="I6" s="67"/>
      <c r="J6" s="92"/>
      <c r="K6" s="134"/>
      <c r="L6" s="39"/>
      <c r="M6" s="39"/>
      <c r="N6" s="128"/>
      <c r="O6" s="92"/>
      <c r="P6" s="96"/>
      <c r="Q6" s="128"/>
      <c r="R6" s="92"/>
      <c r="S6" s="96">
        <v>8</v>
      </c>
      <c r="T6" s="39">
        <v>30</v>
      </c>
      <c r="U6" s="39">
        <v>10933.940774487472</v>
      </c>
      <c r="V6" s="120">
        <v>2.1950000000000001E-2</v>
      </c>
      <c r="W6" s="121">
        <v>21.95</v>
      </c>
      <c r="X6" s="39">
        <v>1366.7425968109339</v>
      </c>
      <c r="Y6" s="39">
        <v>18612</v>
      </c>
      <c r="Z6" s="122">
        <v>20.426670000000001</v>
      </c>
      <c r="AA6" s="108" t="s">
        <v>47</v>
      </c>
    </row>
    <row r="7" spans="1:29" ht="19.5" thickBot="1" x14ac:dyDescent="0.35">
      <c r="A7" s="76">
        <v>510</v>
      </c>
      <c r="B7" s="106" t="s">
        <v>30</v>
      </c>
      <c r="C7" s="69" t="s">
        <v>31</v>
      </c>
      <c r="D7" s="68">
        <f>VLOOKUP(A7,'Garage 24-7'!$A$6:$I$19,4,0)</f>
        <v>0</v>
      </c>
      <c r="E7" s="72">
        <f>VLOOKUP(A7,'Garage 24-7'!$A$6:$I$19,6,0)</f>
        <v>0</v>
      </c>
      <c r="F7" s="144">
        <f>VLOOKUP(A7,'Garage 24-7'!$A$6:$I$19,7,0)</f>
        <v>0</v>
      </c>
      <c r="G7" s="72">
        <f>VLOOKUP(A7,'Garage 24-7'!$A$6:$I$19,8,0)</f>
        <v>4</v>
      </c>
      <c r="H7" s="72">
        <f>VLOOKUP(A7,'Garage 24-7'!$A$6:$I$19,9,0)</f>
        <v>5454.545454545455</v>
      </c>
      <c r="I7" s="67"/>
      <c r="J7" s="92"/>
      <c r="K7" s="134"/>
      <c r="L7" s="39"/>
      <c r="M7" s="121"/>
      <c r="N7" s="129"/>
      <c r="O7" s="92"/>
      <c r="P7" s="96"/>
      <c r="Q7" s="129"/>
      <c r="R7" s="92"/>
      <c r="S7" s="96">
        <v>4</v>
      </c>
      <c r="T7" s="121">
        <v>30</v>
      </c>
      <c r="U7" s="39">
        <v>5454.545454545455</v>
      </c>
      <c r="V7" s="120">
        <v>2.1999999999999999E-2</v>
      </c>
      <c r="W7" s="121">
        <v>22</v>
      </c>
      <c r="X7" s="39">
        <v>1363.6363636363637</v>
      </c>
      <c r="Y7" s="39">
        <v>6000</v>
      </c>
      <c r="Z7" s="122">
        <v>6.6</v>
      </c>
      <c r="AA7" s="108" t="s">
        <v>47</v>
      </c>
    </row>
    <row r="8" spans="1:29" ht="38.25" thickBot="1" x14ac:dyDescent="0.3">
      <c r="A8" s="551" t="s">
        <v>84</v>
      </c>
      <c r="B8" s="552"/>
      <c r="C8" s="552"/>
      <c r="D8" s="552"/>
      <c r="E8" s="552"/>
      <c r="F8" s="552"/>
      <c r="G8" s="552"/>
      <c r="H8" s="552"/>
      <c r="I8" s="552"/>
      <c r="J8" s="552"/>
      <c r="K8" s="552"/>
      <c r="L8" s="552"/>
      <c r="M8" s="552"/>
      <c r="N8" s="552"/>
      <c r="O8" s="552"/>
      <c r="P8" s="552"/>
      <c r="Q8" s="552"/>
      <c r="R8" s="552"/>
      <c r="S8" s="552"/>
      <c r="T8" s="552"/>
      <c r="U8" s="552"/>
      <c r="V8" s="552"/>
      <c r="W8" s="552"/>
      <c r="X8" s="552"/>
      <c r="Y8" s="552"/>
      <c r="Z8" s="552"/>
      <c r="AA8" s="553"/>
      <c r="AB8" s="6" t="s">
        <v>80</v>
      </c>
    </row>
    <row r="9" spans="1:29" ht="18.75" x14ac:dyDescent="0.3">
      <c r="A9" s="76">
        <v>824</v>
      </c>
      <c r="B9" s="536" t="s">
        <v>32</v>
      </c>
      <c r="C9" s="69" t="s">
        <v>36</v>
      </c>
      <c r="D9" s="537">
        <v>0</v>
      </c>
      <c r="E9" s="540">
        <v>0</v>
      </c>
      <c r="F9" s="540">
        <v>0</v>
      </c>
      <c r="G9" s="540">
        <v>12</v>
      </c>
      <c r="H9" s="540">
        <v>3456</v>
      </c>
      <c r="I9" s="540"/>
      <c r="J9" s="92"/>
      <c r="K9" s="134"/>
      <c r="L9" s="39"/>
      <c r="M9" s="121"/>
      <c r="N9" s="129"/>
      <c r="O9" s="92"/>
      <c r="P9" s="96"/>
      <c r="Q9" s="129"/>
      <c r="R9" s="92"/>
      <c r="S9" s="96">
        <v>12</v>
      </c>
      <c r="T9" s="121">
        <v>5.8</v>
      </c>
      <c r="U9" s="541">
        <v>3456</v>
      </c>
      <c r="V9" s="120">
        <v>2.0899999999999998E-2</v>
      </c>
      <c r="W9" s="121">
        <v>20.9</v>
      </c>
      <c r="X9" s="39">
        <v>288</v>
      </c>
      <c r="Y9" s="39">
        <v>8000</v>
      </c>
      <c r="Z9" s="122">
        <v>55.666666666666664</v>
      </c>
      <c r="AA9" s="108" t="s">
        <v>49</v>
      </c>
      <c r="AB9" s="141">
        <v>2400</v>
      </c>
    </row>
    <row r="10" spans="1:29" ht="18.75" x14ac:dyDescent="0.3">
      <c r="A10" s="76">
        <v>26</v>
      </c>
      <c r="B10" s="536"/>
      <c r="C10" s="69" t="s">
        <v>37</v>
      </c>
      <c r="D10" s="537">
        <v>0</v>
      </c>
      <c r="E10" s="540"/>
      <c r="F10" s="540"/>
      <c r="G10" s="540"/>
      <c r="H10" s="540">
        <v>0</v>
      </c>
      <c r="I10" s="540"/>
      <c r="J10" s="92"/>
      <c r="K10" s="134"/>
      <c r="L10" s="39"/>
      <c r="M10" s="121"/>
      <c r="N10" s="129"/>
      <c r="O10" s="92"/>
      <c r="P10" s="96"/>
      <c r="Q10" s="129"/>
      <c r="R10" s="92"/>
      <c r="S10" s="96">
        <v>12</v>
      </c>
      <c r="T10" s="121">
        <v>5.8</v>
      </c>
      <c r="U10" s="541"/>
      <c r="V10" s="120">
        <v>2.0899999999999998E-2</v>
      </c>
      <c r="W10" s="121">
        <v>20.9</v>
      </c>
      <c r="X10" s="39">
        <v>288</v>
      </c>
      <c r="Y10" s="39">
        <v>2688</v>
      </c>
      <c r="Z10" s="122"/>
      <c r="AA10" s="108" t="s">
        <v>49</v>
      </c>
      <c r="AB10" s="122">
        <v>2400</v>
      </c>
    </row>
    <row r="11" spans="1:29" ht="18.75" x14ac:dyDescent="0.3">
      <c r="A11" s="76">
        <v>825</v>
      </c>
      <c r="B11" s="536" t="s">
        <v>35</v>
      </c>
      <c r="C11" s="69" t="s">
        <v>33</v>
      </c>
      <c r="D11" s="537">
        <v>0</v>
      </c>
      <c r="E11" s="540">
        <v>0</v>
      </c>
      <c r="F11" s="540">
        <v>0</v>
      </c>
      <c r="G11" s="540">
        <v>24</v>
      </c>
      <c r="H11" s="540">
        <v>3456</v>
      </c>
      <c r="I11" s="540"/>
      <c r="J11" s="92"/>
      <c r="K11" s="134"/>
      <c r="L11" s="39"/>
      <c r="M11" s="121"/>
      <c r="N11" s="129"/>
      <c r="O11" s="92"/>
      <c r="P11" s="96"/>
      <c r="Q11" s="129"/>
      <c r="R11" s="92"/>
      <c r="S11" s="96">
        <v>24</v>
      </c>
      <c r="T11" s="121">
        <v>5.8</v>
      </c>
      <c r="U11" s="541">
        <v>3456</v>
      </c>
      <c r="V11" s="120">
        <v>3.95E-2</v>
      </c>
      <c r="W11" s="121">
        <v>39.5</v>
      </c>
      <c r="X11" s="39">
        <v>144</v>
      </c>
      <c r="Y11" s="39">
        <v>4320</v>
      </c>
      <c r="Z11" s="122">
        <v>75</v>
      </c>
      <c r="AA11" s="108" t="s">
        <v>49</v>
      </c>
      <c r="AB11" s="122">
        <v>1346</v>
      </c>
    </row>
    <row r="12" spans="1:29" ht="18.75" x14ac:dyDescent="0.3">
      <c r="A12" s="76">
        <v>27</v>
      </c>
      <c r="B12" s="536"/>
      <c r="C12" s="69" t="s">
        <v>34</v>
      </c>
      <c r="D12" s="537">
        <v>0</v>
      </c>
      <c r="E12" s="540"/>
      <c r="F12" s="540"/>
      <c r="G12" s="540"/>
      <c r="H12" s="540">
        <v>0</v>
      </c>
      <c r="I12" s="540"/>
      <c r="J12" s="92"/>
      <c r="K12" s="134"/>
      <c r="L12" s="39"/>
      <c r="M12" s="121"/>
      <c r="N12" s="129"/>
      <c r="O12" s="92"/>
      <c r="P12" s="96"/>
      <c r="Q12" s="129"/>
      <c r="R12" s="92"/>
      <c r="S12" s="96">
        <v>24</v>
      </c>
      <c r="T12" s="121">
        <v>5.8</v>
      </c>
      <c r="U12" s="541"/>
      <c r="V12" s="120">
        <v>3.9200000000000006E-2</v>
      </c>
      <c r="W12" s="121">
        <v>39.200000000000003</v>
      </c>
      <c r="X12" s="39">
        <v>144</v>
      </c>
      <c r="Y12" s="39">
        <v>2880</v>
      </c>
      <c r="Z12" s="122"/>
      <c r="AA12" s="108" t="s">
        <v>49</v>
      </c>
      <c r="AB12" s="122">
        <v>1346</v>
      </c>
    </row>
    <row r="13" spans="1:29" ht="21.2" customHeight="1" x14ac:dyDescent="0.3">
      <c r="A13" s="76">
        <v>29</v>
      </c>
      <c r="B13" s="106" t="s">
        <v>42</v>
      </c>
      <c r="C13" s="69" t="s">
        <v>51</v>
      </c>
      <c r="D13" s="537">
        <v>0</v>
      </c>
      <c r="E13" s="540">
        <v>0</v>
      </c>
      <c r="F13" s="545">
        <v>0</v>
      </c>
      <c r="G13" s="540">
        <v>80</v>
      </c>
      <c r="H13" s="540">
        <v>1920</v>
      </c>
      <c r="I13" s="540"/>
      <c r="J13" s="92"/>
      <c r="K13" s="134"/>
      <c r="L13" s="39"/>
      <c r="M13" s="39"/>
      <c r="N13" s="128"/>
      <c r="O13" s="92"/>
      <c r="P13" s="96"/>
      <c r="Q13" s="128"/>
      <c r="R13" s="92"/>
      <c r="S13" s="96">
        <v>80</v>
      </c>
      <c r="T13" s="39">
        <v>2.4</v>
      </c>
      <c r="U13" s="541">
        <v>1920</v>
      </c>
      <c r="V13" s="120">
        <v>8.8999999999999996E-2</v>
      </c>
      <c r="W13" s="121">
        <v>89</v>
      </c>
      <c r="X13" s="39">
        <v>24</v>
      </c>
      <c r="Y13" s="123">
        <v>1704</v>
      </c>
      <c r="Z13" s="122">
        <v>213</v>
      </c>
      <c r="AA13" s="108" t="s">
        <v>50</v>
      </c>
      <c r="AB13" s="122"/>
    </row>
    <row r="14" spans="1:29" ht="21.2" customHeight="1" x14ac:dyDescent="0.3">
      <c r="A14" s="76">
        <v>828</v>
      </c>
      <c r="B14" s="106" t="s">
        <v>42</v>
      </c>
      <c r="C14" s="69" t="s">
        <v>60</v>
      </c>
      <c r="D14" s="537">
        <v>0</v>
      </c>
      <c r="E14" s="540"/>
      <c r="F14" s="545"/>
      <c r="G14" s="540"/>
      <c r="H14" s="540">
        <v>0</v>
      </c>
      <c r="I14" s="540"/>
      <c r="J14" s="92"/>
      <c r="K14" s="134"/>
      <c r="L14" s="39"/>
      <c r="M14" s="39"/>
      <c r="N14" s="128"/>
      <c r="O14" s="92"/>
      <c r="P14" s="96"/>
      <c r="Q14" s="128"/>
      <c r="R14" s="92"/>
      <c r="S14" s="96">
        <v>40</v>
      </c>
      <c r="T14" s="39">
        <v>2.4</v>
      </c>
      <c r="U14" s="541"/>
      <c r="V14" s="120">
        <v>8.8999999999999996E-2</v>
      </c>
      <c r="W14" s="121">
        <v>89</v>
      </c>
      <c r="X14" s="39">
        <v>24</v>
      </c>
      <c r="Y14" s="123">
        <v>768</v>
      </c>
      <c r="Z14" s="122">
        <v>96</v>
      </c>
      <c r="AA14" s="108" t="s">
        <v>50</v>
      </c>
      <c r="AB14" s="122"/>
    </row>
    <row r="15" spans="1:29" ht="21.2" customHeight="1" x14ac:dyDescent="0.3">
      <c r="A15" s="76">
        <v>30</v>
      </c>
      <c r="B15" s="106" t="s">
        <v>43</v>
      </c>
      <c r="C15" s="69" t="s">
        <v>52</v>
      </c>
      <c r="D15" s="537">
        <v>0</v>
      </c>
      <c r="E15" s="540">
        <v>0</v>
      </c>
      <c r="F15" s="545">
        <v>0</v>
      </c>
      <c r="G15" s="540">
        <v>80</v>
      </c>
      <c r="H15" s="540">
        <v>2400</v>
      </c>
      <c r="I15" s="540"/>
      <c r="J15" s="92"/>
      <c r="K15" s="134"/>
      <c r="L15" s="39"/>
      <c r="M15" s="39"/>
      <c r="N15" s="128"/>
      <c r="O15" s="92"/>
      <c r="P15" s="96"/>
      <c r="Q15" s="128"/>
      <c r="R15" s="92"/>
      <c r="S15" s="96">
        <v>100</v>
      </c>
      <c r="T15" s="39">
        <v>3.2</v>
      </c>
      <c r="U15" s="541">
        <v>2400</v>
      </c>
      <c r="V15" s="120">
        <v>0.124</v>
      </c>
      <c r="W15" s="121">
        <v>124</v>
      </c>
      <c r="X15" s="39">
        <v>24</v>
      </c>
      <c r="Y15" s="123">
        <v>2184</v>
      </c>
      <c r="Z15" s="122">
        <v>273</v>
      </c>
      <c r="AA15" s="108" t="s">
        <v>50</v>
      </c>
      <c r="AB15" s="122"/>
    </row>
    <row r="16" spans="1:29" ht="19.5" thickBot="1" x14ac:dyDescent="0.35">
      <c r="A16" s="78">
        <v>830</v>
      </c>
      <c r="B16" s="112" t="s">
        <v>43</v>
      </c>
      <c r="C16" s="79" t="s">
        <v>61</v>
      </c>
      <c r="D16" s="542">
        <v>0</v>
      </c>
      <c r="E16" s="544">
        <v>0</v>
      </c>
      <c r="F16" s="546"/>
      <c r="G16" s="544"/>
      <c r="H16" s="544">
        <v>0</v>
      </c>
      <c r="I16" s="544"/>
      <c r="J16" s="92"/>
      <c r="K16" s="135"/>
      <c r="L16" s="119"/>
      <c r="M16" s="119"/>
      <c r="N16" s="130"/>
      <c r="O16" s="92"/>
      <c r="P16" s="98"/>
      <c r="Q16" s="130"/>
      <c r="R16" s="92"/>
      <c r="S16" s="98">
        <v>80</v>
      </c>
      <c r="T16" s="119">
        <v>3.2</v>
      </c>
      <c r="U16" s="547"/>
      <c r="V16" s="124">
        <v>0.124</v>
      </c>
      <c r="W16" s="125">
        <v>124</v>
      </c>
      <c r="X16" s="119">
        <v>24</v>
      </c>
      <c r="Y16" s="126">
        <v>1728</v>
      </c>
      <c r="Z16" s="127">
        <v>216</v>
      </c>
      <c r="AA16" s="109" t="s">
        <v>50</v>
      </c>
      <c r="AB16" s="127"/>
    </row>
    <row r="17" spans="3:3" ht="15.75" thickBot="1" x14ac:dyDescent="0.3"/>
    <row r="18" spans="3:3" ht="18.75" x14ac:dyDescent="0.25">
      <c r="C18" s="142" t="s">
        <v>81</v>
      </c>
    </row>
    <row r="19" spans="3:3" ht="19.5" thickBot="1" x14ac:dyDescent="0.3">
      <c r="C19" s="143" t="s">
        <v>82</v>
      </c>
    </row>
  </sheetData>
  <autoFilter ref="A3:AB7" xr:uid="{00000000-0009-0000-0000-000045000000}">
    <sortState ref="A4:AB16">
      <sortCondition ref="D3:D6"/>
    </sortState>
  </autoFilter>
  <mergeCells count="33">
    <mergeCell ref="H11:H12"/>
    <mergeCell ref="I11:I12"/>
    <mergeCell ref="U11:U12"/>
    <mergeCell ref="U13:U14"/>
    <mergeCell ref="I15:I16"/>
    <mergeCell ref="U15:U16"/>
    <mergeCell ref="I13:I14"/>
    <mergeCell ref="D13:D14"/>
    <mergeCell ref="E13:E14"/>
    <mergeCell ref="F13:F14"/>
    <mergeCell ref="G13:G14"/>
    <mergeCell ref="H13:H14"/>
    <mergeCell ref="D15:D16"/>
    <mergeCell ref="E15:E16"/>
    <mergeCell ref="F15:F16"/>
    <mergeCell ref="G15:G16"/>
    <mergeCell ref="H15:H16"/>
    <mergeCell ref="B11:B12"/>
    <mergeCell ref="D11:D12"/>
    <mergeCell ref="E11:E12"/>
    <mergeCell ref="F11:F12"/>
    <mergeCell ref="G11:G12"/>
    <mergeCell ref="A1:C1"/>
    <mergeCell ref="A2:B2"/>
    <mergeCell ref="A8:AA8"/>
    <mergeCell ref="B9:B10"/>
    <mergeCell ref="D9:D10"/>
    <mergeCell ref="E9:E10"/>
    <mergeCell ref="F9:F10"/>
    <mergeCell ref="G9:G10"/>
    <mergeCell ref="H9:H10"/>
    <mergeCell ref="I9:I10"/>
    <mergeCell ref="U9:U10"/>
  </mergeCells>
  <printOptions horizontalCentered="1" verticalCentered="1"/>
  <pageMargins left="0.25" right="0.25" top="0.75" bottom="0.75" header="0.3" footer="0.3"/>
  <pageSetup paperSize="9" fitToWidth="0" orientation="landscape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filterMode="1">
    <tabColor rgb="FF00B0F0"/>
  </sheetPr>
  <dimension ref="A1:AB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4" width="7.28515625" customWidth="1"/>
    <col min="5" max="5" width="12.140625" customWidth="1"/>
    <col min="6" max="6" width="15.28515625" bestFit="1" customWidth="1"/>
    <col min="7" max="7" width="11.42578125" customWidth="1"/>
    <col min="8" max="8" width="8.42578125" customWidth="1"/>
    <col min="9" max="9" width="12.140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7" width="10.7109375" customWidth="1"/>
    <col min="28" max="28" width="11.85546875" customWidth="1"/>
  </cols>
  <sheetData>
    <row r="1" spans="1:28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8" ht="24.75" customHeight="1" thickBot="1" x14ac:dyDescent="0.35">
      <c r="A2" s="530" t="s">
        <v>1</v>
      </c>
      <c r="B2" s="531"/>
      <c r="C2" s="105">
        <v>45497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3"/>
      <c r="AB2" s="524"/>
    </row>
    <row r="3" spans="1:28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140" t="s">
        <v>80</v>
      </c>
      <c r="AB3" s="4" t="s">
        <v>46</v>
      </c>
    </row>
    <row r="4" spans="1:28" ht="18.75" hidden="1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1.4</v>
      </c>
      <c r="E4" s="73">
        <v>7</v>
      </c>
      <c r="F4" s="72">
        <f t="shared" ref="F4:F11" si="1">E4*T4</f>
        <v>210</v>
      </c>
      <c r="G4" s="72">
        <f t="shared" ref="G4:G11" si="2">+F4/V4</f>
        <v>6373.2928679817906</v>
      </c>
      <c r="H4" s="72">
        <f t="shared" ref="H4:H12" si="3">IF(S4-E4&lt;0,0,S4-E4)</f>
        <v>0</v>
      </c>
      <c r="I4" s="72" t="str">
        <f t="shared" ref="I4:I19" si="4">+IF(U4-G4&lt;0,"",U4-G4)</f>
        <v/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41"/>
      <c r="AB4" s="107" t="s">
        <v>47</v>
      </c>
    </row>
    <row r="5" spans="1:28" ht="18.75" hidden="1" x14ac:dyDescent="0.3">
      <c r="A5" s="76">
        <v>706</v>
      </c>
      <c r="B5" s="106" t="s">
        <v>17</v>
      </c>
      <c r="C5" s="69" t="s">
        <v>18</v>
      </c>
      <c r="D5" s="68">
        <f t="shared" si="0"/>
        <v>2.75</v>
      </c>
      <c r="E5" s="66">
        <v>11</v>
      </c>
      <c r="F5" s="67">
        <f t="shared" si="1"/>
        <v>330</v>
      </c>
      <c r="G5" s="67">
        <f t="shared" si="2"/>
        <v>15034.168564920274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9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22"/>
      <c r="AB5" s="108" t="s">
        <v>47</v>
      </c>
    </row>
    <row r="6" spans="1:28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0.6</v>
      </c>
      <c r="E6" s="66">
        <v>3</v>
      </c>
      <c r="F6" s="67">
        <f t="shared" si="1"/>
        <v>90</v>
      </c>
      <c r="G6" s="67">
        <f t="shared" si="2"/>
        <v>4100.2277904328021</v>
      </c>
      <c r="H6" s="67">
        <f t="shared" si="3"/>
        <v>2</v>
      </c>
      <c r="I6" s="67">
        <f t="shared" si="4"/>
        <v>2733.4851936218674</v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22"/>
      <c r="AB6" s="108" t="s">
        <v>47</v>
      </c>
    </row>
    <row r="7" spans="1:28" ht="18.75" x14ac:dyDescent="0.3">
      <c r="A7" s="76">
        <v>654</v>
      </c>
      <c r="B7" s="106" t="s">
        <v>22</v>
      </c>
      <c r="C7" s="69" t="s">
        <v>23</v>
      </c>
      <c r="D7" s="68">
        <f t="shared" si="0"/>
        <v>0.84000000000000008</v>
      </c>
      <c r="E7" s="66">
        <v>21</v>
      </c>
      <c r="F7" s="67">
        <f t="shared" si="1"/>
        <v>54.179999999999993</v>
      </c>
      <c r="G7" s="67">
        <f t="shared" si="2"/>
        <v>2520</v>
      </c>
      <c r="H7" s="67">
        <f t="shared" si="3"/>
        <v>4</v>
      </c>
      <c r="I7" s="67">
        <f t="shared" si="4"/>
        <v>480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22"/>
      <c r="AB7" s="108" t="s">
        <v>53</v>
      </c>
    </row>
    <row r="8" spans="1:28" ht="18.75" hidden="1" x14ac:dyDescent="0.3">
      <c r="A8" s="76">
        <v>558</v>
      </c>
      <c r="B8" s="106" t="s">
        <v>24</v>
      </c>
      <c r="C8" s="69" t="s">
        <v>25</v>
      </c>
      <c r="D8" s="68">
        <f t="shared" si="0"/>
        <v>1.52</v>
      </c>
      <c r="E8" s="66">
        <v>38</v>
      </c>
      <c r="F8" s="67">
        <f t="shared" si="1"/>
        <v>68.400000000000006</v>
      </c>
      <c r="G8" s="67">
        <f t="shared" si="2"/>
        <v>4412.9032258064517</v>
      </c>
      <c r="H8" s="67">
        <f t="shared" si="3"/>
        <v>0</v>
      </c>
      <c r="I8" s="67" t="str">
        <f t="shared" si="4"/>
        <v/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22"/>
      <c r="AB8" s="108" t="s">
        <v>53</v>
      </c>
    </row>
    <row r="9" spans="1:28" ht="21.2" hidden="1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1.6</v>
      </c>
      <c r="E9" s="66">
        <v>40</v>
      </c>
      <c r="F9" s="67">
        <f t="shared" si="1"/>
        <v>72</v>
      </c>
      <c r="G9" s="67">
        <f t="shared" si="2"/>
        <v>4528.3018867924529</v>
      </c>
      <c r="H9" s="67">
        <f t="shared" si="3"/>
        <v>0</v>
      </c>
      <c r="I9" s="67" t="str">
        <f t="shared" si="4"/>
        <v/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22"/>
      <c r="AB9" s="108" t="s">
        <v>53</v>
      </c>
    </row>
    <row r="10" spans="1:28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0.5</v>
      </c>
      <c r="E10" s="66">
        <v>4</v>
      </c>
      <c r="F10" s="67">
        <f t="shared" si="1"/>
        <v>120</v>
      </c>
      <c r="G10" s="67">
        <f t="shared" si="2"/>
        <v>5466.9703872437358</v>
      </c>
      <c r="H10" s="67">
        <f t="shared" si="3"/>
        <v>4</v>
      </c>
      <c r="I10" s="67">
        <f t="shared" si="4"/>
        <v>5466.9703872437358</v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22"/>
      <c r="AB10" s="108" t="s">
        <v>47</v>
      </c>
    </row>
    <row r="11" spans="1:28" ht="18.75" x14ac:dyDescent="0.3">
      <c r="A11" s="76">
        <v>510</v>
      </c>
      <c r="B11" s="106" t="s">
        <v>30</v>
      </c>
      <c r="C11" s="69" t="s">
        <v>31</v>
      </c>
      <c r="D11" s="68">
        <f t="shared" si="0"/>
        <v>0</v>
      </c>
      <c r="E11" s="66">
        <v>0</v>
      </c>
      <c r="F11" s="67">
        <f t="shared" si="1"/>
        <v>0</v>
      </c>
      <c r="G11" s="67">
        <f t="shared" si="2"/>
        <v>0</v>
      </c>
      <c r="H11" s="67">
        <f t="shared" si="3"/>
        <v>4</v>
      </c>
      <c r="I11" s="67">
        <f t="shared" si="4"/>
        <v>5454.545454545455</v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22"/>
      <c r="AB11" s="108" t="s">
        <v>47</v>
      </c>
    </row>
    <row r="12" spans="1:28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0</v>
      </c>
      <c r="E12" s="538">
        <v>0</v>
      </c>
      <c r="F12" s="540">
        <f>+E12*T12</f>
        <v>0</v>
      </c>
      <c r="G12" s="540">
        <f>+E12*S12</f>
        <v>0</v>
      </c>
      <c r="H12" s="540">
        <f t="shared" si="3"/>
        <v>12</v>
      </c>
      <c r="I12" s="540">
        <f t="shared" si="4"/>
        <v>3456</v>
      </c>
      <c r="J12" s="92"/>
      <c r="K12" s="134"/>
      <c r="L12" s="39"/>
      <c r="M12" s="121"/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si="7"/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22">
        <v>2400</v>
      </c>
      <c r="AB12" s="108" t="s">
        <v>49</v>
      </c>
    </row>
    <row r="13" spans="1:28" ht="18.75" hidden="1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4"/>
      <c r="L13" s="39"/>
      <c r="M13" s="121"/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7"/>
        <v>2.0899999999999998E-2</v>
      </c>
      <c r="W13" s="121">
        <v>20.9</v>
      </c>
      <c r="X13" s="39">
        <v>288</v>
      </c>
      <c r="Y13" s="39">
        <v>2688</v>
      </c>
      <c r="Z13" s="122"/>
      <c r="AA13" s="122">
        <v>2400</v>
      </c>
      <c r="AB13" s="108" t="s">
        <v>49</v>
      </c>
    </row>
    <row r="14" spans="1:28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>
        <v>0</v>
      </c>
      <c r="F14" s="540">
        <f>+E14*T14</f>
        <v>0</v>
      </c>
      <c r="G14" s="540">
        <f>+E14*S14</f>
        <v>0</v>
      </c>
      <c r="H14" s="540">
        <f>IF(S14-E14&lt;0,0,S14-E14)</f>
        <v>24</v>
      </c>
      <c r="I14" s="540">
        <f t="shared" si="4"/>
        <v>3456</v>
      </c>
      <c r="J14" s="92"/>
      <c r="K14" s="134"/>
      <c r="L14" s="39"/>
      <c r="M14" s="121"/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7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22">
        <v>1346</v>
      </c>
      <c r="AB14" s="108" t="s">
        <v>49</v>
      </c>
    </row>
    <row r="15" spans="1:28" ht="18.75" hidden="1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4"/>
      <c r="L15" s="39"/>
      <c r="M15" s="121"/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7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22">
        <v>1346</v>
      </c>
      <c r="AB15" s="108" t="s">
        <v>49</v>
      </c>
    </row>
    <row r="16" spans="1:28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4"/>
      <c r="L16" s="39"/>
      <c r="M16" s="39"/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7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22"/>
      <c r="AB16" s="108" t="s">
        <v>50</v>
      </c>
    </row>
    <row r="17" spans="1:28" ht="18" hidden="1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4"/>
      <c r="L17" s="39"/>
      <c r="M17" s="39"/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7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22"/>
      <c r="AB17" s="108" t="s">
        <v>50</v>
      </c>
    </row>
    <row r="18" spans="1:28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>
        <v>0</v>
      </c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4"/>
      <c r="L18" s="39"/>
      <c r="M18" s="39"/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7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22"/>
      <c r="AB18" s="108" t="s">
        <v>50</v>
      </c>
    </row>
    <row r="19" spans="1:28" ht="19.5" hidden="1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5"/>
      <c r="L19" s="119"/>
      <c r="M19" s="119"/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7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27"/>
      <c r="AB19" s="109" t="s">
        <v>50</v>
      </c>
    </row>
  </sheetData>
  <autoFilter ref="A3:Y19" xr:uid="{00000000-0009-0000-0000-000046000000}">
    <filterColumn colId="8">
      <filters>
        <filter val="1,920"/>
        <filter val="2,400"/>
        <filter val="2,733"/>
        <filter val="3,456"/>
        <filter val="480"/>
        <filter val="5,455"/>
        <filter val="5,467"/>
      </filters>
    </filterColumn>
  </autoFilter>
  <mergeCells count="33">
    <mergeCell ref="H14:H15"/>
    <mergeCell ref="I14:I15"/>
    <mergeCell ref="U14:U15"/>
    <mergeCell ref="U16:U17"/>
    <mergeCell ref="I18:I19"/>
    <mergeCell ref="U18:U19"/>
    <mergeCell ref="I16:I17"/>
    <mergeCell ref="D16:D17"/>
    <mergeCell ref="E16:E17"/>
    <mergeCell ref="F16:F17"/>
    <mergeCell ref="G16:G17"/>
    <mergeCell ref="H16:H17"/>
    <mergeCell ref="D18:D19"/>
    <mergeCell ref="E18:E19"/>
    <mergeCell ref="F18:F19"/>
    <mergeCell ref="G18:G19"/>
    <mergeCell ref="H18:H19"/>
    <mergeCell ref="B14:B15"/>
    <mergeCell ref="D14:D15"/>
    <mergeCell ref="E14:E15"/>
    <mergeCell ref="F14:F15"/>
    <mergeCell ref="G14:G15"/>
    <mergeCell ref="A1:C1"/>
    <mergeCell ref="A2:B2"/>
    <mergeCell ref="S2:AB2"/>
    <mergeCell ref="B12:B13"/>
    <mergeCell ref="D12:D13"/>
    <mergeCell ref="E12:E13"/>
    <mergeCell ref="F12:F13"/>
    <mergeCell ref="G12:G13"/>
    <mergeCell ref="H12:H13"/>
    <mergeCell ref="I12:I13"/>
    <mergeCell ref="U12:U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Hoja46">
    <tabColor rgb="FF00B0F0"/>
    <pageSetUpPr fitToPage="1"/>
  </sheetPr>
  <dimension ref="A1:AC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4" width="7.28515625" customWidth="1"/>
    <col min="5" max="5" width="9.140625" hidden="1" customWidth="1"/>
    <col min="6" max="6" width="11.42578125" customWidth="1"/>
    <col min="7" max="7" width="6.85546875" hidden="1" customWidth="1"/>
    <col min="8" max="8" width="12.140625" style="110" customWidth="1"/>
    <col min="9" max="9" width="10.140625" style="110" customWidth="1"/>
    <col min="10" max="10" width="3.140625" hidden="1" customWidth="1"/>
    <col min="11" max="12" width="9.42578125" hidden="1" customWidth="1"/>
    <col min="13" max="13" width="8.85546875" hidden="1" customWidth="1"/>
    <col min="14" max="14" width="9.7109375" hidden="1" customWidth="1"/>
    <col min="15" max="15" width="3.140625" hidden="1" customWidth="1"/>
    <col min="16" max="16" width="11.140625" hidden="1" customWidth="1"/>
    <col min="17" max="17" width="10.140625" hidden="1" customWidth="1"/>
    <col min="18" max="18" width="3.140625" hidden="1" customWidth="1"/>
    <col min="19" max="19" width="8.140625" hidden="1" customWidth="1"/>
    <col min="20" max="20" width="8" hidden="1" customWidth="1"/>
    <col min="21" max="21" width="10.140625" customWidth="1"/>
    <col min="22" max="22" width="10" hidden="1" customWidth="1"/>
    <col min="23" max="23" width="8.28515625" hidden="1" customWidth="1"/>
    <col min="24" max="24" width="8.85546875" hidden="1" customWidth="1"/>
    <col min="25" max="25" width="9.140625" hidden="1" customWidth="1"/>
    <col min="26" max="26" width="10.7109375" hidden="1" customWidth="1"/>
    <col min="27" max="27" width="12.28515625" customWidth="1"/>
  </cols>
  <sheetData>
    <row r="1" spans="1:29" ht="47.25" thickBot="1" x14ac:dyDescent="0.3">
      <c r="A1" s="527" t="s">
        <v>0</v>
      </c>
      <c r="B1" s="528"/>
      <c r="C1" s="529"/>
      <c r="E1" s="1"/>
      <c r="F1" s="1"/>
      <c r="G1" s="1"/>
      <c r="H1" s="93"/>
      <c r="I1" s="93"/>
      <c r="U1" s="1"/>
    </row>
    <row r="2" spans="1:29" ht="24.75" customHeight="1" thickBot="1" x14ac:dyDescent="0.35">
      <c r="A2" s="530" t="s">
        <v>1</v>
      </c>
      <c r="B2" s="531"/>
      <c r="C2" s="145">
        <v>45490</v>
      </c>
      <c r="E2" s="1"/>
      <c r="F2" s="1"/>
      <c r="G2" s="3" t="s">
        <v>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6</v>
      </c>
      <c r="F3" s="4" t="s">
        <v>7</v>
      </c>
      <c r="G3" s="18" t="s">
        <v>83</v>
      </c>
      <c r="H3" s="18" t="s">
        <v>59</v>
      </c>
      <c r="I3" s="18" t="s">
        <v>79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8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4" t="s">
        <v>46</v>
      </c>
      <c r="AC3" s="91" t="s">
        <v>85</v>
      </c>
    </row>
    <row r="4" spans="1:29" ht="18.75" x14ac:dyDescent="0.3">
      <c r="A4" s="70">
        <v>510</v>
      </c>
      <c r="B4" s="111" t="s">
        <v>30</v>
      </c>
      <c r="C4" s="71" t="s">
        <v>31</v>
      </c>
      <c r="D4" s="74">
        <v>0</v>
      </c>
      <c r="E4" s="72">
        <v>30</v>
      </c>
      <c r="F4" s="144">
        <v>0</v>
      </c>
      <c r="G4" s="72">
        <v>3</v>
      </c>
      <c r="H4" s="72">
        <v>5454.545454545455</v>
      </c>
      <c r="I4" s="72"/>
      <c r="J4" s="92"/>
      <c r="K4" s="136"/>
      <c r="L4" s="137"/>
      <c r="M4" s="137"/>
      <c r="N4" s="132"/>
      <c r="O4" s="92"/>
      <c r="P4" s="131"/>
      <c r="Q4" s="132"/>
      <c r="R4" s="92"/>
      <c r="S4" s="96">
        <v>4</v>
      </c>
      <c r="T4" s="39">
        <v>30</v>
      </c>
      <c r="U4" s="39">
        <v>5454.545454545455</v>
      </c>
      <c r="V4" s="120">
        <v>2.1999999999999999E-2</v>
      </c>
      <c r="W4" s="121">
        <v>22</v>
      </c>
      <c r="X4" s="39">
        <v>1363.6363636363637</v>
      </c>
      <c r="Y4" s="39">
        <v>6000</v>
      </c>
      <c r="Z4" s="122">
        <v>6.6</v>
      </c>
      <c r="AA4" s="107" t="s">
        <v>47</v>
      </c>
    </row>
    <row r="5" spans="1:29" ht="18.75" x14ac:dyDescent="0.3">
      <c r="A5" s="76">
        <v>506</v>
      </c>
      <c r="B5" s="106" t="s">
        <v>28</v>
      </c>
      <c r="C5" s="69" t="s">
        <v>29</v>
      </c>
      <c r="D5" s="68">
        <v>0.5</v>
      </c>
      <c r="E5" s="67">
        <v>180</v>
      </c>
      <c r="F5" s="67">
        <v>5466.9703872437358</v>
      </c>
      <c r="G5" s="67">
        <v>2</v>
      </c>
      <c r="H5" s="67">
        <v>5466.9703872437358</v>
      </c>
      <c r="I5" s="67"/>
      <c r="J5" s="92"/>
      <c r="K5" s="134"/>
      <c r="L5" s="39"/>
      <c r="M5" s="39"/>
      <c r="N5" s="128"/>
      <c r="O5" s="92"/>
      <c r="P5" s="96"/>
      <c r="Q5" s="128"/>
      <c r="R5" s="92"/>
      <c r="S5" s="96">
        <v>8</v>
      </c>
      <c r="T5" s="39">
        <v>30</v>
      </c>
      <c r="U5" s="39">
        <v>10933.940774487472</v>
      </c>
      <c r="V5" s="120">
        <v>2.1950000000000001E-2</v>
      </c>
      <c r="W5" s="121">
        <v>21.95</v>
      </c>
      <c r="X5" s="39">
        <v>1366.7425968109339</v>
      </c>
      <c r="Y5" s="39">
        <v>18612</v>
      </c>
      <c r="Z5" s="122">
        <v>20.426670000000001</v>
      </c>
      <c r="AA5" s="108" t="s">
        <v>47</v>
      </c>
    </row>
    <row r="6" spans="1:29" ht="18.75" x14ac:dyDescent="0.3">
      <c r="A6" s="76" t="s">
        <v>19</v>
      </c>
      <c r="B6" s="106" t="s">
        <v>20</v>
      </c>
      <c r="C6" s="69" t="s">
        <v>21</v>
      </c>
      <c r="D6" s="68">
        <v>0.6</v>
      </c>
      <c r="E6" s="67"/>
      <c r="F6" s="67">
        <v>4100.2277904328021</v>
      </c>
      <c r="G6" s="67"/>
      <c r="H6" s="67">
        <v>2733.4851936218674</v>
      </c>
      <c r="I6" s="67"/>
      <c r="J6" s="92"/>
      <c r="K6" s="134"/>
      <c r="L6" s="39"/>
      <c r="M6" s="39"/>
      <c r="N6" s="128"/>
      <c r="O6" s="92"/>
      <c r="P6" s="96"/>
      <c r="Q6" s="128"/>
      <c r="R6" s="92"/>
      <c r="S6" s="96"/>
      <c r="T6" s="39"/>
      <c r="U6" s="39">
        <v>6833.7129840546695</v>
      </c>
      <c r="V6" s="120"/>
      <c r="W6" s="121"/>
      <c r="X6" s="39"/>
      <c r="Y6" s="39"/>
      <c r="Z6" s="122"/>
      <c r="AA6" s="108" t="s">
        <v>47</v>
      </c>
    </row>
    <row r="7" spans="1:29" ht="19.5" thickBot="1" x14ac:dyDescent="0.35">
      <c r="A7" s="76">
        <v>654</v>
      </c>
      <c r="B7" s="106" t="s">
        <v>22</v>
      </c>
      <c r="C7" s="69" t="s">
        <v>23</v>
      </c>
      <c r="D7" s="68">
        <v>0.84000000000000008</v>
      </c>
      <c r="E7" s="67">
        <v>54.179999999999993</v>
      </c>
      <c r="F7" s="67">
        <v>2520</v>
      </c>
      <c r="G7" s="67">
        <v>4</v>
      </c>
      <c r="H7" s="67">
        <v>480</v>
      </c>
      <c r="I7" s="67"/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v>2.5799999999999996</v>
      </c>
      <c r="U7" s="39">
        <v>3000</v>
      </c>
      <c r="V7" s="120">
        <v>2.1499999999999998E-2</v>
      </c>
      <c r="W7" s="121">
        <v>21.5</v>
      </c>
      <c r="X7" s="39">
        <v>120</v>
      </c>
      <c r="Y7" s="39">
        <v>1200</v>
      </c>
      <c r="Z7" s="122">
        <v>15</v>
      </c>
      <c r="AA7" s="108" t="s">
        <v>53</v>
      </c>
    </row>
    <row r="8" spans="1:29" ht="38.25" thickBot="1" x14ac:dyDescent="0.3">
      <c r="A8" s="551" t="s">
        <v>84</v>
      </c>
      <c r="B8" s="552"/>
      <c r="C8" s="552"/>
      <c r="D8" s="552"/>
      <c r="E8" s="552"/>
      <c r="F8" s="552"/>
      <c r="G8" s="552"/>
      <c r="H8" s="552"/>
      <c r="I8" s="552"/>
      <c r="J8" s="552"/>
      <c r="K8" s="552"/>
      <c r="L8" s="552"/>
      <c r="M8" s="552"/>
      <c r="N8" s="552"/>
      <c r="O8" s="552"/>
      <c r="P8" s="552"/>
      <c r="Q8" s="552"/>
      <c r="R8" s="552"/>
      <c r="S8" s="552"/>
      <c r="T8" s="552"/>
      <c r="U8" s="552"/>
      <c r="V8" s="552"/>
      <c r="W8" s="552"/>
      <c r="X8" s="552"/>
      <c r="Y8" s="552"/>
      <c r="Z8" s="552"/>
      <c r="AA8" s="553"/>
      <c r="AB8" s="6" t="s">
        <v>80</v>
      </c>
    </row>
    <row r="9" spans="1:29" ht="18.75" x14ac:dyDescent="0.3">
      <c r="A9" s="76">
        <v>824</v>
      </c>
      <c r="B9" s="536" t="s">
        <v>32</v>
      </c>
      <c r="C9" s="69" t="s">
        <v>36</v>
      </c>
      <c r="D9" s="537">
        <v>0</v>
      </c>
      <c r="E9" s="540">
        <v>0</v>
      </c>
      <c r="F9" s="540">
        <v>0</v>
      </c>
      <c r="G9" s="540">
        <v>12</v>
      </c>
      <c r="H9" s="540">
        <v>3456</v>
      </c>
      <c r="I9" s="540"/>
      <c r="J9" s="92"/>
      <c r="K9" s="134"/>
      <c r="L9" s="39"/>
      <c r="M9" s="121"/>
      <c r="N9" s="129"/>
      <c r="O9" s="92"/>
      <c r="P9" s="96"/>
      <c r="Q9" s="129"/>
      <c r="R9" s="92"/>
      <c r="S9" s="96">
        <v>12</v>
      </c>
      <c r="T9" s="121">
        <v>5.8</v>
      </c>
      <c r="U9" s="541">
        <v>3456</v>
      </c>
      <c r="V9" s="120">
        <v>2.0899999999999998E-2</v>
      </c>
      <c r="W9" s="121">
        <v>20.9</v>
      </c>
      <c r="X9" s="39">
        <v>288</v>
      </c>
      <c r="Y9" s="39">
        <v>8000</v>
      </c>
      <c r="Z9" s="122">
        <v>55.666666666666664</v>
      </c>
      <c r="AA9" s="108" t="s">
        <v>49</v>
      </c>
      <c r="AB9" s="141">
        <v>2400</v>
      </c>
    </row>
    <row r="10" spans="1:29" ht="18.75" x14ac:dyDescent="0.3">
      <c r="A10" s="76">
        <v>26</v>
      </c>
      <c r="B10" s="536"/>
      <c r="C10" s="69" t="s">
        <v>37</v>
      </c>
      <c r="D10" s="537">
        <v>0</v>
      </c>
      <c r="E10" s="540"/>
      <c r="F10" s="540"/>
      <c r="G10" s="540"/>
      <c r="H10" s="540">
        <v>0</v>
      </c>
      <c r="I10" s="540"/>
      <c r="J10" s="92"/>
      <c r="K10" s="134"/>
      <c r="L10" s="39"/>
      <c r="M10" s="121"/>
      <c r="N10" s="129"/>
      <c r="O10" s="92"/>
      <c r="P10" s="96"/>
      <c r="Q10" s="129"/>
      <c r="R10" s="92"/>
      <c r="S10" s="96">
        <v>12</v>
      </c>
      <c r="T10" s="121">
        <v>5.8</v>
      </c>
      <c r="U10" s="541"/>
      <c r="V10" s="120">
        <v>2.0899999999999998E-2</v>
      </c>
      <c r="W10" s="121">
        <v>20.9</v>
      </c>
      <c r="X10" s="39">
        <v>288</v>
      </c>
      <c r="Y10" s="39">
        <v>2688</v>
      </c>
      <c r="Z10" s="122"/>
      <c r="AA10" s="108" t="s">
        <v>49</v>
      </c>
      <c r="AB10" s="122">
        <v>2400</v>
      </c>
    </row>
    <row r="11" spans="1:29" ht="18.75" x14ac:dyDescent="0.3">
      <c r="A11" s="76">
        <v>825</v>
      </c>
      <c r="B11" s="536" t="s">
        <v>35</v>
      </c>
      <c r="C11" s="69" t="s">
        <v>33</v>
      </c>
      <c r="D11" s="537">
        <v>0</v>
      </c>
      <c r="E11" s="540">
        <v>0</v>
      </c>
      <c r="F11" s="540">
        <v>0</v>
      </c>
      <c r="G11" s="540">
        <v>24</v>
      </c>
      <c r="H11" s="540">
        <v>3456</v>
      </c>
      <c r="I11" s="540"/>
      <c r="J11" s="92"/>
      <c r="K11" s="134"/>
      <c r="L11" s="39"/>
      <c r="M11" s="121"/>
      <c r="N11" s="129"/>
      <c r="O11" s="92"/>
      <c r="P11" s="96"/>
      <c r="Q11" s="129"/>
      <c r="R11" s="92"/>
      <c r="S11" s="96">
        <v>24</v>
      </c>
      <c r="T11" s="121">
        <v>5.8</v>
      </c>
      <c r="U11" s="541">
        <v>3456</v>
      </c>
      <c r="V11" s="120">
        <v>3.95E-2</v>
      </c>
      <c r="W11" s="121">
        <v>39.5</v>
      </c>
      <c r="X11" s="39">
        <v>144</v>
      </c>
      <c r="Y11" s="39">
        <v>4320</v>
      </c>
      <c r="Z11" s="122">
        <v>75</v>
      </c>
      <c r="AA11" s="108" t="s">
        <v>49</v>
      </c>
      <c r="AB11" s="122">
        <v>1346</v>
      </c>
    </row>
    <row r="12" spans="1:29" ht="18.75" x14ac:dyDescent="0.3">
      <c r="A12" s="76">
        <v>27</v>
      </c>
      <c r="B12" s="536"/>
      <c r="C12" s="69" t="s">
        <v>34</v>
      </c>
      <c r="D12" s="537">
        <v>0</v>
      </c>
      <c r="E12" s="540"/>
      <c r="F12" s="540"/>
      <c r="G12" s="540"/>
      <c r="H12" s="540">
        <v>0</v>
      </c>
      <c r="I12" s="540"/>
      <c r="J12" s="92"/>
      <c r="K12" s="134"/>
      <c r="L12" s="39"/>
      <c r="M12" s="121"/>
      <c r="N12" s="129"/>
      <c r="O12" s="92"/>
      <c r="P12" s="96"/>
      <c r="Q12" s="129"/>
      <c r="R12" s="92"/>
      <c r="S12" s="96">
        <v>24</v>
      </c>
      <c r="T12" s="121">
        <v>5.8</v>
      </c>
      <c r="U12" s="541"/>
      <c r="V12" s="120">
        <v>3.9200000000000006E-2</v>
      </c>
      <c r="W12" s="121">
        <v>39.200000000000003</v>
      </c>
      <c r="X12" s="39">
        <v>144</v>
      </c>
      <c r="Y12" s="39">
        <v>2880</v>
      </c>
      <c r="Z12" s="122"/>
      <c r="AA12" s="108" t="s">
        <v>49</v>
      </c>
      <c r="AB12" s="122">
        <v>1346</v>
      </c>
    </row>
    <row r="13" spans="1:29" ht="21.2" customHeight="1" x14ac:dyDescent="0.3">
      <c r="A13" s="76">
        <v>29</v>
      </c>
      <c r="B13" s="106" t="s">
        <v>42</v>
      </c>
      <c r="C13" s="69" t="s">
        <v>51</v>
      </c>
      <c r="D13" s="537">
        <v>0</v>
      </c>
      <c r="E13" s="540">
        <v>0</v>
      </c>
      <c r="F13" s="545">
        <v>0</v>
      </c>
      <c r="G13" s="540">
        <v>80</v>
      </c>
      <c r="H13" s="540">
        <v>1920</v>
      </c>
      <c r="I13" s="540"/>
      <c r="J13" s="92"/>
      <c r="K13" s="134"/>
      <c r="L13" s="39"/>
      <c r="M13" s="39"/>
      <c r="N13" s="128"/>
      <c r="O13" s="92"/>
      <c r="P13" s="96"/>
      <c r="Q13" s="128"/>
      <c r="R13" s="92"/>
      <c r="S13" s="96">
        <v>80</v>
      </c>
      <c r="T13" s="39">
        <v>2.4</v>
      </c>
      <c r="U13" s="541">
        <v>1920</v>
      </c>
      <c r="V13" s="120">
        <v>8.8999999999999996E-2</v>
      </c>
      <c r="W13" s="121">
        <v>89</v>
      </c>
      <c r="X13" s="39">
        <v>24</v>
      </c>
      <c r="Y13" s="123">
        <v>1704</v>
      </c>
      <c r="Z13" s="122">
        <v>213</v>
      </c>
      <c r="AA13" s="108" t="s">
        <v>50</v>
      </c>
      <c r="AB13" s="122"/>
    </row>
    <row r="14" spans="1:29" ht="21.2" customHeight="1" x14ac:dyDescent="0.3">
      <c r="A14" s="76">
        <v>828</v>
      </c>
      <c r="B14" s="106" t="s">
        <v>42</v>
      </c>
      <c r="C14" s="69" t="s">
        <v>60</v>
      </c>
      <c r="D14" s="537">
        <v>0</v>
      </c>
      <c r="E14" s="540"/>
      <c r="F14" s="545"/>
      <c r="G14" s="540"/>
      <c r="H14" s="540">
        <v>0</v>
      </c>
      <c r="I14" s="540"/>
      <c r="J14" s="92"/>
      <c r="K14" s="134"/>
      <c r="L14" s="39"/>
      <c r="M14" s="39"/>
      <c r="N14" s="128"/>
      <c r="O14" s="92"/>
      <c r="P14" s="96"/>
      <c r="Q14" s="128"/>
      <c r="R14" s="92"/>
      <c r="S14" s="96">
        <v>40</v>
      </c>
      <c r="T14" s="39">
        <v>2.4</v>
      </c>
      <c r="U14" s="541"/>
      <c r="V14" s="120">
        <v>8.8999999999999996E-2</v>
      </c>
      <c r="W14" s="121">
        <v>89</v>
      </c>
      <c r="X14" s="39">
        <v>24</v>
      </c>
      <c r="Y14" s="123">
        <v>768</v>
      </c>
      <c r="Z14" s="122">
        <v>96</v>
      </c>
      <c r="AA14" s="108" t="s">
        <v>50</v>
      </c>
      <c r="AB14" s="122"/>
    </row>
    <row r="15" spans="1:29" ht="21.2" customHeight="1" x14ac:dyDescent="0.3">
      <c r="A15" s="76">
        <v>30</v>
      </c>
      <c r="B15" s="106" t="s">
        <v>43</v>
      </c>
      <c r="C15" s="69" t="s">
        <v>52</v>
      </c>
      <c r="D15" s="537">
        <v>0</v>
      </c>
      <c r="E15" s="540">
        <v>0</v>
      </c>
      <c r="F15" s="545">
        <v>0</v>
      </c>
      <c r="G15" s="540">
        <v>80</v>
      </c>
      <c r="H15" s="540">
        <v>2400</v>
      </c>
      <c r="I15" s="540"/>
      <c r="J15" s="92"/>
      <c r="K15" s="134"/>
      <c r="L15" s="39"/>
      <c r="M15" s="39"/>
      <c r="N15" s="128"/>
      <c r="O15" s="92"/>
      <c r="P15" s="96"/>
      <c r="Q15" s="128"/>
      <c r="R15" s="92"/>
      <c r="S15" s="96">
        <v>100</v>
      </c>
      <c r="T15" s="39">
        <v>3.2</v>
      </c>
      <c r="U15" s="541">
        <v>2400</v>
      </c>
      <c r="V15" s="120">
        <v>0.124</v>
      </c>
      <c r="W15" s="121">
        <v>124</v>
      </c>
      <c r="X15" s="39">
        <v>24</v>
      </c>
      <c r="Y15" s="123">
        <v>2184</v>
      </c>
      <c r="Z15" s="122">
        <v>273</v>
      </c>
      <c r="AA15" s="108" t="s">
        <v>50</v>
      </c>
      <c r="AB15" s="122"/>
    </row>
    <row r="16" spans="1:29" ht="19.5" thickBot="1" x14ac:dyDescent="0.35">
      <c r="A16" s="78">
        <v>830</v>
      </c>
      <c r="B16" s="112" t="s">
        <v>43</v>
      </c>
      <c r="C16" s="79" t="s">
        <v>61</v>
      </c>
      <c r="D16" s="542">
        <v>0</v>
      </c>
      <c r="E16" s="544">
        <v>0</v>
      </c>
      <c r="F16" s="546"/>
      <c r="G16" s="544"/>
      <c r="H16" s="544">
        <v>0</v>
      </c>
      <c r="I16" s="544"/>
      <c r="J16" s="92"/>
      <c r="K16" s="135"/>
      <c r="L16" s="119"/>
      <c r="M16" s="119"/>
      <c r="N16" s="130"/>
      <c r="O16" s="92"/>
      <c r="P16" s="98"/>
      <c r="Q16" s="130"/>
      <c r="R16" s="92"/>
      <c r="S16" s="98">
        <v>80</v>
      </c>
      <c r="T16" s="119">
        <v>3.2</v>
      </c>
      <c r="U16" s="547"/>
      <c r="V16" s="124">
        <v>0.124</v>
      </c>
      <c r="W16" s="125">
        <v>124</v>
      </c>
      <c r="X16" s="119">
        <v>24</v>
      </c>
      <c r="Y16" s="126">
        <v>1728</v>
      </c>
      <c r="Z16" s="127">
        <v>216</v>
      </c>
      <c r="AA16" s="109" t="s">
        <v>50</v>
      </c>
      <c r="AB16" s="127"/>
    </row>
    <row r="17" spans="3:3" ht="15.75" thickBot="1" x14ac:dyDescent="0.3"/>
    <row r="18" spans="3:3" ht="18.75" x14ac:dyDescent="0.25">
      <c r="C18" s="142" t="s">
        <v>81</v>
      </c>
    </row>
    <row r="19" spans="3:3" ht="19.5" thickBot="1" x14ac:dyDescent="0.3">
      <c r="C19" s="143" t="s">
        <v>82</v>
      </c>
    </row>
  </sheetData>
  <autoFilter ref="A3:AB7" xr:uid="{00000000-0009-0000-0000-000047000000}">
    <sortState ref="A4:AB6">
      <sortCondition ref="D3:D6"/>
    </sortState>
  </autoFilter>
  <mergeCells count="33">
    <mergeCell ref="H11:H12"/>
    <mergeCell ref="I11:I12"/>
    <mergeCell ref="U11:U12"/>
    <mergeCell ref="U13:U14"/>
    <mergeCell ref="I15:I16"/>
    <mergeCell ref="U15:U16"/>
    <mergeCell ref="I13:I14"/>
    <mergeCell ref="D13:D14"/>
    <mergeCell ref="E13:E14"/>
    <mergeCell ref="F13:F14"/>
    <mergeCell ref="G13:G14"/>
    <mergeCell ref="H13:H14"/>
    <mergeCell ref="D15:D16"/>
    <mergeCell ref="E15:E16"/>
    <mergeCell ref="F15:F16"/>
    <mergeCell ref="G15:G16"/>
    <mergeCell ref="H15:H16"/>
    <mergeCell ref="B11:B12"/>
    <mergeCell ref="D11:D12"/>
    <mergeCell ref="E11:E12"/>
    <mergeCell ref="F11:F12"/>
    <mergeCell ref="G11:G12"/>
    <mergeCell ref="A1:C1"/>
    <mergeCell ref="A2:B2"/>
    <mergeCell ref="A8:AA8"/>
    <mergeCell ref="B9:B10"/>
    <mergeCell ref="D9:D10"/>
    <mergeCell ref="E9:E10"/>
    <mergeCell ref="F9:F10"/>
    <mergeCell ref="G9:G10"/>
    <mergeCell ref="H9:H10"/>
    <mergeCell ref="I9:I10"/>
    <mergeCell ref="U9:U10"/>
  </mergeCells>
  <printOptions horizontalCentered="1" verticalCentered="1"/>
  <pageMargins left="0.25" right="0.25" top="0.75" bottom="0.75" header="0.3" footer="0.3"/>
  <pageSetup paperSize="9" fitToWidth="0" orientation="landscape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Hoja2" filterMode="1">
    <tabColor rgb="FF00B0F0"/>
  </sheetPr>
  <dimension ref="A1:AB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4" width="7.28515625" hidden="1" customWidth="1"/>
    <col min="5" max="5" width="12.140625" customWidth="1"/>
    <col min="6" max="6" width="9.140625" customWidth="1"/>
    <col min="7" max="7" width="11.42578125" customWidth="1"/>
    <col min="8" max="8" width="8.42578125" customWidth="1"/>
    <col min="9" max="9" width="12.140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7" width="10.7109375" customWidth="1"/>
    <col min="28" max="28" width="11.85546875" customWidth="1"/>
  </cols>
  <sheetData>
    <row r="1" spans="1:28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8" ht="24.75" customHeight="1" thickBot="1" x14ac:dyDescent="0.35">
      <c r="A2" s="530" t="s">
        <v>1</v>
      </c>
      <c r="B2" s="531"/>
      <c r="C2" s="105">
        <v>45490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3"/>
      <c r="AB2" s="524"/>
    </row>
    <row r="3" spans="1:28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140" t="s">
        <v>80</v>
      </c>
      <c r="AB3" s="4" t="s">
        <v>46</v>
      </c>
    </row>
    <row r="4" spans="1:28" ht="18.75" hidden="1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1.4</v>
      </c>
      <c r="E4" s="73">
        <v>7</v>
      </c>
      <c r="F4" s="72">
        <f t="shared" ref="F4:F11" si="1">E4*T4</f>
        <v>210</v>
      </c>
      <c r="G4" s="72">
        <f t="shared" ref="G4:G11" si="2">+F4/V4</f>
        <v>6373.2928679817906</v>
      </c>
      <c r="H4" s="72">
        <f t="shared" ref="H4:H12" si="3">IF(S4-E4&lt;0,0,S4-E4)</f>
        <v>0</v>
      </c>
      <c r="I4" s="72" t="str">
        <f t="shared" ref="I4:I19" si="4">+IF(U4-G4&lt;0,"",U4-G4)</f>
        <v/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41"/>
      <c r="AB4" s="107" t="s">
        <v>47</v>
      </c>
    </row>
    <row r="5" spans="1:28" ht="18.75" hidden="1" x14ac:dyDescent="0.3">
      <c r="A5" s="76">
        <v>706</v>
      </c>
      <c r="B5" s="106" t="s">
        <v>17</v>
      </c>
      <c r="C5" s="69" t="s">
        <v>18</v>
      </c>
      <c r="D5" s="68">
        <f t="shared" si="0"/>
        <v>2.75</v>
      </c>
      <c r="E5" s="66">
        <v>11</v>
      </c>
      <c r="F5" s="67">
        <f t="shared" si="1"/>
        <v>330</v>
      </c>
      <c r="G5" s="67">
        <f t="shared" si="2"/>
        <v>15034.168564920274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9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22"/>
      <c r="AB5" s="108" t="s">
        <v>47</v>
      </c>
    </row>
    <row r="6" spans="1:28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0.6</v>
      </c>
      <c r="E6" s="66">
        <v>3</v>
      </c>
      <c r="F6" s="67">
        <f t="shared" si="1"/>
        <v>90</v>
      </c>
      <c r="G6" s="67">
        <f t="shared" si="2"/>
        <v>4100.2277904328021</v>
      </c>
      <c r="H6" s="67">
        <f t="shared" si="3"/>
        <v>2</v>
      </c>
      <c r="I6" s="67">
        <f t="shared" si="4"/>
        <v>2733.4851936218674</v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22"/>
      <c r="AB6" s="108" t="s">
        <v>47</v>
      </c>
    </row>
    <row r="7" spans="1:28" ht="18.75" x14ac:dyDescent="0.3">
      <c r="A7" s="76">
        <v>654</v>
      </c>
      <c r="B7" s="106" t="s">
        <v>22</v>
      </c>
      <c r="C7" s="69" t="s">
        <v>23</v>
      </c>
      <c r="D7" s="68">
        <f t="shared" si="0"/>
        <v>0.84000000000000008</v>
      </c>
      <c r="E7" s="66">
        <v>21</v>
      </c>
      <c r="F7" s="67">
        <f t="shared" si="1"/>
        <v>54.179999999999993</v>
      </c>
      <c r="G7" s="67">
        <f t="shared" si="2"/>
        <v>2520</v>
      </c>
      <c r="H7" s="67">
        <f t="shared" si="3"/>
        <v>4</v>
      </c>
      <c r="I7" s="67">
        <f t="shared" si="4"/>
        <v>480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22"/>
      <c r="AB7" s="108" t="s">
        <v>53</v>
      </c>
    </row>
    <row r="8" spans="1:28" ht="18.75" hidden="1" x14ac:dyDescent="0.3">
      <c r="A8" s="76">
        <v>558</v>
      </c>
      <c r="B8" s="106" t="s">
        <v>24</v>
      </c>
      <c r="C8" s="69" t="s">
        <v>25</v>
      </c>
      <c r="D8" s="68">
        <f t="shared" si="0"/>
        <v>1.52</v>
      </c>
      <c r="E8" s="66">
        <v>38</v>
      </c>
      <c r="F8" s="67">
        <f t="shared" si="1"/>
        <v>68.400000000000006</v>
      </c>
      <c r="G8" s="67">
        <f t="shared" si="2"/>
        <v>4412.9032258064517</v>
      </c>
      <c r="H8" s="67">
        <f t="shared" si="3"/>
        <v>0</v>
      </c>
      <c r="I8" s="67" t="str">
        <f t="shared" si="4"/>
        <v/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22"/>
      <c r="AB8" s="108" t="s">
        <v>53</v>
      </c>
    </row>
    <row r="9" spans="1:28" ht="21.2" hidden="1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1.6</v>
      </c>
      <c r="E9" s="66">
        <v>40</v>
      </c>
      <c r="F9" s="67">
        <f t="shared" si="1"/>
        <v>72</v>
      </c>
      <c r="G9" s="67">
        <f t="shared" si="2"/>
        <v>4528.3018867924529</v>
      </c>
      <c r="H9" s="67">
        <f t="shared" si="3"/>
        <v>0</v>
      </c>
      <c r="I9" s="67" t="str">
        <f t="shared" si="4"/>
        <v/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22"/>
      <c r="AB9" s="108" t="s">
        <v>53</v>
      </c>
    </row>
    <row r="10" spans="1:28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0.5</v>
      </c>
      <c r="E10" s="66">
        <v>4</v>
      </c>
      <c r="F10" s="67">
        <f t="shared" si="1"/>
        <v>120</v>
      </c>
      <c r="G10" s="67">
        <f t="shared" si="2"/>
        <v>5466.9703872437358</v>
      </c>
      <c r="H10" s="67">
        <f t="shared" si="3"/>
        <v>4</v>
      </c>
      <c r="I10" s="67">
        <f t="shared" si="4"/>
        <v>5466.9703872437358</v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22"/>
      <c r="AB10" s="108" t="s">
        <v>47</v>
      </c>
    </row>
    <row r="11" spans="1:28" ht="18.75" x14ac:dyDescent="0.3">
      <c r="A11" s="76">
        <v>510</v>
      </c>
      <c r="B11" s="106" t="s">
        <v>30</v>
      </c>
      <c r="C11" s="69" t="s">
        <v>31</v>
      </c>
      <c r="D11" s="68">
        <f t="shared" si="0"/>
        <v>0</v>
      </c>
      <c r="E11" s="66">
        <v>0</v>
      </c>
      <c r="F11" s="67">
        <f t="shared" si="1"/>
        <v>0</v>
      </c>
      <c r="G11" s="67">
        <f t="shared" si="2"/>
        <v>0</v>
      </c>
      <c r="H11" s="67">
        <f t="shared" si="3"/>
        <v>4</v>
      </c>
      <c r="I11" s="67">
        <f t="shared" si="4"/>
        <v>5454.545454545455</v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22"/>
      <c r="AB11" s="108" t="s">
        <v>47</v>
      </c>
    </row>
    <row r="12" spans="1:28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0</v>
      </c>
      <c r="E12" s="538">
        <v>0</v>
      </c>
      <c r="F12" s="540">
        <f>+E12*T12</f>
        <v>0</v>
      </c>
      <c r="G12" s="540">
        <f>+E12*S12</f>
        <v>0</v>
      </c>
      <c r="H12" s="540">
        <f t="shared" si="3"/>
        <v>12</v>
      </c>
      <c r="I12" s="540">
        <f t="shared" si="4"/>
        <v>3456</v>
      </c>
      <c r="J12" s="92"/>
      <c r="K12" s="134"/>
      <c r="L12" s="39"/>
      <c r="M12" s="121"/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si="7"/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22">
        <v>2400</v>
      </c>
      <c r="AB12" s="108" t="s">
        <v>49</v>
      </c>
    </row>
    <row r="13" spans="1:28" ht="13.5" customHeight="1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4"/>
      <c r="L13" s="39"/>
      <c r="M13" s="121"/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7"/>
        <v>2.0899999999999998E-2</v>
      </c>
      <c r="W13" s="121">
        <v>20.9</v>
      </c>
      <c r="X13" s="39">
        <v>288</v>
      </c>
      <c r="Y13" s="39">
        <v>2688</v>
      </c>
      <c r="Z13" s="122"/>
      <c r="AA13" s="122">
        <v>2400</v>
      </c>
      <c r="AB13" s="108" t="s">
        <v>49</v>
      </c>
    </row>
    <row r="14" spans="1:28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>
        <v>0</v>
      </c>
      <c r="F14" s="540">
        <f>+E14*T14</f>
        <v>0</v>
      </c>
      <c r="G14" s="540">
        <f>+E14*S14</f>
        <v>0</v>
      </c>
      <c r="H14" s="540">
        <f>IF(S14-E14&lt;0,0,S14-E14)</f>
        <v>24</v>
      </c>
      <c r="I14" s="540">
        <f t="shared" si="4"/>
        <v>3456</v>
      </c>
      <c r="J14" s="92"/>
      <c r="K14" s="134"/>
      <c r="L14" s="39"/>
      <c r="M14" s="121"/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7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22">
        <v>1346</v>
      </c>
      <c r="AB14" s="108" t="s">
        <v>49</v>
      </c>
    </row>
    <row r="15" spans="1:28" ht="9.1999999999999993" customHeight="1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4"/>
      <c r="L15" s="39"/>
      <c r="M15" s="121"/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7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22">
        <v>1346</v>
      </c>
      <c r="AB15" s="108" t="s">
        <v>49</v>
      </c>
    </row>
    <row r="16" spans="1:28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4"/>
      <c r="L16" s="39"/>
      <c r="M16" s="39"/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7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22"/>
      <c r="AB16" s="108" t="s">
        <v>50</v>
      </c>
    </row>
    <row r="17" spans="1:28" ht="18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4"/>
      <c r="L17" s="39"/>
      <c r="M17" s="39"/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7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22"/>
      <c r="AB17" s="108" t="s">
        <v>50</v>
      </c>
    </row>
    <row r="18" spans="1:28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>
        <v>0</v>
      </c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4"/>
      <c r="L18" s="39"/>
      <c r="M18" s="39"/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7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22"/>
      <c r="AB18" s="108" t="s">
        <v>50</v>
      </c>
    </row>
    <row r="19" spans="1:28" ht="19.5" hidden="1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5"/>
      <c r="L19" s="119"/>
      <c r="M19" s="119"/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7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27"/>
      <c r="AB19" s="109" t="s">
        <v>50</v>
      </c>
    </row>
  </sheetData>
  <autoFilter ref="A3:Y19" xr:uid="{00000000-0009-0000-0000-000048000000}">
    <filterColumn colId="8">
      <filters>
        <filter val="1,920"/>
        <filter val="2,400"/>
        <filter val="2,733"/>
        <filter val="3,456"/>
        <filter val="480"/>
        <filter val="5,455"/>
        <filter val="5,467"/>
      </filters>
    </filterColumn>
  </autoFilter>
  <mergeCells count="33">
    <mergeCell ref="H14:H15"/>
    <mergeCell ref="I14:I15"/>
    <mergeCell ref="U14:U15"/>
    <mergeCell ref="U16:U17"/>
    <mergeCell ref="I18:I19"/>
    <mergeCell ref="U18:U19"/>
    <mergeCell ref="I16:I17"/>
    <mergeCell ref="D16:D17"/>
    <mergeCell ref="E16:E17"/>
    <mergeCell ref="F16:F17"/>
    <mergeCell ref="G16:G17"/>
    <mergeCell ref="H16:H17"/>
    <mergeCell ref="D18:D19"/>
    <mergeCell ref="E18:E19"/>
    <mergeCell ref="F18:F19"/>
    <mergeCell ref="G18:G19"/>
    <mergeCell ref="H18:H19"/>
    <mergeCell ref="B14:B15"/>
    <mergeCell ref="D14:D15"/>
    <mergeCell ref="E14:E15"/>
    <mergeCell ref="F14:F15"/>
    <mergeCell ref="G14:G15"/>
    <mergeCell ref="A1:C1"/>
    <mergeCell ref="A2:B2"/>
    <mergeCell ref="S2:AB2"/>
    <mergeCell ref="B12:B13"/>
    <mergeCell ref="D12:D13"/>
    <mergeCell ref="E12:E13"/>
    <mergeCell ref="F12:F13"/>
    <mergeCell ref="G12:G13"/>
    <mergeCell ref="H12:H13"/>
    <mergeCell ref="I12:I13"/>
    <mergeCell ref="U12:U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codeName="Hoja1">
    <tabColor rgb="FF00B0F0"/>
    <pageSetUpPr fitToPage="1"/>
  </sheetPr>
  <dimension ref="A1:AC18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4" width="7.28515625" customWidth="1"/>
    <col min="5" max="5" width="9.140625" hidden="1" customWidth="1"/>
    <col min="6" max="6" width="11.42578125" customWidth="1"/>
    <col min="7" max="7" width="6.85546875" hidden="1" customWidth="1"/>
    <col min="8" max="8" width="12.140625" style="110" customWidth="1"/>
    <col min="9" max="9" width="10.140625" style="110" customWidth="1"/>
    <col min="10" max="10" width="3.140625" hidden="1" customWidth="1"/>
    <col min="11" max="12" width="9.42578125" hidden="1" customWidth="1"/>
    <col min="13" max="13" width="8.85546875" hidden="1" customWidth="1"/>
    <col min="14" max="14" width="9.7109375" hidden="1" customWidth="1"/>
    <col min="15" max="15" width="3.140625" hidden="1" customWidth="1"/>
    <col min="16" max="16" width="11.140625" hidden="1" customWidth="1"/>
    <col min="17" max="17" width="10.140625" hidden="1" customWidth="1"/>
    <col min="18" max="18" width="3.140625" hidden="1" customWidth="1"/>
    <col min="19" max="19" width="8.140625" hidden="1" customWidth="1"/>
    <col min="20" max="20" width="8" hidden="1" customWidth="1"/>
    <col min="21" max="21" width="10.140625" customWidth="1"/>
    <col min="22" max="22" width="10" hidden="1" customWidth="1"/>
    <col min="23" max="23" width="8.28515625" hidden="1" customWidth="1"/>
    <col min="24" max="24" width="8.85546875" hidden="1" customWidth="1"/>
    <col min="25" max="25" width="9.140625" hidden="1" customWidth="1"/>
    <col min="26" max="26" width="10.7109375" hidden="1" customWidth="1"/>
    <col min="27" max="27" width="12.28515625" customWidth="1"/>
  </cols>
  <sheetData>
    <row r="1" spans="1:29" ht="47.25" thickBot="1" x14ac:dyDescent="0.3">
      <c r="A1" s="527" t="s">
        <v>0</v>
      </c>
      <c r="B1" s="528"/>
      <c r="C1" s="529"/>
      <c r="E1" s="1"/>
      <c r="F1" s="1"/>
      <c r="G1" s="1"/>
      <c r="H1" s="93"/>
      <c r="I1" s="93"/>
      <c r="U1" s="1"/>
    </row>
    <row r="2" spans="1:29" ht="24.75" customHeight="1" thickBot="1" x14ac:dyDescent="0.35">
      <c r="A2" s="530" t="s">
        <v>1</v>
      </c>
      <c r="B2" s="531"/>
      <c r="C2" s="105">
        <v>45484</v>
      </c>
      <c r="E2" s="1"/>
      <c r="F2" s="1"/>
      <c r="G2" s="3" t="s">
        <v>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9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6</v>
      </c>
      <c r="F3" s="4" t="s">
        <v>7</v>
      </c>
      <c r="G3" s="18" t="s">
        <v>83</v>
      </c>
      <c r="H3" s="18" t="s">
        <v>59</v>
      </c>
      <c r="I3" s="18" t="s">
        <v>79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8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4" t="s">
        <v>46</v>
      </c>
      <c r="AC3" s="91" t="s">
        <v>85</v>
      </c>
    </row>
    <row r="4" spans="1:29" ht="18.75" x14ac:dyDescent="0.3">
      <c r="A4" s="70">
        <v>510</v>
      </c>
      <c r="B4" s="111" t="s">
        <v>30</v>
      </c>
      <c r="C4" s="71" t="s">
        <v>31</v>
      </c>
      <c r="D4" s="74">
        <v>0.25</v>
      </c>
      <c r="E4" s="72">
        <v>30</v>
      </c>
      <c r="F4" s="72">
        <v>1363.6363636363637</v>
      </c>
      <c r="G4" s="72">
        <v>3</v>
      </c>
      <c r="H4" s="72">
        <v>4090.909090909091</v>
      </c>
      <c r="I4" s="72"/>
      <c r="J4" s="92"/>
      <c r="K4" s="136"/>
      <c r="L4" s="137"/>
      <c r="M4" s="137"/>
      <c r="N4" s="132"/>
      <c r="O4" s="92"/>
      <c r="P4" s="131"/>
      <c r="Q4" s="132"/>
      <c r="R4" s="92"/>
      <c r="S4" s="96">
        <v>4</v>
      </c>
      <c r="T4" s="39">
        <v>30</v>
      </c>
      <c r="U4" s="39">
        <v>5454.545454545455</v>
      </c>
      <c r="V4" s="120">
        <v>2.1999999999999999E-2</v>
      </c>
      <c r="W4" s="121">
        <v>22</v>
      </c>
      <c r="X4" s="39">
        <v>1363.6363636363637</v>
      </c>
      <c r="Y4" s="39">
        <v>6000</v>
      </c>
      <c r="Z4" s="122">
        <v>6.6</v>
      </c>
      <c r="AA4" s="107" t="s">
        <v>47</v>
      </c>
    </row>
    <row r="5" spans="1:29" ht="18.75" x14ac:dyDescent="0.3">
      <c r="A5" s="76">
        <v>506</v>
      </c>
      <c r="B5" s="106" t="s">
        <v>28</v>
      </c>
      <c r="C5" s="69" t="s">
        <v>29</v>
      </c>
      <c r="D5" s="68">
        <v>0.75</v>
      </c>
      <c r="E5" s="67">
        <v>180</v>
      </c>
      <c r="F5" s="67">
        <v>8200.4555808656041</v>
      </c>
      <c r="G5" s="67">
        <v>2</v>
      </c>
      <c r="H5" s="67">
        <v>2733.4851936218674</v>
      </c>
      <c r="I5" s="67"/>
      <c r="J5" s="92"/>
      <c r="K5" s="134"/>
      <c r="L5" s="39"/>
      <c r="M5" s="39"/>
      <c r="N5" s="128"/>
      <c r="O5" s="92"/>
      <c r="P5" s="96"/>
      <c r="Q5" s="128"/>
      <c r="R5" s="92"/>
      <c r="S5" s="96">
        <v>8</v>
      </c>
      <c r="T5" s="39">
        <v>30</v>
      </c>
      <c r="U5" s="39">
        <v>10933.940774487472</v>
      </c>
      <c r="V5" s="120">
        <v>2.1950000000000001E-2</v>
      </c>
      <c r="W5" s="121">
        <v>21.95</v>
      </c>
      <c r="X5" s="39">
        <v>1366.7425968109339</v>
      </c>
      <c r="Y5" s="39">
        <v>18612</v>
      </c>
      <c r="Z5" s="122">
        <v>20.426670000000001</v>
      </c>
      <c r="AA5" s="108" t="s">
        <v>47</v>
      </c>
    </row>
    <row r="6" spans="1:29" ht="18.75" x14ac:dyDescent="0.3">
      <c r="A6" s="76">
        <v>654</v>
      </c>
      <c r="B6" s="106" t="s">
        <v>22</v>
      </c>
      <c r="C6" s="69" t="s">
        <v>23</v>
      </c>
      <c r="D6" s="68">
        <v>0.84000000000000008</v>
      </c>
      <c r="E6" s="67">
        <v>54.179999999999993</v>
      </c>
      <c r="F6" s="67">
        <v>2520</v>
      </c>
      <c r="G6" s="67">
        <v>4</v>
      </c>
      <c r="H6" s="67">
        <v>480</v>
      </c>
      <c r="I6" s="67"/>
      <c r="J6" s="92"/>
      <c r="K6" s="134"/>
      <c r="L6" s="39"/>
      <c r="M6" s="121"/>
      <c r="N6" s="129"/>
      <c r="O6" s="92"/>
      <c r="P6" s="96"/>
      <c r="Q6" s="129"/>
      <c r="R6" s="92"/>
      <c r="S6" s="96">
        <v>25</v>
      </c>
      <c r="T6" s="121">
        <v>2.5799999999999996</v>
      </c>
      <c r="U6" s="39">
        <v>3000</v>
      </c>
      <c r="V6" s="120">
        <v>2.1499999999999998E-2</v>
      </c>
      <c r="W6" s="121">
        <v>21.5</v>
      </c>
      <c r="X6" s="39">
        <v>120</v>
      </c>
      <c r="Y6" s="39">
        <v>1200</v>
      </c>
      <c r="Z6" s="122">
        <v>15</v>
      </c>
      <c r="AA6" s="108" t="s">
        <v>53</v>
      </c>
    </row>
    <row r="7" spans="1:29" ht="37.5" x14ac:dyDescent="0.25">
      <c r="A7" s="551" t="s">
        <v>84</v>
      </c>
      <c r="B7" s="552"/>
      <c r="C7" s="552"/>
      <c r="D7" s="552"/>
      <c r="E7" s="552"/>
      <c r="F7" s="552"/>
      <c r="G7" s="552"/>
      <c r="H7" s="552"/>
      <c r="I7" s="552"/>
      <c r="J7" s="552"/>
      <c r="K7" s="552"/>
      <c r="L7" s="552"/>
      <c r="M7" s="552"/>
      <c r="N7" s="552"/>
      <c r="O7" s="552"/>
      <c r="P7" s="552"/>
      <c r="Q7" s="552"/>
      <c r="R7" s="552"/>
      <c r="S7" s="552"/>
      <c r="T7" s="552"/>
      <c r="U7" s="552"/>
      <c r="V7" s="552"/>
      <c r="W7" s="552"/>
      <c r="X7" s="552"/>
      <c r="Y7" s="552"/>
      <c r="Z7" s="552"/>
      <c r="AA7" s="553"/>
      <c r="AB7" s="140" t="s">
        <v>80</v>
      </c>
    </row>
    <row r="8" spans="1:29" ht="18.75" x14ac:dyDescent="0.3">
      <c r="A8" s="76">
        <v>824</v>
      </c>
      <c r="B8" s="536" t="s">
        <v>32</v>
      </c>
      <c r="C8" s="69" t="s">
        <v>36</v>
      </c>
      <c r="D8" s="537">
        <v>0</v>
      </c>
      <c r="E8" s="540">
        <v>0</v>
      </c>
      <c r="F8" s="540">
        <v>0</v>
      </c>
      <c r="G8" s="540">
        <v>12</v>
      </c>
      <c r="H8" s="540">
        <v>3456</v>
      </c>
      <c r="I8" s="540"/>
      <c r="J8" s="92"/>
      <c r="K8" s="134"/>
      <c r="L8" s="39"/>
      <c r="M8" s="121"/>
      <c r="N8" s="129"/>
      <c r="O8" s="92"/>
      <c r="P8" s="96"/>
      <c r="Q8" s="129"/>
      <c r="R8" s="92"/>
      <c r="S8" s="96">
        <v>12</v>
      </c>
      <c r="T8" s="121">
        <v>5.8</v>
      </c>
      <c r="U8" s="541">
        <v>3456</v>
      </c>
      <c r="V8" s="120">
        <v>2.0899999999999998E-2</v>
      </c>
      <c r="W8" s="121">
        <v>20.9</v>
      </c>
      <c r="X8" s="39">
        <v>288</v>
      </c>
      <c r="Y8" s="39">
        <v>8000</v>
      </c>
      <c r="Z8" s="122">
        <v>55.666666666666664</v>
      </c>
      <c r="AA8" s="108" t="s">
        <v>49</v>
      </c>
      <c r="AB8" s="122">
        <v>2400</v>
      </c>
    </row>
    <row r="9" spans="1:29" ht="18.75" x14ac:dyDescent="0.3">
      <c r="A9" s="76">
        <v>26</v>
      </c>
      <c r="B9" s="536"/>
      <c r="C9" s="69" t="s">
        <v>37</v>
      </c>
      <c r="D9" s="537">
        <v>0</v>
      </c>
      <c r="E9" s="540"/>
      <c r="F9" s="540"/>
      <c r="G9" s="540"/>
      <c r="H9" s="540">
        <v>0</v>
      </c>
      <c r="I9" s="540"/>
      <c r="J9" s="92"/>
      <c r="K9" s="134"/>
      <c r="L9" s="39"/>
      <c r="M9" s="121"/>
      <c r="N9" s="129"/>
      <c r="O9" s="92"/>
      <c r="P9" s="96"/>
      <c r="Q9" s="129"/>
      <c r="R9" s="92"/>
      <c r="S9" s="96">
        <v>12</v>
      </c>
      <c r="T9" s="121">
        <v>5.8</v>
      </c>
      <c r="U9" s="541"/>
      <c r="V9" s="120">
        <v>2.0899999999999998E-2</v>
      </c>
      <c r="W9" s="121">
        <v>20.9</v>
      </c>
      <c r="X9" s="39">
        <v>288</v>
      </c>
      <c r="Y9" s="39">
        <v>2688</v>
      </c>
      <c r="Z9" s="122"/>
      <c r="AA9" s="108" t="s">
        <v>49</v>
      </c>
      <c r="AB9" s="122">
        <v>2400</v>
      </c>
    </row>
    <row r="10" spans="1:29" ht="18.75" x14ac:dyDescent="0.3">
      <c r="A10" s="76">
        <v>825</v>
      </c>
      <c r="B10" s="536" t="s">
        <v>35</v>
      </c>
      <c r="C10" s="69" t="s">
        <v>33</v>
      </c>
      <c r="D10" s="537">
        <v>0</v>
      </c>
      <c r="E10" s="540">
        <v>0</v>
      </c>
      <c r="F10" s="540">
        <v>0</v>
      </c>
      <c r="G10" s="540">
        <v>24</v>
      </c>
      <c r="H10" s="540">
        <v>3456</v>
      </c>
      <c r="I10" s="540"/>
      <c r="J10" s="92"/>
      <c r="K10" s="134"/>
      <c r="L10" s="39"/>
      <c r="M10" s="121"/>
      <c r="N10" s="129"/>
      <c r="O10" s="92"/>
      <c r="P10" s="96"/>
      <c r="Q10" s="129"/>
      <c r="R10" s="92"/>
      <c r="S10" s="96">
        <v>24</v>
      </c>
      <c r="T10" s="121">
        <v>5.8</v>
      </c>
      <c r="U10" s="541">
        <v>3456</v>
      </c>
      <c r="V10" s="120">
        <v>3.95E-2</v>
      </c>
      <c r="W10" s="121">
        <v>39.5</v>
      </c>
      <c r="X10" s="39">
        <v>144</v>
      </c>
      <c r="Y10" s="39">
        <v>4320</v>
      </c>
      <c r="Z10" s="122">
        <v>75</v>
      </c>
      <c r="AA10" s="108" t="s">
        <v>49</v>
      </c>
      <c r="AB10" s="122">
        <v>1346</v>
      </c>
    </row>
    <row r="11" spans="1:29" ht="18.75" x14ac:dyDescent="0.3">
      <c r="A11" s="76">
        <v>27</v>
      </c>
      <c r="B11" s="536"/>
      <c r="C11" s="69" t="s">
        <v>34</v>
      </c>
      <c r="D11" s="537">
        <v>0</v>
      </c>
      <c r="E11" s="540"/>
      <c r="F11" s="540"/>
      <c r="G11" s="540"/>
      <c r="H11" s="540">
        <v>0</v>
      </c>
      <c r="I11" s="540"/>
      <c r="J11" s="92"/>
      <c r="K11" s="134"/>
      <c r="L11" s="39"/>
      <c r="M11" s="121"/>
      <c r="N11" s="129"/>
      <c r="O11" s="92"/>
      <c r="P11" s="96"/>
      <c r="Q11" s="129"/>
      <c r="R11" s="92"/>
      <c r="S11" s="96">
        <v>24</v>
      </c>
      <c r="T11" s="121">
        <v>5.8</v>
      </c>
      <c r="U11" s="541"/>
      <c r="V11" s="120">
        <v>3.9200000000000006E-2</v>
      </c>
      <c r="W11" s="121">
        <v>39.200000000000003</v>
      </c>
      <c r="X11" s="39">
        <v>144</v>
      </c>
      <c r="Y11" s="39">
        <v>2880</v>
      </c>
      <c r="Z11" s="122"/>
      <c r="AA11" s="108" t="s">
        <v>49</v>
      </c>
      <c r="AB11" s="122">
        <v>1346</v>
      </c>
    </row>
    <row r="12" spans="1:29" ht="21.2" customHeight="1" x14ac:dyDescent="0.3">
      <c r="A12" s="76">
        <v>29</v>
      </c>
      <c r="B12" s="106" t="s">
        <v>42</v>
      </c>
      <c r="C12" s="69" t="s">
        <v>51</v>
      </c>
      <c r="D12" s="537">
        <v>0</v>
      </c>
      <c r="E12" s="540">
        <v>0</v>
      </c>
      <c r="F12" s="545">
        <v>0</v>
      </c>
      <c r="G12" s="540">
        <v>80</v>
      </c>
      <c r="H12" s="540">
        <v>1920</v>
      </c>
      <c r="I12" s="540"/>
      <c r="J12" s="92"/>
      <c r="K12" s="134"/>
      <c r="L12" s="39"/>
      <c r="M12" s="39"/>
      <c r="N12" s="128"/>
      <c r="O12" s="92"/>
      <c r="P12" s="96"/>
      <c r="Q12" s="128"/>
      <c r="R12" s="92"/>
      <c r="S12" s="96">
        <v>80</v>
      </c>
      <c r="T12" s="39">
        <v>2.4</v>
      </c>
      <c r="U12" s="541">
        <v>1920</v>
      </c>
      <c r="V12" s="120">
        <v>8.8999999999999996E-2</v>
      </c>
      <c r="W12" s="121">
        <v>89</v>
      </c>
      <c r="X12" s="39">
        <v>24</v>
      </c>
      <c r="Y12" s="123">
        <v>1704</v>
      </c>
      <c r="Z12" s="122">
        <v>213</v>
      </c>
      <c r="AA12" s="108" t="s">
        <v>50</v>
      </c>
      <c r="AB12" s="122"/>
    </row>
    <row r="13" spans="1:29" ht="21.2" customHeight="1" x14ac:dyDescent="0.3">
      <c r="A13" s="76">
        <v>828</v>
      </c>
      <c r="B13" s="106" t="s">
        <v>42</v>
      </c>
      <c r="C13" s="69" t="s">
        <v>60</v>
      </c>
      <c r="D13" s="537">
        <v>0</v>
      </c>
      <c r="E13" s="540"/>
      <c r="F13" s="545"/>
      <c r="G13" s="540"/>
      <c r="H13" s="540">
        <v>0</v>
      </c>
      <c r="I13" s="540"/>
      <c r="J13" s="92"/>
      <c r="K13" s="134"/>
      <c r="L13" s="39"/>
      <c r="M13" s="39"/>
      <c r="N13" s="128"/>
      <c r="O13" s="92"/>
      <c r="P13" s="96"/>
      <c r="Q13" s="128"/>
      <c r="R13" s="92"/>
      <c r="S13" s="96">
        <v>40</v>
      </c>
      <c r="T13" s="39">
        <v>2.4</v>
      </c>
      <c r="U13" s="541"/>
      <c r="V13" s="120">
        <v>8.8999999999999996E-2</v>
      </c>
      <c r="W13" s="121">
        <v>89</v>
      </c>
      <c r="X13" s="39">
        <v>24</v>
      </c>
      <c r="Y13" s="123">
        <v>768</v>
      </c>
      <c r="Z13" s="122">
        <v>96</v>
      </c>
      <c r="AA13" s="108" t="s">
        <v>50</v>
      </c>
      <c r="AB13" s="122"/>
    </row>
    <row r="14" spans="1:29" ht="21.2" customHeight="1" x14ac:dyDescent="0.3">
      <c r="A14" s="76">
        <v>30</v>
      </c>
      <c r="B14" s="106" t="s">
        <v>43</v>
      </c>
      <c r="C14" s="69" t="s">
        <v>52</v>
      </c>
      <c r="D14" s="537">
        <v>0</v>
      </c>
      <c r="E14" s="540">
        <v>0</v>
      </c>
      <c r="F14" s="545">
        <v>0</v>
      </c>
      <c r="G14" s="540">
        <v>80</v>
      </c>
      <c r="H14" s="540">
        <v>2400</v>
      </c>
      <c r="I14" s="540"/>
      <c r="J14" s="92"/>
      <c r="K14" s="134"/>
      <c r="L14" s="39"/>
      <c r="M14" s="39"/>
      <c r="N14" s="128"/>
      <c r="O14" s="92"/>
      <c r="P14" s="96"/>
      <c r="Q14" s="128"/>
      <c r="R14" s="92"/>
      <c r="S14" s="96">
        <v>100</v>
      </c>
      <c r="T14" s="39">
        <v>3.2</v>
      </c>
      <c r="U14" s="541">
        <v>2400</v>
      </c>
      <c r="V14" s="120">
        <v>0.124</v>
      </c>
      <c r="W14" s="121">
        <v>124</v>
      </c>
      <c r="X14" s="39">
        <v>24</v>
      </c>
      <c r="Y14" s="123">
        <v>2184</v>
      </c>
      <c r="Z14" s="122">
        <v>273</v>
      </c>
      <c r="AA14" s="108" t="s">
        <v>50</v>
      </c>
      <c r="AB14" s="122"/>
    </row>
    <row r="15" spans="1:29" ht="19.5" thickBot="1" x14ac:dyDescent="0.35">
      <c r="A15" s="78">
        <v>830</v>
      </c>
      <c r="B15" s="112" t="s">
        <v>43</v>
      </c>
      <c r="C15" s="79" t="s">
        <v>61</v>
      </c>
      <c r="D15" s="542">
        <v>0</v>
      </c>
      <c r="E15" s="544">
        <v>0</v>
      </c>
      <c r="F15" s="546"/>
      <c r="G15" s="544"/>
      <c r="H15" s="544">
        <v>0</v>
      </c>
      <c r="I15" s="544"/>
      <c r="J15" s="92"/>
      <c r="K15" s="135"/>
      <c r="L15" s="119"/>
      <c r="M15" s="119"/>
      <c r="N15" s="130"/>
      <c r="O15" s="92"/>
      <c r="P15" s="98"/>
      <c r="Q15" s="130"/>
      <c r="R15" s="92"/>
      <c r="S15" s="98">
        <v>80</v>
      </c>
      <c r="T15" s="119">
        <v>3.2</v>
      </c>
      <c r="U15" s="547"/>
      <c r="V15" s="124">
        <v>0.124</v>
      </c>
      <c r="W15" s="125">
        <v>124</v>
      </c>
      <c r="X15" s="119">
        <v>24</v>
      </c>
      <c r="Y15" s="126">
        <v>1728</v>
      </c>
      <c r="Z15" s="127">
        <v>216</v>
      </c>
      <c r="AA15" s="109" t="s">
        <v>50</v>
      </c>
      <c r="AB15" s="127"/>
    </row>
    <row r="16" spans="1:29" ht="15.75" thickBot="1" x14ac:dyDescent="0.3"/>
    <row r="17" spans="3:3" ht="18.75" x14ac:dyDescent="0.25">
      <c r="C17" s="142" t="s">
        <v>81</v>
      </c>
    </row>
    <row r="18" spans="3:3" ht="19.5" thickBot="1" x14ac:dyDescent="0.3">
      <c r="C18" s="143" t="s">
        <v>82</v>
      </c>
    </row>
  </sheetData>
  <autoFilter ref="A3:AB6" xr:uid="{00000000-0009-0000-0000-000049000000}">
    <sortState ref="A4:AB6">
      <sortCondition ref="D3:D6"/>
    </sortState>
  </autoFilter>
  <mergeCells count="33">
    <mergeCell ref="A1:C1"/>
    <mergeCell ref="A2:B2"/>
    <mergeCell ref="B8:B9"/>
    <mergeCell ref="D8:D9"/>
    <mergeCell ref="E8:E9"/>
    <mergeCell ref="H10:H11"/>
    <mergeCell ref="U10:U11"/>
    <mergeCell ref="I8:I9"/>
    <mergeCell ref="F8:F9"/>
    <mergeCell ref="G8:G9"/>
    <mergeCell ref="H8:H9"/>
    <mergeCell ref="I10:I11"/>
    <mergeCell ref="B10:B11"/>
    <mergeCell ref="D10:D11"/>
    <mergeCell ref="E10:E11"/>
    <mergeCell ref="F10:F11"/>
    <mergeCell ref="G10:G11"/>
    <mergeCell ref="I12:I13"/>
    <mergeCell ref="I14:I15"/>
    <mergeCell ref="A7:AA7"/>
    <mergeCell ref="U12:U13"/>
    <mergeCell ref="D14:D15"/>
    <mergeCell ref="E14:E15"/>
    <mergeCell ref="F14:F15"/>
    <mergeCell ref="G14:G15"/>
    <mergeCell ref="H14:H15"/>
    <mergeCell ref="U14:U15"/>
    <mergeCell ref="D12:D13"/>
    <mergeCell ref="E12:E13"/>
    <mergeCell ref="F12:F13"/>
    <mergeCell ref="G12:G13"/>
    <mergeCell ref="H12:H13"/>
    <mergeCell ref="U8:U9"/>
  </mergeCells>
  <printOptions horizontalCentered="1" verticalCentered="1"/>
  <pageMargins left="0.25" right="0.25" top="0.75" bottom="0.75" header="0.3" footer="0.3"/>
  <pageSetup paperSize="9" fitToWidth="0" orientation="landscape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 codeName="Hoja3">
    <tabColor rgb="FF00B0F0"/>
  </sheetPr>
  <dimension ref="A1:AB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4" width="7.28515625" customWidth="1"/>
    <col min="5" max="5" width="12.140625" customWidth="1"/>
    <col min="6" max="6" width="9.140625" customWidth="1"/>
    <col min="7" max="7" width="11.42578125" customWidth="1"/>
    <col min="8" max="8" width="8.42578125" customWidth="1"/>
    <col min="9" max="9" width="12.140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7" width="10.7109375" customWidth="1"/>
    <col min="28" max="28" width="11.85546875" customWidth="1"/>
  </cols>
  <sheetData>
    <row r="1" spans="1:28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8" ht="24.75" customHeight="1" thickBot="1" x14ac:dyDescent="0.35">
      <c r="A2" s="530" t="s">
        <v>1</v>
      </c>
      <c r="B2" s="531"/>
      <c r="C2" s="105">
        <f ca="1">+TODAY()</f>
        <v>46101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3"/>
      <c r="AB2" s="524"/>
    </row>
    <row r="3" spans="1:28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140" t="s">
        <v>80</v>
      </c>
      <c r="AB3" s="4" t="s">
        <v>46</v>
      </c>
    </row>
    <row r="4" spans="1:28" ht="18.75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0</v>
      </c>
      <c r="E4" s="73"/>
      <c r="F4" s="72">
        <f t="shared" ref="F4:F11" si="1">E4*T4</f>
        <v>0</v>
      </c>
      <c r="G4" s="72">
        <f t="shared" ref="G4:G11" si="2">+F4/V4</f>
        <v>0</v>
      </c>
      <c r="H4" s="72">
        <f t="shared" ref="H4:H12" si="3">IF(S4-E4&lt;0,0,S4-E4)</f>
        <v>5</v>
      </c>
      <c r="I4" s="72">
        <f t="shared" ref="I4:I19" si="4">+IF(U4-G4&lt;0,"",U4-G4)</f>
        <v>4552.3520485584222</v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41"/>
      <c r="AB4" s="107" t="s">
        <v>47</v>
      </c>
    </row>
    <row r="5" spans="1:28" ht="18.75" x14ac:dyDescent="0.3">
      <c r="A5" s="76">
        <v>706</v>
      </c>
      <c r="B5" s="106" t="s">
        <v>17</v>
      </c>
      <c r="C5" s="69" t="s">
        <v>18</v>
      </c>
      <c r="D5" s="68">
        <f t="shared" si="0"/>
        <v>0</v>
      </c>
      <c r="E5" s="66"/>
      <c r="F5" s="67">
        <f t="shared" si="1"/>
        <v>0</v>
      </c>
      <c r="G5" s="67">
        <f t="shared" si="2"/>
        <v>0</v>
      </c>
      <c r="H5" s="67">
        <f t="shared" si="3"/>
        <v>4</v>
      </c>
      <c r="I5" s="67">
        <f t="shared" si="4"/>
        <v>5466.9703872437358</v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1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22"/>
      <c r="AB5" s="108" t="s">
        <v>47</v>
      </c>
    </row>
    <row r="6" spans="1:28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0</v>
      </c>
      <c r="E6" s="66"/>
      <c r="F6" s="67">
        <f t="shared" si="1"/>
        <v>0</v>
      </c>
      <c r="G6" s="67">
        <f t="shared" si="2"/>
        <v>0</v>
      </c>
      <c r="H6" s="67">
        <f t="shared" si="3"/>
        <v>5</v>
      </c>
      <c r="I6" s="67">
        <f t="shared" si="4"/>
        <v>6833.7129840546695</v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22"/>
      <c r="AB6" s="108" t="s">
        <v>47</v>
      </c>
    </row>
    <row r="7" spans="1:28" ht="18.75" x14ac:dyDescent="0.3">
      <c r="A7" s="76">
        <v>654</v>
      </c>
      <c r="B7" s="106" t="s">
        <v>22</v>
      </c>
      <c r="C7" s="69" t="s">
        <v>23</v>
      </c>
      <c r="D7" s="68">
        <f t="shared" si="0"/>
        <v>0</v>
      </c>
      <c r="E7" s="66"/>
      <c r="F7" s="67">
        <f t="shared" si="1"/>
        <v>0</v>
      </c>
      <c r="G7" s="67">
        <f t="shared" si="2"/>
        <v>0</v>
      </c>
      <c r="H7" s="67">
        <f t="shared" si="3"/>
        <v>25</v>
      </c>
      <c r="I7" s="67">
        <f t="shared" si="4"/>
        <v>3000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22"/>
      <c r="AB7" s="108" t="s">
        <v>53</v>
      </c>
    </row>
    <row r="8" spans="1:28" ht="18.75" x14ac:dyDescent="0.3">
      <c r="A8" s="76">
        <v>558</v>
      </c>
      <c r="B8" s="106" t="s">
        <v>24</v>
      </c>
      <c r="C8" s="69" t="s">
        <v>25</v>
      </c>
      <c r="D8" s="68">
        <f t="shared" si="0"/>
        <v>0</v>
      </c>
      <c r="E8" s="66"/>
      <c r="F8" s="67">
        <f t="shared" si="1"/>
        <v>0</v>
      </c>
      <c r="G8" s="67">
        <f t="shared" si="2"/>
        <v>0</v>
      </c>
      <c r="H8" s="67">
        <f t="shared" si="3"/>
        <v>25</v>
      </c>
      <c r="I8" s="67">
        <f t="shared" si="4"/>
        <v>3000</v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22"/>
      <c r="AB8" s="108" t="s">
        <v>53</v>
      </c>
    </row>
    <row r="9" spans="1:28" ht="21.2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0</v>
      </c>
      <c r="E9" s="66"/>
      <c r="F9" s="67">
        <f t="shared" si="1"/>
        <v>0</v>
      </c>
      <c r="G9" s="67">
        <f t="shared" si="2"/>
        <v>0</v>
      </c>
      <c r="H9" s="67">
        <f t="shared" si="3"/>
        <v>25</v>
      </c>
      <c r="I9" s="67">
        <f t="shared" si="4"/>
        <v>3000</v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22"/>
      <c r="AB9" s="108" t="s">
        <v>53</v>
      </c>
    </row>
    <row r="10" spans="1:28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0</v>
      </c>
      <c r="E10" s="66"/>
      <c r="F10" s="67">
        <f t="shared" si="1"/>
        <v>0</v>
      </c>
      <c r="G10" s="67">
        <f t="shared" si="2"/>
        <v>0</v>
      </c>
      <c r="H10" s="67">
        <f t="shared" si="3"/>
        <v>8</v>
      </c>
      <c r="I10" s="67">
        <f t="shared" si="4"/>
        <v>10933.940774487472</v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22"/>
      <c r="AB10" s="108" t="s">
        <v>47</v>
      </c>
    </row>
    <row r="11" spans="1:28" ht="18.75" x14ac:dyDescent="0.3">
      <c r="A11" s="76">
        <v>510</v>
      </c>
      <c r="B11" s="106" t="s">
        <v>30</v>
      </c>
      <c r="C11" s="69" t="s">
        <v>31</v>
      </c>
      <c r="D11" s="68">
        <f t="shared" si="0"/>
        <v>0</v>
      </c>
      <c r="E11" s="66"/>
      <c r="F11" s="67">
        <f t="shared" si="1"/>
        <v>0</v>
      </c>
      <c r="G11" s="67">
        <f t="shared" si="2"/>
        <v>0</v>
      </c>
      <c r="H11" s="67">
        <f t="shared" si="3"/>
        <v>4</v>
      </c>
      <c r="I11" s="67">
        <f t="shared" si="4"/>
        <v>5454.545454545455</v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22"/>
      <c r="AB11" s="108" t="s">
        <v>47</v>
      </c>
    </row>
    <row r="12" spans="1:28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0</v>
      </c>
      <c r="E12" s="538"/>
      <c r="F12" s="540">
        <f>+E12*T12</f>
        <v>0</v>
      </c>
      <c r="G12" s="540">
        <f>+E12*S12</f>
        <v>0</v>
      </c>
      <c r="H12" s="540">
        <f t="shared" si="3"/>
        <v>12</v>
      </c>
      <c r="I12" s="540">
        <f t="shared" si="4"/>
        <v>3456</v>
      </c>
      <c r="J12" s="92"/>
      <c r="K12" s="134"/>
      <c r="L12" s="39"/>
      <c r="M12" s="121"/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ref="V12:V19" si="9">+W12/1000</f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22">
        <v>2400</v>
      </c>
      <c r="AB12" s="108" t="s">
        <v>49</v>
      </c>
    </row>
    <row r="13" spans="1:28" ht="18.75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4"/>
      <c r="L13" s="39"/>
      <c r="M13" s="121"/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9"/>
        <v>2.0899999999999998E-2</v>
      </c>
      <c r="W13" s="121">
        <v>20.9</v>
      </c>
      <c r="X13" s="39">
        <v>288</v>
      </c>
      <c r="Y13" s="39">
        <v>2688</v>
      </c>
      <c r="Z13" s="122"/>
      <c r="AA13" s="122">
        <v>2400</v>
      </c>
      <c r="AB13" s="108" t="s">
        <v>49</v>
      </c>
    </row>
    <row r="14" spans="1:28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/>
      <c r="F14" s="540">
        <f>+E14*T14</f>
        <v>0</v>
      </c>
      <c r="G14" s="540">
        <f>+E14*S14</f>
        <v>0</v>
      </c>
      <c r="H14" s="540">
        <f>IF(S14-E14&lt;0,0,S14-E14)</f>
        <v>24</v>
      </c>
      <c r="I14" s="540">
        <f t="shared" si="4"/>
        <v>3456</v>
      </c>
      <c r="J14" s="92"/>
      <c r="K14" s="134"/>
      <c r="L14" s="39"/>
      <c r="M14" s="121"/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9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22">
        <v>1346</v>
      </c>
      <c r="AB14" s="108" t="s">
        <v>49</v>
      </c>
    </row>
    <row r="15" spans="1:28" ht="18.75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4"/>
      <c r="L15" s="39"/>
      <c r="M15" s="121"/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9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22">
        <v>1346</v>
      </c>
      <c r="AB15" s="108" t="s">
        <v>49</v>
      </c>
    </row>
    <row r="16" spans="1:28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/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4"/>
      <c r="L16" s="39"/>
      <c r="M16" s="39"/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9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22"/>
      <c r="AB16" s="108" t="s">
        <v>50</v>
      </c>
    </row>
    <row r="17" spans="1:28" ht="21.2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4"/>
      <c r="L17" s="39"/>
      <c r="M17" s="39"/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9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22"/>
      <c r="AB17" s="108" t="s">
        <v>50</v>
      </c>
    </row>
    <row r="18" spans="1:28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/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4"/>
      <c r="L18" s="39"/>
      <c r="M18" s="39"/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9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22"/>
      <c r="AB18" s="108" t="s">
        <v>50</v>
      </c>
    </row>
    <row r="19" spans="1:28" ht="19.5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5"/>
      <c r="L19" s="119"/>
      <c r="M19" s="119"/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9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27"/>
      <c r="AB19" s="109" t="s">
        <v>50</v>
      </c>
    </row>
  </sheetData>
  <autoFilter ref="A3:Y18" xr:uid="{00000000-0009-0000-0000-00004A000000}"/>
  <mergeCells count="33">
    <mergeCell ref="S2:AB2"/>
    <mergeCell ref="A1:C1"/>
    <mergeCell ref="A2:B2"/>
    <mergeCell ref="B12:B13"/>
    <mergeCell ref="E12:E13"/>
    <mergeCell ref="F12:F13"/>
    <mergeCell ref="D12:D13"/>
    <mergeCell ref="G12:G13"/>
    <mergeCell ref="U12:U13"/>
    <mergeCell ref="H12:H13"/>
    <mergeCell ref="I12:I13"/>
    <mergeCell ref="B14:B15"/>
    <mergeCell ref="E14:E15"/>
    <mergeCell ref="F14:F15"/>
    <mergeCell ref="G14:G15"/>
    <mergeCell ref="U14:U15"/>
    <mergeCell ref="D18:D19"/>
    <mergeCell ref="D16:D17"/>
    <mergeCell ref="H16:H17"/>
    <mergeCell ref="H18:H19"/>
    <mergeCell ref="D14:D15"/>
    <mergeCell ref="H14:H15"/>
    <mergeCell ref="E16:E17"/>
    <mergeCell ref="F16:F17"/>
    <mergeCell ref="E18:E19"/>
    <mergeCell ref="F18:F19"/>
    <mergeCell ref="G16:G17"/>
    <mergeCell ref="G18:G19"/>
    <mergeCell ref="U16:U17"/>
    <mergeCell ref="U18:U19"/>
    <mergeCell ref="I16:I17"/>
    <mergeCell ref="I18:I19"/>
    <mergeCell ref="I14:I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 codeName="Hoja4">
    <tabColor rgb="FF00B0F0"/>
  </sheetPr>
  <dimension ref="A1:AA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4" width="7.28515625" customWidth="1"/>
    <col min="5" max="5" width="12.140625" customWidth="1"/>
    <col min="6" max="6" width="9.140625" customWidth="1"/>
    <col min="7" max="7" width="11.42578125" customWidth="1"/>
    <col min="8" max="8" width="8.42578125" customWidth="1"/>
    <col min="9" max="9" width="12.140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6" width="10.7109375" customWidth="1"/>
    <col min="27" max="27" width="11.85546875" customWidth="1"/>
  </cols>
  <sheetData>
    <row r="1" spans="1:27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7" ht="24.75" customHeight="1" thickBot="1" x14ac:dyDescent="0.35">
      <c r="A2" s="530" t="s">
        <v>1</v>
      </c>
      <c r="B2" s="531"/>
      <c r="C2" s="105">
        <v>45476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4"/>
    </row>
    <row r="3" spans="1:27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4" t="s">
        <v>46</v>
      </c>
    </row>
    <row r="4" spans="1:27" ht="18.75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1.4</v>
      </c>
      <c r="E4" s="73">
        <v>7</v>
      </c>
      <c r="F4" s="72">
        <f t="shared" ref="F4:F11" si="1">E4*T4</f>
        <v>210</v>
      </c>
      <c r="G4" s="72">
        <f t="shared" ref="G4:G11" si="2">+F4/V4</f>
        <v>6373.2928679817906</v>
      </c>
      <c r="H4" s="72">
        <f t="shared" ref="H4:H12" si="3">IF(S4-E4&lt;0,0,S4-E4)</f>
        <v>0</v>
      </c>
      <c r="I4" s="72" t="str">
        <f t="shared" ref="I4:I19" si="4">+IF(U4-G4&lt;0,"",U4-G4)</f>
        <v/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07" t="s">
        <v>47</v>
      </c>
    </row>
    <row r="5" spans="1:27" ht="18.75" x14ac:dyDescent="0.3">
      <c r="A5" s="76">
        <v>706</v>
      </c>
      <c r="B5" s="106" t="s">
        <v>17</v>
      </c>
      <c r="C5" s="69" t="s">
        <v>18</v>
      </c>
      <c r="D5" s="68">
        <f t="shared" si="0"/>
        <v>2.75</v>
      </c>
      <c r="E5" s="66">
        <v>11</v>
      </c>
      <c r="F5" s="67">
        <f t="shared" si="1"/>
        <v>330</v>
      </c>
      <c r="G5" s="67">
        <f t="shared" si="2"/>
        <v>15034.168564920274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9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08" t="s">
        <v>47</v>
      </c>
    </row>
    <row r="6" spans="1:27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1.2</v>
      </c>
      <c r="E6" s="66">
        <v>6</v>
      </c>
      <c r="F6" s="67">
        <f t="shared" si="1"/>
        <v>180</v>
      </c>
      <c r="G6" s="67">
        <f t="shared" si="2"/>
        <v>8200.4555808656041</v>
      </c>
      <c r="H6" s="67">
        <f t="shared" si="3"/>
        <v>0</v>
      </c>
      <c r="I6" s="67" t="str">
        <f t="shared" si="4"/>
        <v/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08" t="s">
        <v>47</v>
      </c>
    </row>
    <row r="7" spans="1:27" ht="18.75" x14ac:dyDescent="0.3">
      <c r="A7" s="76">
        <v>654</v>
      </c>
      <c r="B7" s="106" t="s">
        <v>22</v>
      </c>
      <c r="C7" s="69" t="s">
        <v>23</v>
      </c>
      <c r="D7" s="68">
        <f t="shared" si="0"/>
        <v>0.16</v>
      </c>
      <c r="E7" s="66">
        <v>4</v>
      </c>
      <c r="F7" s="67">
        <f t="shared" si="1"/>
        <v>10.319999999999999</v>
      </c>
      <c r="G7" s="67">
        <f t="shared" si="2"/>
        <v>479.99999999999994</v>
      </c>
      <c r="H7" s="67">
        <f t="shared" si="3"/>
        <v>21</v>
      </c>
      <c r="I7" s="67">
        <f t="shared" si="4"/>
        <v>2520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08" t="s">
        <v>53</v>
      </c>
    </row>
    <row r="8" spans="1:27" ht="18.75" x14ac:dyDescent="0.3">
      <c r="A8" s="76">
        <v>558</v>
      </c>
      <c r="B8" s="106" t="s">
        <v>24</v>
      </c>
      <c r="C8" s="69" t="s">
        <v>25</v>
      </c>
      <c r="D8" s="68">
        <f t="shared" si="0"/>
        <v>0.16</v>
      </c>
      <c r="E8" s="66">
        <v>4</v>
      </c>
      <c r="F8" s="67">
        <f t="shared" si="1"/>
        <v>7.2</v>
      </c>
      <c r="G8" s="67">
        <f t="shared" si="2"/>
        <v>464.51612903225811</v>
      </c>
      <c r="H8" s="67">
        <f t="shared" si="3"/>
        <v>21</v>
      </c>
      <c r="I8" s="67">
        <f t="shared" si="4"/>
        <v>2535.483870967742</v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08" t="s">
        <v>53</v>
      </c>
    </row>
    <row r="9" spans="1:27" ht="21.2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0.16</v>
      </c>
      <c r="E9" s="66">
        <v>4</v>
      </c>
      <c r="F9" s="67">
        <f t="shared" si="1"/>
        <v>7.2</v>
      </c>
      <c r="G9" s="67">
        <f t="shared" si="2"/>
        <v>452.83018867924528</v>
      </c>
      <c r="H9" s="67">
        <f t="shared" si="3"/>
        <v>21</v>
      </c>
      <c r="I9" s="67">
        <f t="shared" si="4"/>
        <v>2547.1698113207549</v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08" t="s">
        <v>53</v>
      </c>
    </row>
    <row r="10" spans="1:27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0.75</v>
      </c>
      <c r="E10" s="66">
        <v>6</v>
      </c>
      <c r="F10" s="67">
        <f t="shared" si="1"/>
        <v>180</v>
      </c>
      <c r="G10" s="67">
        <f t="shared" si="2"/>
        <v>8200.4555808656041</v>
      </c>
      <c r="H10" s="67">
        <f t="shared" si="3"/>
        <v>2</v>
      </c>
      <c r="I10" s="67">
        <f t="shared" si="4"/>
        <v>2733.4851936218674</v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08" t="s">
        <v>47</v>
      </c>
    </row>
    <row r="11" spans="1:27" ht="18.75" x14ac:dyDescent="0.3">
      <c r="A11" s="76">
        <v>510</v>
      </c>
      <c r="B11" s="106" t="s">
        <v>30</v>
      </c>
      <c r="C11" s="69" t="s">
        <v>31</v>
      </c>
      <c r="D11" s="68">
        <f t="shared" si="0"/>
        <v>0.25</v>
      </c>
      <c r="E11" s="66">
        <v>1</v>
      </c>
      <c r="F11" s="67">
        <f t="shared" si="1"/>
        <v>30</v>
      </c>
      <c r="G11" s="67">
        <f t="shared" si="2"/>
        <v>1363.6363636363637</v>
      </c>
      <c r="H11" s="67">
        <f t="shared" si="3"/>
        <v>3</v>
      </c>
      <c r="I11" s="67">
        <f t="shared" si="4"/>
        <v>4090.909090909091</v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08" t="s">
        <v>47</v>
      </c>
    </row>
    <row r="12" spans="1:27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0</v>
      </c>
      <c r="E12" s="538">
        <v>0</v>
      </c>
      <c r="F12" s="540">
        <f>+E12*T12</f>
        <v>0</v>
      </c>
      <c r="G12" s="540">
        <f>+E12*S12</f>
        <v>0</v>
      </c>
      <c r="H12" s="540">
        <f t="shared" si="3"/>
        <v>12</v>
      </c>
      <c r="I12" s="540">
        <f t="shared" si="4"/>
        <v>3456</v>
      </c>
      <c r="J12" s="92"/>
      <c r="K12" s="134"/>
      <c r="L12" s="39"/>
      <c r="M12" s="121"/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si="7"/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08" t="s">
        <v>49</v>
      </c>
    </row>
    <row r="13" spans="1:27" ht="18.75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4"/>
      <c r="L13" s="39"/>
      <c r="M13" s="121"/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7"/>
        <v>2.0899999999999998E-2</v>
      </c>
      <c r="W13" s="121">
        <v>20.9</v>
      </c>
      <c r="X13" s="39">
        <v>288</v>
      </c>
      <c r="Y13" s="39">
        <v>2688</v>
      </c>
      <c r="Z13" s="122"/>
      <c r="AA13" s="108" t="s">
        <v>49</v>
      </c>
    </row>
    <row r="14" spans="1:27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>
        <v>0</v>
      </c>
      <c r="F14" s="540">
        <f>+E14*T14</f>
        <v>0</v>
      </c>
      <c r="G14" s="540">
        <f>+E14*S14</f>
        <v>0</v>
      </c>
      <c r="H14" s="540">
        <f>IF(S14-E14&lt;0,0,S14-E14)</f>
        <v>24</v>
      </c>
      <c r="I14" s="540">
        <f t="shared" si="4"/>
        <v>3456</v>
      </c>
      <c r="J14" s="92"/>
      <c r="K14" s="134"/>
      <c r="L14" s="39"/>
      <c r="M14" s="121"/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7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08" t="s">
        <v>49</v>
      </c>
    </row>
    <row r="15" spans="1:27" ht="18.75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4"/>
      <c r="L15" s="39"/>
      <c r="M15" s="121"/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7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08" t="s">
        <v>49</v>
      </c>
    </row>
    <row r="16" spans="1:27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4"/>
      <c r="L16" s="39"/>
      <c r="M16" s="39"/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7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08" t="s">
        <v>50</v>
      </c>
    </row>
    <row r="17" spans="1:27" ht="21.2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4"/>
      <c r="L17" s="39"/>
      <c r="M17" s="39"/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7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08" t="s">
        <v>50</v>
      </c>
    </row>
    <row r="18" spans="1:27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>
        <v>0</v>
      </c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4"/>
      <c r="L18" s="39"/>
      <c r="M18" s="39"/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7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08" t="s">
        <v>50</v>
      </c>
    </row>
    <row r="19" spans="1:27" ht="19.5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5"/>
      <c r="L19" s="119"/>
      <c r="M19" s="119"/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7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09" t="s">
        <v>50</v>
      </c>
    </row>
  </sheetData>
  <autoFilter ref="A3:Y18" xr:uid="{00000000-0009-0000-0000-00004B000000}"/>
  <mergeCells count="33">
    <mergeCell ref="A1:C1"/>
    <mergeCell ref="A2:B2"/>
    <mergeCell ref="S2:AA2"/>
    <mergeCell ref="B12:B13"/>
    <mergeCell ref="D12:D13"/>
    <mergeCell ref="E12:E13"/>
    <mergeCell ref="F12:F13"/>
    <mergeCell ref="G12:G13"/>
    <mergeCell ref="H12:H13"/>
    <mergeCell ref="I12:I13"/>
    <mergeCell ref="U12:U13"/>
    <mergeCell ref="B14:B15"/>
    <mergeCell ref="D14:D15"/>
    <mergeCell ref="E14:E15"/>
    <mergeCell ref="F14:F15"/>
    <mergeCell ref="G14:G15"/>
    <mergeCell ref="D18:D19"/>
    <mergeCell ref="E18:E19"/>
    <mergeCell ref="F18:F19"/>
    <mergeCell ref="G18:G19"/>
    <mergeCell ref="H18:H19"/>
    <mergeCell ref="D16:D17"/>
    <mergeCell ref="E16:E17"/>
    <mergeCell ref="F16:F17"/>
    <mergeCell ref="G16:G17"/>
    <mergeCell ref="H16:H17"/>
    <mergeCell ref="H14:H15"/>
    <mergeCell ref="I14:I15"/>
    <mergeCell ref="U14:U15"/>
    <mergeCell ref="U16:U17"/>
    <mergeCell ref="I18:I19"/>
    <mergeCell ref="U18:U19"/>
    <mergeCell ref="I16:I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 codeName="Hoja5">
    <tabColor rgb="FF00B0F0"/>
  </sheetPr>
  <dimension ref="A1:AA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4" width="7.28515625" customWidth="1"/>
    <col min="5" max="5" width="12.140625" customWidth="1"/>
    <col min="6" max="6" width="9.140625" customWidth="1"/>
    <col min="7" max="7" width="11.42578125" customWidth="1"/>
    <col min="8" max="8" width="8.42578125" customWidth="1"/>
    <col min="9" max="9" width="12.140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6" width="10.7109375" customWidth="1"/>
    <col min="27" max="27" width="11.85546875" customWidth="1"/>
  </cols>
  <sheetData>
    <row r="1" spans="1:27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7" ht="24.75" customHeight="1" thickBot="1" x14ac:dyDescent="0.35">
      <c r="A2" s="530" t="s">
        <v>1</v>
      </c>
      <c r="B2" s="531"/>
      <c r="C2" s="105">
        <v>45469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4"/>
    </row>
    <row r="3" spans="1:27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4" t="s">
        <v>46</v>
      </c>
    </row>
    <row r="4" spans="1:27" ht="18.75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1.4</v>
      </c>
      <c r="E4" s="73">
        <v>7</v>
      </c>
      <c r="F4" s="72">
        <f t="shared" ref="F4:F11" si="1">E4*T4</f>
        <v>210</v>
      </c>
      <c r="G4" s="72">
        <f t="shared" ref="G4:G11" si="2">+F4/V4</f>
        <v>6373.2928679817906</v>
      </c>
      <c r="H4" s="72">
        <f t="shared" ref="H4:H12" si="3">IF(S4-E4&lt;0,0,S4-E4)</f>
        <v>0</v>
      </c>
      <c r="I4" s="72" t="str">
        <f t="shared" ref="I4:I19" si="4">+IF(U4-G4&lt;0,"",U4-G4)</f>
        <v/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07" t="s">
        <v>47</v>
      </c>
    </row>
    <row r="5" spans="1:27" ht="18.75" x14ac:dyDescent="0.3">
      <c r="A5" s="76">
        <v>706</v>
      </c>
      <c r="B5" s="106" t="s">
        <v>17</v>
      </c>
      <c r="C5" s="69" t="s">
        <v>18</v>
      </c>
      <c r="D5" s="68">
        <f t="shared" si="0"/>
        <v>2.75</v>
      </c>
      <c r="E5" s="66">
        <v>11</v>
      </c>
      <c r="F5" s="67">
        <f t="shared" si="1"/>
        <v>330</v>
      </c>
      <c r="G5" s="67">
        <f t="shared" si="2"/>
        <v>15034.168564920274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9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08" t="s">
        <v>47</v>
      </c>
    </row>
    <row r="6" spans="1:27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1.2</v>
      </c>
      <c r="E6" s="66">
        <v>6</v>
      </c>
      <c r="F6" s="67">
        <f t="shared" si="1"/>
        <v>180</v>
      </c>
      <c r="G6" s="67">
        <f t="shared" si="2"/>
        <v>8200.4555808656041</v>
      </c>
      <c r="H6" s="67">
        <f t="shared" si="3"/>
        <v>0</v>
      </c>
      <c r="I6" s="67" t="str">
        <f t="shared" si="4"/>
        <v/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08" t="s">
        <v>47</v>
      </c>
    </row>
    <row r="7" spans="1:27" ht="18.75" x14ac:dyDescent="0.3">
      <c r="A7" s="76">
        <v>654</v>
      </c>
      <c r="B7" s="106" t="s">
        <v>22</v>
      </c>
      <c r="C7" s="69" t="s">
        <v>23</v>
      </c>
      <c r="D7" s="68">
        <f t="shared" si="0"/>
        <v>0.28000000000000003</v>
      </c>
      <c r="E7" s="66">
        <v>7</v>
      </c>
      <c r="F7" s="67">
        <f t="shared" si="1"/>
        <v>18.059999999999999</v>
      </c>
      <c r="G7" s="67">
        <f t="shared" si="2"/>
        <v>840</v>
      </c>
      <c r="H7" s="67">
        <f t="shared" si="3"/>
        <v>18</v>
      </c>
      <c r="I7" s="67">
        <f t="shared" si="4"/>
        <v>2160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08" t="s">
        <v>53</v>
      </c>
    </row>
    <row r="8" spans="1:27" ht="18.75" x14ac:dyDescent="0.3">
      <c r="A8" s="76">
        <v>558</v>
      </c>
      <c r="B8" s="106" t="s">
        <v>24</v>
      </c>
      <c r="C8" s="69" t="s">
        <v>25</v>
      </c>
      <c r="D8" s="68">
        <f t="shared" si="0"/>
        <v>1.4</v>
      </c>
      <c r="E8" s="66">
        <v>35</v>
      </c>
      <c r="F8" s="67">
        <f t="shared" si="1"/>
        <v>63</v>
      </c>
      <c r="G8" s="67">
        <f t="shared" si="2"/>
        <v>4064.516129032258</v>
      </c>
      <c r="H8" s="67">
        <f t="shared" si="3"/>
        <v>0</v>
      </c>
      <c r="I8" s="67" t="str">
        <f t="shared" si="4"/>
        <v/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08" t="s">
        <v>53</v>
      </c>
    </row>
    <row r="9" spans="1:27" ht="21.2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1.6</v>
      </c>
      <c r="E9" s="66">
        <v>40</v>
      </c>
      <c r="F9" s="67">
        <f t="shared" si="1"/>
        <v>72</v>
      </c>
      <c r="G9" s="67">
        <f t="shared" si="2"/>
        <v>4528.3018867924529</v>
      </c>
      <c r="H9" s="67">
        <f t="shared" si="3"/>
        <v>0</v>
      </c>
      <c r="I9" s="67" t="str">
        <f t="shared" si="4"/>
        <v/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08" t="s">
        <v>53</v>
      </c>
    </row>
    <row r="10" spans="1:27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0.75</v>
      </c>
      <c r="E10" s="66">
        <v>6</v>
      </c>
      <c r="F10" s="67">
        <f t="shared" si="1"/>
        <v>180</v>
      </c>
      <c r="G10" s="67">
        <f t="shared" si="2"/>
        <v>8200.4555808656041</v>
      </c>
      <c r="H10" s="67">
        <f t="shared" si="3"/>
        <v>2</v>
      </c>
      <c r="I10" s="67">
        <f t="shared" si="4"/>
        <v>2733.4851936218674</v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08" t="s">
        <v>47</v>
      </c>
    </row>
    <row r="11" spans="1:27" ht="18.75" x14ac:dyDescent="0.3">
      <c r="A11" s="76">
        <v>510</v>
      </c>
      <c r="B11" s="106" t="s">
        <v>30</v>
      </c>
      <c r="C11" s="69" t="s">
        <v>31</v>
      </c>
      <c r="D11" s="68">
        <f t="shared" si="0"/>
        <v>1</v>
      </c>
      <c r="E11" s="66">
        <v>4</v>
      </c>
      <c r="F11" s="67">
        <f t="shared" si="1"/>
        <v>120</v>
      </c>
      <c r="G11" s="67">
        <f t="shared" si="2"/>
        <v>5454.545454545455</v>
      </c>
      <c r="H11" s="67">
        <f t="shared" si="3"/>
        <v>0</v>
      </c>
      <c r="I11" s="67">
        <f t="shared" si="4"/>
        <v>0</v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08" t="s">
        <v>47</v>
      </c>
    </row>
    <row r="12" spans="1:27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0</v>
      </c>
      <c r="E12" s="538">
        <v>0</v>
      </c>
      <c r="F12" s="540">
        <f>+E12*T12</f>
        <v>0</v>
      </c>
      <c r="G12" s="540">
        <f>+E12*S12</f>
        <v>0</v>
      </c>
      <c r="H12" s="540">
        <f t="shared" si="3"/>
        <v>12</v>
      </c>
      <c r="I12" s="540">
        <f t="shared" si="4"/>
        <v>3456</v>
      </c>
      <c r="J12" s="92"/>
      <c r="K12" s="134"/>
      <c r="L12" s="39"/>
      <c r="M12" s="121"/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si="7"/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08" t="s">
        <v>49</v>
      </c>
    </row>
    <row r="13" spans="1:27" ht="18.75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4"/>
      <c r="L13" s="39"/>
      <c r="M13" s="121"/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7"/>
        <v>2.0899999999999998E-2</v>
      </c>
      <c r="W13" s="121">
        <v>20.9</v>
      </c>
      <c r="X13" s="39">
        <v>288</v>
      </c>
      <c r="Y13" s="39">
        <v>2688</v>
      </c>
      <c r="Z13" s="122"/>
      <c r="AA13" s="108" t="s">
        <v>49</v>
      </c>
    </row>
    <row r="14" spans="1:27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>
        <v>0</v>
      </c>
      <c r="F14" s="540">
        <f>+E14*T14</f>
        <v>0</v>
      </c>
      <c r="G14" s="540">
        <f>+E14*S14</f>
        <v>0</v>
      </c>
      <c r="H14" s="540">
        <f>IF(S14-E14&lt;0,0,S14-E14)</f>
        <v>24</v>
      </c>
      <c r="I14" s="540">
        <f t="shared" si="4"/>
        <v>3456</v>
      </c>
      <c r="J14" s="92"/>
      <c r="K14" s="134"/>
      <c r="L14" s="39"/>
      <c r="M14" s="121"/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7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08" t="s">
        <v>49</v>
      </c>
    </row>
    <row r="15" spans="1:27" ht="18.75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4"/>
      <c r="L15" s="39"/>
      <c r="M15" s="121"/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7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08" t="s">
        <v>49</v>
      </c>
    </row>
    <row r="16" spans="1:27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4"/>
      <c r="L16" s="39"/>
      <c r="M16" s="39"/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7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08" t="s">
        <v>50</v>
      </c>
    </row>
    <row r="17" spans="1:27" ht="21.2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4"/>
      <c r="L17" s="39"/>
      <c r="M17" s="39"/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7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08" t="s">
        <v>50</v>
      </c>
    </row>
    <row r="18" spans="1:27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>
        <v>0</v>
      </c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4"/>
      <c r="L18" s="39"/>
      <c r="M18" s="39"/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7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08" t="s">
        <v>50</v>
      </c>
    </row>
    <row r="19" spans="1:27" ht="19.5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5"/>
      <c r="L19" s="119"/>
      <c r="M19" s="119"/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7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09" t="s">
        <v>50</v>
      </c>
    </row>
  </sheetData>
  <autoFilter ref="A3:Y18" xr:uid="{00000000-0009-0000-0000-00004C000000}"/>
  <mergeCells count="33">
    <mergeCell ref="A1:C1"/>
    <mergeCell ref="A2:B2"/>
    <mergeCell ref="S2:AA2"/>
    <mergeCell ref="B12:B13"/>
    <mergeCell ref="D12:D13"/>
    <mergeCell ref="E12:E13"/>
    <mergeCell ref="F12:F13"/>
    <mergeCell ref="G12:G13"/>
    <mergeCell ref="H12:H13"/>
    <mergeCell ref="I12:I13"/>
    <mergeCell ref="U12:U13"/>
    <mergeCell ref="B14:B15"/>
    <mergeCell ref="D14:D15"/>
    <mergeCell ref="E14:E15"/>
    <mergeCell ref="F14:F15"/>
    <mergeCell ref="G14:G15"/>
    <mergeCell ref="D18:D19"/>
    <mergeCell ref="E18:E19"/>
    <mergeCell ref="F18:F19"/>
    <mergeCell ref="G18:G19"/>
    <mergeCell ref="H18:H19"/>
    <mergeCell ref="D16:D17"/>
    <mergeCell ref="E16:E17"/>
    <mergeCell ref="F16:F17"/>
    <mergeCell ref="G16:G17"/>
    <mergeCell ref="H16:H17"/>
    <mergeCell ref="H14:H15"/>
    <mergeCell ref="I14:I15"/>
    <mergeCell ref="U14:U15"/>
    <mergeCell ref="U16:U17"/>
    <mergeCell ref="I18:I19"/>
    <mergeCell ref="U18:U19"/>
    <mergeCell ref="I16:I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 codeName="Hoja6">
    <tabColor rgb="FF00B0F0"/>
  </sheetPr>
  <dimension ref="A1:AA19"/>
  <sheetViews>
    <sheetView workbookViewId="0">
      <selection activeCell="K12" sqref="K12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8.140625" customWidth="1"/>
    <col min="4" max="4" width="5.42578125" customWidth="1"/>
    <col min="5" max="5" width="10.140625" customWidth="1"/>
    <col min="6" max="6" width="8.42578125" customWidth="1"/>
    <col min="7" max="7" width="9.28515625" customWidth="1"/>
    <col min="8" max="8" width="7.28515625" customWidth="1"/>
    <col min="9" max="9" width="9.7109375" style="110" customWidth="1"/>
    <col min="10" max="10" width="3.140625" hidden="1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6" width="10.7109375" customWidth="1"/>
    <col min="27" max="27" width="11.85546875" customWidth="1"/>
  </cols>
  <sheetData>
    <row r="1" spans="1:27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7" ht="24.75" customHeight="1" thickBot="1" x14ac:dyDescent="0.35">
      <c r="A2" s="530" t="s">
        <v>1</v>
      </c>
      <c r="B2" s="531"/>
      <c r="C2" s="105">
        <f ca="1">+TODAY()</f>
        <v>46101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4"/>
    </row>
    <row r="3" spans="1:27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4" t="s">
        <v>46</v>
      </c>
    </row>
    <row r="4" spans="1:27" ht="18.75" hidden="1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1.4</v>
      </c>
      <c r="E4" s="73">
        <v>7</v>
      </c>
      <c r="F4" s="72">
        <f t="shared" ref="F4:F11" si="1">E4*T4</f>
        <v>210</v>
      </c>
      <c r="G4" s="72">
        <f t="shared" ref="G4:G11" si="2">+F4/V4</f>
        <v>6373.2928679817906</v>
      </c>
      <c r="H4" s="72">
        <f t="shared" ref="H4:H12" si="3">IF(S4-E4&lt;0,0,S4-E4)</f>
        <v>0</v>
      </c>
      <c r="I4" s="72" t="str">
        <f t="shared" ref="I4:I19" si="4">+IF(U4-G4&lt;0,"",U4-G4)</f>
        <v/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07" t="s">
        <v>47</v>
      </c>
    </row>
    <row r="5" spans="1:27" ht="18.75" hidden="1" x14ac:dyDescent="0.3">
      <c r="A5" s="76">
        <v>706</v>
      </c>
      <c r="B5" s="106" t="s">
        <v>17</v>
      </c>
      <c r="C5" s="69" t="s">
        <v>18</v>
      </c>
      <c r="D5" s="68">
        <f t="shared" si="0"/>
        <v>2.75</v>
      </c>
      <c r="E5" s="66">
        <v>11</v>
      </c>
      <c r="F5" s="67">
        <f t="shared" si="1"/>
        <v>330</v>
      </c>
      <c r="G5" s="67">
        <f t="shared" si="2"/>
        <v>15034.168564920274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9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08" t="s">
        <v>47</v>
      </c>
    </row>
    <row r="6" spans="1:27" ht="18.75" hidden="1" x14ac:dyDescent="0.3">
      <c r="A6" s="76" t="s">
        <v>19</v>
      </c>
      <c r="B6" s="106" t="s">
        <v>20</v>
      </c>
      <c r="C6" s="69" t="s">
        <v>21</v>
      </c>
      <c r="D6" s="68">
        <f t="shared" si="0"/>
        <v>1</v>
      </c>
      <c r="E6" s="66">
        <v>5</v>
      </c>
      <c r="F6" s="67">
        <f t="shared" si="1"/>
        <v>150</v>
      </c>
      <c r="G6" s="67">
        <f t="shared" si="2"/>
        <v>6833.7129840546695</v>
      </c>
      <c r="H6" s="67">
        <f t="shared" si="3"/>
        <v>0</v>
      </c>
      <c r="I6" s="67">
        <f t="shared" si="4"/>
        <v>0</v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08" t="s">
        <v>47</v>
      </c>
    </row>
    <row r="7" spans="1:27" ht="18.75" hidden="1" x14ac:dyDescent="0.3">
      <c r="A7" s="76">
        <v>654</v>
      </c>
      <c r="B7" s="106" t="s">
        <v>22</v>
      </c>
      <c r="C7" s="69" t="s">
        <v>23</v>
      </c>
      <c r="D7" s="68">
        <f t="shared" si="0"/>
        <v>0.28000000000000003</v>
      </c>
      <c r="E7" s="66">
        <v>7</v>
      </c>
      <c r="F7" s="67">
        <f t="shared" si="1"/>
        <v>18.059999999999999</v>
      </c>
      <c r="G7" s="67">
        <f t="shared" si="2"/>
        <v>840</v>
      </c>
      <c r="H7" s="67">
        <f t="shared" si="3"/>
        <v>18</v>
      </c>
      <c r="I7" s="67">
        <f t="shared" si="4"/>
        <v>2160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08" t="s">
        <v>53</v>
      </c>
    </row>
    <row r="8" spans="1:27" ht="18.75" hidden="1" x14ac:dyDescent="0.3">
      <c r="A8" s="76">
        <v>558</v>
      </c>
      <c r="B8" s="106" t="s">
        <v>24</v>
      </c>
      <c r="C8" s="69" t="s">
        <v>25</v>
      </c>
      <c r="D8" s="68">
        <f t="shared" si="0"/>
        <v>1.4</v>
      </c>
      <c r="E8" s="66">
        <v>35</v>
      </c>
      <c r="F8" s="67">
        <f t="shared" si="1"/>
        <v>63</v>
      </c>
      <c r="G8" s="67">
        <f t="shared" si="2"/>
        <v>4064.516129032258</v>
      </c>
      <c r="H8" s="67">
        <f t="shared" si="3"/>
        <v>0</v>
      </c>
      <c r="I8" s="67" t="str">
        <f t="shared" si="4"/>
        <v/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08" t="s">
        <v>53</v>
      </c>
    </row>
    <row r="9" spans="1:27" ht="21.2" hidden="1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1.6</v>
      </c>
      <c r="E9" s="66">
        <v>40</v>
      </c>
      <c r="F9" s="67">
        <f t="shared" si="1"/>
        <v>72</v>
      </c>
      <c r="G9" s="67">
        <f t="shared" si="2"/>
        <v>4528.3018867924529</v>
      </c>
      <c r="H9" s="67">
        <f t="shared" si="3"/>
        <v>0</v>
      </c>
      <c r="I9" s="67" t="str">
        <f t="shared" si="4"/>
        <v/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08" t="s">
        <v>53</v>
      </c>
    </row>
    <row r="10" spans="1:27" ht="21.2" hidden="1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0.75</v>
      </c>
      <c r="E10" s="66">
        <v>6</v>
      </c>
      <c r="F10" s="67">
        <f t="shared" si="1"/>
        <v>180</v>
      </c>
      <c r="G10" s="67">
        <f t="shared" si="2"/>
        <v>8200.4555808656041</v>
      </c>
      <c r="H10" s="67">
        <f t="shared" si="3"/>
        <v>2</v>
      </c>
      <c r="I10" s="67">
        <f t="shared" si="4"/>
        <v>2733.4851936218674</v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08" t="s">
        <v>47</v>
      </c>
    </row>
    <row r="11" spans="1:27" ht="18.75" hidden="1" x14ac:dyDescent="0.3">
      <c r="A11" s="76">
        <v>510</v>
      </c>
      <c r="B11" s="106" t="s">
        <v>30</v>
      </c>
      <c r="C11" s="69" t="s">
        <v>31</v>
      </c>
      <c r="D11" s="68">
        <f t="shared" si="0"/>
        <v>0</v>
      </c>
      <c r="E11" s="66">
        <v>0</v>
      </c>
      <c r="F11" s="67">
        <f t="shared" si="1"/>
        <v>0</v>
      </c>
      <c r="G11" s="67">
        <f t="shared" si="2"/>
        <v>0</v>
      </c>
      <c r="H11" s="67">
        <f t="shared" si="3"/>
        <v>4</v>
      </c>
      <c r="I11" s="67">
        <f t="shared" si="4"/>
        <v>5454.545454545455</v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08" t="s">
        <v>47</v>
      </c>
    </row>
    <row r="12" spans="1:27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0</v>
      </c>
      <c r="E12" s="538">
        <v>0</v>
      </c>
      <c r="F12" s="540">
        <f>+E12*T12</f>
        <v>0</v>
      </c>
      <c r="G12" s="540">
        <f>+E12*S12</f>
        <v>0</v>
      </c>
      <c r="H12" s="540">
        <f t="shared" si="3"/>
        <v>12</v>
      </c>
      <c r="I12" s="540">
        <f t="shared" si="4"/>
        <v>3456</v>
      </c>
      <c r="J12" s="92"/>
      <c r="K12" s="139">
        <v>1.6294642857142858</v>
      </c>
      <c r="L12" s="39"/>
      <c r="M12" s="39">
        <v>365</v>
      </c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si="7"/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08" t="s">
        <v>49</v>
      </c>
    </row>
    <row r="13" spans="1:27" ht="18.75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9">
        <v>0.82799999999999996</v>
      </c>
      <c r="L13" s="39"/>
      <c r="M13" s="39">
        <v>184</v>
      </c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7"/>
        <v>2.0899999999999998E-2</v>
      </c>
      <c r="W13" s="121">
        <v>20.9</v>
      </c>
      <c r="X13" s="39">
        <v>288</v>
      </c>
      <c r="Y13" s="39">
        <v>2688</v>
      </c>
      <c r="Z13" s="122"/>
      <c r="AA13" s="108" t="s">
        <v>49</v>
      </c>
    </row>
    <row r="14" spans="1:27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>
        <v>0</v>
      </c>
      <c r="F14" s="540">
        <f>+E14*T14</f>
        <v>0</v>
      </c>
      <c r="G14" s="540">
        <f>+E14*S14</f>
        <v>0</v>
      </c>
      <c r="H14" s="540">
        <f>IF(S14-E14&lt;0,0,S14-E14)</f>
        <v>24</v>
      </c>
      <c r="I14" s="540">
        <f t="shared" si="4"/>
        <v>3456</v>
      </c>
      <c r="J14" s="92"/>
      <c r="K14" s="139">
        <v>0.9</v>
      </c>
      <c r="L14" s="39"/>
      <c r="M14" s="39">
        <v>108</v>
      </c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7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08" t="s">
        <v>49</v>
      </c>
    </row>
    <row r="15" spans="1:27" ht="18.75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9">
        <v>1.4466666666666668</v>
      </c>
      <c r="L15" s="39"/>
      <c r="M15" s="39">
        <v>217</v>
      </c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7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08" t="s">
        <v>49</v>
      </c>
    </row>
    <row r="16" spans="1:27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9">
        <v>0.971830985915493</v>
      </c>
      <c r="L16" s="39"/>
      <c r="M16" s="39">
        <v>69</v>
      </c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7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08" t="s">
        <v>50</v>
      </c>
    </row>
    <row r="17" spans="1:27" ht="21.2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9">
        <v>2.75</v>
      </c>
      <c r="L17" s="39"/>
      <c r="M17" s="39">
        <v>88</v>
      </c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7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08" t="s">
        <v>50</v>
      </c>
    </row>
    <row r="18" spans="1:27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>
        <v>0</v>
      </c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9">
        <v>1.0879120879120878</v>
      </c>
      <c r="L18" s="39"/>
      <c r="M18" s="39">
        <v>99</v>
      </c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7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08" t="s">
        <v>50</v>
      </c>
    </row>
    <row r="19" spans="1:27" ht="19.5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9">
        <v>1.4722222222222223</v>
      </c>
      <c r="L19" s="119"/>
      <c r="M19" s="119">
        <v>106</v>
      </c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7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09" t="s">
        <v>50</v>
      </c>
    </row>
  </sheetData>
  <autoFilter ref="A3:Y18" xr:uid="{00000000-0009-0000-0000-00004D000000}"/>
  <mergeCells count="33">
    <mergeCell ref="H14:H15"/>
    <mergeCell ref="I14:I15"/>
    <mergeCell ref="U14:U15"/>
    <mergeCell ref="U16:U17"/>
    <mergeCell ref="I18:I19"/>
    <mergeCell ref="U18:U19"/>
    <mergeCell ref="I16:I17"/>
    <mergeCell ref="D16:D17"/>
    <mergeCell ref="E16:E17"/>
    <mergeCell ref="F16:F17"/>
    <mergeCell ref="G16:G17"/>
    <mergeCell ref="H16:H17"/>
    <mergeCell ref="D18:D19"/>
    <mergeCell ref="E18:E19"/>
    <mergeCell ref="F18:F19"/>
    <mergeCell ref="G18:G19"/>
    <mergeCell ref="H18:H19"/>
    <mergeCell ref="B14:B15"/>
    <mergeCell ref="D14:D15"/>
    <mergeCell ref="E14:E15"/>
    <mergeCell ref="F14:F15"/>
    <mergeCell ref="G14:G15"/>
    <mergeCell ref="A1:C1"/>
    <mergeCell ref="A2:B2"/>
    <mergeCell ref="S2:AA2"/>
    <mergeCell ref="B12:B13"/>
    <mergeCell ref="D12:D13"/>
    <mergeCell ref="E12:E13"/>
    <mergeCell ref="F12:F13"/>
    <mergeCell ref="G12:G13"/>
    <mergeCell ref="H12:H13"/>
    <mergeCell ref="I12:I13"/>
    <mergeCell ref="U12:U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landscape" r:id="rId1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 codeName="Hoja7">
    <tabColor rgb="FF00B0F0"/>
  </sheetPr>
  <dimension ref="A1:AD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5.140625" customWidth="1"/>
    <col min="4" max="4" width="7.28515625" customWidth="1"/>
    <col min="5" max="5" width="12.140625" customWidth="1"/>
    <col min="6" max="6" width="9.140625" customWidth="1"/>
    <col min="7" max="7" width="11.42578125" customWidth="1"/>
    <col min="8" max="8" width="8.42578125" customWidth="1"/>
    <col min="9" max="9" width="9.28515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6" width="10.7109375" customWidth="1"/>
    <col min="27" max="27" width="11.85546875" customWidth="1"/>
  </cols>
  <sheetData>
    <row r="1" spans="1:30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30" ht="24.75" customHeight="1" thickBot="1" x14ac:dyDescent="0.35">
      <c r="A2" s="530" t="s">
        <v>1</v>
      </c>
      <c r="B2" s="531"/>
      <c r="C2" s="105">
        <v>45450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4"/>
      <c r="AC2" t="s">
        <v>77</v>
      </c>
    </row>
    <row r="3" spans="1:30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4" t="s">
        <v>46</v>
      </c>
      <c r="AC3" s="18" t="s">
        <v>54</v>
      </c>
      <c r="AD3" s="18" t="s">
        <v>59</v>
      </c>
    </row>
    <row r="4" spans="1:30" ht="18.75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1.4</v>
      </c>
      <c r="E4" s="73">
        <v>7</v>
      </c>
      <c r="F4" s="72">
        <f t="shared" ref="F4:F11" si="1">E4*T4</f>
        <v>210</v>
      </c>
      <c r="G4" s="72">
        <f t="shared" ref="G4:G11" si="2">+F4/V4</f>
        <v>6373.2928679817906</v>
      </c>
      <c r="H4" s="72">
        <f t="shared" ref="H4:H11" si="3">IF(S4-E4&lt;0,0,S4-E4)</f>
        <v>0</v>
      </c>
      <c r="I4" s="72" t="str">
        <f t="shared" ref="I4:I19" si="4">+IF(U4-G4&lt;0,"",U4-G4)</f>
        <v/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07" t="s">
        <v>47</v>
      </c>
      <c r="AC4" s="72">
        <v>0</v>
      </c>
      <c r="AD4" s="72" t="s">
        <v>78</v>
      </c>
    </row>
    <row r="5" spans="1:30" ht="18.75" x14ac:dyDescent="0.3">
      <c r="A5" s="76">
        <v>706</v>
      </c>
      <c r="B5" s="106" t="s">
        <v>17</v>
      </c>
      <c r="C5" s="69" t="s">
        <v>18</v>
      </c>
      <c r="D5" s="68">
        <f t="shared" si="0"/>
        <v>2.75</v>
      </c>
      <c r="E5" s="66">
        <v>11</v>
      </c>
      <c r="F5" s="67">
        <f t="shared" si="1"/>
        <v>330</v>
      </c>
      <c r="G5" s="67">
        <f t="shared" si="2"/>
        <v>15034.168564920274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9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08" t="s">
        <v>47</v>
      </c>
      <c r="AC5" s="67">
        <v>0</v>
      </c>
      <c r="AD5" s="67" t="s">
        <v>78</v>
      </c>
    </row>
    <row r="6" spans="1:30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1.2</v>
      </c>
      <c r="E6" s="66">
        <v>6</v>
      </c>
      <c r="F6" s="67">
        <f t="shared" si="1"/>
        <v>180</v>
      </c>
      <c r="G6" s="67">
        <f t="shared" si="2"/>
        <v>8200.4555808656041</v>
      </c>
      <c r="H6" s="67">
        <f t="shared" si="3"/>
        <v>0</v>
      </c>
      <c r="I6" s="67" t="str">
        <f t="shared" si="4"/>
        <v/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08" t="s">
        <v>47</v>
      </c>
      <c r="AC6" s="67">
        <v>0</v>
      </c>
      <c r="AD6" s="67" t="s">
        <v>78</v>
      </c>
    </row>
    <row r="7" spans="1:30" ht="18.75" x14ac:dyDescent="0.3">
      <c r="A7" s="76">
        <v>654</v>
      </c>
      <c r="B7" s="106" t="s">
        <v>22</v>
      </c>
      <c r="C7" s="69" t="s">
        <v>23</v>
      </c>
      <c r="D7" s="68">
        <f t="shared" si="0"/>
        <v>0.28000000000000003</v>
      </c>
      <c r="E7" s="66">
        <v>7</v>
      </c>
      <c r="F7" s="67">
        <f t="shared" si="1"/>
        <v>18.059999999999999</v>
      </c>
      <c r="G7" s="67">
        <f t="shared" si="2"/>
        <v>840</v>
      </c>
      <c r="H7" s="67">
        <f t="shared" si="3"/>
        <v>18</v>
      </c>
      <c r="I7" s="67">
        <f t="shared" si="4"/>
        <v>2160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08" t="s">
        <v>53</v>
      </c>
      <c r="AC7" s="67">
        <v>18</v>
      </c>
      <c r="AD7" s="67">
        <v>2160</v>
      </c>
    </row>
    <row r="8" spans="1:30" ht="18.75" x14ac:dyDescent="0.3">
      <c r="A8" s="76">
        <v>558</v>
      </c>
      <c r="B8" s="106" t="s">
        <v>24</v>
      </c>
      <c r="C8" s="69" t="s">
        <v>25</v>
      </c>
      <c r="D8" s="68">
        <f t="shared" si="0"/>
        <v>1.4</v>
      </c>
      <c r="E8" s="66">
        <v>35</v>
      </c>
      <c r="F8" s="67">
        <f t="shared" si="1"/>
        <v>63</v>
      </c>
      <c r="G8" s="67">
        <f t="shared" si="2"/>
        <v>4064.516129032258</v>
      </c>
      <c r="H8" s="67">
        <f t="shared" si="3"/>
        <v>0</v>
      </c>
      <c r="I8" s="67" t="str">
        <f t="shared" si="4"/>
        <v/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08" t="s">
        <v>53</v>
      </c>
      <c r="AC8" s="67">
        <v>0</v>
      </c>
      <c r="AD8" s="67" t="s">
        <v>78</v>
      </c>
    </row>
    <row r="9" spans="1:30" ht="21.2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1.6</v>
      </c>
      <c r="E9" s="66">
        <v>40</v>
      </c>
      <c r="F9" s="67">
        <f t="shared" si="1"/>
        <v>72</v>
      </c>
      <c r="G9" s="67">
        <f t="shared" si="2"/>
        <v>4528.3018867924529</v>
      </c>
      <c r="H9" s="67">
        <f t="shared" si="3"/>
        <v>0</v>
      </c>
      <c r="I9" s="67" t="str">
        <f t="shared" si="4"/>
        <v/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08" t="s">
        <v>53</v>
      </c>
      <c r="AC9" s="67">
        <v>0</v>
      </c>
      <c r="AD9" s="67" t="s">
        <v>78</v>
      </c>
    </row>
    <row r="10" spans="1:30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1.25</v>
      </c>
      <c r="E10" s="66">
        <v>10</v>
      </c>
      <c r="F10" s="67">
        <f t="shared" si="1"/>
        <v>300</v>
      </c>
      <c r="G10" s="67">
        <f t="shared" si="2"/>
        <v>13667.425968109339</v>
      </c>
      <c r="H10" s="67">
        <f t="shared" si="3"/>
        <v>0</v>
      </c>
      <c r="I10" s="67" t="str">
        <f t="shared" si="4"/>
        <v/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08" t="s">
        <v>47</v>
      </c>
      <c r="AC10" s="67">
        <v>0</v>
      </c>
      <c r="AD10" s="67" t="s">
        <v>78</v>
      </c>
    </row>
    <row r="11" spans="1:30" ht="18.75" x14ac:dyDescent="0.3">
      <c r="A11" s="76">
        <v>510</v>
      </c>
      <c r="B11" s="106" t="s">
        <v>30</v>
      </c>
      <c r="C11" s="69" t="s">
        <v>31</v>
      </c>
      <c r="D11" s="68">
        <f t="shared" si="0"/>
        <v>0</v>
      </c>
      <c r="E11" s="66">
        <v>0</v>
      </c>
      <c r="F11" s="67">
        <f t="shared" si="1"/>
        <v>0</v>
      </c>
      <c r="G11" s="67">
        <f t="shared" si="2"/>
        <v>0</v>
      </c>
      <c r="H11" s="67">
        <f t="shared" si="3"/>
        <v>4</v>
      </c>
      <c r="I11" s="67">
        <f t="shared" si="4"/>
        <v>5454.545454545455</v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08" t="s">
        <v>47</v>
      </c>
      <c r="AC11" s="67">
        <v>4</v>
      </c>
      <c r="AD11" s="67">
        <v>5454.545454545455</v>
      </c>
    </row>
    <row r="12" spans="1:30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0</v>
      </c>
      <c r="E12" s="538">
        <v>0</v>
      </c>
      <c r="F12" s="540">
        <f>+E12*T12</f>
        <v>0</v>
      </c>
      <c r="G12" s="540">
        <f>+E12*S12</f>
        <v>0</v>
      </c>
      <c r="H12" s="540">
        <f>IF(S12-E12&lt;0,0,S12-E12)</f>
        <v>12</v>
      </c>
      <c r="I12" s="540">
        <f t="shared" si="4"/>
        <v>3456</v>
      </c>
      <c r="J12" s="92"/>
      <c r="K12" s="134"/>
      <c r="L12" s="39"/>
      <c r="M12" s="39">
        <v>852</v>
      </c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si="7"/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08" t="s">
        <v>49</v>
      </c>
      <c r="AC12" s="540">
        <v>12</v>
      </c>
      <c r="AD12" s="540">
        <v>3456</v>
      </c>
    </row>
    <row r="13" spans="1:30" ht="18.75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4"/>
      <c r="L13" s="39"/>
      <c r="M13" s="39">
        <v>9072</v>
      </c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7"/>
        <v>2.0899999999999998E-2</v>
      </c>
      <c r="W13" s="121">
        <v>20.9</v>
      </c>
      <c r="X13" s="39">
        <v>288</v>
      </c>
      <c r="Y13" s="39">
        <v>2688</v>
      </c>
      <c r="Z13" s="122"/>
      <c r="AA13" s="108" t="s">
        <v>49</v>
      </c>
      <c r="AC13" s="540"/>
      <c r="AD13" s="540">
        <v>0</v>
      </c>
    </row>
    <row r="14" spans="1:30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>
        <v>0</v>
      </c>
      <c r="F14" s="540">
        <f>+E14*T14</f>
        <v>0</v>
      </c>
      <c r="G14" s="540">
        <f>+E14*S14</f>
        <v>0</v>
      </c>
      <c r="H14" s="540">
        <f>IF(S14-E14&lt;0,0,S14-E14)</f>
        <v>24</v>
      </c>
      <c r="I14" s="540">
        <f t="shared" si="4"/>
        <v>3456</v>
      </c>
      <c r="J14" s="92"/>
      <c r="K14" s="134"/>
      <c r="L14" s="39"/>
      <c r="M14" s="39">
        <v>744</v>
      </c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7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08" t="s">
        <v>49</v>
      </c>
      <c r="AC14" s="540">
        <v>24</v>
      </c>
      <c r="AD14" s="540">
        <v>3456</v>
      </c>
    </row>
    <row r="15" spans="1:30" ht="18.75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4"/>
      <c r="L15" s="39">
        <v>300</v>
      </c>
      <c r="M15" s="39">
        <v>3360</v>
      </c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7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08" t="s">
        <v>49</v>
      </c>
      <c r="AC15" s="540"/>
      <c r="AD15" s="540">
        <v>0</v>
      </c>
    </row>
    <row r="16" spans="1:30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4"/>
      <c r="L16" s="39"/>
      <c r="M16" s="39">
        <v>984</v>
      </c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7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08" t="s">
        <v>50</v>
      </c>
      <c r="AC16" s="540">
        <v>80</v>
      </c>
      <c r="AD16" s="540">
        <v>1920</v>
      </c>
    </row>
    <row r="17" spans="1:30" ht="21.2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4"/>
      <c r="L17" s="39"/>
      <c r="M17" s="39">
        <v>576</v>
      </c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7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08" t="s">
        <v>50</v>
      </c>
      <c r="AC17" s="540"/>
      <c r="AD17" s="540">
        <v>0</v>
      </c>
    </row>
    <row r="18" spans="1:30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>
        <v>0</v>
      </c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4"/>
      <c r="L18" s="39"/>
      <c r="M18" s="39">
        <v>2448</v>
      </c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7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08" t="s">
        <v>50</v>
      </c>
      <c r="AC18" s="540">
        <v>80</v>
      </c>
      <c r="AD18" s="540">
        <v>2400</v>
      </c>
    </row>
    <row r="19" spans="1:30" ht="19.5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5"/>
      <c r="L19" s="119"/>
      <c r="M19" s="119">
        <v>1752</v>
      </c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7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09" t="s">
        <v>50</v>
      </c>
      <c r="AC19" s="544"/>
      <c r="AD19" s="544">
        <v>0</v>
      </c>
    </row>
  </sheetData>
  <autoFilter ref="A3:Y19" xr:uid="{00000000-0009-0000-0000-00004E000000}"/>
  <mergeCells count="41">
    <mergeCell ref="A1:C1"/>
    <mergeCell ref="A2:B2"/>
    <mergeCell ref="S2:AA2"/>
    <mergeCell ref="B12:B13"/>
    <mergeCell ref="D12:D13"/>
    <mergeCell ref="E12:E13"/>
    <mergeCell ref="F12:F13"/>
    <mergeCell ref="G12:G13"/>
    <mergeCell ref="H12:H13"/>
    <mergeCell ref="I12:I13"/>
    <mergeCell ref="U12:U13"/>
    <mergeCell ref="B14:B15"/>
    <mergeCell ref="D14:D15"/>
    <mergeCell ref="E14:E15"/>
    <mergeCell ref="F14:F15"/>
    <mergeCell ref="G14:G15"/>
    <mergeCell ref="H14:H15"/>
    <mergeCell ref="I14:I15"/>
    <mergeCell ref="U14:U15"/>
    <mergeCell ref="U16:U17"/>
    <mergeCell ref="D18:D19"/>
    <mergeCell ref="E18:E19"/>
    <mergeCell ref="F18:F19"/>
    <mergeCell ref="G18:G19"/>
    <mergeCell ref="H18:H19"/>
    <mergeCell ref="I18:I19"/>
    <mergeCell ref="U18:U19"/>
    <mergeCell ref="D16:D17"/>
    <mergeCell ref="E16:E17"/>
    <mergeCell ref="F16:F17"/>
    <mergeCell ref="G16:G17"/>
    <mergeCell ref="H16:H17"/>
    <mergeCell ref="AC18:AC19"/>
    <mergeCell ref="AD18:AD19"/>
    <mergeCell ref="I16:I17"/>
    <mergeCell ref="AC12:AC13"/>
    <mergeCell ref="AD12:AD13"/>
    <mergeCell ref="AC14:AC15"/>
    <mergeCell ref="AD14:AD15"/>
    <mergeCell ref="AC16:AC17"/>
    <mergeCell ref="AD16:AD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 codeName="Hoja8">
    <tabColor rgb="FF00B0F0"/>
  </sheetPr>
  <dimension ref="A1:AA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5.140625" customWidth="1"/>
    <col min="4" max="4" width="7.28515625" customWidth="1"/>
    <col min="5" max="5" width="12.140625" customWidth="1"/>
    <col min="6" max="6" width="9.140625" customWidth="1"/>
    <col min="7" max="7" width="11.42578125" customWidth="1"/>
    <col min="8" max="8" width="8.42578125" customWidth="1"/>
    <col min="9" max="9" width="9.28515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6" width="10.7109375" customWidth="1"/>
    <col min="27" max="27" width="11.85546875" customWidth="1"/>
  </cols>
  <sheetData>
    <row r="1" spans="1:27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7" ht="24.75" customHeight="1" thickBot="1" x14ac:dyDescent="0.35">
      <c r="A2" s="530" t="s">
        <v>1</v>
      </c>
      <c r="B2" s="531"/>
      <c r="C2" s="105">
        <v>45443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4"/>
    </row>
    <row r="3" spans="1:27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4" t="s">
        <v>46</v>
      </c>
    </row>
    <row r="4" spans="1:27" ht="18.75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1.4</v>
      </c>
      <c r="E4" s="73">
        <v>7</v>
      </c>
      <c r="F4" s="72">
        <f t="shared" ref="F4:F11" si="1">E4*T4</f>
        <v>210</v>
      </c>
      <c r="G4" s="72">
        <f t="shared" ref="G4:G11" si="2">+F4/V4</f>
        <v>6373.2928679817906</v>
      </c>
      <c r="H4" s="72">
        <f t="shared" ref="H4:H12" si="3">IF(S4-E4&lt;0,0,S4-E4)</f>
        <v>0</v>
      </c>
      <c r="I4" s="72" t="str">
        <f t="shared" ref="I4:I19" si="4">+IF(U4-G4&lt;0,"",U4-G4)</f>
        <v/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07" t="s">
        <v>47</v>
      </c>
    </row>
    <row r="5" spans="1:27" ht="18.75" x14ac:dyDescent="0.3">
      <c r="A5" s="76">
        <v>706</v>
      </c>
      <c r="B5" s="106" t="s">
        <v>17</v>
      </c>
      <c r="C5" s="69" t="s">
        <v>18</v>
      </c>
      <c r="D5" s="68">
        <f t="shared" si="0"/>
        <v>2.75</v>
      </c>
      <c r="E5" s="66">
        <v>11</v>
      </c>
      <c r="F5" s="67">
        <f t="shared" si="1"/>
        <v>330</v>
      </c>
      <c r="G5" s="67">
        <f t="shared" si="2"/>
        <v>15034.168564920274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9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08" t="s">
        <v>47</v>
      </c>
    </row>
    <row r="6" spans="1:27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1.2</v>
      </c>
      <c r="E6" s="66">
        <v>6</v>
      </c>
      <c r="F6" s="67">
        <f t="shared" si="1"/>
        <v>180</v>
      </c>
      <c r="G6" s="67">
        <f t="shared" si="2"/>
        <v>8200.4555808656041</v>
      </c>
      <c r="H6" s="67">
        <f t="shared" si="3"/>
        <v>0</v>
      </c>
      <c r="I6" s="67" t="str">
        <f t="shared" si="4"/>
        <v/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08" t="s">
        <v>47</v>
      </c>
    </row>
    <row r="7" spans="1:27" ht="18.75" x14ac:dyDescent="0.3">
      <c r="A7" s="76">
        <v>654</v>
      </c>
      <c r="B7" s="106" t="s">
        <v>22</v>
      </c>
      <c r="C7" s="69" t="s">
        <v>23</v>
      </c>
      <c r="D7" s="68">
        <f t="shared" si="0"/>
        <v>0.28000000000000003</v>
      </c>
      <c r="E7" s="66">
        <v>7</v>
      </c>
      <c r="F7" s="67">
        <f t="shared" si="1"/>
        <v>18.059999999999999</v>
      </c>
      <c r="G7" s="67">
        <f t="shared" si="2"/>
        <v>840</v>
      </c>
      <c r="H7" s="67">
        <f t="shared" si="3"/>
        <v>18</v>
      </c>
      <c r="I7" s="67">
        <f t="shared" si="4"/>
        <v>2160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08" t="s">
        <v>53</v>
      </c>
    </row>
    <row r="8" spans="1:27" ht="18.75" x14ac:dyDescent="0.3">
      <c r="A8" s="76">
        <v>558</v>
      </c>
      <c r="B8" s="106" t="s">
        <v>24</v>
      </c>
      <c r="C8" s="69" t="s">
        <v>25</v>
      </c>
      <c r="D8" s="68">
        <f t="shared" si="0"/>
        <v>1.44</v>
      </c>
      <c r="E8" s="66">
        <v>36</v>
      </c>
      <c r="F8" s="67">
        <f t="shared" si="1"/>
        <v>64.8</v>
      </c>
      <c r="G8" s="67">
        <f t="shared" si="2"/>
        <v>4180.645161290322</v>
      </c>
      <c r="H8" s="67">
        <f t="shared" si="3"/>
        <v>0</v>
      </c>
      <c r="I8" s="67" t="str">
        <f t="shared" si="4"/>
        <v/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08" t="s">
        <v>53</v>
      </c>
    </row>
    <row r="9" spans="1:27" ht="21.2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1.6800000000000002</v>
      </c>
      <c r="E9" s="66">
        <v>42</v>
      </c>
      <c r="F9" s="67">
        <f t="shared" si="1"/>
        <v>75.600000000000009</v>
      </c>
      <c r="G9" s="67">
        <f t="shared" si="2"/>
        <v>4754.7169811320755</v>
      </c>
      <c r="H9" s="67">
        <f t="shared" si="3"/>
        <v>0</v>
      </c>
      <c r="I9" s="67" t="str">
        <f t="shared" si="4"/>
        <v/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08" t="s">
        <v>53</v>
      </c>
    </row>
    <row r="10" spans="1:27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1.625</v>
      </c>
      <c r="E10" s="66">
        <v>13</v>
      </c>
      <c r="F10" s="67">
        <f t="shared" si="1"/>
        <v>390</v>
      </c>
      <c r="G10" s="67">
        <f t="shared" si="2"/>
        <v>17767.653758542139</v>
      </c>
      <c r="H10" s="67">
        <f t="shared" si="3"/>
        <v>0</v>
      </c>
      <c r="I10" s="67" t="str">
        <f t="shared" si="4"/>
        <v/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08" t="s">
        <v>47</v>
      </c>
    </row>
    <row r="11" spans="1:27" ht="18.75" x14ac:dyDescent="0.3">
      <c r="A11" s="76">
        <v>510</v>
      </c>
      <c r="B11" s="106" t="s">
        <v>30</v>
      </c>
      <c r="C11" s="69" t="s">
        <v>31</v>
      </c>
      <c r="D11" s="68">
        <f t="shared" si="0"/>
        <v>1.25</v>
      </c>
      <c r="E11" s="66">
        <v>5</v>
      </c>
      <c r="F11" s="67">
        <f t="shared" si="1"/>
        <v>150</v>
      </c>
      <c r="G11" s="67">
        <f t="shared" si="2"/>
        <v>6818.1818181818189</v>
      </c>
      <c r="H11" s="67">
        <f t="shared" si="3"/>
        <v>0</v>
      </c>
      <c r="I11" s="67" t="str">
        <f t="shared" si="4"/>
        <v/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08" t="s">
        <v>47</v>
      </c>
    </row>
    <row r="12" spans="1:27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3.3333333333333335</v>
      </c>
      <c r="E12" s="538">
        <v>40</v>
      </c>
      <c r="F12" s="540">
        <f>+E12*T12</f>
        <v>232</v>
      </c>
      <c r="G12" s="540">
        <f>+E12*S12</f>
        <v>480</v>
      </c>
      <c r="H12" s="540">
        <f t="shared" si="3"/>
        <v>0</v>
      </c>
      <c r="I12" s="540">
        <f t="shared" si="4"/>
        <v>2976</v>
      </c>
      <c r="J12" s="92"/>
      <c r="K12" s="134"/>
      <c r="L12" s="39"/>
      <c r="M12" s="121"/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si="7"/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08" t="s">
        <v>49</v>
      </c>
    </row>
    <row r="13" spans="1:27" ht="18.75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4"/>
      <c r="L13" s="39"/>
      <c r="M13" s="121"/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7"/>
        <v>2.0899999999999998E-2</v>
      </c>
      <c r="W13" s="121">
        <v>20.9</v>
      </c>
      <c r="X13" s="39">
        <v>288</v>
      </c>
      <c r="Y13" s="39">
        <v>2688</v>
      </c>
      <c r="Z13" s="122"/>
      <c r="AA13" s="108" t="s">
        <v>49</v>
      </c>
    </row>
    <row r="14" spans="1:27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2.291666666666667</v>
      </c>
      <c r="E14" s="539">
        <v>55</v>
      </c>
      <c r="F14" s="540">
        <f>+E14*T14</f>
        <v>319</v>
      </c>
      <c r="G14" s="540">
        <f>+E14*S14</f>
        <v>1320</v>
      </c>
      <c r="H14" s="540">
        <f>IF(S14-E14&lt;0,0,S14-E14)</f>
        <v>0</v>
      </c>
      <c r="I14" s="540">
        <f t="shared" si="4"/>
        <v>2136</v>
      </c>
      <c r="J14" s="92"/>
      <c r="K14" s="134"/>
      <c r="L14" s="39"/>
      <c r="M14" s="121"/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7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08" t="s">
        <v>49</v>
      </c>
    </row>
    <row r="15" spans="1:27" ht="18.75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4"/>
      <c r="L15" s="39"/>
      <c r="M15" s="121"/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7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08" t="s">
        <v>49</v>
      </c>
    </row>
    <row r="16" spans="1:27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4"/>
      <c r="L16" s="39"/>
      <c r="M16" s="39"/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7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08" t="s">
        <v>50</v>
      </c>
    </row>
    <row r="17" spans="1:27" ht="21.2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4"/>
      <c r="L17" s="39"/>
      <c r="M17" s="39"/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7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08" t="s">
        <v>50</v>
      </c>
    </row>
    <row r="18" spans="1:27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>
        <v>0</v>
      </c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4"/>
      <c r="L18" s="39"/>
      <c r="M18" s="39"/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7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08" t="s">
        <v>50</v>
      </c>
    </row>
    <row r="19" spans="1:27" ht="19.5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5"/>
      <c r="L19" s="119"/>
      <c r="M19" s="119"/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7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09" t="s">
        <v>50</v>
      </c>
    </row>
  </sheetData>
  <autoFilter ref="A3:Y18" xr:uid="{00000000-0009-0000-0000-00004F000000}"/>
  <mergeCells count="33">
    <mergeCell ref="H14:H15"/>
    <mergeCell ref="I14:I15"/>
    <mergeCell ref="U14:U15"/>
    <mergeCell ref="U16:U17"/>
    <mergeCell ref="I18:I19"/>
    <mergeCell ref="U18:U19"/>
    <mergeCell ref="I16:I17"/>
    <mergeCell ref="D16:D17"/>
    <mergeCell ref="E16:E17"/>
    <mergeCell ref="F16:F17"/>
    <mergeCell ref="G16:G17"/>
    <mergeCell ref="H16:H17"/>
    <mergeCell ref="D18:D19"/>
    <mergeCell ref="E18:E19"/>
    <mergeCell ref="F18:F19"/>
    <mergeCell ref="G18:G19"/>
    <mergeCell ref="H18:H19"/>
    <mergeCell ref="B14:B15"/>
    <mergeCell ref="D14:D15"/>
    <mergeCell ref="E14:E15"/>
    <mergeCell ref="F14:F15"/>
    <mergeCell ref="G14:G15"/>
    <mergeCell ref="A1:C1"/>
    <mergeCell ref="A2:B2"/>
    <mergeCell ref="S2:AA2"/>
    <mergeCell ref="B12:B13"/>
    <mergeCell ref="D12:D13"/>
    <mergeCell ref="E12:E13"/>
    <mergeCell ref="F12:F13"/>
    <mergeCell ref="G12:G13"/>
    <mergeCell ref="H12:H13"/>
    <mergeCell ref="I12:I13"/>
    <mergeCell ref="U12:U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 codeName="Hoja9">
    <tabColor rgb="FF00B0F0"/>
  </sheetPr>
  <dimension ref="A1:AA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5.140625" customWidth="1"/>
    <col min="4" max="4" width="7.28515625" hidden="1" customWidth="1"/>
    <col min="5" max="5" width="12.140625" customWidth="1"/>
    <col min="6" max="6" width="9.140625" customWidth="1"/>
    <col min="7" max="7" width="11.42578125" customWidth="1"/>
    <col min="8" max="8" width="8.42578125" customWidth="1"/>
    <col min="9" max="9" width="9.28515625" style="110" customWidth="1"/>
    <col min="10" max="10" width="3.140625" customWidth="1"/>
    <col min="11" max="12" width="9.42578125" customWidth="1"/>
    <col min="13" max="13" width="8.85546875" customWidth="1"/>
    <col min="14" max="14" width="9.7109375" customWidth="1"/>
    <col min="15" max="15" width="3.140625" customWidth="1"/>
    <col min="16" max="16" width="11.140625" customWidth="1"/>
    <col min="17" max="17" width="10.140625" customWidth="1"/>
    <col min="18" max="18" width="3.140625" customWidth="1"/>
    <col min="19" max="19" width="8.140625" customWidth="1"/>
    <col min="20" max="20" width="8" customWidth="1"/>
    <col min="21" max="22" width="9.28515625" customWidth="1"/>
    <col min="23" max="23" width="8.28515625" customWidth="1"/>
    <col min="24" max="24" width="8.85546875" customWidth="1"/>
    <col min="25" max="25" width="9.140625" customWidth="1"/>
    <col min="26" max="26" width="10.7109375" customWidth="1"/>
    <col min="27" max="27" width="11.85546875" customWidth="1"/>
  </cols>
  <sheetData>
    <row r="1" spans="1:27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U1" s="1"/>
    </row>
    <row r="2" spans="1:27" ht="24.75" customHeight="1" thickBot="1" x14ac:dyDescent="0.35">
      <c r="A2" s="530" t="s">
        <v>1</v>
      </c>
      <c r="B2" s="531"/>
      <c r="C2" s="105">
        <v>45436</v>
      </c>
      <c r="E2" s="1"/>
      <c r="F2" s="1"/>
      <c r="G2" s="1"/>
      <c r="H2" s="3" t="s">
        <v>55</v>
      </c>
      <c r="I2" s="3"/>
      <c r="S2" s="522" t="s">
        <v>73</v>
      </c>
      <c r="T2" s="523"/>
      <c r="U2" s="523"/>
      <c r="V2" s="523"/>
      <c r="W2" s="523"/>
      <c r="X2" s="523"/>
      <c r="Y2" s="523"/>
      <c r="Z2" s="523"/>
      <c r="AA2" s="524"/>
    </row>
    <row r="3" spans="1:27" ht="54.6" customHeight="1" thickBot="1" x14ac:dyDescent="0.3">
      <c r="A3" s="15" t="s">
        <v>3</v>
      </c>
      <c r="B3" s="4" t="s">
        <v>4</v>
      </c>
      <c r="C3" s="4" t="s">
        <v>5</v>
      </c>
      <c r="D3" s="4" t="s">
        <v>76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91"/>
      <c r="K3" s="133" t="s">
        <v>75</v>
      </c>
      <c r="L3" s="133" t="s">
        <v>69</v>
      </c>
      <c r="M3" s="6" t="s">
        <v>70</v>
      </c>
      <c r="N3" s="138" t="s">
        <v>74</v>
      </c>
      <c r="O3" s="91"/>
      <c r="P3" s="133" t="s">
        <v>71</v>
      </c>
      <c r="Q3" s="6" t="s">
        <v>72</v>
      </c>
      <c r="R3" s="91"/>
      <c r="S3" s="102" t="s">
        <v>63</v>
      </c>
      <c r="T3" s="103" t="s">
        <v>38</v>
      </c>
      <c r="U3" s="103" t="s">
        <v>58</v>
      </c>
      <c r="V3" s="103" t="s">
        <v>10</v>
      </c>
      <c r="W3" s="103" t="s">
        <v>65</v>
      </c>
      <c r="X3" s="103" t="s">
        <v>11</v>
      </c>
      <c r="Y3" s="103" t="s">
        <v>14</v>
      </c>
      <c r="Z3" s="104" t="s">
        <v>64</v>
      </c>
      <c r="AA3" s="4" t="s">
        <v>46</v>
      </c>
    </row>
    <row r="4" spans="1:27" ht="18.75" x14ac:dyDescent="0.3">
      <c r="A4" s="70">
        <v>500</v>
      </c>
      <c r="B4" s="111" t="s">
        <v>15</v>
      </c>
      <c r="C4" s="71" t="s">
        <v>16</v>
      </c>
      <c r="D4" s="74">
        <f t="shared" ref="D4:D19" si="0">+F4/(S4*T4)</f>
        <v>1.4</v>
      </c>
      <c r="E4" s="73">
        <v>7</v>
      </c>
      <c r="F4" s="72">
        <f t="shared" ref="F4:F11" si="1">E4*T4</f>
        <v>210</v>
      </c>
      <c r="G4" s="72">
        <f t="shared" ref="G4:G11" si="2">+F4/V4</f>
        <v>6373.2928679817906</v>
      </c>
      <c r="H4" s="72">
        <f t="shared" ref="H4:H12" si="3">IF(S4-E4&lt;0,0,S4-E4)</f>
        <v>0</v>
      </c>
      <c r="I4" s="72" t="str">
        <f t="shared" ref="I4:I19" si="4">+IF(U4-G4&lt;0,"",U4-G4)</f>
        <v/>
      </c>
      <c r="J4" s="92"/>
      <c r="K4" s="136"/>
      <c r="L4" s="137"/>
      <c r="M4" s="137"/>
      <c r="N4" s="132"/>
      <c r="O4" s="92"/>
      <c r="P4" s="131"/>
      <c r="Q4" s="132"/>
      <c r="R4" s="92"/>
      <c r="S4" s="96">
        <v>5</v>
      </c>
      <c r="T4" s="39">
        <v>30</v>
      </c>
      <c r="U4" s="39">
        <f t="shared" ref="U4:U12" si="5">+S4*X4</f>
        <v>4552.3520485584222</v>
      </c>
      <c r="V4" s="120">
        <f>+W4/1000</f>
        <v>3.295E-2</v>
      </c>
      <c r="W4" s="121">
        <v>32.950000000000003</v>
      </c>
      <c r="X4" s="39">
        <f>+T4/V4</f>
        <v>910.4704097116844</v>
      </c>
      <c r="Y4" s="39">
        <v>2520</v>
      </c>
      <c r="Z4" s="122">
        <f t="shared" ref="Z4:Z11" si="6">1.5*Y4/X4</f>
        <v>4.1516999999999999</v>
      </c>
      <c r="AA4" s="107" t="s">
        <v>47</v>
      </c>
    </row>
    <row r="5" spans="1:27" ht="18.75" x14ac:dyDescent="0.3">
      <c r="A5" s="76">
        <v>706</v>
      </c>
      <c r="B5" s="106" t="s">
        <v>17</v>
      </c>
      <c r="C5" s="69" t="s">
        <v>18</v>
      </c>
      <c r="D5" s="68">
        <f t="shared" si="0"/>
        <v>2.75</v>
      </c>
      <c r="E5" s="66">
        <v>11</v>
      </c>
      <c r="F5" s="67">
        <f t="shared" si="1"/>
        <v>330</v>
      </c>
      <c r="G5" s="67">
        <f t="shared" si="2"/>
        <v>15034.168564920274</v>
      </c>
      <c r="H5" s="67">
        <f t="shared" si="3"/>
        <v>0</v>
      </c>
      <c r="I5" s="67" t="str">
        <f t="shared" si="4"/>
        <v/>
      </c>
      <c r="J5" s="92"/>
      <c r="K5" s="134"/>
      <c r="L5" s="39"/>
      <c r="M5" s="39"/>
      <c r="N5" s="128"/>
      <c r="O5" s="92"/>
      <c r="P5" s="96"/>
      <c r="Q5" s="128"/>
      <c r="R5" s="92"/>
      <c r="S5" s="96">
        <v>4</v>
      </c>
      <c r="T5" s="39">
        <v>30</v>
      </c>
      <c r="U5" s="39">
        <f t="shared" si="5"/>
        <v>5466.9703872437358</v>
      </c>
      <c r="V5" s="120">
        <f t="shared" ref="V5:V19" si="7">+W5/1000</f>
        <v>2.1950000000000001E-2</v>
      </c>
      <c r="W5" s="121">
        <v>21.95</v>
      </c>
      <c r="X5" s="39">
        <f t="shared" ref="X5:X11" si="8">+T5/V5</f>
        <v>1366.7425968109339</v>
      </c>
      <c r="Y5" s="39">
        <v>3600</v>
      </c>
      <c r="Z5" s="122">
        <f t="shared" si="6"/>
        <v>3.9510000000000001</v>
      </c>
      <c r="AA5" s="108" t="s">
        <v>47</v>
      </c>
    </row>
    <row r="6" spans="1:27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1.2</v>
      </c>
      <c r="E6" s="66">
        <v>6</v>
      </c>
      <c r="F6" s="67">
        <f t="shared" si="1"/>
        <v>180</v>
      </c>
      <c r="G6" s="67">
        <f t="shared" si="2"/>
        <v>8200.4555808656041</v>
      </c>
      <c r="H6" s="67">
        <f t="shared" si="3"/>
        <v>0</v>
      </c>
      <c r="I6" s="67" t="str">
        <f t="shared" si="4"/>
        <v/>
      </c>
      <c r="J6" s="92"/>
      <c r="K6" s="134"/>
      <c r="L6" s="39"/>
      <c r="M6" s="39"/>
      <c r="N6" s="128"/>
      <c r="O6" s="92"/>
      <c r="P6" s="96"/>
      <c r="Q6" s="128"/>
      <c r="R6" s="92"/>
      <c r="S6" s="96">
        <v>5</v>
      </c>
      <c r="T6" s="39">
        <v>30</v>
      </c>
      <c r="U6" s="39">
        <f t="shared" si="5"/>
        <v>6833.7129840546695</v>
      </c>
      <c r="V6" s="120">
        <f t="shared" si="7"/>
        <v>2.1950000000000001E-2</v>
      </c>
      <c r="W6" s="121">
        <v>21.95</v>
      </c>
      <c r="X6" s="39">
        <f t="shared" si="8"/>
        <v>1366.7425968109339</v>
      </c>
      <c r="Y6" s="39">
        <v>0</v>
      </c>
      <c r="Z6" s="122">
        <f t="shared" si="6"/>
        <v>0</v>
      </c>
      <c r="AA6" s="108" t="s">
        <v>47</v>
      </c>
    </row>
    <row r="7" spans="1:27" ht="18.75" x14ac:dyDescent="0.3">
      <c r="A7" s="76">
        <v>654</v>
      </c>
      <c r="B7" s="106" t="s">
        <v>22</v>
      </c>
      <c r="C7" s="69" t="s">
        <v>23</v>
      </c>
      <c r="D7" s="68">
        <f t="shared" si="0"/>
        <v>0.04</v>
      </c>
      <c r="E7" s="66">
        <v>1</v>
      </c>
      <c r="F7" s="67">
        <f t="shared" si="1"/>
        <v>2.5799999999999996</v>
      </c>
      <c r="G7" s="67">
        <f t="shared" si="2"/>
        <v>119.99999999999999</v>
      </c>
      <c r="H7" s="67">
        <f t="shared" si="3"/>
        <v>24</v>
      </c>
      <c r="I7" s="67">
        <f t="shared" si="4"/>
        <v>2880</v>
      </c>
      <c r="J7" s="92"/>
      <c r="K7" s="134"/>
      <c r="L7" s="39"/>
      <c r="M7" s="121"/>
      <c r="N7" s="129"/>
      <c r="O7" s="92"/>
      <c r="P7" s="96"/>
      <c r="Q7" s="129"/>
      <c r="R7" s="92"/>
      <c r="S7" s="96">
        <v>25</v>
      </c>
      <c r="T7" s="121">
        <f>+X7*V7</f>
        <v>2.5799999999999996</v>
      </c>
      <c r="U7" s="39">
        <f t="shared" si="5"/>
        <v>3000</v>
      </c>
      <c r="V7" s="120">
        <f t="shared" si="7"/>
        <v>2.1499999999999998E-2</v>
      </c>
      <c r="W7" s="121">
        <v>21.5</v>
      </c>
      <c r="X7" s="39">
        <v>120</v>
      </c>
      <c r="Y7" s="39">
        <v>1200</v>
      </c>
      <c r="Z7" s="122">
        <f t="shared" si="6"/>
        <v>15</v>
      </c>
      <c r="AA7" s="108" t="s">
        <v>53</v>
      </c>
    </row>
    <row r="8" spans="1:27" ht="18.75" x14ac:dyDescent="0.3">
      <c r="A8" s="76">
        <v>558</v>
      </c>
      <c r="B8" s="106" t="s">
        <v>24</v>
      </c>
      <c r="C8" s="69" t="s">
        <v>25</v>
      </c>
      <c r="D8" s="68">
        <f t="shared" si="0"/>
        <v>0.12000000000000001</v>
      </c>
      <c r="E8" s="66">
        <v>3</v>
      </c>
      <c r="F8" s="67">
        <f t="shared" si="1"/>
        <v>5.4</v>
      </c>
      <c r="G8" s="67">
        <f t="shared" si="2"/>
        <v>348.38709677419359</v>
      </c>
      <c r="H8" s="67">
        <f t="shared" si="3"/>
        <v>22</v>
      </c>
      <c r="I8" s="67">
        <f t="shared" si="4"/>
        <v>2651.6129032258063</v>
      </c>
      <c r="J8" s="92"/>
      <c r="K8" s="134"/>
      <c r="L8" s="39"/>
      <c r="M8" s="121"/>
      <c r="N8" s="129"/>
      <c r="O8" s="92"/>
      <c r="P8" s="96"/>
      <c r="Q8" s="129"/>
      <c r="R8" s="92"/>
      <c r="S8" s="96">
        <v>25</v>
      </c>
      <c r="T8" s="121">
        <v>1.8</v>
      </c>
      <c r="U8" s="39">
        <f t="shared" si="5"/>
        <v>3000</v>
      </c>
      <c r="V8" s="120">
        <f t="shared" si="7"/>
        <v>1.55E-2</v>
      </c>
      <c r="W8" s="121">
        <v>15.5</v>
      </c>
      <c r="X8" s="39">
        <v>120</v>
      </c>
      <c r="Y8" s="39">
        <v>1600</v>
      </c>
      <c r="Z8" s="122">
        <f t="shared" si="6"/>
        <v>20</v>
      </c>
      <c r="AA8" s="108" t="s">
        <v>53</v>
      </c>
    </row>
    <row r="9" spans="1:27" ht="21.2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0.2</v>
      </c>
      <c r="E9" s="66">
        <v>5</v>
      </c>
      <c r="F9" s="67">
        <f t="shared" si="1"/>
        <v>9</v>
      </c>
      <c r="G9" s="67">
        <f t="shared" si="2"/>
        <v>566.03773584905662</v>
      </c>
      <c r="H9" s="67">
        <f t="shared" si="3"/>
        <v>20</v>
      </c>
      <c r="I9" s="67">
        <f t="shared" si="4"/>
        <v>2433.9622641509432</v>
      </c>
      <c r="J9" s="92"/>
      <c r="K9" s="134"/>
      <c r="L9" s="39"/>
      <c r="M9" s="121"/>
      <c r="N9" s="129"/>
      <c r="O9" s="92"/>
      <c r="P9" s="96"/>
      <c r="Q9" s="129"/>
      <c r="R9" s="92"/>
      <c r="S9" s="96">
        <v>25</v>
      </c>
      <c r="T9" s="121">
        <v>1.8</v>
      </c>
      <c r="U9" s="39">
        <f t="shared" si="5"/>
        <v>3000</v>
      </c>
      <c r="V9" s="120">
        <f t="shared" si="7"/>
        <v>1.5900000000000001E-2</v>
      </c>
      <c r="W9" s="121">
        <v>15.9</v>
      </c>
      <c r="X9" s="39">
        <v>120</v>
      </c>
      <c r="Y9" s="39">
        <v>1600</v>
      </c>
      <c r="Z9" s="122">
        <f t="shared" si="6"/>
        <v>20</v>
      </c>
      <c r="AA9" s="108" t="s">
        <v>53</v>
      </c>
    </row>
    <row r="10" spans="1:27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2</v>
      </c>
      <c r="E10" s="66">
        <v>16</v>
      </c>
      <c r="F10" s="67">
        <f t="shared" si="1"/>
        <v>480</v>
      </c>
      <c r="G10" s="67">
        <f t="shared" si="2"/>
        <v>21867.881548974943</v>
      </c>
      <c r="H10" s="67">
        <f t="shared" si="3"/>
        <v>0</v>
      </c>
      <c r="I10" s="67" t="str">
        <f t="shared" si="4"/>
        <v/>
      </c>
      <c r="J10" s="92"/>
      <c r="K10" s="134"/>
      <c r="L10" s="39"/>
      <c r="M10" s="39"/>
      <c r="N10" s="128"/>
      <c r="O10" s="92"/>
      <c r="P10" s="96"/>
      <c r="Q10" s="128"/>
      <c r="R10" s="92"/>
      <c r="S10" s="96">
        <v>8</v>
      </c>
      <c r="T10" s="39">
        <v>30</v>
      </c>
      <c r="U10" s="39">
        <f t="shared" si="5"/>
        <v>10933.940774487472</v>
      </c>
      <c r="V10" s="120">
        <f t="shared" si="7"/>
        <v>2.1950000000000001E-2</v>
      </c>
      <c r="W10" s="121">
        <v>21.95</v>
      </c>
      <c r="X10" s="39">
        <f t="shared" si="8"/>
        <v>1366.7425968109339</v>
      </c>
      <c r="Y10" s="39">
        <v>18612</v>
      </c>
      <c r="Z10" s="122">
        <f t="shared" si="6"/>
        <v>20.426670000000001</v>
      </c>
      <c r="AA10" s="108" t="s">
        <v>47</v>
      </c>
    </row>
    <row r="11" spans="1:27" ht="18.75" x14ac:dyDescent="0.3">
      <c r="A11" s="76">
        <v>510</v>
      </c>
      <c r="B11" s="106" t="s">
        <v>30</v>
      </c>
      <c r="C11" s="69" t="s">
        <v>31</v>
      </c>
      <c r="D11" s="68">
        <f t="shared" si="0"/>
        <v>2</v>
      </c>
      <c r="E11" s="66">
        <v>8</v>
      </c>
      <c r="F11" s="67">
        <f t="shared" si="1"/>
        <v>240</v>
      </c>
      <c r="G11" s="67">
        <f t="shared" si="2"/>
        <v>10909.09090909091</v>
      </c>
      <c r="H11" s="67">
        <f t="shared" si="3"/>
        <v>0</v>
      </c>
      <c r="I11" s="67" t="str">
        <f t="shared" si="4"/>
        <v/>
      </c>
      <c r="J11" s="92"/>
      <c r="K11" s="134"/>
      <c r="L11" s="39"/>
      <c r="M11" s="39"/>
      <c r="N11" s="128"/>
      <c r="O11" s="92"/>
      <c r="P11" s="96"/>
      <c r="Q11" s="128"/>
      <c r="R11" s="92"/>
      <c r="S11" s="96">
        <v>4</v>
      </c>
      <c r="T11" s="39">
        <v>30</v>
      </c>
      <c r="U11" s="39">
        <f t="shared" si="5"/>
        <v>5454.545454545455</v>
      </c>
      <c r="V11" s="120">
        <f t="shared" si="7"/>
        <v>2.1999999999999999E-2</v>
      </c>
      <c r="W11" s="121">
        <v>22</v>
      </c>
      <c r="X11" s="39">
        <f t="shared" si="8"/>
        <v>1363.6363636363637</v>
      </c>
      <c r="Y11" s="39">
        <v>6000</v>
      </c>
      <c r="Z11" s="122">
        <f t="shared" si="6"/>
        <v>6.6</v>
      </c>
      <c r="AA11" s="108" t="s">
        <v>47</v>
      </c>
    </row>
    <row r="12" spans="1:27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3.3333333333333335</v>
      </c>
      <c r="E12" s="538">
        <v>40</v>
      </c>
      <c r="F12" s="540">
        <f>+E12*T12</f>
        <v>232</v>
      </c>
      <c r="G12" s="540">
        <f>+E12*S12</f>
        <v>480</v>
      </c>
      <c r="H12" s="540">
        <f t="shared" si="3"/>
        <v>0</v>
      </c>
      <c r="I12" s="540">
        <f t="shared" si="4"/>
        <v>2976</v>
      </c>
      <c r="J12" s="92"/>
      <c r="K12" s="134"/>
      <c r="L12" s="39"/>
      <c r="M12" s="121"/>
      <c r="N12" s="129"/>
      <c r="O12" s="92"/>
      <c r="P12" s="96"/>
      <c r="Q12" s="129"/>
      <c r="R12" s="92"/>
      <c r="S12" s="96">
        <v>12</v>
      </c>
      <c r="T12" s="121">
        <v>5.8</v>
      </c>
      <c r="U12" s="541">
        <f t="shared" si="5"/>
        <v>3456</v>
      </c>
      <c r="V12" s="120">
        <f t="shared" si="7"/>
        <v>2.0899999999999998E-2</v>
      </c>
      <c r="W12" s="121">
        <v>20.9</v>
      </c>
      <c r="X12" s="39">
        <v>288</v>
      </c>
      <c r="Y12" s="39">
        <v>8000</v>
      </c>
      <c r="Z12" s="122">
        <f>1.5*(Y12+Y13)/X12</f>
        <v>55.666666666666664</v>
      </c>
      <c r="AA12" s="108" t="s">
        <v>49</v>
      </c>
    </row>
    <row r="13" spans="1:27" ht="18.75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92"/>
      <c r="K13" s="134"/>
      <c r="L13" s="39"/>
      <c r="M13" s="121"/>
      <c r="N13" s="129"/>
      <c r="O13" s="92"/>
      <c r="P13" s="96"/>
      <c r="Q13" s="129"/>
      <c r="R13" s="92"/>
      <c r="S13" s="96">
        <v>12</v>
      </c>
      <c r="T13" s="121">
        <v>5.8</v>
      </c>
      <c r="U13" s="541"/>
      <c r="V13" s="120">
        <f t="shared" si="7"/>
        <v>2.0899999999999998E-2</v>
      </c>
      <c r="W13" s="121">
        <v>20.9</v>
      </c>
      <c r="X13" s="39">
        <v>288</v>
      </c>
      <c r="Y13" s="39">
        <v>2688</v>
      </c>
      <c r="Z13" s="122"/>
      <c r="AA13" s="108" t="s">
        <v>49</v>
      </c>
    </row>
    <row r="14" spans="1:27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>
        <v>0</v>
      </c>
      <c r="F14" s="540">
        <f>+E14*T14</f>
        <v>0</v>
      </c>
      <c r="G14" s="540">
        <f>+E14*S14</f>
        <v>0</v>
      </c>
      <c r="H14" s="540">
        <f>IF(S14-E14&lt;0,0,S14-E14)</f>
        <v>24</v>
      </c>
      <c r="I14" s="540">
        <f t="shared" si="4"/>
        <v>3456</v>
      </c>
      <c r="J14" s="92"/>
      <c r="K14" s="134"/>
      <c r="L14" s="39"/>
      <c r="M14" s="121"/>
      <c r="N14" s="129"/>
      <c r="O14" s="92"/>
      <c r="P14" s="96"/>
      <c r="Q14" s="129"/>
      <c r="R14" s="92"/>
      <c r="S14" s="96">
        <v>24</v>
      </c>
      <c r="T14" s="121">
        <v>5.8</v>
      </c>
      <c r="U14" s="541">
        <f>+S14*X14</f>
        <v>3456</v>
      </c>
      <c r="V14" s="120">
        <f t="shared" si="7"/>
        <v>3.95E-2</v>
      </c>
      <c r="W14" s="121">
        <v>39.5</v>
      </c>
      <c r="X14" s="39">
        <v>144</v>
      </c>
      <c r="Y14" s="39">
        <v>4320</v>
      </c>
      <c r="Z14" s="122">
        <f>1.5*(Y14+Y15)/X14</f>
        <v>75</v>
      </c>
      <c r="AA14" s="108" t="s">
        <v>49</v>
      </c>
    </row>
    <row r="15" spans="1:27" ht="18.75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92"/>
      <c r="K15" s="134"/>
      <c r="L15" s="39"/>
      <c r="M15" s="121"/>
      <c r="N15" s="129"/>
      <c r="O15" s="92"/>
      <c r="P15" s="96"/>
      <c r="Q15" s="129"/>
      <c r="R15" s="92"/>
      <c r="S15" s="96">
        <v>24</v>
      </c>
      <c r="T15" s="121">
        <v>5.8</v>
      </c>
      <c r="U15" s="541"/>
      <c r="V15" s="120">
        <f t="shared" si="7"/>
        <v>3.9200000000000006E-2</v>
      </c>
      <c r="W15" s="121">
        <v>39.200000000000003</v>
      </c>
      <c r="X15" s="39">
        <v>144</v>
      </c>
      <c r="Y15" s="39">
        <v>2880</v>
      </c>
      <c r="Z15" s="122"/>
      <c r="AA15" s="108" t="s">
        <v>49</v>
      </c>
    </row>
    <row r="16" spans="1:27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+E16*T16</f>
        <v>0</v>
      </c>
      <c r="G16" s="545">
        <f>+E16*S16</f>
        <v>0</v>
      </c>
      <c r="H16" s="540">
        <f>IF(S16-E16&lt;0,0,S16-E16)</f>
        <v>80</v>
      </c>
      <c r="I16" s="540">
        <f t="shared" si="4"/>
        <v>1920</v>
      </c>
      <c r="J16" s="92"/>
      <c r="K16" s="134"/>
      <c r="L16" s="39"/>
      <c r="M16" s="39"/>
      <c r="N16" s="128"/>
      <c r="O16" s="92"/>
      <c r="P16" s="96"/>
      <c r="Q16" s="128"/>
      <c r="R16" s="92"/>
      <c r="S16" s="96">
        <v>80</v>
      </c>
      <c r="T16" s="39">
        <v>2.4</v>
      </c>
      <c r="U16" s="541">
        <f>+S16*X16</f>
        <v>1920</v>
      </c>
      <c r="V16" s="120">
        <f t="shared" si="7"/>
        <v>8.8999999999999996E-2</v>
      </c>
      <c r="W16" s="121">
        <v>89</v>
      </c>
      <c r="X16" s="39">
        <v>24</v>
      </c>
      <c r="Y16" s="123">
        <v>1704</v>
      </c>
      <c r="Z16" s="122">
        <f>+(Y16*3)/X16</f>
        <v>213</v>
      </c>
      <c r="AA16" s="108" t="s">
        <v>50</v>
      </c>
    </row>
    <row r="17" spans="1:27" ht="21.2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92"/>
      <c r="K17" s="134"/>
      <c r="L17" s="39"/>
      <c r="M17" s="39"/>
      <c r="N17" s="128"/>
      <c r="O17" s="92"/>
      <c r="P17" s="96"/>
      <c r="Q17" s="128"/>
      <c r="R17" s="92"/>
      <c r="S17" s="96">
        <v>40</v>
      </c>
      <c r="T17" s="39">
        <v>2.4</v>
      </c>
      <c r="U17" s="541"/>
      <c r="V17" s="120">
        <f t="shared" si="7"/>
        <v>8.8999999999999996E-2</v>
      </c>
      <c r="W17" s="121">
        <v>89</v>
      </c>
      <c r="X17" s="39">
        <v>24</v>
      </c>
      <c r="Y17" s="123">
        <v>768</v>
      </c>
      <c r="Z17" s="122">
        <f>+(Y17*3)/X17</f>
        <v>96</v>
      </c>
      <c r="AA17" s="108" t="s">
        <v>50</v>
      </c>
    </row>
    <row r="18" spans="1:27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</v>
      </c>
      <c r="E18" s="539">
        <v>0</v>
      </c>
      <c r="F18" s="540">
        <f>+E18*T18</f>
        <v>0</v>
      </c>
      <c r="G18" s="545">
        <f>+E18*S18</f>
        <v>0</v>
      </c>
      <c r="H18" s="540">
        <v>80</v>
      </c>
      <c r="I18" s="540">
        <f t="shared" si="4"/>
        <v>2400</v>
      </c>
      <c r="J18" s="92"/>
      <c r="K18" s="134"/>
      <c r="L18" s="39"/>
      <c r="M18" s="39"/>
      <c r="N18" s="128"/>
      <c r="O18" s="92"/>
      <c r="P18" s="96"/>
      <c r="Q18" s="128"/>
      <c r="R18" s="92"/>
      <c r="S18" s="96">
        <v>100</v>
      </c>
      <c r="T18" s="39">
        <v>3.2</v>
      </c>
      <c r="U18" s="541">
        <f>+S18*X18</f>
        <v>2400</v>
      </c>
      <c r="V18" s="120">
        <f t="shared" si="7"/>
        <v>0.124</v>
      </c>
      <c r="W18" s="121">
        <v>124</v>
      </c>
      <c r="X18" s="39">
        <v>24</v>
      </c>
      <c r="Y18" s="123">
        <v>2184</v>
      </c>
      <c r="Z18" s="122">
        <f>+(Y18*3)/X18</f>
        <v>273</v>
      </c>
      <c r="AA18" s="108" t="s">
        <v>50</v>
      </c>
    </row>
    <row r="19" spans="1:27" ht="19.5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+E19*T19</f>
        <v>0</v>
      </c>
      <c r="G19" s="546"/>
      <c r="H19" s="544"/>
      <c r="I19" s="544">
        <f t="shared" si="4"/>
        <v>0</v>
      </c>
      <c r="J19" s="92"/>
      <c r="K19" s="135"/>
      <c r="L19" s="119"/>
      <c r="M19" s="119"/>
      <c r="N19" s="130"/>
      <c r="O19" s="92"/>
      <c r="P19" s="98"/>
      <c r="Q19" s="130"/>
      <c r="R19" s="92"/>
      <c r="S19" s="98">
        <v>80</v>
      </c>
      <c r="T19" s="119">
        <v>3.2</v>
      </c>
      <c r="U19" s="547"/>
      <c r="V19" s="124">
        <f t="shared" si="7"/>
        <v>0.124</v>
      </c>
      <c r="W19" s="125">
        <v>124</v>
      </c>
      <c r="X19" s="119">
        <v>24</v>
      </c>
      <c r="Y19" s="126">
        <v>1728</v>
      </c>
      <c r="Z19" s="127">
        <f>+(Y19*3)/X19</f>
        <v>216</v>
      </c>
      <c r="AA19" s="109" t="s">
        <v>50</v>
      </c>
    </row>
  </sheetData>
  <autoFilter ref="A3:Y18" xr:uid="{00000000-0009-0000-0000-000050000000}"/>
  <mergeCells count="33">
    <mergeCell ref="H14:H15"/>
    <mergeCell ref="I14:I15"/>
    <mergeCell ref="U14:U15"/>
    <mergeCell ref="U16:U17"/>
    <mergeCell ref="I18:I19"/>
    <mergeCell ref="U18:U19"/>
    <mergeCell ref="I16:I17"/>
    <mergeCell ref="D16:D17"/>
    <mergeCell ref="E16:E17"/>
    <mergeCell ref="F16:F17"/>
    <mergeCell ref="G16:G17"/>
    <mergeCell ref="H16:H17"/>
    <mergeCell ref="D18:D19"/>
    <mergeCell ref="E18:E19"/>
    <mergeCell ref="F18:F19"/>
    <mergeCell ref="G18:G19"/>
    <mergeCell ref="H18:H19"/>
    <mergeCell ref="B14:B15"/>
    <mergeCell ref="D14:D15"/>
    <mergeCell ref="E14:E15"/>
    <mergeCell ref="F14:F15"/>
    <mergeCell ref="G14:G15"/>
    <mergeCell ref="A1:C1"/>
    <mergeCell ref="A2:B2"/>
    <mergeCell ref="S2:AA2"/>
    <mergeCell ref="B12:B13"/>
    <mergeCell ref="D12:D13"/>
    <mergeCell ref="E12:E13"/>
    <mergeCell ref="F12:F13"/>
    <mergeCell ref="G12:G13"/>
    <mergeCell ref="H12:H13"/>
    <mergeCell ref="I12:I13"/>
    <mergeCell ref="U12:U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 codeName="Hoja10">
    <tabColor rgb="FF00B0F0"/>
  </sheetPr>
  <dimension ref="A1:S19"/>
  <sheetViews>
    <sheetView workbookViewId="0">
      <selection sqref="A1:C1"/>
    </sheetView>
  </sheetViews>
  <sheetFormatPr baseColWidth="10" defaultRowHeight="15" x14ac:dyDescent="0.25"/>
  <cols>
    <col min="1" max="1" width="6.28515625" customWidth="1"/>
    <col min="2" max="2" width="8.85546875" customWidth="1"/>
    <col min="3" max="3" width="25.140625" customWidth="1"/>
    <col min="4" max="4" width="7.85546875" customWidth="1"/>
    <col min="5" max="5" width="12.140625" customWidth="1"/>
    <col min="6" max="6" width="9.140625" customWidth="1"/>
    <col min="7" max="7" width="11.42578125" customWidth="1"/>
    <col min="8" max="8" width="8.42578125" customWidth="1"/>
    <col min="9" max="9" width="9.28515625" style="110" customWidth="1"/>
    <col min="10" max="10" width="11.85546875" customWidth="1"/>
    <col min="11" max="11" width="3.140625" customWidth="1"/>
    <col min="12" max="12" width="8.140625" customWidth="1"/>
    <col min="13" max="13" width="8" customWidth="1"/>
    <col min="14" max="15" width="9.28515625" customWidth="1"/>
    <col min="16" max="16" width="8.28515625" customWidth="1"/>
    <col min="17" max="17" width="8.85546875" customWidth="1"/>
    <col min="18" max="18" width="9.140625" customWidth="1"/>
    <col min="19" max="19" width="10.85546875" customWidth="1"/>
  </cols>
  <sheetData>
    <row r="1" spans="1:19" ht="47.25" thickBot="1" x14ac:dyDescent="0.3">
      <c r="A1" s="527" t="s">
        <v>0</v>
      </c>
      <c r="B1" s="528"/>
      <c r="C1" s="529"/>
      <c r="E1" s="1"/>
      <c r="F1" s="1"/>
      <c r="G1" s="1"/>
      <c r="H1" s="1"/>
      <c r="I1" s="93"/>
      <c r="N1" s="1"/>
    </row>
    <row r="2" spans="1:19" ht="24.75" customHeight="1" thickBot="1" x14ac:dyDescent="0.35">
      <c r="A2" s="530" t="s">
        <v>1</v>
      </c>
      <c r="B2" s="531"/>
      <c r="C2" s="105">
        <v>45429</v>
      </c>
      <c r="E2" s="1"/>
      <c r="F2" s="1"/>
      <c r="G2" s="1"/>
      <c r="H2" s="3" t="s">
        <v>55</v>
      </c>
      <c r="I2" s="3"/>
      <c r="L2" s="554" t="s">
        <v>2</v>
      </c>
      <c r="M2" s="555"/>
      <c r="N2" s="555"/>
      <c r="O2" s="555"/>
      <c r="P2" s="555"/>
      <c r="Q2" s="555"/>
      <c r="R2" s="555"/>
      <c r="S2" s="556"/>
    </row>
    <row r="3" spans="1:19" ht="54.6" customHeight="1" thickBot="1" x14ac:dyDescent="0.3">
      <c r="A3" s="15" t="s">
        <v>3</v>
      </c>
      <c r="B3" s="4" t="s">
        <v>4</v>
      </c>
      <c r="C3" s="4" t="s">
        <v>5</v>
      </c>
      <c r="D3" s="4" t="s">
        <v>57</v>
      </c>
      <c r="E3" s="4" t="s">
        <v>39</v>
      </c>
      <c r="F3" s="4" t="s">
        <v>6</v>
      </c>
      <c r="G3" s="4" t="s">
        <v>7</v>
      </c>
      <c r="H3" s="18" t="s">
        <v>54</v>
      </c>
      <c r="I3" s="18" t="s">
        <v>59</v>
      </c>
      <c r="J3" s="4" t="s">
        <v>46</v>
      </c>
      <c r="K3" s="91"/>
      <c r="L3" s="102" t="s">
        <v>63</v>
      </c>
      <c r="M3" s="103" t="s">
        <v>38</v>
      </c>
      <c r="N3" s="103" t="s">
        <v>58</v>
      </c>
      <c r="O3" s="103" t="s">
        <v>10</v>
      </c>
      <c r="P3" s="103" t="s">
        <v>65</v>
      </c>
      <c r="Q3" s="103" t="s">
        <v>11</v>
      </c>
      <c r="R3" s="103" t="s">
        <v>14</v>
      </c>
      <c r="S3" s="104" t="s">
        <v>64</v>
      </c>
    </row>
    <row r="4" spans="1:19" ht="18.75" x14ac:dyDescent="0.3">
      <c r="A4" s="70">
        <v>500</v>
      </c>
      <c r="B4" s="111" t="s">
        <v>15</v>
      </c>
      <c r="C4" s="71" t="s">
        <v>16</v>
      </c>
      <c r="D4" s="74">
        <f t="shared" ref="D4:D19" si="0">+F4/(L4*M4)</f>
        <v>1.4</v>
      </c>
      <c r="E4" s="73">
        <v>7</v>
      </c>
      <c r="F4" s="72">
        <f t="shared" ref="F4:F11" si="1">E4*M4</f>
        <v>210</v>
      </c>
      <c r="G4" s="72">
        <f t="shared" ref="G4:G11" si="2">+F4/O4</f>
        <v>6373.2928679817906</v>
      </c>
      <c r="H4" s="72">
        <f t="shared" ref="H4:H12" si="3">IF(L4-E4&lt;0,0,L4-E4)</f>
        <v>0</v>
      </c>
      <c r="I4" s="72" t="str">
        <f t="shared" ref="I4:I19" si="4">+IF(N4-G4&lt;0,"",N4-G4)</f>
        <v/>
      </c>
      <c r="J4" s="107" t="s">
        <v>47</v>
      </c>
      <c r="K4" s="92"/>
      <c r="L4" s="96">
        <v>5</v>
      </c>
      <c r="M4" s="67">
        <v>30</v>
      </c>
      <c r="N4" s="67">
        <f t="shared" ref="N4:N12" si="5">+L4*Q4</f>
        <v>4552.3520485584222</v>
      </c>
      <c r="O4" s="94">
        <f>+P4/1000</f>
        <v>3.295E-2</v>
      </c>
      <c r="P4" s="95">
        <v>32.950000000000003</v>
      </c>
      <c r="Q4" s="67">
        <f>+M4/O4</f>
        <v>910.4704097116844</v>
      </c>
      <c r="R4" s="67">
        <v>2520</v>
      </c>
      <c r="S4" s="97">
        <f t="shared" ref="S4:S11" si="6">1.5*R4/Q4</f>
        <v>4.1516999999999999</v>
      </c>
    </row>
    <row r="5" spans="1:19" ht="18.75" x14ac:dyDescent="0.3">
      <c r="A5" s="76">
        <v>706</v>
      </c>
      <c r="B5" s="106" t="s">
        <v>17</v>
      </c>
      <c r="C5" s="69" t="s">
        <v>18</v>
      </c>
      <c r="D5" s="68">
        <f t="shared" si="0"/>
        <v>2.75</v>
      </c>
      <c r="E5" s="66">
        <v>11</v>
      </c>
      <c r="F5" s="67">
        <f t="shared" si="1"/>
        <v>330</v>
      </c>
      <c r="G5" s="67">
        <f t="shared" si="2"/>
        <v>15034.168564920274</v>
      </c>
      <c r="H5" s="67">
        <f t="shared" si="3"/>
        <v>0</v>
      </c>
      <c r="I5" s="67" t="str">
        <f t="shared" si="4"/>
        <v/>
      </c>
      <c r="J5" s="108" t="s">
        <v>47</v>
      </c>
      <c r="K5" s="92"/>
      <c r="L5" s="96">
        <v>4</v>
      </c>
      <c r="M5" s="67">
        <v>30</v>
      </c>
      <c r="N5" s="67">
        <f t="shared" si="5"/>
        <v>5466.9703872437358</v>
      </c>
      <c r="O5" s="94">
        <f t="shared" ref="O5:O19" si="7">+P5/1000</f>
        <v>2.1950000000000001E-2</v>
      </c>
      <c r="P5" s="95">
        <v>21.95</v>
      </c>
      <c r="Q5" s="67">
        <f t="shared" ref="Q5:Q11" si="8">+M5/O5</f>
        <v>1366.7425968109339</v>
      </c>
      <c r="R5" s="67">
        <v>3600</v>
      </c>
      <c r="S5" s="97">
        <f t="shared" si="6"/>
        <v>3.9510000000000001</v>
      </c>
    </row>
    <row r="6" spans="1:19" ht="18.75" x14ac:dyDescent="0.3">
      <c r="A6" s="76" t="s">
        <v>19</v>
      </c>
      <c r="B6" s="106" t="s">
        <v>20</v>
      </c>
      <c r="C6" s="69" t="s">
        <v>21</v>
      </c>
      <c r="D6" s="68">
        <f t="shared" si="0"/>
        <v>0</v>
      </c>
      <c r="E6" s="66">
        <v>0</v>
      </c>
      <c r="F6" s="67">
        <f t="shared" si="1"/>
        <v>0</v>
      </c>
      <c r="G6" s="67">
        <f t="shared" si="2"/>
        <v>0</v>
      </c>
      <c r="H6" s="67">
        <f t="shared" si="3"/>
        <v>5</v>
      </c>
      <c r="I6" s="67">
        <f t="shared" si="4"/>
        <v>6833.7129840546695</v>
      </c>
      <c r="J6" s="108" t="s">
        <v>47</v>
      </c>
      <c r="K6" s="92"/>
      <c r="L6" s="96">
        <v>5</v>
      </c>
      <c r="M6" s="67">
        <v>30</v>
      </c>
      <c r="N6" s="67">
        <f t="shared" si="5"/>
        <v>6833.7129840546695</v>
      </c>
      <c r="O6" s="94">
        <f t="shared" si="7"/>
        <v>2.1950000000000001E-2</v>
      </c>
      <c r="P6" s="95">
        <v>21.95</v>
      </c>
      <c r="Q6" s="67">
        <f t="shared" si="8"/>
        <v>1366.7425968109339</v>
      </c>
      <c r="R6" s="67">
        <v>0</v>
      </c>
      <c r="S6" s="97">
        <f t="shared" si="6"/>
        <v>0</v>
      </c>
    </row>
    <row r="7" spans="1:19" ht="18.75" x14ac:dyDescent="0.3">
      <c r="A7" s="76">
        <v>654</v>
      </c>
      <c r="B7" s="106" t="s">
        <v>22</v>
      </c>
      <c r="C7" s="69" t="s">
        <v>23</v>
      </c>
      <c r="D7" s="68">
        <f t="shared" si="0"/>
        <v>0.28000000000000003</v>
      </c>
      <c r="E7" s="66">
        <v>7</v>
      </c>
      <c r="F7" s="67">
        <f t="shared" si="1"/>
        <v>18.059999999999999</v>
      </c>
      <c r="G7" s="67">
        <f t="shared" si="2"/>
        <v>840</v>
      </c>
      <c r="H7" s="67">
        <f t="shared" si="3"/>
        <v>18</v>
      </c>
      <c r="I7" s="67">
        <f t="shared" si="4"/>
        <v>2160</v>
      </c>
      <c r="J7" s="108" t="s">
        <v>53</v>
      </c>
      <c r="K7" s="92"/>
      <c r="L7" s="96">
        <v>25</v>
      </c>
      <c r="M7" s="95">
        <f>+Q7*O7</f>
        <v>2.5799999999999996</v>
      </c>
      <c r="N7" s="67">
        <f t="shared" si="5"/>
        <v>3000</v>
      </c>
      <c r="O7" s="94">
        <f t="shared" si="7"/>
        <v>2.1499999999999998E-2</v>
      </c>
      <c r="P7" s="95">
        <v>21.5</v>
      </c>
      <c r="Q7" s="67">
        <v>120</v>
      </c>
      <c r="R7" s="67">
        <v>1200</v>
      </c>
      <c r="S7" s="97">
        <f t="shared" si="6"/>
        <v>15</v>
      </c>
    </row>
    <row r="8" spans="1:19" ht="18.75" x14ac:dyDescent="0.3">
      <c r="A8" s="76">
        <v>558</v>
      </c>
      <c r="B8" s="106" t="s">
        <v>24</v>
      </c>
      <c r="C8" s="69" t="s">
        <v>25</v>
      </c>
      <c r="D8" s="68">
        <f t="shared" si="0"/>
        <v>1.4</v>
      </c>
      <c r="E8" s="66">
        <v>35</v>
      </c>
      <c r="F8" s="67">
        <f t="shared" si="1"/>
        <v>63</v>
      </c>
      <c r="G8" s="67">
        <f t="shared" si="2"/>
        <v>4064.516129032258</v>
      </c>
      <c r="H8" s="67">
        <f t="shared" si="3"/>
        <v>0</v>
      </c>
      <c r="I8" s="67" t="str">
        <f t="shared" si="4"/>
        <v/>
      </c>
      <c r="J8" s="108" t="s">
        <v>53</v>
      </c>
      <c r="K8" s="92"/>
      <c r="L8" s="96">
        <v>25</v>
      </c>
      <c r="M8" s="95">
        <v>1.8</v>
      </c>
      <c r="N8" s="67">
        <f t="shared" si="5"/>
        <v>3000</v>
      </c>
      <c r="O8" s="94">
        <f t="shared" si="7"/>
        <v>1.55E-2</v>
      </c>
      <c r="P8" s="95">
        <v>15.5</v>
      </c>
      <c r="Q8" s="67">
        <v>120</v>
      </c>
      <c r="R8" s="67">
        <v>1600</v>
      </c>
      <c r="S8" s="97">
        <f t="shared" si="6"/>
        <v>20</v>
      </c>
    </row>
    <row r="9" spans="1:19" ht="21.2" customHeight="1" x14ac:dyDescent="0.3">
      <c r="A9" s="76">
        <v>557</v>
      </c>
      <c r="B9" s="106" t="s">
        <v>26</v>
      </c>
      <c r="C9" s="69" t="s">
        <v>27</v>
      </c>
      <c r="D9" s="68">
        <f t="shared" si="0"/>
        <v>1.32</v>
      </c>
      <c r="E9" s="66">
        <v>33</v>
      </c>
      <c r="F9" s="67">
        <f t="shared" si="1"/>
        <v>59.4</v>
      </c>
      <c r="G9" s="67">
        <f t="shared" si="2"/>
        <v>3735.8490566037731</v>
      </c>
      <c r="H9" s="67">
        <f t="shared" si="3"/>
        <v>0</v>
      </c>
      <c r="I9" s="67" t="str">
        <f t="shared" si="4"/>
        <v/>
      </c>
      <c r="J9" s="108" t="s">
        <v>53</v>
      </c>
      <c r="K9" s="92"/>
      <c r="L9" s="96">
        <v>25</v>
      </c>
      <c r="M9" s="95">
        <v>1.8</v>
      </c>
      <c r="N9" s="67">
        <f t="shared" si="5"/>
        <v>3000</v>
      </c>
      <c r="O9" s="94">
        <f t="shared" si="7"/>
        <v>1.5900000000000001E-2</v>
      </c>
      <c r="P9" s="95">
        <v>15.9</v>
      </c>
      <c r="Q9" s="67">
        <v>120</v>
      </c>
      <c r="R9" s="67">
        <v>1600</v>
      </c>
      <c r="S9" s="97">
        <f t="shared" si="6"/>
        <v>20</v>
      </c>
    </row>
    <row r="10" spans="1:19" ht="21.2" customHeight="1" x14ac:dyDescent="0.3">
      <c r="A10" s="76">
        <v>506</v>
      </c>
      <c r="B10" s="106" t="s">
        <v>28</v>
      </c>
      <c r="C10" s="69" t="s">
        <v>29</v>
      </c>
      <c r="D10" s="68">
        <f t="shared" si="0"/>
        <v>0.625</v>
      </c>
      <c r="E10" s="66">
        <v>5</v>
      </c>
      <c r="F10" s="67">
        <f t="shared" si="1"/>
        <v>150</v>
      </c>
      <c r="G10" s="67">
        <f t="shared" si="2"/>
        <v>6833.7129840546695</v>
      </c>
      <c r="H10" s="67">
        <f t="shared" si="3"/>
        <v>3</v>
      </c>
      <c r="I10" s="67">
        <f t="shared" si="4"/>
        <v>4100.2277904328021</v>
      </c>
      <c r="J10" s="108" t="s">
        <v>47</v>
      </c>
      <c r="K10" s="92"/>
      <c r="L10" s="96">
        <v>8</v>
      </c>
      <c r="M10" s="67">
        <v>30</v>
      </c>
      <c r="N10" s="67">
        <f t="shared" si="5"/>
        <v>10933.940774487472</v>
      </c>
      <c r="O10" s="94">
        <f t="shared" si="7"/>
        <v>2.1950000000000001E-2</v>
      </c>
      <c r="P10" s="95">
        <v>21.95</v>
      </c>
      <c r="Q10" s="67">
        <f t="shared" si="8"/>
        <v>1366.7425968109339</v>
      </c>
      <c r="R10" s="67">
        <v>18612</v>
      </c>
      <c r="S10" s="97">
        <f t="shared" si="6"/>
        <v>20.426670000000001</v>
      </c>
    </row>
    <row r="11" spans="1:19" ht="18.75" x14ac:dyDescent="0.3">
      <c r="A11" s="76">
        <v>510</v>
      </c>
      <c r="B11" s="106" t="s">
        <v>30</v>
      </c>
      <c r="C11" s="69" t="s">
        <v>31</v>
      </c>
      <c r="D11" s="68">
        <f t="shared" si="0"/>
        <v>2</v>
      </c>
      <c r="E11" s="66">
        <v>8</v>
      </c>
      <c r="F11" s="67">
        <f t="shared" si="1"/>
        <v>240</v>
      </c>
      <c r="G11" s="67">
        <f t="shared" si="2"/>
        <v>10909.09090909091</v>
      </c>
      <c r="H11" s="67">
        <f t="shared" si="3"/>
        <v>0</v>
      </c>
      <c r="I11" s="67" t="str">
        <f t="shared" si="4"/>
        <v/>
      </c>
      <c r="J11" s="108" t="s">
        <v>47</v>
      </c>
      <c r="K11" s="92"/>
      <c r="L11" s="96">
        <v>4</v>
      </c>
      <c r="M11" s="67">
        <v>30</v>
      </c>
      <c r="N11" s="67">
        <f t="shared" si="5"/>
        <v>5454.545454545455</v>
      </c>
      <c r="O11" s="94">
        <f t="shared" si="7"/>
        <v>2.1999999999999999E-2</v>
      </c>
      <c r="P11" s="95">
        <v>22</v>
      </c>
      <c r="Q11" s="67">
        <f t="shared" si="8"/>
        <v>1363.6363636363637</v>
      </c>
      <c r="R11" s="67">
        <v>6000</v>
      </c>
      <c r="S11" s="97">
        <f t="shared" si="6"/>
        <v>6.6</v>
      </c>
    </row>
    <row r="12" spans="1:19" ht="18.75" x14ac:dyDescent="0.3">
      <c r="A12" s="76">
        <v>824</v>
      </c>
      <c r="B12" s="536" t="s">
        <v>32</v>
      </c>
      <c r="C12" s="69" t="s">
        <v>36</v>
      </c>
      <c r="D12" s="537">
        <f t="shared" si="0"/>
        <v>0</v>
      </c>
      <c r="E12" s="538">
        <v>0</v>
      </c>
      <c r="F12" s="540">
        <f>+E12*M12</f>
        <v>0</v>
      </c>
      <c r="G12" s="540">
        <f>+E12*L12</f>
        <v>0</v>
      </c>
      <c r="H12" s="540">
        <f t="shared" si="3"/>
        <v>12</v>
      </c>
      <c r="I12" s="540">
        <f t="shared" si="4"/>
        <v>3456</v>
      </c>
      <c r="J12" s="108" t="s">
        <v>49</v>
      </c>
      <c r="K12" s="92"/>
      <c r="L12" s="96">
        <v>12</v>
      </c>
      <c r="M12" s="95">
        <v>5.8</v>
      </c>
      <c r="N12" s="540">
        <f t="shared" si="5"/>
        <v>3456</v>
      </c>
      <c r="O12" s="94">
        <f t="shared" si="7"/>
        <v>2.0899999999999998E-2</v>
      </c>
      <c r="P12" s="95">
        <v>20.9</v>
      </c>
      <c r="Q12" s="67">
        <v>288</v>
      </c>
      <c r="R12" s="39">
        <v>8000</v>
      </c>
      <c r="S12" s="97">
        <f>1.5*(R12+R13)/Q12</f>
        <v>55.666666666666664</v>
      </c>
    </row>
    <row r="13" spans="1:19" ht="18.75" x14ac:dyDescent="0.3">
      <c r="A13" s="76">
        <v>26</v>
      </c>
      <c r="B13" s="536"/>
      <c r="C13" s="69" t="s">
        <v>37</v>
      </c>
      <c r="D13" s="537">
        <f t="shared" si="0"/>
        <v>0</v>
      </c>
      <c r="E13" s="539"/>
      <c r="F13" s="540"/>
      <c r="G13" s="540"/>
      <c r="H13" s="540"/>
      <c r="I13" s="540">
        <f t="shared" si="4"/>
        <v>0</v>
      </c>
      <c r="J13" s="108" t="s">
        <v>49</v>
      </c>
      <c r="K13" s="92"/>
      <c r="L13" s="96">
        <v>12</v>
      </c>
      <c r="M13" s="95">
        <v>5.8</v>
      </c>
      <c r="N13" s="540"/>
      <c r="O13" s="94">
        <f t="shared" si="7"/>
        <v>2.0899999999999998E-2</v>
      </c>
      <c r="P13" s="95">
        <v>20.9</v>
      </c>
      <c r="Q13" s="67">
        <v>288</v>
      </c>
      <c r="R13" s="39">
        <v>2688</v>
      </c>
      <c r="S13" s="97"/>
    </row>
    <row r="14" spans="1:19" ht="18.75" x14ac:dyDescent="0.3">
      <c r="A14" s="76">
        <v>825</v>
      </c>
      <c r="B14" s="536" t="s">
        <v>35</v>
      </c>
      <c r="C14" s="69" t="s">
        <v>33</v>
      </c>
      <c r="D14" s="537">
        <f t="shared" si="0"/>
        <v>0</v>
      </c>
      <c r="E14" s="539">
        <v>0</v>
      </c>
      <c r="F14" s="540">
        <f>+E14*M14</f>
        <v>0</v>
      </c>
      <c r="G14" s="540">
        <f>+E14*L14</f>
        <v>0</v>
      </c>
      <c r="H14" s="540">
        <f>IF(L14-E14&lt;0,0,L14-E14)</f>
        <v>24</v>
      </c>
      <c r="I14" s="540">
        <f t="shared" si="4"/>
        <v>3456</v>
      </c>
      <c r="J14" s="108" t="s">
        <v>49</v>
      </c>
      <c r="K14" s="92"/>
      <c r="L14" s="96">
        <v>24</v>
      </c>
      <c r="M14" s="95">
        <v>5.8</v>
      </c>
      <c r="N14" s="540">
        <f>+L14*Q14</f>
        <v>3456</v>
      </c>
      <c r="O14" s="94">
        <f t="shared" si="7"/>
        <v>3.95E-2</v>
      </c>
      <c r="P14" s="95">
        <v>39.5</v>
      </c>
      <c r="Q14" s="67">
        <v>144</v>
      </c>
      <c r="R14" s="39">
        <v>4320</v>
      </c>
      <c r="S14" s="97">
        <f>1.5*(R14+R15)/Q14</f>
        <v>75</v>
      </c>
    </row>
    <row r="15" spans="1:19" ht="18.75" x14ac:dyDescent="0.3">
      <c r="A15" s="76">
        <v>27</v>
      </c>
      <c r="B15" s="536"/>
      <c r="C15" s="69" t="s">
        <v>34</v>
      </c>
      <c r="D15" s="537">
        <f t="shared" si="0"/>
        <v>0</v>
      </c>
      <c r="E15" s="539"/>
      <c r="F15" s="540"/>
      <c r="G15" s="540"/>
      <c r="H15" s="540"/>
      <c r="I15" s="540">
        <f t="shared" si="4"/>
        <v>0</v>
      </c>
      <c r="J15" s="108" t="s">
        <v>49</v>
      </c>
      <c r="K15" s="92"/>
      <c r="L15" s="96">
        <v>24</v>
      </c>
      <c r="M15" s="95">
        <v>5.8</v>
      </c>
      <c r="N15" s="540"/>
      <c r="O15" s="94">
        <f t="shared" si="7"/>
        <v>3.9200000000000006E-2</v>
      </c>
      <c r="P15" s="95">
        <v>39.200000000000003</v>
      </c>
      <c r="Q15" s="67">
        <v>144</v>
      </c>
      <c r="R15" s="39">
        <v>2880</v>
      </c>
      <c r="S15" s="97"/>
    </row>
    <row r="16" spans="1:19" ht="21.2" customHeight="1" x14ac:dyDescent="0.3">
      <c r="A16" s="76">
        <v>29</v>
      </c>
      <c r="B16" s="106" t="s">
        <v>42</v>
      </c>
      <c r="C16" s="69" t="s">
        <v>51</v>
      </c>
      <c r="D16" s="537">
        <f t="shared" si="0"/>
        <v>0</v>
      </c>
      <c r="E16" s="539">
        <v>0</v>
      </c>
      <c r="F16" s="540">
        <f>+E16*M16</f>
        <v>0</v>
      </c>
      <c r="G16" s="545">
        <f>+E16*L16</f>
        <v>0</v>
      </c>
      <c r="H16" s="540">
        <f>IF(L16-E16&lt;0,0,L16-E16)</f>
        <v>80</v>
      </c>
      <c r="I16" s="540">
        <f t="shared" si="4"/>
        <v>1920</v>
      </c>
      <c r="J16" s="108" t="s">
        <v>50</v>
      </c>
      <c r="K16" s="92"/>
      <c r="L16" s="96">
        <v>80</v>
      </c>
      <c r="M16" s="67">
        <v>2.4</v>
      </c>
      <c r="N16" s="540">
        <f>+L16*Q16</f>
        <v>1920</v>
      </c>
      <c r="O16" s="94">
        <f t="shared" si="7"/>
        <v>8.8999999999999996E-2</v>
      </c>
      <c r="P16" s="95">
        <v>89</v>
      </c>
      <c r="Q16" s="67">
        <v>24</v>
      </c>
      <c r="R16" s="113">
        <v>1704</v>
      </c>
      <c r="S16" s="97">
        <f>+(R16*3)/Q16</f>
        <v>213</v>
      </c>
    </row>
    <row r="17" spans="1:19" ht="21.2" customHeight="1" x14ac:dyDescent="0.3">
      <c r="A17" s="76">
        <v>828</v>
      </c>
      <c r="B17" s="106" t="s">
        <v>42</v>
      </c>
      <c r="C17" s="69" t="s">
        <v>60</v>
      </c>
      <c r="D17" s="537">
        <f t="shared" si="0"/>
        <v>0</v>
      </c>
      <c r="E17" s="539"/>
      <c r="F17" s="540"/>
      <c r="G17" s="545"/>
      <c r="H17" s="540"/>
      <c r="I17" s="540">
        <f t="shared" si="4"/>
        <v>0</v>
      </c>
      <c r="J17" s="108" t="s">
        <v>50</v>
      </c>
      <c r="K17" s="92"/>
      <c r="L17" s="96">
        <v>40</v>
      </c>
      <c r="M17" s="67">
        <v>2.4</v>
      </c>
      <c r="N17" s="540"/>
      <c r="O17" s="94">
        <f t="shared" si="7"/>
        <v>8.8999999999999996E-2</v>
      </c>
      <c r="P17" s="95">
        <v>89</v>
      </c>
      <c r="Q17" s="67">
        <v>24</v>
      </c>
      <c r="R17" s="113">
        <v>768</v>
      </c>
      <c r="S17" s="97">
        <f>+(R17*3)/Q17</f>
        <v>96</v>
      </c>
    </row>
    <row r="18" spans="1:19" ht="21.2" customHeight="1" x14ac:dyDescent="0.3">
      <c r="A18" s="76">
        <v>30</v>
      </c>
      <c r="B18" s="106" t="s">
        <v>43</v>
      </c>
      <c r="C18" s="69" t="s">
        <v>52</v>
      </c>
      <c r="D18" s="537">
        <f t="shared" si="0"/>
        <v>0.02</v>
      </c>
      <c r="E18" s="539">
        <v>2</v>
      </c>
      <c r="F18" s="540">
        <f>+E18*M18</f>
        <v>6.4</v>
      </c>
      <c r="G18" s="545">
        <f>+E18*L18</f>
        <v>200</v>
      </c>
      <c r="H18" s="540">
        <v>80</v>
      </c>
      <c r="I18" s="540">
        <f t="shared" si="4"/>
        <v>2200</v>
      </c>
      <c r="J18" s="108" t="s">
        <v>50</v>
      </c>
      <c r="K18" s="92"/>
      <c r="L18" s="96">
        <v>100</v>
      </c>
      <c r="M18" s="67">
        <v>3.2</v>
      </c>
      <c r="N18" s="540">
        <f>+L18*Q18</f>
        <v>2400</v>
      </c>
      <c r="O18" s="94">
        <f t="shared" si="7"/>
        <v>0.124</v>
      </c>
      <c r="P18" s="95">
        <v>124</v>
      </c>
      <c r="Q18" s="67">
        <v>24</v>
      </c>
      <c r="R18" s="113">
        <v>2184</v>
      </c>
      <c r="S18" s="97">
        <f>+(R18*3)/Q18</f>
        <v>273</v>
      </c>
    </row>
    <row r="19" spans="1:19" ht="19.5" thickBot="1" x14ac:dyDescent="0.35">
      <c r="A19" s="78">
        <v>830</v>
      </c>
      <c r="B19" s="112" t="s">
        <v>43</v>
      </c>
      <c r="C19" s="79" t="s">
        <v>61</v>
      </c>
      <c r="D19" s="542">
        <f t="shared" si="0"/>
        <v>0</v>
      </c>
      <c r="E19" s="543"/>
      <c r="F19" s="544">
        <f>+E19*M19</f>
        <v>0</v>
      </c>
      <c r="G19" s="546"/>
      <c r="H19" s="544"/>
      <c r="I19" s="544">
        <f t="shared" si="4"/>
        <v>0</v>
      </c>
      <c r="J19" s="109" t="s">
        <v>50</v>
      </c>
      <c r="K19" s="92"/>
      <c r="L19" s="98">
        <v>80</v>
      </c>
      <c r="M19" s="117">
        <v>3.2</v>
      </c>
      <c r="N19" s="544"/>
      <c r="O19" s="99">
        <f t="shared" si="7"/>
        <v>0.124</v>
      </c>
      <c r="P19" s="100">
        <v>124</v>
      </c>
      <c r="Q19" s="117">
        <v>24</v>
      </c>
      <c r="R19" s="118">
        <v>1728</v>
      </c>
      <c r="S19" s="101">
        <f>+(R19*3)/Q19</f>
        <v>216</v>
      </c>
    </row>
  </sheetData>
  <autoFilter ref="A3:R18" xr:uid="{00000000-0009-0000-0000-000051000000}"/>
  <mergeCells count="33">
    <mergeCell ref="A1:C1"/>
    <mergeCell ref="A2:B2"/>
    <mergeCell ref="L2:S2"/>
    <mergeCell ref="B12:B13"/>
    <mergeCell ref="D12:D13"/>
    <mergeCell ref="E12:E13"/>
    <mergeCell ref="F12:F13"/>
    <mergeCell ref="G12:G13"/>
    <mergeCell ref="H12:H13"/>
    <mergeCell ref="I12:I13"/>
    <mergeCell ref="N12:N13"/>
    <mergeCell ref="B14:B15"/>
    <mergeCell ref="D14:D15"/>
    <mergeCell ref="E14:E15"/>
    <mergeCell ref="F14:F15"/>
    <mergeCell ref="G14:G15"/>
    <mergeCell ref="D18:D19"/>
    <mergeCell ref="E18:E19"/>
    <mergeCell ref="F18:F19"/>
    <mergeCell ref="G18:G19"/>
    <mergeCell ref="H18:H19"/>
    <mergeCell ref="D16:D17"/>
    <mergeCell ref="E16:E17"/>
    <mergeCell ref="F16:F17"/>
    <mergeCell ref="G16:G17"/>
    <mergeCell ref="H16:H17"/>
    <mergeCell ref="H14:H15"/>
    <mergeCell ref="I14:I15"/>
    <mergeCell ref="N14:N15"/>
    <mergeCell ref="N16:N17"/>
    <mergeCell ref="I18:I19"/>
    <mergeCell ref="N18:N19"/>
    <mergeCell ref="I16:I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 codeName="Hoja11">
    <tabColor rgb="FF00B0F0"/>
    <pageSetUpPr fitToPage="1"/>
  </sheetPr>
  <dimension ref="A1:S25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5.7109375" customWidth="1"/>
    <col min="4" max="4" width="12.140625" customWidth="1"/>
    <col min="5" max="5" width="9.140625" hidden="1" customWidth="1"/>
    <col min="6" max="6" width="11.42578125" customWidth="1"/>
    <col min="7" max="7" width="10.28515625" customWidth="1"/>
    <col min="8" max="8" width="7.85546875" hidden="1" customWidth="1"/>
    <col min="9" max="9" width="9.28515625" customWidth="1"/>
    <col min="10" max="10" width="10.28515625" customWidth="1"/>
    <col min="11" max="11" width="13.140625" hidden="1" customWidth="1"/>
    <col min="12" max="13" width="6.7109375" customWidth="1"/>
    <col min="14" max="14" width="7.42578125" customWidth="1"/>
    <col min="15" max="15" width="10.85546875" customWidth="1"/>
    <col min="16" max="16" width="7.85546875" customWidth="1"/>
    <col min="17" max="17" width="11.28515625" customWidth="1"/>
    <col min="18" max="18" width="11.140625" customWidth="1"/>
    <col min="19" max="19" width="8.85546875" customWidth="1"/>
  </cols>
  <sheetData>
    <row r="1" spans="1:19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9" ht="24.75" customHeight="1" thickBot="1" x14ac:dyDescent="0.35">
      <c r="A2" s="585" t="s">
        <v>1</v>
      </c>
      <c r="B2" s="586"/>
      <c r="C2" s="2">
        <f ca="1">+TODAY()</f>
        <v>46101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3"/>
      <c r="S2" s="524"/>
    </row>
    <row r="3" spans="1:19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68</v>
      </c>
      <c r="J3" s="45" t="s">
        <v>59</v>
      </c>
      <c r="K3" s="36" t="s">
        <v>46</v>
      </c>
      <c r="L3" s="4" t="s">
        <v>13</v>
      </c>
      <c r="M3" s="4" t="s">
        <v>67</v>
      </c>
      <c r="N3" s="6" t="s">
        <v>38</v>
      </c>
      <c r="O3" s="4" t="s">
        <v>10</v>
      </c>
      <c r="P3" s="6" t="s">
        <v>9</v>
      </c>
      <c r="Q3" s="4" t="s">
        <v>11</v>
      </c>
      <c r="R3" s="6" t="s">
        <v>14</v>
      </c>
      <c r="S3" s="4" t="s">
        <v>66</v>
      </c>
    </row>
    <row r="4" spans="1:19" ht="19.5" thickBot="1" x14ac:dyDescent="0.35">
      <c r="A4" s="7">
        <v>500</v>
      </c>
      <c r="B4" s="8" t="s">
        <v>15</v>
      </c>
      <c r="C4" s="8" t="s">
        <v>16</v>
      </c>
      <c r="D4" s="33">
        <v>7</v>
      </c>
      <c r="E4" s="23">
        <f t="shared" ref="E4:E10" si="0">D4*N4</f>
        <v>210</v>
      </c>
      <c r="F4" s="67">
        <f t="shared" ref="F4:F10" si="1">+E4/O4</f>
        <v>6373.2928679817906</v>
      </c>
      <c r="G4" s="113">
        <f>+M4*Q4</f>
        <v>2731.411229135053</v>
      </c>
      <c r="H4" s="68" t="e">
        <f t="shared" ref="H4:H18" si="2">+E4/(L4*N4)</f>
        <v>#DIV/0!</v>
      </c>
      <c r="I4" s="89">
        <f t="shared" ref="I4:I18" si="3">IF(M4-D4&lt;0,0,M4-D4)</f>
        <v>0</v>
      </c>
      <c r="J4" s="23" t="str">
        <f>+IF(G4-F4&lt;0,"",G4-F4)</f>
        <v/>
      </c>
      <c r="K4" s="8" t="s">
        <v>47</v>
      </c>
      <c r="L4" s="19"/>
      <c r="M4" s="23">
        <v>3</v>
      </c>
      <c r="N4" s="23">
        <v>30</v>
      </c>
      <c r="O4" s="21">
        <f t="shared" ref="O4:O11" si="4">+P4/1000</f>
        <v>3.295E-2</v>
      </c>
      <c r="P4" s="25">
        <v>32.950000000000003</v>
      </c>
      <c r="Q4" s="19">
        <f>+N4/O4</f>
        <v>910.4704097116844</v>
      </c>
      <c r="R4" s="23">
        <v>1800</v>
      </c>
      <c r="S4" s="31">
        <f t="shared" ref="S4:S10" si="5">1.5*R4/Q4</f>
        <v>2.9655</v>
      </c>
    </row>
    <row r="5" spans="1:19" ht="19.5" thickBot="1" x14ac:dyDescent="0.35">
      <c r="A5" s="9">
        <v>706</v>
      </c>
      <c r="B5" s="10" t="s">
        <v>17</v>
      </c>
      <c r="C5" s="10" t="s">
        <v>18</v>
      </c>
      <c r="D5" s="34">
        <v>12</v>
      </c>
      <c r="E5" s="24">
        <f t="shared" si="0"/>
        <v>360</v>
      </c>
      <c r="F5" s="67">
        <f t="shared" si="1"/>
        <v>16400.911161731208</v>
      </c>
      <c r="G5" s="67">
        <f t="shared" ref="G5:G18" si="6">+M5*Q5</f>
        <v>2733.4851936218679</v>
      </c>
      <c r="H5" s="68" t="e">
        <f t="shared" si="2"/>
        <v>#DIV/0!</v>
      </c>
      <c r="I5" s="89">
        <f t="shared" si="3"/>
        <v>0</v>
      </c>
      <c r="J5" s="23" t="str">
        <f t="shared" ref="J5:J18" si="7">+IF(G5-F5&lt;0,"",G5-F5)</f>
        <v/>
      </c>
      <c r="K5" s="8" t="s">
        <v>47</v>
      </c>
      <c r="L5" s="20"/>
      <c r="M5" s="24">
        <v>2</v>
      </c>
      <c r="N5" s="24">
        <v>30</v>
      </c>
      <c r="O5" s="22">
        <f t="shared" si="4"/>
        <v>2.1950000000000001E-2</v>
      </c>
      <c r="P5" s="26">
        <v>21.95</v>
      </c>
      <c r="Q5" s="20">
        <f>+N5/O5</f>
        <v>1366.7425968109339</v>
      </c>
      <c r="R5" s="24">
        <v>2076</v>
      </c>
      <c r="S5" s="32">
        <f>1.5*R5/Q5</f>
        <v>2.27841</v>
      </c>
    </row>
    <row r="6" spans="1:19" ht="19.5" thickBot="1" x14ac:dyDescent="0.35">
      <c r="A6" s="9">
        <v>654</v>
      </c>
      <c r="B6" s="10" t="s">
        <v>22</v>
      </c>
      <c r="C6" s="10" t="s">
        <v>23</v>
      </c>
      <c r="D6" s="34">
        <v>1</v>
      </c>
      <c r="E6" s="24">
        <f t="shared" si="0"/>
        <v>2.5799999999999996</v>
      </c>
      <c r="F6" s="67">
        <f t="shared" si="1"/>
        <v>119.99999999999999</v>
      </c>
      <c r="G6" s="67">
        <f t="shared" si="6"/>
        <v>960</v>
      </c>
      <c r="H6" s="68" t="e">
        <f t="shared" si="2"/>
        <v>#DIV/0!</v>
      </c>
      <c r="I6" s="89">
        <f t="shared" si="3"/>
        <v>7</v>
      </c>
      <c r="J6" s="23">
        <f>+IF(G6-F6&lt;0,"",G6-F6)</f>
        <v>840</v>
      </c>
      <c r="K6" s="8" t="s">
        <v>53</v>
      </c>
      <c r="L6" s="20"/>
      <c r="M6" s="24">
        <v>8</v>
      </c>
      <c r="N6" s="30">
        <f>+Q6*O6</f>
        <v>2.5799999999999996</v>
      </c>
      <c r="O6" s="22">
        <f t="shared" si="4"/>
        <v>2.1499999999999998E-2</v>
      </c>
      <c r="P6" s="26">
        <v>21.5</v>
      </c>
      <c r="Q6" s="20">
        <v>120</v>
      </c>
      <c r="R6" s="24">
        <v>600</v>
      </c>
      <c r="S6" s="32">
        <f t="shared" si="5"/>
        <v>7.5</v>
      </c>
    </row>
    <row r="7" spans="1:19" ht="19.5" thickBot="1" x14ac:dyDescent="0.35">
      <c r="A7" s="9">
        <v>558</v>
      </c>
      <c r="B7" s="10" t="s">
        <v>24</v>
      </c>
      <c r="C7" s="10" t="s">
        <v>25</v>
      </c>
      <c r="D7" s="34">
        <v>3</v>
      </c>
      <c r="E7" s="24">
        <f t="shared" si="0"/>
        <v>5.4</v>
      </c>
      <c r="F7" s="67">
        <f t="shared" si="1"/>
        <v>348.38709677419359</v>
      </c>
      <c r="G7" s="67">
        <f t="shared" si="6"/>
        <v>2400</v>
      </c>
      <c r="H7" s="68" t="e">
        <f t="shared" si="2"/>
        <v>#DIV/0!</v>
      </c>
      <c r="I7" s="89">
        <f t="shared" si="3"/>
        <v>17</v>
      </c>
      <c r="J7" s="23">
        <f t="shared" si="7"/>
        <v>2051.6129032258063</v>
      </c>
      <c r="K7" s="8" t="s">
        <v>53</v>
      </c>
      <c r="L7" s="20"/>
      <c r="M7" s="24">
        <v>20</v>
      </c>
      <c r="N7" s="30">
        <v>1.8</v>
      </c>
      <c r="O7" s="22">
        <f t="shared" si="4"/>
        <v>1.55E-2</v>
      </c>
      <c r="P7" s="26">
        <v>15.5</v>
      </c>
      <c r="Q7" s="20">
        <v>120</v>
      </c>
      <c r="R7" s="24">
        <v>1600</v>
      </c>
      <c r="S7" s="32">
        <f t="shared" si="5"/>
        <v>20</v>
      </c>
    </row>
    <row r="8" spans="1:19" ht="21.2" customHeight="1" thickBot="1" x14ac:dyDescent="0.35">
      <c r="A8" s="9">
        <v>557</v>
      </c>
      <c r="B8" s="10" t="s">
        <v>26</v>
      </c>
      <c r="C8" s="10" t="s">
        <v>27</v>
      </c>
      <c r="D8" s="34">
        <v>5</v>
      </c>
      <c r="E8" s="24">
        <f t="shared" si="0"/>
        <v>9</v>
      </c>
      <c r="F8" s="67">
        <f t="shared" si="1"/>
        <v>566.03773584905662</v>
      </c>
      <c r="G8" s="67">
        <f t="shared" si="6"/>
        <v>360</v>
      </c>
      <c r="H8" s="68" t="e">
        <f t="shared" si="2"/>
        <v>#DIV/0!</v>
      </c>
      <c r="I8" s="89">
        <f t="shared" si="3"/>
        <v>0</v>
      </c>
      <c r="J8" s="23" t="str">
        <f t="shared" si="7"/>
        <v/>
      </c>
      <c r="K8" s="8" t="s">
        <v>53</v>
      </c>
      <c r="L8" s="20"/>
      <c r="M8" s="24">
        <v>3</v>
      </c>
      <c r="N8" s="30">
        <v>1.8</v>
      </c>
      <c r="O8" s="22">
        <f t="shared" si="4"/>
        <v>1.5900000000000001E-2</v>
      </c>
      <c r="P8" s="26">
        <v>15.9</v>
      </c>
      <c r="Q8" s="20">
        <v>120</v>
      </c>
      <c r="R8" s="24">
        <v>240</v>
      </c>
      <c r="S8" s="32">
        <f t="shared" si="5"/>
        <v>3</v>
      </c>
    </row>
    <row r="9" spans="1:19" ht="21.2" customHeight="1" thickBot="1" x14ac:dyDescent="0.35">
      <c r="A9" s="9">
        <v>506</v>
      </c>
      <c r="B9" s="10" t="s">
        <v>28</v>
      </c>
      <c r="C9" s="10" t="s">
        <v>29</v>
      </c>
      <c r="D9" s="34">
        <v>15</v>
      </c>
      <c r="E9" s="24">
        <f t="shared" si="0"/>
        <v>450</v>
      </c>
      <c r="F9" s="67">
        <f t="shared" si="1"/>
        <v>20501.138952164009</v>
      </c>
      <c r="G9" s="67">
        <f t="shared" si="6"/>
        <v>20501.138952164009</v>
      </c>
      <c r="H9" s="68" t="e">
        <f t="shared" si="2"/>
        <v>#DIV/0!</v>
      </c>
      <c r="I9" s="89">
        <f t="shared" si="3"/>
        <v>0</v>
      </c>
      <c r="J9" s="23">
        <f>+IF(G9-F9&lt;0,"",G9-F9)</f>
        <v>0</v>
      </c>
      <c r="K9" s="8" t="s">
        <v>47</v>
      </c>
      <c r="L9" s="20"/>
      <c r="M9" s="24">
        <v>15</v>
      </c>
      <c r="N9" s="24">
        <v>30</v>
      </c>
      <c r="O9" s="22">
        <f t="shared" si="4"/>
        <v>2.1950000000000001E-2</v>
      </c>
      <c r="P9" s="26">
        <v>21.95</v>
      </c>
      <c r="Q9" s="20">
        <f>+N9/O9</f>
        <v>1366.7425968109339</v>
      </c>
      <c r="R9" s="24">
        <v>13620</v>
      </c>
      <c r="S9" s="32">
        <f t="shared" si="5"/>
        <v>14.947950000000001</v>
      </c>
    </row>
    <row r="10" spans="1:19" ht="19.5" thickBot="1" x14ac:dyDescent="0.35">
      <c r="A10" s="9">
        <v>510</v>
      </c>
      <c r="B10" s="10" t="s">
        <v>30</v>
      </c>
      <c r="C10" s="10" t="s">
        <v>31</v>
      </c>
      <c r="D10" s="34">
        <v>9</v>
      </c>
      <c r="E10" s="24">
        <f t="shared" si="0"/>
        <v>270</v>
      </c>
      <c r="F10" s="67">
        <f t="shared" si="1"/>
        <v>12272.727272727274</v>
      </c>
      <c r="G10" s="67">
        <f t="shared" si="6"/>
        <v>6818.1818181818189</v>
      </c>
      <c r="H10" s="68" t="e">
        <f t="shared" si="2"/>
        <v>#DIV/0!</v>
      </c>
      <c r="I10" s="89">
        <f t="shared" si="3"/>
        <v>0</v>
      </c>
      <c r="J10" s="23" t="str">
        <f t="shared" si="7"/>
        <v/>
      </c>
      <c r="K10" s="8" t="s">
        <v>47</v>
      </c>
      <c r="L10" s="20"/>
      <c r="M10" s="24">
        <v>5</v>
      </c>
      <c r="N10" s="24">
        <v>30</v>
      </c>
      <c r="O10" s="22">
        <f t="shared" si="4"/>
        <v>2.1999999999999999E-2</v>
      </c>
      <c r="P10" s="26">
        <v>22</v>
      </c>
      <c r="Q10" s="20">
        <f>+N10/O10</f>
        <v>1363.6363636363637</v>
      </c>
      <c r="R10" s="24">
        <v>4560</v>
      </c>
      <c r="S10" s="32">
        <f t="shared" si="5"/>
        <v>5.016</v>
      </c>
    </row>
    <row r="11" spans="1:19" ht="19.5" thickBot="1" x14ac:dyDescent="0.35">
      <c r="A11" s="9">
        <v>824</v>
      </c>
      <c r="B11" s="579" t="s">
        <v>32</v>
      </c>
      <c r="C11" s="10" t="s">
        <v>36</v>
      </c>
      <c r="D11" s="587">
        <v>40</v>
      </c>
      <c r="E11" s="583">
        <f>+D11*N11</f>
        <v>232</v>
      </c>
      <c r="F11" s="540">
        <f>+D11*L11</f>
        <v>0</v>
      </c>
      <c r="G11" s="548">
        <f t="shared" si="6"/>
        <v>6624</v>
      </c>
      <c r="H11" s="537" t="e">
        <f t="shared" si="2"/>
        <v>#DIV/0!</v>
      </c>
      <c r="I11" s="557">
        <f t="shared" si="3"/>
        <v>0</v>
      </c>
      <c r="J11" s="559">
        <f t="shared" si="7"/>
        <v>6624</v>
      </c>
      <c r="K11" s="8" t="s">
        <v>49</v>
      </c>
      <c r="L11" s="559"/>
      <c r="M11" s="114">
        <v>23</v>
      </c>
      <c r="N11" s="568">
        <v>5.8</v>
      </c>
      <c r="O11" s="570">
        <f t="shared" si="4"/>
        <v>2.0899999999999998E-2</v>
      </c>
      <c r="P11" s="572">
        <v>20.9</v>
      </c>
      <c r="Q11" s="574">
        <v>288</v>
      </c>
      <c r="R11" s="39">
        <v>1344</v>
      </c>
      <c r="S11" s="576">
        <f>1.5*(R11+R12)/Q11</f>
        <v>22.625</v>
      </c>
    </row>
    <row r="12" spans="1:19" ht="19.5" thickBot="1" x14ac:dyDescent="0.35">
      <c r="A12" s="9">
        <v>26</v>
      </c>
      <c r="B12" s="579"/>
      <c r="C12" s="10" t="s">
        <v>37</v>
      </c>
      <c r="D12" s="581"/>
      <c r="E12" s="588"/>
      <c r="F12" s="540"/>
      <c r="G12" s="549">
        <f t="shared" si="6"/>
        <v>0</v>
      </c>
      <c r="H12" s="537" t="e">
        <f t="shared" si="2"/>
        <v>#DIV/0!</v>
      </c>
      <c r="I12" s="558">
        <f t="shared" si="3"/>
        <v>0</v>
      </c>
      <c r="J12" s="560">
        <f t="shared" si="7"/>
        <v>0</v>
      </c>
      <c r="K12" s="8" t="s">
        <v>49</v>
      </c>
      <c r="L12" s="560"/>
      <c r="M12" s="116"/>
      <c r="N12" s="589"/>
      <c r="O12" s="570"/>
      <c r="P12" s="590">
        <f>+O12*1000</f>
        <v>0</v>
      </c>
      <c r="Q12" s="574"/>
      <c r="R12" s="39">
        <v>3000</v>
      </c>
      <c r="S12" s="576"/>
    </row>
    <row r="13" spans="1:19" ht="19.5" thickBot="1" x14ac:dyDescent="0.35">
      <c r="A13" s="9">
        <v>825</v>
      </c>
      <c r="B13" s="579" t="s">
        <v>35</v>
      </c>
      <c r="C13" s="10" t="s">
        <v>33</v>
      </c>
      <c r="D13" s="581">
        <v>0</v>
      </c>
      <c r="E13" s="583">
        <f>+D13*N13</f>
        <v>0</v>
      </c>
      <c r="F13" s="540">
        <f>+D13*L13</f>
        <v>0</v>
      </c>
      <c r="G13" s="548">
        <f t="shared" si="6"/>
        <v>5328</v>
      </c>
      <c r="H13" s="537" t="e">
        <f t="shared" si="2"/>
        <v>#DIV/0!</v>
      </c>
      <c r="I13" s="557">
        <f t="shared" si="3"/>
        <v>37</v>
      </c>
      <c r="J13" s="559">
        <f t="shared" si="7"/>
        <v>5328</v>
      </c>
      <c r="K13" s="8" t="s">
        <v>49</v>
      </c>
      <c r="L13" s="559"/>
      <c r="M13" s="114">
        <v>37</v>
      </c>
      <c r="N13" s="568">
        <v>5.8</v>
      </c>
      <c r="O13" s="570">
        <f>+P13/1000</f>
        <v>3.95E-2</v>
      </c>
      <c r="P13" s="572">
        <v>39.5</v>
      </c>
      <c r="Q13" s="574">
        <v>144</v>
      </c>
      <c r="R13" s="39">
        <v>1128</v>
      </c>
      <c r="S13" s="576">
        <f>1.5*(R13+R14)/Q13</f>
        <v>36.75</v>
      </c>
    </row>
    <row r="14" spans="1:19" ht="19.5" thickBot="1" x14ac:dyDescent="0.35">
      <c r="A14" s="11">
        <v>27</v>
      </c>
      <c r="B14" s="580"/>
      <c r="C14" s="12" t="s">
        <v>34</v>
      </c>
      <c r="D14" s="582"/>
      <c r="E14" s="584"/>
      <c r="F14" s="540"/>
      <c r="G14" s="549">
        <f t="shared" si="6"/>
        <v>0</v>
      </c>
      <c r="H14" s="537" t="e">
        <f t="shared" si="2"/>
        <v>#DIV/0!</v>
      </c>
      <c r="I14" s="558">
        <f t="shared" si="3"/>
        <v>0</v>
      </c>
      <c r="J14" s="560">
        <f t="shared" si="7"/>
        <v>0</v>
      </c>
      <c r="K14" s="8" t="s">
        <v>49</v>
      </c>
      <c r="L14" s="578"/>
      <c r="M14" s="115"/>
      <c r="N14" s="569"/>
      <c r="O14" s="571"/>
      <c r="P14" s="573">
        <v>39.200000000000003</v>
      </c>
      <c r="Q14" s="575"/>
      <c r="R14" s="39">
        <v>2400</v>
      </c>
      <c r="S14" s="577"/>
    </row>
    <row r="15" spans="1:19" ht="21.2" customHeight="1" thickBot="1" x14ac:dyDescent="0.35">
      <c r="A15" s="9">
        <v>29</v>
      </c>
      <c r="B15" s="10" t="s">
        <v>42</v>
      </c>
      <c r="C15" s="10" t="s">
        <v>51</v>
      </c>
      <c r="D15" s="561">
        <v>0</v>
      </c>
      <c r="E15" s="567">
        <f>+D15*N15</f>
        <v>0</v>
      </c>
      <c r="F15" s="565">
        <f>+D15*L15</f>
        <v>0</v>
      </c>
      <c r="G15" s="548">
        <f t="shared" si="6"/>
        <v>1368</v>
      </c>
      <c r="H15" s="537" t="e">
        <f t="shared" si="2"/>
        <v>#DIV/0!</v>
      </c>
      <c r="I15" s="557">
        <f t="shared" si="3"/>
        <v>57</v>
      </c>
      <c r="J15" s="559">
        <f>+IF(G15-F15&lt;0,"",G15-F15)</f>
        <v>1368</v>
      </c>
      <c r="K15" s="8" t="s">
        <v>50</v>
      </c>
      <c r="L15" s="20"/>
      <c r="M15" s="24">
        <v>57</v>
      </c>
      <c r="N15" s="24">
        <v>2.4</v>
      </c>
      <c r="O15" s="22">
        <f>+P15/1000</f>
        <v>8.8999999999999996E-2</v>
      </c>
      <c r="P15" s="26">
        <v>89</v>
      </c>
      <c r="Q15" s="20">
        <v>24</v>
      </c>
      <c r="R15" s="40">
        <v>912</v>
      </c>
      <c r="S15" s="32">
        <f>1.5*R15/Q15</f>
        <v>57</v>
      </c>
    </row>
    <row r="16" spans="1:19" ht="21.2" customHeight="1" thickBot="1" x14ac:dyDescent="0.35">
      <c r="A16" s="9">
        <v>828</v>
      </c>
      <c r="B16" s="10" t="s">
        <v>42</v>
      </c>
      <c r="C16" s="10" t="s">
        <v>60</v>
      </c>
      <c r="D16" s="562"/>
      <c r="E16" s="564"/>
      <c r="F16" s="566"/>
      <c r="G16" s="549">
        <f t="shared" si="6"/>
        <v>0</v>
      </c>
      <c r="H16" s="537" t="e">
        <f t="shared" si="2"/>
        <v>#DIV/0!</v>
      </c>
      <c r="I16" s="558">
        <f t="shared" si="3"/>
        <v>0</v>
      </c>
      <c r="J16" s="560">
        <f t="shared" si="7"/>
        <v>0</v>
      </c>
      <c r="K16" s="8" t="s">
        <v>50</v>
      </c>
      <c r="L16" s="20"/>
      <c r="M16" s="24"/>
      <c r="N16" s="24">
        <v>2.4</v>
      </c>
      <c r="O16" s="22">
        <f>+P16/1000</f>
        <v>8.8999999999999996E-2</v>
      </c>
      <c r="P16" s="26">
        <v>89</v>
      </c>
      <c r="Q16" s="20">
        <v>24</v>
      </c>
      <c r="R16" s="40"/>
      <c r="S16" s="32"/>
    </row>
    <row r="17" spans="1:19" ht="21.2" customHeight="1" thickBot="1" x14ac:dyDescent="0.35">
      <c r="A17" s="9">
        <v>30</v>
      </c>
      <c r="B17" s="10" t="s">
        <v>43</v>
      </c>
      <c r="C17" s="10" t="s">
        <v>52</v>
      </c>
      <c r="D17" s="561">
        <v>0</v>
      </c>
      <c r="E17" s="563">
        <f>+D17*N17</f>
        <v>0</v>
      </c>
      <c r="F17" s="565">
        <f>+D17*L17</f>
        <v>0</v>
      </c>
      <c r="G17" s="548">
        <f t="shared" si="6"/>
        <v>2400</v>
      </c>
      <c r="H17" s="537" t="e">
        <f t="shared" si="2"/>
        <v>#DIV/0!</v>
      </c>
      <c r="I17" s="557">
        <f t="shared" si="3"/>
        <v>100</v>
      </c>
      <c r="J17" s="559">
        <f t="shared" si="7"/>
        <v>2400</v>
      </c>
      <c r="K17" s="8" t="s">
        <v>50</v>
      </c>
      <c r="L17" s="20"/>
      <c r="M17" s="24">
        <v>100</v>
      </c>
      <c r="N17" s="24">
        <v>3.2</v>
      </c>
      <c r="O17" s="22">
        <f>+P17/1000</f>
        <v>0.124</v>
      </c>
      <c r="P17" s="26">
        <v>124</v>
      </c>
      <c r="Q17" s="20">
        <v>24</v>
      </c>
      <c r="R17" s="41">
        <v>1608</v>
      </c>
      <c r="S17" s="32">
        <f>1.5*R17/Q17</f>
        <v>100.5</v>
      </c>
    </row>
    <row r="18" spans="1:19" ht="18.75" x14ac:dyDescent="0.3">
      <c r="A18" s="62">
        <v>830</v>
      </c>
      <c r="B18" s="10" t="s">
        <v>43</v>
      </c>
      <c r="C18" s="10" t="s">
        <v>61</v>
      </c>
      <c r="D18" s="562"/>
      <c r="E18" s="564">
        <f>+D18*N18</f>
        <v>0</v>
      </c>
      <c r="F18" s="566"/>
      <c r="G18" s="549">
        <f t="shared" si="6"/>
        <v>0</v>
      </c>
      <c r="H18" s="537" t="e">
        <f t="shared" si="2"/>
        <v>#DIV/0!</v>
      </c>
      <c r="I18" s="558">
        <f t="shared" si="3"/>
        <v>0</v>
      </c>
      <c r="J18" s="560">
        <f t="shared" si="7"/>
        <v>0</v>
      </c>
      <c r="K18" s="8" t="s">
        <v>50</v>
      </c>
      <c r="L18" s="20"/>
      <c r="M18" s="24"/>
      <c r="N18" s="24">
        <v>3.2</v>
      </c>
      <c r="O18" s="22">
        <f>+P18/1000</f>
        <v>0.124</v>
      </c>
      <c r="P18" s="26">
        <v>124</v>
      </c>
      <c r="Q18" s="20">
        <v>24</v>
      </c>
      <c r="R18" s="61">
        <v>1728</v>
      </c>
      <c r="S18" s="32"/>
    </row>
    <row r="24" spans="1:19" ht="15.75" thickBot="1" x14ac:dyDescent="0.3"/>
    <row r="25" spans="1:19" ht="18.75" x14ac:dyDescent="0.3">
      <c r="A25" s="9" t="s">
        <v>19</v>
      </c>
      <c r="B25" s="10" t="s">
        <v>20</v>
      </c>
      <c r="C25" s="10" t="s">
        <v>21</v>
      </c>
      <c r="D25" s="34"/>
      <c r="E25" s="24">
        <f>D25*N25</f>
        <v>0</v>
      </c>
      <c r="F25" s="67">
        <f>+E25/O25</f>
        <v>0</v>
      </c>
      <c r="G25" s="67">
        <f>+L25*Q25</f>
        <v>6833.7129840546695</v>
      </c>
      <c r="H25" s="68">
        <f>+E25/(L25*N25)</f>
        <v>0</v>
      </c>
      <c r="I25" s="90">
        <f>IF(L25-D25&lt;0,0,L25-D25)</f>
        <v>5</v>
      </c>
      <c r="J25" s="23">
        <f>+IF(G25-F25&lt;0,"",G25-F25)</f>
        <v>6833.7129840546695</v>
      </c>
      <c r="K25" s="8" t="s">
        <v>47</v>
      </c>
      <c r="L25" s="20">
        <v>5</v>
      </c>
      <c r="M25" s="24"/>
      <c r="N25" s="24">
        <v>30</v>
      </c>
      <c r="O25" s="22">
        <f>+P25/1000</f>
        <v>2.1950000000000001E-2</v>
      </c>
      <c r="P25" s="26">
        <v>21.95</v>
      </c>
      <c r="Q25" s="20">
        <f>+N25/O25</f>
        <v>1366.7425968109339</v>
      </c>
      <c r="R25" s="24">
        <v>0</v>
      </c>
      <c r="S25" s="32">
        <f>1.5*R25/Q25</f>
        <v>0</v>
      </c>
    </row>
  </sheetData>
  <autoFilter ref="A3:R17" xr:uid="{00000000-0009-0000-0000-000052000000}"/>
  <mergeCells count="45">
    <mergeCell ref="A1:C1"/>
    <mergeCell ref="A2:B2"/>
    <mergeCell ref="L2:S2"/>
    <mergeCell ref="B11:B12"/>
    <mergeCell ref="D11:D12"/>
    <mergeCell ref="E11:E12"/>
    <mergeCell ref="F11:F12"/>
    <mergeCell ref="G11:G12"/>
    <mergeCell ref="H11:H12"/>
    <mergeCell ref="I11:I12"/>
    <mergeCell ref="S11:S12"/>
    <mergeCell ref="N11:N12"/>
    <mergeCell ref="O11:O12"/>
    <mergeCell ref="P11:P12"/>
    <mergeCell ref="Q11:Q12"/>
    <mergeCell ref="B13:B14"/>
    <mergeCell ref="D13:D14"/>
    <mergeCell ref="E13:E14"/>
    <mergeCell ref="F13:F14"/>
    <mergeCell ref="G13:G14"/>
    <mergeCell ref="H13:H14"/>
    <mergeCell ref="I13:I14"/>
    <mergeCell ref="J13:J14"/>
    <mergeCell ref="L13:L14"/>
    <mergeCell ref="J11:J12"/>
    <mergeCell ref="L11:L12"/>
    <mergeCell ref="N13:N14"/>
    <mergeCell ref="O13:O14"/>
    <mergeCell ref="P13:P14"/>
    <mergeCell ref="Q13:Q14"/>
    <mergeCell ref="S13:S14"/>
    <mergeCell ref="I15:I16"/>
    <mergeCell ref="J15:J16"/>
    <mergeCell ref="D17:D18"/>
    <mergeCell ref="E17:E18"/>
    <mergeCell ref="F17:F18"/>
    <mergeCell ref="G17:G18"/>
    <mergeCell ref="H17:H18"/>
    <mergeCell ref="I17:I18"/>
    <mergeCell ref="J17:J18"/>
    <mergeCell ref="D15:D16"/>
    <mergeCell ref="E15:E16"/>
    <mergeCell ref="F15:F16"/>
    <mergeCell ref="G15:G16"/>
    <mergeCell ref="H15:H16"/>
  </mergeCells>
  <printOptions horizontalCentered="1" verticalCentered="1"/>
  <pageMargins left="0.25" right="0.25" top="0.75" bottom="0.75" header="0.3" footer="0.3"/>
  <pageSetup paperSize="9" scale="59" fitToHeight="0" orientation="portrait" r:id="rId1"/>
  <legacy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 codeName="Hoja12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5.710937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45415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59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7</v>
      </c>
      <c r="E4" s="23">
        <f>D4*M4</f>
        <v>210</v>
      </c>
      <c r="F4" s="67">
        <f>+E4/N4</f>
        <v>6373.2928679817906</v>
      </c>
      <c r="G4" s="67">
        <f t="shared" ref="G4:G12" si="0">+L4*P4</f>
        <v>4552.3520485584222</v>
      </c>
      <c r="H4" s="68">
        <f t="shared" ref="H4:H19" si="1">+E4/(L4*M4)</f>
        <v>1.4</v>
      </c>
      <c r="I4" s="89">
        <f>IF(L4-D4&lt;0,0,L4-D4)</f>
        <v>0</v>
      </c>
      <c r="J4" s="23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12</v>
      </c>
      <c r="E5" s="24">
        <f t="shared" ref="E5:E11" si="4">D5*M5</f>
        <v>360</v>
      </c>
      <c r="F5" s="67">
        <f t="shared" ref="F5:F11" si="5">+E5/N5</f>
        <v>16400.911161731208</v>
      </c>
      <c r="G5" s="67">
        <f t="shared" si="0"/>
        <v>5466.9703872437358</v>
      </c>
      <c r="H5" s="68">
        <f t="shared" si="1"/>
        <v>3</v>
      </c>
      <c r="I5" s="90">
        <f t="shared" ref="I5:I16" si="6">IF(L5-D5&lt;0,0,L5-D5)</f>
        <v>0</v>
      </c>
      <c r="J5" s="23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5</v>
      </c>
      <c r="E6" s="24">
        <f t="shared" si="4"/>
        <v>150</v>
      </c>
      <c r="F6" s="67">
        <f t="shared" si="5"/>
        <v>6833.7129840546695</v>
      </c>
      <c r="G6" s="67">
        <f t="shared" si="0"/>
        <v>6833.7129840546695</v>
      </c>
      <c r="H6" s="68">
        <f t="shared" si="1"/>
        <v>1</v>
      </c>
      <c r="I6" s="90">
        <f t="shared" si="6"/>
        <v>0</v>
      </c>
      <c r="J6" s="23">
        <f t="shared" si="2"/>
        <v>0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1</v>
      </c>
      <c r="E7" s="24">
        <f t="shared" si="4"/>
        <v>2.5799999999999996</v>
      </c>
      <c r="F7" s="67">
        <f t="shared" si="5"/>
        <v>119.99999999999999</v>
      </c>
      <c r="G7" s="67">
        <f t="shared" si="0"/>
        <v>3000</v>
      </c>
      <c r="H7" s="68">
        <f t="shared" si="1"/>
        <v>0.04</v>
      </c>
      <c r="I7" s="90">
        <f t="shared" si="6"/>
        <v>24</v>
      </c>
      <c r="J7" s="23">
        <f t="shared" si="2"/>
        <v>2880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3</v>
      </c>
      <c r="E8" s="24">
        <f t="shared" si="4"/>
        <v>5.4</v>
      </c>
      <c r="F8" s="67">
        <f t="shared" si="5"/>
        <v>348.38709677419359</v>
      </c>
      <c r="G8" s="67">
        <f t="shared" si="0"/>
        <v>3000</v>
      </c>
      <c r="H8" s="68">
        <f t="shared" si="1"/>
        <v>0.12000000000000001</v>
      </c>
      <c r="I8" s="90">
        <f t="shared" si="6"/>
        <v>22</v>
      </c>
      <c r="J8" s="23">
        <f t="shared" si="2"/>
        <v>2651.6129032258063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5</v>
      </c>
      <c r="E9" s="24">
        <f t="shared" si="4"/>
        <v>9</v>
      </c>
      <c r="F9" s="67">
        <f t="shared" si="5"/>
        <v>566.03773584905662</v>
      </c>
      <c r="G9" s="67">
        <f t="shared" si="0"/>
        <v>3000</v>
      </c>
      <c r="H9" s="68">
        <f t="shared" si="1"/>
        <v>0.2</v>
      </c>
      <c r="I9" s="90">
        <f t="shared" si="6"/>
        <v>20</v>
      </c>
      <c r="J9" s="23">
        <f t="shared" si="2"/>
        <v>2433.9622641509432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17</v>
      </c>
      <c r="E10" s="24">
        <f t="shared" si="4"/>
        <v>510</v>
      </c>
      <c r="F10" s="67">
        <f t="shared" si="5"/>
        <v>23234.624145785878</v>
      </c>
      <c r="G10" s="67">
        <f t="shared" si="0"/>
        <v>10933.940774487472</v>
      </c>
      <c r="H10" s="68">
        <f t="shared" si="1"/>
        <v>2.125</v>
      </c>
      <c r="I10" s="90">
        <f t="shared" si="6"/>
        <v>0</v>
      </c>
      <c r="J10" s="23" t="str">
        <f t="shared" si="2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9</v>
      </c>
      <c r="E11" s="24">
        <f t="shared" si="4"/>
        <v>270</v>
      </c>
      <c r="F11" s="67">
        <f t="shared" si="5"/>
        <v>12272.727272727274</v>
      </c>
      <c r="G11" s="67">
        <f t="shared" si="0"/>
        <v>5454.545454545455</v>
      </c>
      <c r="H11" s="68">
        <f t="shared" si="1"/>
        <v>2.25</v>
      </c>
      <c r="I11" s="90">
        <f t="shared" si="6"/>
        <v>0</v>
      </c>
      <c r="J11" s="23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0</v>
      </c>
      <c r="E12" s="583">
        <f>+D12*M12</f>
        <v>0</v>
      </c>
      <c r="F12" s="540">
        <f>+D12*L12</f>
        <v>0</v>
      </c>
      <c r="G12" s="548">
        <f t="shared" si="0"/>
        <v>3456</v>
      </c>
      <c r="H12" s="537">
        <f t="shared" si="1"/>
        <v>0</v>
      </c>
      <c r="I12" s="557">
        <f t="shared" si="6"/>
        <v>12</v>
      </c>
      <c r="J12" s="559">
        <f t="shared" si="2"/>
        <v>3456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588"/>
      <c r="F13" s="540"/>
      <c r="G13" s="549"/>
      <c r="H13" s="537" t="e">
        <f t="shared" si="1"/>
        <v>#DIV/0!</v>
      </c>
      <c r="I13" s="558"/>
      <c r="J13" s="560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0</v>
      </c>
      <c r="E14" s="583">
        <f>+D14*M14</f>
        <v>0</v>
      </c>
      <c r="F14" s="540">
        <f>+D14*L14</f>
        <v>0</v>
      </c>
      <c r="G14" s="548">
        <f>+L14*P14</f>
        <v>3456</v>
      </c>
      <c r="H14" s="537">
        <f t="shared" si="1"/>
        <v>0</v>
      </c>
      <c r="I14" s="557">
        <f t="shared" si="6"/>
        <v>24</v>
      </c>
      <c r="J14" s="559">
        <f t="shared" si="2"/>
        <v>3456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584"/>
      <c r="F15" s="540"/>
      <c r="G15" s="549"/>
      <c r="H15" s="537" t="e">
        <f t="shared" si="1"/>
        <v>#DIV/0!</v>
      </c>
      <c r="I15" s="558"/>
      <c r="J15" s="560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0</v>
      </c>
      <c r="E16" s="567">
        <f>+D16*M16</f>
        <v>0</v>
      </c>
      <c r="F16" s="565">
        <f>+D16*L16</f>
        <v>0</v>
      </c>
      <c r="G16" s="548">
        <f>+L16*P16</f>
        <v>1920</v>
      </c>
      <c r="H16" s="537">
        <f t="shared" si="1"/>
        <v>0</v>
      </c>
      <c r="I16" s="557">
        <f t="shared" si="6"/>
        <v>80</v>
      </c>
      <c r="J16" s="559">
        <f t="shared" si="2"/>
        <v>1920</v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64"/>
      <c r="F17" s="566"/>
      <c r="G17" s="549"/>
      <c r="H17" s="537">
        <f t="shared" si="1"/>
        <v>0</v>
      </c>
      <c r="I17" s="558"/>
      <c r="J17" s="560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0</v>
      </c>
      <c r="E18" s="563">
        <f>+D18*M18</f>
        <v>0</v>
      </c>
      <c r="F18" s="565">
        <f>+D18*L18</f>
        <v>0</v>
      </c>
      <c r="G18" s="548">
        <f>+L18*P18</f>
        <v>2400</v>
      </c>
      <c r="H18" s="537">
        <f t="shared" si="1"/>
        <v>0</v>
      </c>
      <c r="I18" s="557">
        <v>80</v>
      </c>
      <c r="J18" s="559">
        <f t="shared" si="2"/>
        <v>2400</v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64">
        <f>+D19*M19</f>
        <v>0</v>
      </c>
      <c r="F19" s="566"/>
      <c r="G19" s="549"/>
      <c r="H19" s="537">
        <f t="shared" si="1"/>
        <v>0</v>
      </c>
      <c r="I19" s="558"/>
      <c r="J19" s="560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53000000}"/>
  <mergeCells count="45"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  <mergeCell ref="M14:M15"/>
    <mergeCell ref="N14:N15"/>
    <mergeCell ref="O14:O15"/>
    <mergeCell ref="P14:P15"/>
    <mergeCell ref="R14:R15"/>
    <mergeCell ref="H14:H15"/>
    <mergeCell ref="I14:I15"/>
    <mergeCell ref="J14:J15"/>
    <mergeCell ref="L14:L15"/>
    <mergeCell ref="J12:J13"/>
    <mergeCell ref="L12:L13"/>
    <mergeCell ref="B14:B15"/>
    <mergeCell ref="D14:D15"/>
    <mergeCell ref="E14:E15"/>
    <mergeCell ref="F14:F15"/>
    <mergeCell ref="G14:G15"/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 codeName="Hoja13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5.7109375" customWidth="1"/>
    <col min="4" max="4" width="8.140625" customWidth="1"/>
    <col min="5" max="5" width="9.140625" customWidth="1"/>
    <col min="6" max="6" width="11.42578125" customWidth="1"/>
    <col min="7" max="7" width="10.28515625" customWidth="1"/>
    <col min="8" max="8" width="7" customWidth="1"/>
    <col min="9" max="9" width="8.28515625" customWidth="1"/>
    <col min="10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45401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76.349999999999994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59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5</v>
      </c>
      <c r="E4" s="23">
        <f>D4*M4</f>
        <v>150</v>
      </c>
      <c r="F4" s="67">
        <f>+E4/N4</f>
        <v>4552.3520485584222</v>
      </c>
      <c r="G4" s="67">
        <f t="shared" ref="G4:G12" si="0">+L4*P4</f>
        <v>4552.3520485584222</v>
      </c>
      <c r="H4" s="68">
        <f t="shared" ref="H4:H19" si="1">+E4/(L4*M4)</f>
        <v>1</v>
      </c>
      <c r="I4" s="89">
        <f>IF(L4-D4&lt;0,0,L4-D4)</f>
        <v>0</v>
      </c>
      <c r="J4" s="23">
        <f t="shared" ref="J4:J19" si="2">+IF(G4-F4&lt;0,"",G4-F4)</f>
        <v>0</v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4</v>
      </c>
      <c r="E5" s="24">
        <f t="shared" ref="E5:E11" si="4">D5*M5</f>
        <v>120</v>
      </c>
      <c r="F5" s="67">
        <f t="shared" ref="F5:F11" si="5">+E5/N5</f>
        <v>5466.9703872437358</v>
      </c>
      <c r="G5" s="67">
        <f t="shared" si="0"/>
        <v>5466.9703872437358</v>
      </c>
      <c r="H5" s="68">
        <f t="shared" si="1"/>
        <v>1</v>
      </c>
      <c r="I5" s="90">
        <f t="shared" ref="I5:I16" si="6">IF(L5-D5&lt;0,0,L5-D5)</f>
        <v>0</v>
      </c>
      <c r="J5" s="23">
        <f t="shared" si="2"/>
        <v>0</v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5</v>
      </c>
      <c r="E6" s="24">
        <f t="shared" si="4"/>
        <v>150</v>
      </c>
      <c r="F6" s="67">
        <f t="shared" si="5"/>
        <v>6833.7129840546695</v>
      </c>
      <c r="G6" s="67">
        <f t="shared" si="0"/>
        <v>6833.7129840546695</v>
      </c>
      <c r="H6" s="68">
        <f t="shared" si="1"/>
        <v>1</v>
      </c>
      <c r="I6" s="90">
        <f t="shared" si="6"/>
        <v>0</v>
      </c>
      <c r="J6" s="23">
        <f t="shared" si="2"/>
        <v>0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1</v>
      </c>
      <c r="E7" s="24">
        <f t="shared" si="4"/>
        <v>2.5799999999999996</v>
      </c>
      <c r="F7" s="67">
        <f t="shared" si="5"/>
        <v>119.99999999999999</v>
      </c>
      <c r="G7" s="67">
        <f t="shared" si="0"/>
        <v>3000</v>
      </c>
      <c r="H7" s="68">
        <f t="shared" si="1"/>
        <v>0.04</v>
      </c>
      <c r="I7" s="90">
        <f t="shared" si="6"/>
        <v>24</v>
      </c>
      <c r="J7" s="23">
        <f t="shared" si="2"/>
        <v>2880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24">
        <f t="shared" si="4"/>
        <v>7.2</v>
      </c>
      <c r="F8" s="67">
        <f t="shared" si="5"/>
        <v>464.51612903225811</v>
      </c>
      <c r="G8" s="67">
        <f t="shared" si="0"/>
        <v>3000</v>
      </c>
      <c r="H8" s="68">
        <f t="shared" si="1"/>
        <v>0.16</v>
      </c>
      <c r="I8" s="90">
        <f t="shared" si="6"/>
        <v>21</v>
      </c>
      <c r="J8" s="23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5</v>
      </c>
      <c r="E9" s="24">
        <f t="shared" si="4"/>
        <v>9</v>
      </c>
      <c r="F9" s="67">
        <f t="shared" si="5"/>
        <v>566.03773584905662</v>
      </c>
      <c r="G9" s="67">
        <f t="shared" si="0"/>
        <v>3000</v>
      </c>
      <c r="H9" s="68">
        <f t="shared" si="1"/>
        <v>0.2</v>
      </c>
      <c r="I9" s="90">
        <f t="shared" si="6"/>
        <v>20</v>
      </c>
      <c r="J9" s="23">
        <f t="shared" si="2"/>
        <v>2433.9622641509432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17</v>
      </c>
      <c r="E10" s="24">
        <f t="shared" si="4"/>
        <v>510</v>
      </c>
      <c r="F10" s="67">
        <f t="shared" si="5"/>
        <v>23234.624145785878</v>
      </c>
      <c r="G10" s="67">
        <f t="shared" si="0"/>
        <v>10933.940774487472</v>
      </c>
      <c r="H10" s="68">
        <f t="shared" si="1"/>
        <v>2.125</v>
      </c>
      <c r="I10" s="90">
        <f t="shared" si="6"/>
        <v>0</v>
      </c>
      <c r="J10" s="23" t="str">
        <f t="shared" si="2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6</v>
      </c>
      <c r="E11" s="24">
        <f t="shared" si="4"/>
        <v>180</v>
      </c>
      <c r="F11" s="67">
        <f t="shared" si="5"/>
        <v>8181.818181818182</v>
      </c>
      <c r="G11" s="67">
        <f t="shared" si="0"/>
        <v>5454.545454545455</v>
      </c>
      <c r="H11" s="68">
        <f t="shared" si="1"/>
        <v>1.5</v>
      </c>
      <c r="I11" s="90">
        <f t="shared" si="6"/>
        <v>0</v>
      </c>
      <c r="J11" s="23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0</v>
      </c>
      <c r="E12" s="583">
        <f>+D12*M12</f>
        <v>0</v>
      </c>
      <c r="F12" s="540">
        <f>+D12*L12</f>
        <v>0</v>
      </c>
      <c r="G12" s="548">
        <f t="shared" si="0"/>
        <v>3456</v>
      </c>
      <c r="H12" s="537">
        <f t="shared" si="1"/>
        <v>0</v>
      </c>
      <c r="I12" s="557">
        <f t="shared" si="6"/>
        <v>12</v>
      </c>
      <c r="J12" s="559">
        <f t="shared" si="2"/>
        <v>3456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588"/>
      <c r="F13" s="540"/>
      <c r="G13" s="549"/>
      <c r="H13" s="537" t="e">
        <f t="shared" si="1"/>
        <v>#DIV/0!</v>
      </c>
      <c r="I13" s="558"/>
      <c r="J13" s="560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0</v>
      </c>
      <c r="E14" s="583">
        <f>+D14*M14</f>
        <v>0</v>
      </c>
      <c r="F14" s="540">
        <f>+D14*L14</f>
        <v>0</v>
      </c>
      <c r="G14" s="548">
        <f>+L14*P14</f>
        <v>3456</v>
      </c>
      <c r="H14" s="537">
        <f t="shared" si="1"/>
        <v>0</v>
      </c>
      <c r="I14" s="557">
        <f t="shared" si="6"/>
        <v>24</v>
      </c>
      <c r="J14" s="559">
        <f t="shared" si="2"/>
        <v>3456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584"/>
      <c r="F15" s="540"/>
      <c r="G15" s="549"/>
      <c r="H15" s="537" t="e">
        <f t="shared" si="1"/>
        <v>#DIV/0!</v>
      </c>
      <c r="I15" s="558"/>
      <c r="J15" s="560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0</v>
      </c>
      <c r="E16" s="567">
        <f>+D16*M16</f>
        <v>0</v>
      </c>
      <c r="F16" s="565">
        <f>+D16*L16</f>
        <v>0</v>
      </c>
      <c r="G16" s="548">
        <f>+L16*P16</f>
        <v>1920</v>
      </c>
      <c r="H16" s="537">
        <f t="shared" si="1"/>
        <v>0</v>
      </c>
      <c r="I16" s="557">
        <f t="shared" si="6"/>
        <v>80</v>
      </c>
      <c r="J16" s="559">
        <f t="shared" si="2"/>
        <v>1920</v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64"/>
      <c r="F17" s="566"/>
      <c r="G17" s="549"/>
      <c r="H17" s="537">
        <f t="shared" si="1"/>
        <v>0</v>
      </c>
      <c r="I17" s="558"/>
      <c r="J17" s="560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11</v>
      </c>
      <c r="E18" s="563">
        <f>+D18*M18</f>
        <v>35.200000000000003</v>
      </c>
      <c r="F18" s="565">
        <f>+D18*L18</f>
        <v>1100</v>
      </c>
      <c r="G18" s="548">
        <f>+L18*P18</f>
        <v>2400</v>
      </c>
      <c r="H18" s="537">
        <f t="shared" si="1"/>
        <v>0.11000000000000001</v>
      </c>
      <c r="I18" s="557">
        <v>80</v>
      </c>
      <c r="J18" s="559">
        <f t="shared" si="2"/>
        <v>1300</v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64">
        <f>+D19*M19</f>
        <v>0</v>
      </c>
      <c r="F19" s="566"/>
      <c r="G19" s="549"/>
      <c r="H19" s="537">
        <f t="shared" si="1"/>
        <v>0</v>
      </c>
      <c r="I19" s="558"/>
      <c r="J19" s="560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9" xr:uid="{00000000-0009-0000-0000-000054000000}"/>
  <mergeCells count="45"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  <mergeCell ref="M14:M15"/>
    <mergeCell ref="N14:N15"/>
    <mergeCell ref="O14:O15"/>
    <mergeCell ref="P14:P15"/>
    <mergeCell ref="R14:R15"/>
    <mergeCell ref="H14:H15"/>
    <mergeCell ref="I14:I15"/>
    <mergeCell ref="J14:J15"/>
    <mergeCell ref="L14:L15"/>
    <mergeCell ref="J12:J13"/>
    <mergeCell ref="L12:L13"/>
    <mergeCell ref="B14:B15"/>
    <mergeCell ref="D14:D15"/>
    <mergeCell ref="E14:E15"/>
    <mergeCell ref="F14:F15"/>
    <mergeCell ref="G14:G15"/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 codeName="Hoja14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5.710937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45337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59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5</v>
      </c>
      <c r="E4" s="23">
        <f>D4*M4</f>
        <v>150</v>
      </c>
      <c r="F4" s="67">
        <f>+E4/N4</f>
        <v>4552.3520485584222</v>
      </c>
      <c r="G4" s="67">
        <f t="shared" ref="G4:G12" si="0">+L4*P4</f>
        <v>4552.3520485584222</v>
      </c>
      <c r="H4" s="68">
        <f t="shared" ref="H4:H19" si="1">+E4/(L4*M4)</f>
        <v>1</v>
      </c>
      <c r="I4" s="89">
        <f>IF(L4-D4&lt;0,0,L4-D4)</f>
        <v>0</v>
      </c>
      <c r="J4" s="23">
        <f t="shared" ref="J4:J19" si="2">+IF(G4-F4&lt;0,"",G4-F4)</f>
        <v>0</v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12</v>
      </c>
      <c r="E5" s="24">
        <f t="shared" ref="E5:E11" si="4">D5*M5</f>
        <v>360</v>
      </c>
      <c r="F5" s="67">
        <f t="shared" ref="F5:F11" si="5">+E5/N5</f>
        <v>16400.911161731208</v>
      </c>
      <c r="G5" s="67">
        <f t="shared" si="0"/>
        <v>5466.9703872437358</v>
      </c>
      <c r="H5" s="68">
        <f t="shared" si="1"/>
        <v>3</v>
      </c>
      <c r="I5" s="90">
        <f t="shared" ref="I5:I16" si="6">IF(L5-D5&lt;0,0,L5-D5)</f>
        <v>0</v>
      </c>
      <c r="J5" s="23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6</v>
      </c>
      <c r="E6" s="24">
        <f t="shared" si="4"/>
        <v>180</v>
      </c>
      <c r="F6" s="67">
        <f t="shared" si="5"/>
        <v>8200.4555808656041</v>
      </c>
      <c r="G6" s="67">
        <f t="shared" si="0"/>
        <v>6833.7129840546695</v>
      </c>
      <c r="H6" s="68">
        <f t="shared" si="1"/>
        <v>1.2</v>
      </c>
      <c r="I6" s="90">
        <f t="shared" si="6"/>
        <v>0</v>
      </c>
      <c r="J6" s="23" t="str">
        <f t="shared" si="2"/>
        <v/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5</v>
      </c>
      <c r="E7" s="24">
        <f t="shared" si="4"/>
        <v>12.899999999999999</v>
      </c>
      <c r="F7" s="67">
        <f t="shared" si="5"/>
        <v>600</v>
      </c>
      <c r="G7" s="67">
        <f t="shared" si="0"/>
        <v>3000</v>
      </c>
      <c r="H7" s="68">
        <f t="shared" si="1"/>
        <v>0.2</v>
      </c>
      <c r="I7" s="90">
        <f t="shared" si="6"/>
        <v>20</v>
      </c>
      <c r="J7" s="23">
        <f t="shared" si="2"/>
        <v>2400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24">
        <f t="shared" si="4"/>
        <v>7.2</v>
      </c>
      <c r="F8" s="67">
        <f t="shared" si="5"/>
        <v>464.51612903225811</v>
      </c>
      <c r="G8" s="67">
        <f t="shared" si="0"/>
        <v>3000</v>
      </c>
      <c r="H8" s="68">
        <f t="shared" si="1"/>
        <v>0.16</v>
      </c>
      <c r="I8" s="90">
        <f t="shared" si="6"/>
        <v>21</v>
      </c>
      <c r="J8" s="23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5</v>
      </c>
      <c r="E9" s="24">
        <f t="shared" si="4"/>
        <v>9</v>
      </c>
      <c r="F9" s="67">
        <f t="shared" si="5"/>
        <v>566.03773584905662</v>
      </c>
      <c r="G9" s="67">
        <f t="shared" si="0"/>
        <v>3000</v>
      </c>
      <c r="H9" s="68">
        <f t="shared" si="1"/>
        <v>0.2</v>
      </c>
      <c r="I9" s="90">
        <f t="shared" si="6"/>
        <v>20</v>
      </c>
      <c r="J9" s="23">
        <f t="shared" si="2"/>
        <v>2433.9622641509432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19</v>
      </c>
      <c r="E10" s="24">
        <f t="shared" si="4"/>
        <v>570</v>
      </c>
      <c r="F10" s="67">
        <f t="shared" si="5"/>
        <v>25968.109339407743</v>
      </c>
      <c r="G10" s="67">
        <f t="shared" si="0"/>
        <v>10933.940774487472</v>
      </c>
      <c r="H10" s="68">
        <f t="shared" si="1"/>
        <v>2.375</v>
      </c>
      <c r="I10" s="90">
        <f t="shared" si="6"/>
        <v>0</v>
      </c>
      <c r="J10" s="23" t="str">
        <f t="shared" si="2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6</v>
      </c>
      <c r="E11" s="24">
        <f t="shared" si="4"/>
        <v>180</v>
      </c>
      <c r="F11" s="67">
        <f t="shared" si="5"/>
        <v>8181.818181818182</v>
      </c>
      <c r="G11" s="67">
        <f t="shared" si="0"/>
        <v>5454.545454545455</v>
      </c>
      <c r="H11" s="68">
        <f t="shared" si="1"/>
        <v>1.5</v>
      </c>
      <c r="I11" s="90">
        <f t="shared" si="6"/>
        <v>0</v>
      </c>
      <c r="J11" s="23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30</v>
      </c>
      <c r="E12" s="583">
        <f>+D12*M12</f>
        <v>174</v>
      </c>
      <c r="F12" s="540">
        <f>+D12*L12</f>
        <v>360</v>
      </c>
      <c r="G12" s="548">
        <f t="shared" si="0"/>
        <v>3456</v>
      </c>
      <c r="H12" s="537">
        <f t="shared" si="1"/>
        <v>2.5</v>
      </c>
      <c r="I12" s="557">
        <f t="shared" si="6"/>
        <v>0</v>
      </c>
      <c r="J12" s="559">
        <f t="shared" si="2"/>
        <v>3096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588"/>
      <c r="F13" s="540"/>
      <c r="G13" s="549"/>
      <c r="H13" s="537" t="e">
        <f t="shared" si="1"/>
        <v>#DIV/0!</v>
      </c>
      <c r="I13" s="558"/>
      <c r="J13" s="560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0</v>
      </c>
      <c r="E14" s="583">
        <f>+D14*M14</f>
        <v>0</v>
      </c>
      <c r="F14" s="540">
        <f>+D14*L14</f>
        <v>0</v>
      </c>
      <c r="G14" s="548">
        <f>+L14*P14</f>
        <v>3456</v>
      </c>
      <c r="H14" s="537">
        <f t="shared" si="1"/>
        <v>0</v>
      </c>
      <c r="I14" s="557">
        <f t="shared" si="6"/>
        <v>24</v>
      </c>
      <c r="J14" s="559">
        <f t="shared" si="2"/>
        <v>3456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584"/>
      <c r="F15" s="540"/>
      <c r="G15" s="549"/>
      <c r="H15" s="537" t="e">
        <f t="shared" si="1"/>
        <v>#DIV/0!</v>
      </c>
      <c r="I15" s="558"/>
      <c r="J15" s="560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3</v>
      </c>
      <c r="E16" s="567">
        <f>+D16*M16</f>
        <v>7.1999999999999993</v>
      </c>
      <c r="F16" s="565">
        <f>+D16*L16</f>
        <v>240</v>
      </c>
      <c r="G16" s="548">
        <f>+L16*P16</f>
        <v>1920</v>
      </c>
      <c r="H16" s="537">
        <f t="shared" si="1"/>
        <v>3.7499999999999999E-2</v>
      </c>
      <c r="I16" s="557">
        <f t="shared" si="6"/>
        <v>77</v>
      </c>
      <c r="J16" s="559">
        <f t="shared" si="2"/>
        <v>1680</v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64"/>
      <c r="F17" s="566"/>
      <c r="G17" s="549"/>
      <c r="H17" s="537">
        <f t="shared" si="1"/>
        <v>0</v>
      </c>
      <c r="I17" s="558"/>
      <c r="J17" s="560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21</v>
      </c>
      <c r="E18" s="563">
        <f>+D18*M18</f>
        <v>67.2</v>
      </c>
      <c r="F18" s="565">
        <f>+D18*L18</f>
        <v>2100</v>
      </c>
      <c r="G18" s="548">
        <f>+L18*P18</f>
        <v>2400</v>
      </c>
      <c r="H18" s="537">
        <f t="shared" si="1"/>
        <v>0.21000000000000002</v>
      </c>
      <c r="I18" s="557">
        <v>80</v>
      </c>
      <c r="J18" s="559">
        <f t="shared" si="2"/>
        <v>300</v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64">
        <f>+D19*M19</f>
        <v>0</v>
      </c>
      <c r="F19" s="566"/>
      <c r="G19" s="549"/>
      <c r="H19" s="537">
        <f t="shared" si="1"/>
        <v>0</v>
      </c>
      <c r="I19" s="558"/>
      <c r="J19" s="560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55000000}"/>
  <mergeCells count="45"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  <mergeCell ref="B14:B15"/>
    <mergeCell ref="D14:D15"/>
    <mergeCell ref="E14:E15"/>
    <mergeCell ref="F14:F15"/>
    <mergeCell ref="G14:G15"/>
    <mergeCell ref="H14:H15"/>
    <mergeCell ref="I14:I15"/>
    <mergeCell ref="J14:J15"/>
    <mergeCell ref="L14:L15"/>
    <mergeCell ref="J12:J13"/>
    <mergeCell ref="L12:L13"/>
    <mergeCell ref="M14:M15"/>
    <mergeCell ref="N14:N15"/>
    <mergeCell ref="O14:O15"/>
    <mergeCell ref="P14:P15"/>
    <mergeCell ref="R14:R15"/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 codeName="Hoja15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5.710937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45387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59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0</v>
      </c>
      <c r="E4" s="23">
        <f>D4*M4</f>
        <v>0</v>
      </c>
      <c r="F4" s="67">
        <f>+E4/N4</f>
        <v>0</v>
      </c>
      <c r="G4" s="67">
        <f t="shared" ref="G4:G12" si="0">+L4*P4</f>
        <v>4552.3520485584222</v>
      </c>
      <c r="H4" s="68">
        <f t="shared" ref="H4:H19" si="1">+E4/(L4*M4)</f>
        <v>0</v>
      </c>
      <c r="I4" s="89">
        <f>IF(L4-D4&lt;0,0,L4-D4)</f>
        <v>5</v>
      </c>
      <c r="J4" s="23">
        <f t="shared" ref="J4:J19" si="2">+IF(G4-F4&lt;0,"",G4-F4)</f>
        <v>4552.3520485584222</v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11</v>
      </c>
      <c r="E5" s="24">
        <f t="shared" ref="E5:E11" si="4">D5*M5</f>
        <v>330</v>
      </c>
      <c r="F5" s="67">
        <f t="shared" ref="F5:F11" si="5">+E5/N5</f>
        <v>15034.168564920274</v>
      </c>
      <c r="G5" s="67">
        <f t="shared" si="0"/>
        <v>5466.9703872437358</v>
      </c>
      <c r="H5" s="68">
        <f t="shared" si="1"/>
        <v>2.75</v>
      </c>
      <c r="I5" s="90">
        <f t="shared" ref="I5:I16" si="6">IF(L5-D5&lt;0,0,L5-D5)</f>
        <v>0</v>
      </c>
      <c r="J5" s="23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4</v>
      </c>
      <c r="E6" s="24">
        <f t="shared" si="4"/>
        <v>120</v>
      </c>
      <c r="F6" s="67">
        <f t="shared" si="5"/>
        <v>5466.9703872437358</v>
      </c>
      <c r="G6" s="67">
        <f t="shared" si="0"/>
        <v>6833.7129840546695</v>
      </c>
      <c r="H6" s="68">
        <f t="shared" si="1"/>
        <v>0.8</v>
      </c>
      <c r="I6" s="90">
        <f t="shared" si="6"/>
        <v>1</v>
      </c>
      <c r="J6" s="23">
        <f t="shared" si="2"/>
        <v>1366.7425968109337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1</v>
      </c>
      <c r="E7" s="24">
        <f t="shared" si="4"/>
        <v>2.5799999999999996</v>
      </c>
      <c r="F7" s="67">
        <f t="shared" si="5"/>
        <v>119.99999999999999</v>
      </c>
      <c r="G7" s="67">
        <f t="shared" si="0"/>
        <v>3000</v>
      </c>
      <c r="H7" s="68">
        <f t="shared" si="1"/>
        <v>0.04</v>
      </c>
      <c r="I7" s="90">
        <f t="shared" si="6"/>
        <v>24</v>
      </c>
      <c r="J7" s="23">
        <f t="shared" si="2"/>
        <v>2880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24">
        <f t="shared" si="4"/>
        <v>7.2</v>
      </c>
      <c r="F8" s="67">
        <f t="shared" si="5"/>
        <v>464.51612903225811</v>
      </c>
      <c r="G8" s="67">
        <f t="shared" si="0"/>
        <v>3000</v>
      </c>
      <c r="H8" s="68">
        <f t="shared" si="1"/>
        <v>0.16</v>
      </c>
      <c r="I8" s="90">
        <f t="shared" si="6"/>
        <v>21</v>
      </c>
      <c r="J8" s="23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6</v>
      </c>
      <c r="E9" s="24">
        <f t="shared" si="4"/>
        <v>10.8</v>
      </c>
      <c r="F9" s="67">
        <f t="shared" si="5"/>
        <v>679.24528301886789</v>
      </c>
      <c r="G9" s="67">
        <f t="shared" si="0"/>
        <v>3000</v>
      </c>
      <c r="H9" s="68">
        <f t="shared" si="1"/>
        <v>0.24000000000000002</v>
      </c>
      <c r="I9" s="90">
        <f t="shared" si="6"/>
        <v>19</v>
      </c>
      <c r="J9" s="23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16</v>
      </c>
      <c r="E10" s="24">
        <f t="shared" si="4"/>
        <v>480</v>
      </c>
      <c r="F10" s="67">
        <f t="shared" si="5"/>
        <v>21867.881548974943</v>
      </c>
      <c r="G10" s="67">
        <f t="shared" si="0"/>
        <v>10933.940774487472</v>
      </c>
      <c r="H10" s="68">
        <f t="shared" si="1"/>
        <v>2</v>
      </c>
      <c r="I10" s="90">
        <f t="shared" si="6"/>
        <v>0</v>
      </c>
      <c r="J10" s="23" t="str">
        <f t="shared" si="2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5</v>
      </c>
      <c r="E11" s="24">
        <f t="shared" si="4"/>
        <v>150</v>
      </c>
      <c r="F11" s="67">
        <f t="shared" si="5"/>
        <v>6818.1818181818189</v>
      </c>
      <c r="G11" s="67">
        <f t="shared" si="0"/>
        <v>5454.545454545455</v>
      </c>
      <c r="H11" s="68">
        <f t="shared" si="1"/>
        <v>1.25</v>
      </c>
      <c r="I11" s="90">
        <f t="shared" si="6"/>
        <v>0</v>
      </c>
      <c r="J11" s="23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30</v>
      </c>
      <c r="E12" s="583">
        <f>+D12*M12</f>
        <v>174</v>
      </c>
      <c r="F12" s="540">
        <f>+D12*L12</f>
        <v>360</v>
      </c>
      <c r="G12" s="548">
        <f t="shared" si="0"/>
        <v>3456</v>
      </c>
      <c r="H12" s="537">
        <f t="shared" si="1"/>
        <v>2.5</v>
      </c>
      <c r="I12" s="557">
        <f t="shared" si="6"/>
        <v>0</v>
      </c>
      <c r="J12" s="559">
        <f t="shared" si="2"/>
        <v>3096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588"/>
      <c r="F13" s="540"/>
      <c r="G13" s="549"/>
      <c r="H13" s="537" t="e">
        <f t="shared" si="1"/>
        <v>#DIV/0!</v>
      </c>
      <c r="I13" s="558"/>
      <c r="J13" s="560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0</v>
      </c>
      <c r="E14" s="583">
        <f>+D14*M14</f>
        <v>0</v>
      </c>
      <c r="F14" s="540">
        <f>+D14*L14</f>
        <v>0</v>
      </c>
      <c r="G14" s="548">
        <f>+L14*P14</f>
        <v>3456</v>
      </c>
      <c r="H14" s="537">
        <f t="shared" si="1"/>
        <v>0</v>
      </c>
      <c r="I14" s="557">
        <f t="shared" si="6"/>
        <v>24</v>
      </c>
      <c r="J14" s="559">
        <f t="shared" si="2"/>
        <v>3456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584"/>
      <c r="F15" s="540"/>
      <c r="G15" s="549"/>
      <c r="H15" s="537" t="e">
        <f t="shared" si="1"/>
        <v>#DIV/0!</v>
      </c>
      <c r="I15" s="558"/>
      <c r="J15" s="560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3</v>
      </c>
      <c r="E16" s="567">
        <f>+D16*M16</f>
        <v>7.1999999999999993</v>
      </c>
      <c r="F16" s="565">
        <f>+D16*L16</f>
        <v>240</v>
      </c>
      <c r="G16" s="548">
        <f>+L16*P16</f>
        <v>1920</v>
      </c>
      <c r="H16" s="537">
        <f t="shared" si="1"/>
        <v>3.7499999999999999E-2</v>
      </c>
      <c r="I16" s="557">
        <f t="shared" si="6"/>
        <v>77</v>
      </c>
      <c r="J16" s="559">
        <f t="shared" si="2"/>
        <v>1680</v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64"/>
      <c r="F17" s="566"/>
      <c r="G17" s="549"/>
      <c r="H17" s="537">
        <f t="shared" si="1"/>
        <v>0</v>
      </c>
      <c r="I17" s="558"/>
      <c r="J17" s="560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23</v>
      </c>
      <c r="E18" s="563">
        <f>+D18*M18</f>
        <v>73.600000000000009</v>
      </c>
      <c r="F18" s="565">
        <f>+D18*L18</f>
        <v>2300</v>
      </c>
      <c r="G18" s="548">
        <f>+L18*P18</f>
        <v>2400</v>
      </c>
      <c r="H18" s="537">
        <f t="shared" si="1"/>
        <v>0.23000000000000004</v>
      </c>
      <c r="I18" s="557">
        <v>80</v>
      </c>
      <c r="J18" s="559">
        <f t="shared" si="2"/>
        <v>100</v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64">
        <f>+D19*M19</f>
        <v>0</v>
      </c>
      <c r="F19" s="566"/>
      <c r="G19" s="549"/>
      <c r="H19" s="537">
        <f t="shared" si="1"/>
        <v>0</v>
      </c>
      <c r="I19" s="558"/>
      <c r="J19" s="560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56000000}"/>
  <mergeCells count="45"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  <mergeCell ref="B14:B15"/>
    <mergeCell ref="D14:D15"/>
    <mergeCell ref="E14:E15"/>
    <mergeCell ref="F14:F15"/>
    <mergeCell ref="G14:G15"/>
    <mergeCell ref="H14:H15"/>
    <mergeCell ref="I14:I15"/>
    <mergeCell ref="J14:J15"/>
    <mergeCell ref="L14:L15"/>
    <mergeCell ref="J12:J13"/>
    <mergeCell ref="L12:L13"/>
    <mergeCell ref="M14:M15"/>
    <mergeCell ref="N14:N15"/>
    <mergeCell ref="O14:O15"/>
    <mergeCell ref="P14:P15"/>
    <mergeCell ref="R14:R15"/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 codeName="Hoja16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5.710937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45372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59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6</v>
      </c>
      <c r="E4" s="23">
        <f>D4*M4</f>
        <v>180</v>
      </c>
      <c r="F4" s="67">
        <f>+E4/N4</f>
        <v>5462.8224582701059</v>
      </c>
      <c r="G4" s="67">
        <f t="shared" ref="G4:G12" si="0">+L4*P4</f>
        <v>4552.3520485584222</v>
      </c>
      <c r="H4" s="68">
        <f t="shared" ref="H4:H19" si="1">+E4/(L4*M4)</f>
        <v>1.2</v>
      </c>
      <c r="I4" s="89">
        <f>IF(L4-D4&lt;0,0,L4-D4)</f>
        <v>0</v>
      </c>
      <c r="J4" s="23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11</v>
      </c>
      <c r="E5" s="24">
        <f t="shared" ref="E5:E11" si="4">D5*M5</f>
        <v>330</v>
      </c>
      <c r="F5" s="67">
        <f t="shared" ref="F5:F11" si="5">+E5/N5</f>
        <v>15034.168564920274</v>
      </c>
      <c r="G5" s="67">
        <f t="shared" si="0"/>
        <v>5466.9703872437358</v>
      </c>
      <c r="H5" s="68">
        <f t="shared" si="1"/>
        <v>2.75</v>
      </c>
      <c r="I5" s="90">
        <f t="shared" ref="I5:I16" si="6">IF(L5-D5&lt;0,0,L5-D5)</f>
        <v>0</v>
      </c>
      <c r="J5" s="23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6</v>
      </c>
      <c r="E6" s="24">
        <f t="shared" si="4"/>
        <v>180</v>
      </c>
      <c r="F6" s="67">
        <f t="shared" si="5"/>
        <v>8200.4555808656041</v>
      </c>
      <c r="G6" s="67">
        <f t="shared" si="0"/>
        <v>6833.7129840546695</v>
      </c>
      <c r="H6" s="68">
        <f t="shared" si="1"/>
        <v>1.2</v>
      </c>
      <c r="I6" s="90">
        <f t="shared" si="6"/>
        <v>0</v>
      </c>
      <c r="J6" s="23" t="str">
        <f t="shared" si="2"/>
        <v/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9</v>
      </c>
      <c r="E7" s="24">
        <f t="shared" si="4"/>
        <v>23.219999999999995</v>
      </c>
      <c r="F7" s="67">
        <f t="shared" si="5"/>
        <v>1079.9999999999998</v>
      </c>
      <c r="G7" s="67">
        <f t="shared" si="0"/>
        <v>3000</v>
      </c>
      <c r="H7" s="68">
        <f t="shared" si="1"/>
        <v>0.36</v>
      </c>
      <c r="I7" s="90">
        <f t="shared" si="6"/>
        <v>16</v>
      </c>
      <c r="J7" s="23">
        <f t="shared" si="2"/>
        <v>1920.0000000000002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24">
        <f t="shared" si="4"/>
        <v>7.2</v>
      </c>
      <c r="F8" s="67">
        <f t="shared" si="5"/>
        <v>464.51612903225811</v>
      </c>
      <c r="G8" s="67">
        <f t="shared" si="0"/>
        <v>3000</v>
      </c>
      <c r="H8" s="68">
        <f t="shared" si="1"/>
        <v>0.16</v>
      </c>
      <c r="I8" s="90">
        <f t="shared" si="6"/>
        <v>21</v>
      </c>
      <c r="J8" s="23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6</v>
      </c>
      <c r="E9" s="24">
        <f t="shared" si="4"/>
        <v>10.8</v>
      </c>
      <c r="F9" s="67">
        <f t="shared" si="5"/>
        <v>679.24528301886789</v>
      </c>
      <c r="G9" s="67">
        <f t="shared" si="0"/>
        <v>3000</v>
      </c>
      <c r="H9" s="68">
        <f t="shared" si="1"/>
        <v>0.24000000000000002</v>
      </c>
      <c r="I9" s="90">
        <f t="shared" si="6"/>
        <v>19</v>
      </c>
      <c r="J9" s="23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7</v>
      </c>
      <c r="E10" s="24">
        <f t="shared" si="4"/>
        <v>210</v>
      </c>
      <c r="F10" s="67">
        <f t="shared" si="5"/>
        <v>9567.1981776765369</v>
      </c>
      <c r="G10" s="67">
        <f t="shared" si="0"/>
        <v>10933.940774487472</v>
      </c>
      <c r="H10" s="68">
        <f t="shared" si="1"/>
        <v>0.875</v>
      </c>
      <c r="I10" s="90">
        <f t="shared" si="6"/>
        <v>1</v>
      </c>
      <c r="J10" s="23">
        <f t="shared" si="2"/>
        <v>1366.7425968109346</v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12</v>
      </c>
      <c r="E11" s="24">
        <f t="shared" si="4"/>
        <v>360</v>
      </c>
      <c r="F11" s="67">
        <f t="shared" si="5"/>
        <v>16363.636363636364</v>
      </c>
      <c r="G11" s="67">
        <f t="shared" si="0"/>
        <v>5454.545454545455</v>
      </c>
      <c r="H11" s="68">
        <f t="shared" si="1"/>
        <v>3</v>
      </c>
      <c r="I11" s="90">
        <f t="shared" si="6"/>
        <v>0</v>
      </c>
      <c r="J11" s="23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8.75" x14ac:dyDescent="0.3">
      <c r="A12" s="9">
        <v>824</v>
      </c>
      <c r="B12" s="579" t="s">
        <v>32</v>
      </c>
      <c r="C12" s="10" t="s">
        <v>36</v>
      </c>
      <c r="D12" s="587">
        <v>0</v>
      </c>
      <c r="E12" s="583">
        <f>+D12*M12</f>
        <v>0</v>
      </c>
      <c r="F12" s="540">
        <f>+D12*L12</f>
        <v>0</v>
      </c>
      <c r="G12" s="548">
        <f t="shared" si="0"/>
        <v>3456</v>
      </c>
      <c r="H12" s="537">
        <f t="shared" si="1"/>
        <v>0</v>
      </c>
      <c r="I12" s="557">
        <f t="shared" si="6"/>
        <v>12</v>
      </c>
      <c r="J12" s="559">
        <f t="shared" si="2"/>
        <v>3456</v>
      </c>
      <c r="K12" s="591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588"/>
      <c r="F13" s="540"/>
      <c r="G13" s="549"/>
      <c r="H13" s="537" t="e">
        <f t="shared" si="1"/>
        <v>#DIV/0!</v>
      </c>
      <c r="I13" s="558"/>
      <c r="J13" s="560">
        <f t="shared" si="2"/>
        <v>0</v>
      </c>
      <c r="K13" s="592"/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8.75" x14ac:dyDescent="0.3">
      <c r="A14" s="9">
        <v>825</v>
      </c>
      <c r="B14" s="579" t="s">
        <v>35</v>
      </c>
      <c r="C14" s="10" t="s">
        <v>33</v>
      </c>
      <c r="D14" s="581">
        <v>0</v>
      </c>
      <c r="E14" s="583">
        <f>+D14*M14</f>
        <v>0</v>
      </c>
      <c r="F14" s="540">
        <f>+D14*L14</f>
        <v>0</v>
      </c>
      <c r="G14" s="548">
        <f>+L14*P14</f>
        <v>3456</v>
      </c>
      <c r="H14" s="537">
        <f t="shared" si="1"/>
        <v>0</v>
      </c>
      <c r="I14" s="557">
        <f t="shared" si="6"/>
        <v>24</v>
      </c>
      <c r="J14" s="559">
        <f t="shared" si="2"/>
        <v>3456</v>
      </c>
      <c r="K14" s="591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584"/>
      <c r="F15" s="540"/>
      <c r="G15" s="549"/>
      <c r="H15" s="537" t="e">
        <f t="shared" si="1"/>
        <v>#DIV/0!</v>
      </c>
      <c r="I15" s="558"/>
      <c r="J15" s="560">
        <f t="shared" si="2"/>
        <v>0</v>
      </c>
      <c r="K15" s="592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x14ac:dyDescent="0.3">
      <c r="A16" s="9">
        <v>29</v>
      </c>
      <c r="B16" s="10" t="s">
        <v>42</v>
      </c>
      <c r="C16" s="10" t="s">
        <v>51</v>
      </c>
      <c r="D16" s="561">
        <v>12</v>
      </c>
      <c r="E16" s="567">
        <f>+D16*M16</f>
        <v>28.799999999999997</v>
      </c>
      <c r="F16" s="565">
        <f>+D16*L16</f>
        <v>960</v>
      </c>
      <c r="G16" s="548">
        <f>+L16*P16</f>
        <v>1920</v>
      </c>
      <c r="H16" s="537">
        <f t="shared" si="1"/>
        <v>0.15</v>
      </c>
      <c r="I16" s="557">
        <f t="shared" si="6"/>
        <v>68</v>
      </c>
      <c r="J16" s="559">
        <f t="shared" si="2"/>
        <v>960</v>
      </c>
      <c r="K16" s="591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64"/>
      <c r="F17" s="566"/>
      <c r="G17" s="549"/>
      <c r="H17" s="537">
        <f t="shared" si="1"/>
        <v>0</v>
      </c>
      <c r="I17" s="558"/>
      <c r="J17" s="560">
        <f t="shared" si="2"/>
        <v>0</v>
      </c>
      <c r="K17" s="592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x14ac:dyDescent="0.3">
      <c r="A18" s="9">
        <v>30</v>
      </c>
      <c r="B18" s="10" t="s">
        <v>43</v>
      </c>
      <c r="C18" s="10" t="s">
        <v>52</v>
      </c>
      <c r="D18" s="561">
        <v>0</v>
      </c>
      <c r="E18" s="563">
        <f>+D18*M18</f>
        <v>0</v>
      </c>
      <c r="F18" s="565">
        <f>+D18*L18</f>
        <v>0</v>
      </c>
      <c r="G18" s="548">
        <f>+L18*P18</f>
        <v>2400</v>
      </c>
      <c r="H18" s="537">
        <f t="shared" si="1"/>
        <v>0</v>
      </c>
      <c r="I18" s="557">
        <v>80</v>
      </c>
      <c r="J18" s="559">
        <f t="shared" si="2"/>
        <v>2400</v>
      </c>
      <c r="K18" s="591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9.5" thickBot="1" x14ac:dyDescent="0.35">
      <c r="A19" s="62">
        <v>830</v>
      </c>
      <c r="B19" s="10" t="s">
        <v>43</v>
      </c>
      <c r="C19" s="10" t="s">
        <v>61</v>
      </c>
      <c r="D19" s="562"/>
      <c r="E19" s="564">
        <f>+D19*M19</f>
        <v>0</v>
      </c>
      <c r="F19" s="566"/>
      <c r="G19" s="549"/>
      <c r="H19" s="537">
        <f t="shared" si="1"/>
        <v>0</v>
      </c>
      <c r="I19" s="558"/>
      <c r="J19" s="560">
        <f t="shared" si="2"/>
        <v>0</v>
      </c>
      <c r="K19" s="592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57000000}"/>
  <mergeCells count="49">
    <mergeCell ref="K16:K17"/>
    <mergeCell ref="K18:K19"/>
    <mergeCell ref="I16:I17"/>
    <mergeCell ref="J16:J17"/>
    <mergeCell ref="I18:I19"/>
    <mergeCell ref="J18:J19"/>
    <mergeCell ref="D18:D19"/>
    <mergeCell ref="E18:E19"/>
    <mergeCell ref="F18:F19"/>
    <mergeCell ref="G18:G19"/>
    <mergeCell ref="H18:H19"/>
    <mergeCell ref="M14:M15"/>
    <mergeCell ref="N14:N15"/>
    <mergeCell ref="O14:O15"/>
    <mergeCell ref="P14:P15"/>
    <mergeCell ref="R14:R15"/>
    <mergeCell ref="D16:D17"/>
    <mergeCell ref="E16:E17"/>
    <mergeCell ref="F16:F17"/>
    <mergeCell ref="G16:G17"/>
    <mergeCell ref="H16:H17"/>
    <mergeCell ref="H14:H15"/>
    <mergeCell ref="I14:I15"/>
    <mergeCell ref="J14:J15"/>
    <mergeCell ref="L14:L15"/>
    <mergeCell ref="J12:J13"/>
    <mergeCell ref="L12:L13"/>
    <mergeCell ref="K14:K15"/>
    <mergeCell ref="K12:K13"/>
    <mergeCell ref="B14:B15"/>
    <mergeCell ref="D14:D15"/>
    <mergeCell ref="E14:E15"/>
    <mergeCell ref="F14:F15"/>
    <mergeCell ref="G14:G15"/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 codeName="Hoja17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45337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59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6</v>
      </c>
      <c r="E4" s="23">
        <f>D4*M4</f>
        <v>180</v>
      </c>
      <c r="F4" s="67">
        <f>+E4/N4</f>
        <v>5462.8224582701059</v>
      </c>
      <c r="G4" s="67">
        <f t="shared" ref="G4:G12" si="0">+L4*P4</f>
        <v>4552.3520485584222</v>
      </c>
      <c r="H4" s="68">
        <f t="shared" ref="H4:H19" si="1">+E4/(L4*M4)</f>
        <v>1.2</v>
      </c>
      <c r="I4" s="89">
        <f>IF(L4-D4&lt;0,0,L4-D4)</f>
        <v>0</v>
      </c>
      <c r="J4" s="23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11</v>
      </c>
      <c r="E5" s="24">
        <f t="shared" ref="E5:E11" si="4">D5*M5</f>
        <v>330</v>
      </c>
      <c r="F5" s="67">
        <f t="shared" ref="F5:F11" si="5">+E5/N5</f>
        <v>15034.168564920274</v>
      </c>
      <c r="G5" s="67">
        <f t="shared" si="0"/>
        <v>5466.9703872437358</v>
      </c>
      <c r="H5" s="68">
        <f t="shared" si="1"/>
        <v>2.75</v>
      </c>
      <c r="I5" s="90">
        <f t="shared" ref="I5:I16" si="6">IF(L5-D5&lt;0,0,L5-D5)</f>
        <v>0</v>
      </c>
      <c r="J5" s="23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6</v>
      </c>
      <c r="E6" s="24">
        <f t="shared" si="4"/>
        <v>180</v>
      </c>
      <c r="F6" s="67">
        <f t="shared" si="5"/>
        <v>8200.4555808656041</v>
      </c>
      <c r="G6" s="67">
        <f t="shared" si="0"/>
        <v>6833.7129840546695</v>
      </c>
      <c r="H6" s="68">
        <f t="shared" si="1"/>
        <v>1.2</v>
      </c>
      <c r="I6" s="90">
        <f t="shared" si="6"/>
        <v>0</v>
      </c>
      <c r="J6" s="23" t="str">
        <f t="shared" si="2"/>
        <v/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1</v>
      </c>
      <c r="E7" s="24">
        <f t="shared" si="4"/>
        <v>2.5799999999999996</v>
      </c>
      <c r="F7" s="67">
        <f t="shared" si="5"/>
        <v>119.99999999999999</v>
      </c>
      <c r="G7" s="67">
        <f t="shared" si="0"/>
        <v>3000</v>
      </c>
      <c r="H7" s="68">
        <f t="shared" si="1"/>
        <v>0.04</v>
      </c>
      <c r="I7" s="90">
        <f t="shared" si="6"/>
        <v>24</v>
      </c>
      <c r="J7" s="23">
        <f t="shared" si="2"/>
        <v>2880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24">
        <f t="shared" si="4"/>
        <v>7.2</v>
      </c>
      <c r="F8" s="67">
        <f t="shared" si="5"/>
        <v>464.51612903225811</v>
      </c>
      <c r="G8" s="67">
        <f t="shared" si="0"/>
        <v>3000</v>
      </c>
      <c r="H8" s="68">
        <f t="shared" si="1"/>
        <v>0.16</v>
      </c>
      <c r="I8" s="90">
        <f t="shared" si="6"/>
        <v>21</v>
      </c>
      <c r="J8" s="23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6</v>
      </c>
      <c r="E9" s="24">
        <f t="shared" si="4"/>
        <v>10.8</v>
      </c>
      <c r="F9" s="67">
        <f t="shared" si="5"/>
        <v>679.24528301886789</v>
      </c>
      <c r="G9" s="67">
        <f t="shared" si="0"/>
        <v>3000</v>
      </c>
      <c r="H9" s="68">
        <f t="shared" si="1"/>
        <v>0.24000000000000002</v>
      </c>
      <c r="I9" s="90">
        <f t="shared" si="6"/>
        <v>19</v>
      </c>
      <c r="J9" s="23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7</v>
      </c>
      <c r="E10" s="24">
        <f t="shared" si="4"/>
        <v>210</v>
      </c>
      <c r="F10" s="67">
        <f t="shared" si="5"/>
        <v>9567.1981776765369</v>
      </c>
      <c r="G10" s="67">
        <f t="shared" si="0"/>
        <v>10933.940774487472</v>
      </c>
      <c r="H10" s="68">
        <f t="shared" si="1"/>
        <v>0.875</v>
      </c>
      <c r="I10" s="90">
        <f t="shared" si="6"/>
        <v>1</v>
      </c>
      <c r="J10" s="23">
        <f t="shared" si="2"/>
        <v>1366.7425968109346</v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11</v>
      </c>
      <c r="E11" s="24">
        <f t="shared" si="4"/>
        <v>330</v>
      </c>
      <c r="F11" s="67">
        <f t="shared" si="5"/>
        <v>15000</v>
      </c>
      <c r="G11" s="67">
        <f t="shared" si="0"/>
        <v>5454.545454545455</v>
      </c>
      <c r="H11" s="68">
        <f t="shared" si="1"/>
        <v>2.75</v>
      </c>
      <c r="I11" s="90">
        <f t="shared" si="6"/>
        <v>0</v>
      </c>
      <c r="J11" s="23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10</v>
      </c>
      <c r="E12" s="583">
        <f>+D12*M12</f>
        <v>58</v>
      </c>
      <c r="F12" s="540">
        <f>+D12*L12</f>
        <v>120</v>
      </c>
      <c r="G12" s="548">
        <f t="shared" si="0"/>
        <v>3456</v>
      </c>
      <c r="H12" s="537">
        <f t="shared" si="1"/>
        <v>0.83333333333333337</v>
      </c>
      <c r="I12" s="557">
        <f t="shared" si="6"/>
        <v>2</v>
      </c>
      <c r="J12" s="559">
        <f t="shared" si="2"/>
        <v>3336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588"/>
      <c r="F13" s="540"/>
      <c r="G13" s="549"/>
      <c r="H13" s="537" t="e">
        <f t="shared" si="1"/>
        <v>#DIV/0!</v>
      </c>
      <c r="I13" s="558"/>
      <c r="J13" s="560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25</v>
      </c>
      <c r="E14" s="583">
        <f>+D14*M14</f>
        <v>145</v>
      </c>
      <c r="F14" s="540">
        <f>+D14*L14</f>
        <v>600</v>
      </c>
      <c r="G14" s="548">
        <f>+L14*P14</f>
        <v>3456</v>
      </c>
      <c r="H14" s="537">
        <f t="shared" si="1"/>
        <v>1.0416666666666667</v>
      </c>
      <c r="I14" s="557">
        <f t="shared" si="6"/>
        <v>0</v>
      </c>
      <c r="J14" s="559">
        <f t="shared" si="2"/>
        <v>2856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584"/>
      <c r="F15" s="540"/>
      <c r="G15" s="549"/>
      <c r="H15" s="537" t="e">
        <f t="shared" si="1"/>
        <v>#DIV/0!</v>
      </c>
      <c r="I15" s="558"/>
      <c r="J15" s="560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57</v>
      </c>
      <c r="E16" s="567">
        <f>+D16*M16</f>
        <v>136.79999999999998</v>
      </c>
      <c r="F16" s="565">
        <f>+D16*L16</f>
        <v>4560</v>
      </c>
      <c r="G16" s="548">
        <f>+L16*P16</f>
        <v>1920</v>
      </c>
      <c r="H16" s="537">
        <f t="shared" si="1"/>
        <v>0.71249999999999991</v>
      </c>
      <c r="I16" s="557">
        <f t="shared" si="6"/>
        <v>23</v>
      </c>
      <c r="J16" s="559" t="str">
        <f t="shared" si="2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64"/>
      <c r="F17" s="566"/>
      <c r="G17" s="549"/>
      <c r="H17" s="537">
        <f t="shared" si="1"/>
        <v>0</v>
      </c>
      <c r="I17" s="558"/>
      <c r="J17" s="560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29</v>
      </c>
      <c r="E18" s="563">
        <f>+D18*M18</f>
        <v>92.800000000000011</v>
      </c>
      <c r="F18" s="565">
        <f>+D18*L18</f>
        <v>2900</v>
      </c>
      <c r="G18" s="548">
        <f>+L18*P18</f>
        <v>2400</v>
      </c>
      <c r="H18" s="537">
        <f t="shared" si="1"/>
        <v>0.29000000000000004</v>
      </c>
      <c r="I18" s="557">
        <v>80</v>
      </c>
      <c r="J18" s="559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64">
        <f>+D19*M19</f>
        <v>0</v>
      </c>
      <c r="F19" s="566"/>
      <c r="G19" s="549"/>
      <c r="H19" s="537">
        <f t="shared" si="1"/>
        <v>0</v>
      </c>
      <c r="I19" s="558"/>
      <c r="J19" s="560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58000000}"/>
  <mergeCells count="45"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  <mergeCell ref="M14:M15"/>
    <mergeCell ref="N14:N15"/>
    <mergeCell ref="O14:O15"/>
    <mergeCell ref="P14:P15"/>
    <mergeCell ref="R14:R15"/>
    <mergeCell ref="H14:H15"/>
    <mergeCell ref="I14:I15"/>
    <mergeCell ref="J14:J15"/>
    <mergeCell ref="L14:L15"/>
    <mergeCell ref="J12:J13"/>
    <mergeCell ref="L12:L13"/>
    <mergeCell ref="B14:B15"/>
    <mergeCell ref="D14:D15"/>
    <mergeCell ref="E14:E15"/>
    <mergeCell ref="F14:F15"/>
    <mergeCell ref="G14:G15"/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 codeName="Hoja18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45358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59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7" t="s">
        <v>15</v>
      </c>
      <c r="C4" s="8" t="s">
        <v>16</v>
      </c>
      <c r="D4" s="33">
        <v>6</v>
      </c>
      <c r="E4" s="46">
        <f>D4*M4</f>
        <v>180</v>
      </c>
      <c r="F4" s="54">
        <f>+E4/N4</f>
        <v>5462.8224582701059</v>
      </c>
      <c r="G4" s="54">
        <f t="shared" ref="G4:G12" si="0">+L4*P4</f>
        <v>4552.3520485584222</v>
      </c>
      <c r="H4" s="64">
        <f t="shared" ref="H4:H19" si="1">+E4/(L4*M4)</f>
        <v>1.2</v>
      </c>
      <c r="I4" s="49">
        <f>IF(L4-D4&lt;0,0,L4-D4)</f>
        <v>0</v>
      </c>
      <c r="J4" s="46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9" t="s">
        <v>17</v>
      </c>
      <c r="C5" s="10" t="s">
        <v>18</v>
      </c>
      <c r="D5" s="34">
        <v>11</v>
      </c>
      <c r="E5" s="48">
        <f t="shared" ref="E5:E11" si="4">D5*M5</f>
        <v>330</v>
      </c>
      <c r="F5" s="54">
        <f t="shared" ref="F5:F11" si="5">+E5/N5</f>
        <v>15034.168564920274</v>
      </c>
      <c r="G5" s="54">
        <f t="shared" si="0"/>
        <v>5466.9703872437358</v>
      </c>
      <c r="H5" s="64">
        <f t="shared" si="1"/>
        <v>2.75</v>
      </c>
      <c r="I5" s="50">
        <f t="shared" ref="I5:I16" si="6">IF(L5-D5&lt;0,0,L5-D5)</f>
        <v>0</v>
      </c>
      <c r="J5" s="46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9" t="s">
        <v>20</v>
      </c>
      <c r="C6" s="10" t="s">
        <v>21</v>
      </c>
      <c r="D6" s="34">
        <v>6</v>
      </c>
      <c r="E6" s="48">
        <f t="shared" si="4"/>
        <v>180</v>
      </c>
      <c r="F6" s="54">
        <f t="shared" si="5"/>
        <v>8200.4555808656041</v>
      </c>
      <c r="G6" s="54">
        <f t="shared" si="0"/>
        <v>6833.7129840546695</v>
      </c>
      <c r="H6" s="64">
        <f t="shared" si="1"/>
        <v>1.2</v>
      </c>
      <c r="I6" s="50">
        <f t="shared" si="6"/>
        <v>0</v>
      </c>
      <c r="J6" s="46" t="str">
        <f t="shared" si="2"/>
        <v/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9" t="s">
        <v>22</v>
      </c>
      <c r="C7" s="10" t="s">
        <v>23</v>
      </c>
      <c r="D7" s="34">
        <v>1</v>
      </c>
      <c r="E7" s="48">
        <f t="shared" si="4"/>
        <v>2.5799999999999996</v>
      </c>
      <c r="F7" s="54">
        <f t="shared" si="5"/>
        <v>119.99999999999999</v>
      </c>
      <c r="G7" s="54">
        <f t="shared" si="0"/>
        <v>3000</v>
      </c>
      <c r="H7" s="64">
        <f t="shared" si="1"/>
        <v>0.04</v>
      </c>
      <c r="I7" s="50">
        <f t="shared" si="6"/>
        <v>24</v>
      </c>
      <c r="J7" s="46">
        <f t="shared" si="2"/>
        <v>2880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9" t="s">
        <v>24</v>
      </c>
      <c r="C8" s="10" t="s">
        <v>25</v>
      </c>
      <c r="D8" s="34">
        <v>4</v>
      </c>
      <c r="E8" s="48">
        <f t="shared" si="4"/>
        <v>7.2</v>
      </c>
      <c r="F8" s="54">
        <f t="shared" si="5"/>
        <v>464.51612903225811</v>
      </c>
      <c r="G8" s="54">
        <f t="shared" si="0"/>
        <v>3000</v>
      </c>
      <c r="H8" s="64">
        <f t="shared" si="1"/>
        <v>0.16</v>
      </c>
      <c r="I8" s="50">
        <f t="shared" si="6"/>
        <v>21</v>
      </c>
      <c r="J8" s="46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9" t="s">
        <v>26</v>
      </c>
      <c r="C9" s="10" t="s">
        <v>27</v>
      </c>
      <c r="D9" s="34">
        <v>6</v>
      </c>
      <c r="E9" s="48">
        <f t="shared" si="4"/>
        <v>10.8</v>
      </c>
      <c r="F9" s="54">
        <f t="shared" si="5"/>
        <v>679.24528301886789</v>
      </c>
      <c r="G9" s="54">
        <f t="shared" si="0"/>
        <v>3000</v>
      </c>
      <c r="H9" s="64">
        <f t="shared" si="1"/>
        <v>0.24000000000000002</v>
      </c>
      <c r="I9" s="50">
        <f t="shared" si="6"/>
        <v>19</v>
      </c>
      <c r="J9" s="46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9" t="s">
        <v>28</v>
      </c>
      <c r="C10" s="10" t="s">
        <v>29</v>
      </c>
      <c r="D10" s="34">
        <v>5</v>
      </c>
      <c r="E10" s="48">
        <f t="shared" si="4"/>
        <v>150</v>
      </c>
      <c r="F10" s="54">
        <f t="shared" si="5"/>
        <v>6833.7129840546695</v>
      </c>
      <c r="G10" s="54">
        <f t="shared" si="0"/>
        <v>10933.940774487472</v>
      </c>
      <c r="H10" s="64">
        <f t="shared" si="1"/>
        <v>0.625</v>
      </c>
      <c r="I10" s="50">
        <f t="shared" si="6"/>
        <v>3</v>
      </c>
      <c r="J10" s="46">
        <f t="shared" si="2"/>
        <v>4100.2277904328021</v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9" t="s">
        <v>30</v>
      </c>
      <c r="C11" s="10" t="s">
        <v>31</v>
      </c>
      <c r="D11" s="34">
        <v>11</v>
      </c>
      <c r="E11" s="48">
        <f t="shared" si="4"/>
        <v>330</v>
      </c>
      <c r="F11" s="54">
        <f t="shared" si="5"/>
        <v>15000</v>
      </c>
      <c r="G11" s="54">
        <f t="shared" si="0"/>
        <v>5454.545454545455</v>
      </c>
      <c r="H11" s="64">
        <f t="shared" si="1"/>
        <v>2.75</v>
      </c>
      <c r="I11" s="50">
        <f t="shared" si="6"/>
        <v>0</v>
      </c>
      <c r="J11" s="46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10</v>
      </c>
      <c r="E12" s="605">
        <f>+D12*M12</f>
        <v>58</v>
      </c>
      <c r="F12" s="607">
        <f>+D12*L12</f>
        <v>120</v>
      </c>
      <c r="G12" s="601">
        <f t="shared" si="0"/>
        <v>3456</v>
      </c>
      <c r="H12" s="603">
        <f t="shared" si="1"/>
        <v>0.83333333333333337</v>
      </c>
      <c r="I12" s="593">
        <f t="shared" si="6"/>
        <v>2</v>
      </c>
      <c r="J12" s="595">
        <f t="shared" si="2"/>
        <v>3336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1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25</v>
      </c>
      <c r="E14" s="605">
        <f>+D14*M14</f>
        <v>145</v>
      </c>
      <c r="F14" s="607">
        <f>+D14*L14</f>
        <v>600</v>
      </c>
      <c r="G14" s="601">
        <f>+L14*P14</f>
        <v>3456</v>
      </c>
      <c r="H14" s="603">
        <f t="shared" si="1"/>
        <v>1.0416666666666667</v>
      </c>
      <c r="I14" s="593">
        <f t="shared" si="6"/>
        <v>0</v>
      </c>
      <c r="J14" s="595">
        <f t="shared" si="2"/>
        <v>2856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1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9" t="s">
        <v>42</v>
      </c>
      <c r="C16" s="10" t="s">
        <v>51</v>
      </c>
      <c r="D16" s="561">
        <v>57</v>
      </c>
      <c r="E16" s="604">
        <f>+D16*M16</f>
        <v>136.79999999999998</v>
      </c>
      <c r="F16" s="599">
        <f>+D16*L16</f>
        <v>4560</v>
      </c>
      <c r="G16" s="601">
        <f>+L16*P16</f>
        <v>1920</v>
      </c>
      <c r="H16" s="603">
        <f t="shared" si="1"/>
        <v>0.71249999999999991</v>
      </c>
      <c r="I16" s="593">
        <f t="shared" si="6"/>
        <v>23</v>
      </c>
      <c r="J16" s="595" t="str">
        <f t="shared" si="2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9" t="s">
        <v>42</v>
      </c>
      <c r="C17" s="10" t="s">
        <v>60</v>
      </c>
      <c r="D17" s="562"/>
      <c r="E17" s="598"/>
      <c r="F17" s="600"/>
      <c r="G17" s="602"/>
      <c r="H17" s="603">
        <f t="shared" si="1"/>
        <v>0</v>
      </c>
      <c r="I17" s="594"/>
      <c r="J17" s="596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9" t="s">
        <v>43</v>
      </c>
      <c r="C18" s="10" t="s">
        <v>52</v>
      </c>
      <c r="D18" s="561">
        <v>29</v>
      </c>
      <c r="E18" s="597">
        <f>+D18*M18</f>
        <v>92.800000000000011</v>
      </c>
      <c r="F18" s="599">
        <f>+D18*L18</f>
        <v>2900</v>
      </c>
      <c r="G18" s="601">
        <f>+L18*P18</f>
        <v>2400</v>
      </c>
      <c r="H18" s="603">
        <f t="shared" si="1"/>
        <v>0.29000000000000004</v>
      </c>
      <c r="I18" s="593">
        <v>80</v>
      </c>
      <c r="J18" s="595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9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1"/>
        <v>0</v>
      </c>
      <c r="I19" s="594"/>
      <c r="J19" s="596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59000000}"/>
  <mergeCells count="45"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  <mergeCell ref="B14:B15"/>
    <mergeCell ref="D14:D15"/>
    <mergeCell ref="E14:E15"/>
    <mergeCell ref="F14:F15"/>
    <mergeCell ref="G14:G15"/>
    <mergeCell ref="H14:H15"/>
    <mergeCell ref="I14:I15"/>
    <mergeCell ref="J14:J15"/>
    <mergeCell ref="L14:L15"/>
    <mergeCell ref="J12:J13"/>
    <mergeCell ref="L12:L13"/>
    <mergeCell ref="M14:M15"/>
    <mergeCell ref="N14:N15"/>
    <mergeCell ref="O14:O15"/>
    <mergeCell ref="P14:P15"/>
    <mergeCell ref="R14:R15"/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 codeName="Hoja19">
    <tabColor rgb="FF00B0F0"/>
  </sheetPr>
  <dimension ref="A1:R22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3.28515625" customWidth="1"/>
    <col min="4" max="4" width="12.140625" hidden="1" customWidth="1"/>
    <col min="5" max="5" width="9.140625" hidden="1" customWidth="1"/>
    <col min="6" max="6" width="11.42578125" hidden="1" customWidth="1"/>
    <col min="7" max="7" width="10.28515625" hidden="1" customWidth="1"/>
    <col min="8" max="8" width="7.85546875" customWidth="1"/>
    <col min="9" max="9" width="8.140625" hidden="1" customWidth="1"/>
    <col min="10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45351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hidden="1" thickBot="1" x14ac:dyDescent="0.35">
      <c r="A4" s="7">
        <v>500</v>
      </c>
      <c r="B4" s="8" t="s">
        <v>15</v>
      </c>
      <c r="C4" s="8" t="s">
        <v>16</v>
      </c>
      <c r="D4" s="33">
        <v>6</v>
      </c>
      <c r="E4" s="46">
        <f>D4*M4</f>
        <v>180</v>
      </c>
      <c r="F4" s="54">
        <f>+E4/N4</f>
        <v>5462.8224582701059</v>
      </c>
      <c r="G4" s="54">
        <f t="shared" ref="G4:G12" si="0">+L4*P4</f>
        <v>4552.3520485584222</v>
      </c>
      <c r="H4" s="64">
        <f t="shared" ref="H4:H19" si="1">+E4/(L4*M4)</f>
        <v>1.2</v>
      </c>
      <c r="I4" s="49">
        <f>IF(L4-D4&lt;0,0,L4-D4)</f>
        <v>0</v>
      </c>
      <c r="J4" s="46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hidden="1" thickBot="1" x14ac:dyDescent="0.35">
      <c r="A5" s="9">
        <v>706</v>
      </c>
      <c r="B5" s="10" t="s">
        <v>17</v>
      </c>
      <c r="C5" s="10" t="s">
        <v>18</v>
      </c>
      <c r="D5" s="34">
        <v>11</v>
      </c>
      <c r="E5" s="48">
        <f t="shared" ref="E5:E11" si="4">D5*M5</f>
        <v>330</v>
      </c>
      <c r="F5" s="54">
        <f t="shared" ref="F5:F11" si="5">+E5/N5</f>
        <v>15034.168564920274</v>
      </c>
      <c r="G5" s="54">
        <f t="shared" si="0"/>
        <v>5466.9703872437358</v>
      </c>
      <c r="H5" s="64">
        <f t="shared" si="1"/>
        <v>2.75</v>
      </c>
      <c r="I5" s="50">
        <f t="shared" ref="I5:I16" si="6">IF(L5-D5&lt;0,0,L5-D5)</f>
        <v>0</v>
      </c>
      <c r="J5" s="46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hidden="1" thickBot="1" x14ac:dyDescent="0.35">
      <c r="A6" s="9" t="s">
        <v>19</v>
      </c>
      <c r="B6" s="10" t="s">
        <v>20</v>
      </c>
      <c r="C6" s="10" t="s">
        <v>21</v>
      </c>
      <c r="D6" s="34">
        <v>6</v>
      </c>
      <c r="E6" s="48">
        <f t="shared" si="4"/>
        <v>180</v>
      </c>
      <c r="F6" s="54">
        <f t="shared" si="5"/>
        <v>8200.4555808656041</v>
      </c>
      <c r="G6" s="54">
        <f t="shared" si="0"/>
        <v>6833.7129840546695</v>
      </c>
      <c r="H6" s="64">
        <f t="shared" si="1"/>
        <v>1.2</v>
      </c>
      <c r="I6" s="50">
        <f t="shared" si="6"/>
        <v>0</v>
      </c>
      <c r="J6" s="46" t="str">
        <f t="shared" si="2"/>
        <v/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hidden="1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4"/>
        <v>0</v>
      </c>
      <c r="F7" s="54">
        <f t="shared" si="5"/>
        <v>0</v>
      </c>
      <c r="G7" s="54">
        <f t="shared" si="0"/>
        <v>3000</v>
      </c>
      <c r="H7" s="64">
        <f t="shared" si="1"/>
        <v>0</v>
      </c>
      <c r="I7" s="50">
        <f t="shared" si="6"/>
        <v>25</v>
      </c>
      <c r="J7" s="46">
        <f t="shared" si="2"/>
        <v>3000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hidden="1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48">
        <f t="shared" si="4"/>
        <v>7.2</v>
      </c>
      <c r="F8" s="54">
        <f t="shared" si="5"/>
        <v>464.51612903225811</v>
      </c>
      <c r="G8" s="54">
        <f t="shared" si="0"/>
        <v>3000</v>
      </c>
      <c r="H8" s="64">
        <f t="shared" si="1"/>
        <v>0.16</v>
      </c>
      <c r="I8" s="50">
        <f t="shared" si="6"/>
        <v>21</v>
      </c>
      <c r="J8" s="46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hidden="1" customHeight="1" thickBot="1" x14ac:dyDescent="0.35">
      <c r="A9" s="9">
        <v>557</v>
      </c>
      <c r="B9" s="10" t="s">
        <v>26</v>
      </c>
      <c r="C9" s="10" t="s">
        <v>27</v>
      </c>
      <c r="D9" s="34">
        <v>6</v>
      </c>
      <c r="E9" s="48">
        <f t="shared" si="4"/>
        <v>10.8</v>
      </c>
      <c r="F9" s="54">
        <f t="shared" si="5"/>
        <v>679.24528301886789</v>
      </c>
      <c r="G9" s="54">
        <f t="shared" si="0"/>
        <v>3000</v>
      </c>
      <c r="H9" s="64">
        <f t="shared" si="1"/>
        <v>0.24000000000000002</v>
      </c>
      <c r="I9" s="50">
        <f t="shared" si="6"/>
        <v>19</v>
      </c>
      <c r="J9" s="46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5</v>
      </c>
      <c r="E10" s="48">
        <f t="shared" si="4"/>
        <v>150</v>
      </c>
      <c r="F10" s="54">
        <f t="shared" si="5"/>
        <v>6833.7129840546695</v>
      </c>
      <c r="G10" s="54">
        <f t="shared" si="0"/>
        <v>10933.940774487472</v>
      </c>
      <c r="H10" s="64">
        <f t="shared" si="1"/>
        <v>0.625</v>
      </c>
      <c r="I10" s="50">
        <f t="shared" si="6"/>
        <v>3</v>
      </c>
      <c r="J10" s="46">
        <f t="shared" si="2"/>
        <v>4100.2277904328021</v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11</v>
      </c>
      <c r="E11" s="48">
        <f t="shared" si="4"/>
        <v>330</v>
      </c>
      <c r="F11" s="54">
        <f t="shared" si="5"/>
        <v>15000</v>
      </c>
      <c r="G11" s="54">
        <f t="shared" si="0"/>
        <v>5454.545454545455</v>
      </c>
      <c r="H11" s="64">
        <f t="shared" si="1"/>
        <v>2.75</v>
      </c>
      <c r="I11" s="50">
        <f t="shared" si="6"/>
        <v>0</v>
      </c>
      <c r="J11" s="46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30</v>
      </c>
      <c r="E12" s="605">
        <f>+D12*M12</f>
        <v>174</v>
      </c>
      <c r="F12" s="607">
        <f>+D12*L12</f>
        <v>360</v>
      </c>
      <c r="G12" s="601">
        <f t="shared" si="0"/>
        <v>3456</v>
      </c>
      <c r="H12" s="603">
        <f t="shared" si="1"/>
        <v>2.5</v>
      </c>
      <c r="I12" s="593">
        <f t="shared" si="6"/>
        <v>0</v>
      </c>
      <c r="J12" s="595">
        <f t="shared" si="2"/>
        <v>3096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1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45</v>
      </c>
      <c r="E14" s="605">
        <f>+D14*M14</f>
        <v>261</v>
      </c>
      <c r="F14" s="607">
        <f>+D14*L14</f>
        <v>1080</v>
      </c>
      <c r="G14" s="601">
        <f>+L14*P14</f>
        <v>3456</v>
      </c>
      <c r="H14" s="603">
        <f t="shared" si="1"/>
        <v>1.8750000000000002</v>
      </c>
      <c r="I14" s="593">
        <f t="shared" si="6"/>
        <v>0</v>
      </c>
      <c r="J14" s="595">
        <f t="shared" si="2"/>
        <v>2376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1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78</v>
      </c>
      <c r="E16" s="604">
        <f>+D16*M16</f>
        <v>187.2</v>
      </c>
      <c r="F16" s="599">
        <f>+D16*L16</f>
        <v>6240</v>
      </c>
      <c r="G16" s="601">
        <f>+L16*P16</f>
        <v>1920</v>
      </c>
      <c r="H16" s="603">
        <f t="shared" si="1"/>
        <v>0.97499999999999998</v>
      </c>
      <c r="I16" s="593">
        <f t="shared" si="6"/>
        <v>2</v>
      </c>
      <c r="J16" s="595" t="str">
        <f t="shared" si="2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>
        <f t="shared" si="1"/>
        <v>0</v>
      </c>
      <c r="I17" s="594"/>
      <c r="J17" s="596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29</v>
      </c>
      <c r="E18" s="597">
        <f>+D18*M18</f>
        <v>92.800000000000011</v>
      </c>
      <c r="F18" s="599">
        <f>+D18*L18</f>
        <v>2900</v>
      </c>
      <c r="G18" s="601">
        <f>+L18*P18</f>
        <v>2400</v>
      </c>
      <c r="H18" s="603">
        <f t="shared" si="1"/>
        <v>0.29000000000000004</v>
      </c>
      <c r="I18" s="593">
        <v>80</v>
      </c>
      <c r="J18" s="595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1"/>
        <v>0</v>
      </c>
      <c r="I19" s="594"/>
      <c r="J19" s="596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  <row r="22" spans="1:18" x14ac:dyDescent="0.25">
      <c r="M22" s="88"/>
    </row>
  </sheetData>
  <autoFilter ref="A3:Q19" xr:uid="{00000000-0009-0000-0000-00005A000000}"/>
  <mergeCells count="45"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  <mergeCell ref="B14:B15"/>
    <mergeCell ref="D14:D15"/>
    <mergeCell ref="E14:E15"/>
    <mergeCell ref="F14:F15"/>
    <mergeCell ref="G14:G15"/>
    <mergeCell ref="H14:H15"/>
    <mergeCell ref="I14:I15"/>
    <mergeCell ref="J14:J15"/>
    <mergeCell ref="L14:L15"/>
    <mergeCell ref="J12:J13"/>
    <mergeCell ref="L12:L13"/>
    <mergeCell ref="M14:M15"/>
    <mergeCell ref="N14:N15"/>
    <mergeCell ref="O14:O15"/>
    <mergeCell ref="P14:P15"/>
    <mergeCell ref="R14:R15"/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 codeName="Hoja20" filterMode="1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hidden="1" customWidth="1"/>
    <col min="5" max="5" width="9.140625" hidden="1" customWidth="1"/>
    <col min="6" max="6" width="11.42578125" hidden="1" customWidth="1"/>
    <col min="7" max="7" width="10.28515625" hidden="1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45337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hidden="1" thickBot="1" x14ac:dyDescent="0.35">
      <c r="A4" s="7">
        <v>500</v>
      </c>
      <c r="B4" s="8" t="s">
        <v>15</v>
      </c>
      <c r="C4" s="8" t="s">
        <v>16</v>
      </c>
      <c r="D4" s="33">
        <v>6</v>
      </c>
      <c r="E4" s="46">
        <f>D4*M4</f>
        <v>180</v>
      </c>
      <c r="F4" s="54">
        <f>+E4/N4</f>
        <v>5462.8224582701059</v>
      </c>
      <c r="G4" s="54">
        <f t="shared" ref="G4:G12" si="0">+L4*P4</f>
        <v>4552.3520485584222</v>
      </c>
      <c r="H4" s="64">
        <f t="shared" ref="H4:H19" si="1">+E4/(L4*M4)</f>
        <v>1.2</v>
      </c>
      <c r="I4" s="49">
        <f>IF(L4-D4&lt;0,0,L4-D4)</f>
        <v>0</v>
      </c>
      <c r="J4" s="46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hidden="1" thickBot="1" x14ac:dyDescent="0.35">
      <c r="A5" s="9">
        <v>706</v>
      </c>
      <c r="B5" s="10" t="s">
        <v>17</v>
      </c>
      <c r="C5" s="10" t="s">
        <v>18</v>
      </c>
      <c r="D5" s="34">
        <v>11</v>
      </c>
      <c r="E5" s="48">
        <f t="shared" ref="E5:E11" si="4">D5*M5</f>
        <v>330</v>
      </c>
      <c r="F5" s="54">
        <f t="shared" ref="F5:F11" si="5">+E5/N5</f>
        <v>15034.168564920274</v>
      </c>
      <c r="G5" s="54">
        <f t="shared" si="0"/>
        <v>5466.9703872437358</v>
      </c>
      <c r="H5" s="64">
        <f t="shared" si="1"/>
        <v>2.75</v>
      </c>
      <c r="I5" s="50">
        <f t="shared" ref="I5:I16" si="6">IF(L5-D5&lt;0,0,L5-D5)</f>
        <v>0</v>
      </c>
      <c r="J5" s="46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hidden="1" thickBot="1" x14ac:dyDescent="0.35">
      <c r="A6" s="9" t="s">
        <v>19</v>
      </c>
      <c r="B6" s="10" t="s">
        <v>20</v>
      </c>
      <c r="C6" s="10" t="s">
        <v>21</v>
      </c>
      <c r="D6" s="34">
        <v>6</v>
      </c>
      <c r="E6" s="48">
        <f t="shared" si="4"/>
        <v>180</v>
      </c>
      <c r="F6" s="54">
        <f t="shared" si="5"/>
        <v>8200.4555808656041</v>
      </c>
      <c r="G6" s="54">
        <f t="shared" si="0"/>
        <v>6833.7129840546695</v>
      </c>
      <c r="H6" s="64">
        <f t="shared" si="1"/>
        <v>1.2</v>
      </c>
      <c r="I6" s="50">
        <f t="shared" si="6"/>
        <v>0</v>
      </c>
      <c r="J6" s="46" t="str">
        <f t="shared" si="2"/>
        <v/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4"/>
        <v>0</v>
      </c>
      <c r="F7" s="54">
        <f t="shared" si="5"/>
        <v>0</v>
      </c>
      <c r="G7" s="54">
        <f t="shared" si="0"/>
        <v>3000</v>
      </c>
      <c r="H7" s="64">
        <f t="shared" si="1"/>
        <v>0</v>
      </c>
      <c r="I7" s="50">
        <f t="shared" si="6"/>
        <v>25</v>
      </c>
      <c r="J7" s="46">
        <f t="shared" si="2"/>
        <v>3000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48">
        <f t="shared" si="4"/>
        <v>7.2</v>
      </c>
      <c r="F8" s="54">
        <f t="shared" si="5"/>
        <v>464.51612903225811</v>
      </c>
      <c r="G8" s="54">
        <f t="shared" si="0"/>
        <v>3000</v>
      </c>
      <c r="H8" s="64">
        <f t="shared" si="1"/>
        <v>0.16</v>
      </c>
      <c r="I8" s="50">
        <f t="shared" si="6"/>
        <v>21</v>
      </c>
      <c r="J8" s="46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6</v>
      </c>
      <c r="E9" s="48">
        <f t="shared" si="4"/>
        <v>10.8</v>
      </c>
      <c r="F9" s="54">
        <f t="shared" si="5"/>
        <v>679.24528301886789</v>
      </c>
      <c r="G9" s="54">
        <f t="shared" si="0"/>
        <v>3000</v>
      </c>
      <c r="H9" s="64">
        <f t="shared" si="1"/>
        <v>0.24000000000000002</v>
      </c>
      <c r="I9" s="50">
        <f t="shared" si="6"/>
        <v>19</v>
      </c>
      <c r="J9" s="46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5</v>
      </c>
      <c r="E10" s="48">
        <f t="shared" si="4"/>
        <v>150</v>
      </c>
      <c r="F10" s="54">
        <f t="shared" si="5"/>
        <v>6833.7129840546695</v>
      </c>
      <c r="G10" s="54">
        <f t="shared" si="0"/>
        <v>10933.940774487472</v>
      </c>
      <c r="H10" s="64">
        <f t="shared" si="1"/>
        <v>0.625</v>
      </c>
      <c r="I10" s="50">
        <f t="shared" si="6"/>
        <v>3</v>
      </c>
      <c r="J10" s="46">
        <f t="shared" si="2"/>
        <v>4100.2277904328021</v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hidden="1" thickBot="1" x14ac:dyDescent="0.35">
      <c r="A11" s="9">
        <v>510</v>
      </c>
      <c r="B11" s="10" t="s">
        <v>30</v>
      </c>
      <c r="C11" s="10" t="s">
        <v>31</v>
      </c>
      <c r="D11" s="34">
        <v>11</v>
      </c>
      <c r="E11" s="48">
        <f t="shared" si="4"/>
        <v>330</v>
      </c>
      <c r="F11" s="54">
        <f t="shared" si="5"/>
        <v>15000</v>
      </c>
      <c r="G11" s="54">
        <f t="shared" si="0"/>
        <v>5454.545454545455</v>
      </c>
      <c r="H11" s="64">
        <f t="shared" si="1"/>
        <v>2.75</v>
      </c>
      <c r="I11" s="50">
        <f t="shared" si="6"/>
        <v>0</v>
      </c>
      <c r="J11" s="46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hidden="1" thickBot="1" x14ac:dyDescent="0.35">
      <c r="A12" s="9">
        <v>824</v>
      </c>
      <c r="B12" s="579" t="s">
        <v>32</v>
      </c>
      <c r="C12" s="10" t="s">
        <v>36</v>
      </c>
      <c r="D12" s="587">
        <v>30</v>
      </c>
      <c r="E12" s="605">
        <f>+D12*M12</f>
        <v>174</v>
      </c>
      <c r="F12" s="607">
        <f>+D12*L12</f>
        <v>360</v>
      </c>
      <c r="G12" s="601">
        <f t="shared" si="0"/>
        <v>3456</v>
      </c>
      <c r="H12" s="603">
        <f t="shared" si="1"/>
        <v>2.5</v>
      </c>
      <c r="I12" s="593">
        <f t="shared" si="6"/>
        <v>0</v>
      </c>
      <c r="J12" s="595">
        <f t="shared" si="2"/>
        <v>3096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hidden="1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1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hidden="1" thickBot="1" x14ac:dyDescent="0.35">
      <c r="A14" s="9">
        <v>825</v>
      </c>
      <c r="B14" s="579" t="s">
        <v>35</v>
      </c>
      <c r="C14" s="10" t="s">
        <v>33</v>
      </c>
      <c r="D14" s="581">
        <v>44</v>
      </c>
      <c r="E14" s="605">
        <f>+D14*M14</f>
        <v>255.2</v>
      </c>
      <c r="F14" s="607">
        <f>+D14*L14</f>
        <v>1056</v>
      </c>
      <c r="G14" s="601">
        <f>+L14*P14</f>
        <v>3456</v>
      </c>
      <c r="H14" s="603">
        <f t="shared" si="1"/>
        <v>1.8333333333333335</v>
      </c>
      <c r="I14" s="593">
        <f t="shared" si="6"/>
        <v>0</v>
      </c>
      <c r="J14" s="595">
        <f t="shared" si="2"/>
        <v>2400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hidden="1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1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77</v>
      </c>
      <c r="E16" s="604">
        <f>+D16*M16</f>
        <v>184.79999999999998</v>
      </c>
      <c r="F16" s="599">
        <f>+D16*L16</f>
        <v>6160</v>
      </c>
      <c r="G16" s="601">
        <f>+L16*P16</f>
        <v>1920</v>
      </c>
      <c r="H16" s="603">
        <f t="shared" si="1"/>
        <v>0.96249999999999991</v>
      </c>
      <c r="I16" s="593">
        <f t="shared" si="6"/>
        <v>3</v>
      </c>
      <c r="J16" s="595" t="str">
        <f t="shared" si="2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hidden="1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>
        <f t="shared" si="1"/>
        <v>0</v>
      </c>
      <c r="I17" s="594"/>
      <c r="J17" s="596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x14ac:dyDescent="0.3">
      <c r="A18" s="9">
        <v>30</v>
      </c>
      <c r="B18" s="10" t="s">
        <v>43</v>
      </c>
      <c r="C18" s="10" t="s">
        <v>52</v>
      </c>
      <c r="D18" s="561">
        <v>29</v>
      </c>
      <c r="E18" s="597">
        <f>+D18*M18</f>
        <v>92.800000000000011</v>
      </c>
      <c r="F18" s="599">
        <f>+D18*L18</f>
        <v>2900</v>
      </c>
      <c r="G18" s="601">
        <f>+L18*P18</f>
        <v>2400</v>
      </c>
      <c r="H18" s="603">
        <f t="shared" si="1"/>
        <v>0.29000000000000004</v>
      </c>
      <c r="I18" s="593">
        <v>80</v>
      </c>
      <c r="J18" s="595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hidden="1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1"/>
        <v>0</v>
      </c>
      <c r="I19" s="594"/>
      <c r="J19" s="596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9" xr:uid="{00000000-0009-0000-0000-00005B000000}">
    <filterColumn colId="8">
      <filters>
        <filter val="19"/>
        <filter val="21"/>
        <filter val="25"/>
        <filter val="3"/>
        <filter val="80"/>
      </filters>
    </filterColumn>
  </autoFilter>
  <mergeCells count="45"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  <mergeCell ref="B14:B15"/>
    <mergeCell ref="D14:D15"/>
    <mergeCell ref="E14:E15"/>
    <mergeCell ref="F14:F15"/>
    <mergeCell ref="G14:G15"/>
    <mergeCell ref="H14:H15"/>
    <mergeCell ref="I14:I15"/>
    <mergeCell ref="J14:J15"/>
    <mergeCell ref="L14:L15"/>
    <mergeCell ref="J12:J13"/>
    <mergeCell ref="L12:L13"/>
    <mergeCell ref="M14:M15"/>
    <mergeCell ref="N14:N15"/>
    <mergeCell ref="O14:O15"/>
    <mergeCell ref="P14:P15"/>
    <mergeCell ref="R14:R15"/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 codeName="Hoja21" filterMode="1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hidden="1" customWidth="1"/>
    <col min="5" max="5" width="9.140625" hidden="1" customWidth="1"/>
    <col min="6" max="6" width="11.42578125" hidden="1" customWidth="1"/>
    <col min="7" max="7" width="10.28515625" hidden="1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45337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hidden="1" thickBot="1" x14ac:dyDescent="0.35">
      <c r="A4" s="7">
        <v>500</v>
      </c>
      <c r="B4" s="8" t="s">
        <v>15</v>
      </c>
      <c r="C4" s="8" t="s">
        <v>16</v>
      </c>
      <c r="D4" s="33">
        <v>7</v>
      </c>
      <c r="E4" s="46">
        <f>D4*M4</f>
        <v>210</v>
      </c>
      <c r="F4" s="54">
        <f>+E4/N4</f>
        <v>6373.2928679817906</v>
      </c>
      <c r="G4" s="54">
        <f t="shared" ref="G4:G12" si="0">+L4*P4</f>
        <v>4552.3520485584222</v>
      </c>
      <c r="H4" s="64">
        <f t="shared" ref="H4:H19" si="1">+E4/(L4*M4)</f>
        <v>1.4</v>
      </c>
      <c r="I4" s="49">
        <f>IF(L4-D4&lt;0,0,L4-D4)</f>
        <v>0</v>
      </c>
      <c r="J4" s="46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hidden="1" thickBot="1" x14ac:dyDescent="0.35">
      <c r="A5" s="9">
        <v>706</v>
      </c>
      <c r="B5" s="10" t="s">
        <v>17</v>
      </c>
      <c r="C5" s="10" t="s">
        <v>18</v>
      </c>
      <c r="D5" s="34">
        <v>9</v>
      </c>
      <c r="E5" s="48">
        <f t="shared" ref="E5:E11" si="4">D5*M5</f>
        <v>270</v>
      </c>
      <c r="F5" s="54">
        <f t="shared" ref="F5:F11" si="5">+E5/N5</f>
        <v>12300.683371298404</v>
      </c>
      <c r="G5" s="54">
        <f t="shared" si="0"/>
        <v>5466.9703872437358</v>
      </c>
      <c r="H5" s="64">
        <f t="shared" si="1"/>
        <v>2.25</v>
      </c>
      <c r="I5" s="50">
        <f t="shared" ref="I5:I16" si="6">IF(L5-D5&lt;0,0,L5-D5)</f>
        <v>0</v>
      </c>
      <c r="J5" s="46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hidden="1" thickBot="1" x14ac:dyDescent="0.35">
      <c r="A6" s="9" t="s">
        <v>19</v>
      </c>
      <c r="B6" s="10" t="s">
        <v>20</v>
      </c>
      <c r="C6" s="10" t="s">
        <v>21</v>
      </c>
      <c r="D6" s="34">
        <v>6</v>
      </c>
      <c r="E6" s="48">
        <f t="shared" si="4"/>
        <v>180</v>
      </c>
      <c r="F6" s="54">
        <f t="shared" si="5"/>
        <v>8200.4555808656041</v>
      </c>
      <c r="G6" s="54">
        <f t="shared" si="0"/>
        <v>6833.7129840546695</v>
      </c>
      <c r="H6" s="64">
        <f t="shared" si="1"/>
        <v>1.2</v>
      </c>
      <c r="I6" s="50">
        <f t="shared" si="6"/>
        <v>0</v>
      </c>
      <c r="J6" s="46" t="str">
        <f t="shared" si="2"/>
        <v/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4"/>
        <v>0</v>
      </c>
      <c r="F7" s="54">
        <f t="shared" si="5"/>
        <v>0</v>
      </c>
      <c r="G7" s="54">
        <f t="shared" si="0"/>
        <v>3000</v>
      </c>
      <c r="H7" s="64">
        <f t="shared" si="1"/>
        <v>0</v>
      </c>
      <c r="I7" s="50">
        <f t="shared" si="6"/>
        <v>25</v>
      </c>
      <c r="J7" s="46">
        <f t="shared" si="2"/>
        <v>3000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48">
        <f t="shared" si="4"/>
        <v>7.2</v>
      </c>
      <c r="F8" s="54">
        <f t="shared" si="5"/>
        <v>464.51612903225811</v>
      </c>
      <c r="G8" s="54">
        <f t="shared" si="0"/>
        <v>3000</v>
      </c>
      <c r="H8" s="64">
        <f t="shared" si="1"/>
        <v>0.16</v>
      </c>
      <c r="I8" s="50">
        <f t="shared" si="6"/>
        <v>21</v>
      </c>
      <c r="J8" s="46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6</v>
      </c>
      <c r="E9" s="48">
        <f t="shared" si="4"/>
        <v>10.8</v>
      </c>
      <c r="F9" s="54">
        <f t="shared" si="5"/>
        <v>679.24528301886789</v>
      </c>
      <c r="G9" s="54">
        <f t="shared" si="0"/>
        <v>3000</v>
      </c>
      <c r="H9" s="64">
        <f t="shared" si="1"/>
        <v>0.24000000000000002</v>
      </c>
      <c r="I9" s="50">
        <f t="shared" si="6"/>
        <v>19</v>
      </c>
      <c r="J9" s="46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hidden="1" customHeight="1" thickBot="1" x14ac:dyDescent="0.35">
      <c r="A10" s="9">
        <v>506</v>
      </c>
      <c r="B10" s="10" t="s">
        <v>28</v>
      </c>
      <c r="C10" s="10" t="s">
        <v>29</v>
      </c>
      <c r="D10" s="34">
        <v>8</v>
      </c>
      <c r="E10" s="48">
        <f t="shared" si="4"/>
        <v>240</v>
      </c>
      <c r="F10" s="54">
        <f t="shared" si="5"/>
        <v>10933.940774487472</v>
      </c>
      <c r="G10" s="54">
        <f t="shared" si="0"/>
        <v>10933.940774487472</v>
      </c>
      <c r="H10" s="64">
        <f t="shared" si="1"/>
        <v>1</v>
      </c>
      <c r="I10" s="50">
        <f t="shared" si="6"/>
        <v>0</v>
      </c>
      <c r="J10" s="46">
        <f t="shared" si="2"/>
        <v>0</v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hidden="1" thickBot="1" x14ac:dyDescent="0.35">
      <c r="A11" s="9">
        <v>510</v>
      </c>
      <c r="B11" s="10" t="s">
        <v>30</v>
      </c>
      <c r="C11" s="10" t="s">
        <v>31</v>
      </c>
      <c r="D11" s="34">
        <v>9</v>
      </c>
      <c r="E11" s="48">
        <f t="shared" si="4"/>
        <v>270</v>
      </c>
      <c r="F11" s="54">
        <f t="shared" si="5"/>
        <v>12272.727272727274</v>
      </c>
      <c r="G11" s="54">
        <f t="shared" si="0"/>
        <v>5454.545454545455</v>
      </c>
      <c r="H11" s="64">
        <f t="shared" si="1"/>
        <v>2.25</v>
      </c>
      <c r="I11" s="50">
        <f t="shared" si="6"/>
        <v>0</v>
      </c>
      <c r="J11" s="46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hidden="1" thickBot="1" x14ac:dyDescent="0.35">
      <c r="A12" s="9">
        <v>824</v>
      </c>
      <c r="B12" s="579" t="s">
        <v>32</v>
      </c>
      <c r="C12" s="10" t="s">
        <v>36</v>
      </c>
      <c r="D12" s="587">
        <v>30</v>
      </c>
      <c r="E12" s="605">
        <f>+D12*M12</f>
        <v>174</v>
      </c>
      <c r="F12" s="607">
        <f>+D12*L12</f>
        <v>360</v>
      </c>
      <c r="G12" s="601">
        <f t="shared" si="0"/>
        <v>3456</v>
      </c>
      <c r="H12" s="603">
        <f t="shared" si="1"/>
        <v>2.5</v>
      </c>
      <c r="I12" s="593">
        <f t="shared" si="6"/>
        <v>0</v>
      </c>
      <c r="J12" s="595">
        <f t="shared" si="2"/>
        <v>3096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1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hidden="1" thickBot="1" x14ac:dyDescent="0.35">
      <c r="A14" s="9">
        <v>825</v>
      </c>
      <c r="B14" s="579" t="s">
        <v>35</v>
      </c>
      <c r="C14" s="10" t="s">
        <v>33</v>
      </c>
      <c r="D14" s="581">
        <v>45</v>
      </c>
      <c r="E14" s="605">
        <f>+D14*M14</f>
        <v>261</v>
      </c>
      <c r="F14" s="607">
        <f>+D14*L14</f>
        <v>1080</v>
      </c>
      <c r="G14" s="601">
        <f>+L14*P14</f>
        <v>3456</v>
      </c>
      <c r="H14" s="603">
        <f t="shared" si="1"/>
        <v>1.8750000000000002</v>
      </c>
      <c r="I14" s="593">
        <f t="shared" si="6"/>
        <v>0</v>
      </c>
      <c r="J14" s="595">
        <f t="shared" si="2"/>
        <v>2376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1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24</v>
      </c>
      <c r="E16" s="604">
        <f>+D16*M16</f>
        <v>57.599999999999994</v>
      </c>
      <c r="F16" s="599">
        <f>+D16*L16</f>
        <v>1920</v>
      </c>
      <c r="G16" s="601">
        <f>+L16*P16</f>
        <v>1920</v>
      </c>
      <c r="H16" s="603">
        <f t="shared" si="1"/>
        <v>0.3</v>
      </c>
      <c r="I16" s="593">
        <f t="shared" si="6"/>
        <v>56</v>
      </c>
      <c r="J16" s="595">
        <f t="shared" si="2"/>
        <v>0</v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>
        <f t="shared" si="1"/>
        <v>0</v>
      </c>
      <c r="I17" s="594"/>
      <c r="J17" s="596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29</v>
      </c>
      <c r="E18" s="597">
        <f>+D18*M18</f>
        <v>92.800000000000011</v>
      </c>
      <c r="F18" s="599">
        <f>+D18*L18</f>
        <v>2900</v>
      </c>
      <c r="G18" s="601">
        <f>+L18*P18</f>
        <v>2400</v>
      </c>
      <c r="H18" s="603">
        <f t="shared" si="1"/>
        <v>0.29000000000000004</v>
      </c>
      <c r="I18" s="593">
        <v>80</v>
      </c>
      <c r="J18" s="595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1"/>
        <v>0</v>
      </c>
      <c r="I19" s="594"/>
      <c r="J19" s="596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9" xr:uid="{00000000-0009-0000-0000-00005C000000}">
    <filterColumn colId="8">
      <filters blank="1">
        <filter val="19"/>
        <filter val="21"/>
        <filter val="25"/>
        <filter val="56"/>
        <filter val="80"/>
      </filters>
    </filterColumn>
  </autoFilter>
  <mergeCells count="45"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  <mergeCell ref="M14:M15"/>
    <mergeCell ref="N14:N15"/>
    <mergeCell ref="O14:O15"/>
    <mergeCell ref="P14:P15"/>
    <mergeCell ref="R14:R15"/>
    <mergeCell ref="H14:H15"/>
    <mergeCell ref="I14:I15"/>
    <mergeCell ref="J14:J15"/>
    <mergeCell ref="L14:L15"/>
    <mergeCell ref="J12:J13"/>
    <mergeCell ref="L12:L13"/>
    <mergeCell ref="B14:B15"/>
    <mergeCell ref="D14:D15"/>
    <mergeCell ref="E14:E15"/>
    <mergeCell ref="F14:F15"/>
    <mergeCell ref="G14:G15"/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 codeName="Hoja22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45331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7</v>
      </c>
      <c r="E4" s="46">
        <f>D4*M4</f>
        <v>210</v>
      </c>
      <c r="F4" s="54">
        <f>+E4/N4</f>
        <v>6373.2928679817906</v>
      </c>
      <c r="G4" s="54">
        <f t="shared" ref="G4:G12" si="0">+L4*P4</f>
        <v>4552.3520485584222</v>
      </c>
      <c r="H4" s="64">
        <f t="shared" ref="H4:H19" si="1">+E4/(L4*M4)</f>
        <v>1.4</v>
      </c>
      <c r="I4" s="49">
        <f>IF(L4-D4&lt;0,0,L4-D4)</f>
        <v>0</v>
      </c>
      <c r="J4" s="46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12</v>
      </c>
      <c r="E5" s="48">
        <f t="shared" ref="E5:E11" si="4">D5*M5</f>
        <v>360</v>
      </c>
      <c r="F5" s="54">
        <f t="shared" ref="F5:F11" si="5">+E5/N5</f>
        <v>16400.911161731208</v>
      </c>
      <c r="G5" s="54">
        <f t="shared" si="0"/>
        <v>5466.9703872437358</v>
      </c>
      <c r="H5" s="64">
        <f t="shared" si="1"/>
        <v>3</v>
      </c>
      <c r="I5" s="50">
        <f t="shared" ref="I5:I16" si="6">IF(L5-D5&lt;0,0,L5-D5)</f>
        <v>0</v>
      </c>
      <c r="J5" s="46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6</v>
      </c>
      <c r="E6" s="48">
        <f t="shared" si="4"/>
        <v>180</v>
      </c>
      <c r="F6" s="54">
        <f t="shared" si="5"/>
        <v>8200.4555808656041</v>
      </c>
      <c r="G6" s="54">
        <f t="shared" si="0"/>
        <v>6833.7129840546695</v>
      </c>
      <c r="H6" s="64">
        <f t="shared" si="1"/>
        <v>1.2</v>
      </c>
      <c r="I6" s="50">
        <f t="shared" si="6"/>
        <v>0</v>
      </c>
      <c r="J6" s="46" t="str">
        <f t="shared" si="2"/>
        <v/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4"/>
        <v>0</v>
      </c>
      <c r="F7" s="54">
        <f t="shared" si="5"/>
        <v>0</v>
      </c>
      <c r="G7" s="54">
        <f t="shared" si="0"/>
        <v>3000</v>
      </c>
      <c r="H7" s="64">
        <f t="shared" si="1"/>
        <v>0</v>
      </c>
      <c r="I7" s="50">
        <f t="shared" si="6"/>
        <v>25</v>
      </c>
      <c r="J7" s="46">
        <f t="shared" si="2"/>
        <v>3000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48">
        <f t="shared" si="4"/>
        <v>7.2</v>
      </c>
      <c r="F8" s="54">
        <f t="shared" si="5"/>
        <v>464.51612903225811</v>
      </c>
      <c r="G8" s="54">
        <f t="shared" si="0"/>
        <v>3000</v>
      </c>
      <c r="H8" s="64">
        <f t="shared" si="1"/>
        <v>0.16</v>
      </c>
      <c r="I8" s="50">
        <f t="shared" si="6"/>
        <v>21</v>
      </c>
      <c r="J8" s="46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6</v>
      </c>
      <c r="E9" s="48">
        <f t="shared" si="4"/>
        <v>10.8</v>
      </c>
      <c r="F9" s="54">
        <f t="shared" si="5"/>
        <v>679.24528301886789</v>
      </c>
      <c r="G9" s="54">
        <f t="shared" si="0"/>
        <v>3000</v>
      </c>
      <c r="H9" s="64">
        <f t="shared" si="1"/>
        <v>0.24000000000000002</v>
      </c>
      <c r="I9" s="50">
        <f t="shared" si="6"/>
        <v>19</v>
      </c>
      <c r="J9" s="46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8</v>
      </c>
      <c r="E10" s="48">
        <f t="shared" si="4"/>
        <v>240</v>
      </c>
      <c r="F10" s="54">
        <f t="shared" si="5"/>
        <v>10933.940774487472</v>
      </c>
      <c r="G10" s="54">
        <f t="shared" si="0"/>
        <v>10933.940774487472</v>
      </c>
      <c r="H10" s="64">
        <f t="shared" si="1"/>
        <v>1</v>
      </c>
      <c r="I10" s="50">
        <f t="shared" si="6"/>
        <v>0</v>
      </c>
      <c r="J10" s="46">
        <f t="shared" si="2"/>
        <v>0</v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9</v>
      </c>
      <c r="E11" s="48">
        <f t="shared" si="4"/>
        <v>270</v>
      </c>
      <c r="F11" s="54">
        <f t="shared" si="5"/>
        <v>12272.727272727274</v>
      </c>
      <c r="G11" s="54">
        <f t="shared" si="0"/>
        <v>5454.545454545455</v>
      </c>
      <c r="H11" s="64">
        <f t="shared" si="1"/>
        <v>2.25</v>
      </c>
      <c r="I11" s="50">
        <f t="shared" si="6"/>
        <v>0</v>
      </c>
      <c r="J11" s="46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0</v>
      </c>
      <c r="E12" s="605">
        <f>+D12*M12</f>
        <v>0</v>
      </c>
      <c r="F12" s="607">
        <f>+D12*L12</f>
        <v>0</v>
      </c>
      <c r="G12" s="601">
        <f t="shared" si="0"/>
        <v>3456</v>
      </c>
      <c r="H12" s="603">
        <f t="shared" si="1"/>
        <v>0</v>
      </c>
      <c r="I12" s="593">
        <f t="shared" si="6"/>
        <v>12</v>
      </c>
      <c r="J12" s="595">
        <f t="shared" si="2"/>
        <v>3456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1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75</v>
      </c>
      <c r="E14" s="605">
        <f>+D14*M14</f>
        <v>435</v>
      </c>
      <c r="F14" s="607">
        <f>+D14*L14</f>
        <v>1800</v>
      </c>
      <c r="G14" s="601">
        <f>+L14*P14</f>
        <v>3456</v>
      </c>
      <c r="H14" s="603">
        <f t="shared" si="1"/>
        <v>3.1250000000000004</v>
      </c>
      <c r="I14" s="593">
        <f t="shared" si="6"/>
        <v>0</v>
      </c>
      <c r="J14" s="595">
        <f t="shared" si="2"/>
        <v>1656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1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78</v>
      </c>
      <c r="E16" s="604">
        <f>+D16*M16</f>
        <v>187.2</v>
      </c>
      <c r="F16" s="599">
        <f>+D16*L16</f>
        <v>6240</v>
      </c>
      <c r="G16" s="601">
        <f>+L16*P16</f>
        <v>1920</v>
      </c>
      <c r="H16" s="603">
        <f t="shared" si="1"/>
        <v>0.97499999999999998</v>
      </c>
      <c r="I16" s="593">
        <f t="shared" si="6"/>
        <v>2</v>
      </c>
      <c r="J16" s="595" t="str">
        <f t="shared" si="2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>
        <f t="shared" si="1"/>
        <v>0</v>
      </c>
      <c r="I17" s="594"/>
      <c r="J17" s="596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29</v>
      </c>
      <c r="E18" s="597">
        <f>+D18*M18</f>
        <v>92.800000000000011</v>
      </c>
      <c r="F18" s="599">
        <f>+D18*L18</f>
        <v>2900</v>
      </c>
      <c r="G18" s="601">
        <f>+L18*P18</f>
        <v>2400</v>
      </c>
      <c r="H18" s="603">
        <f t="shared" si="1"/>
        <v>0.29000000000000004</v>
      </c>
      <c r="I18" s="593">
        <v>80</v>
      </c>
      <c r="J18" s="595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1"/>
        <v>0</v>
      </c>
      <c r="I19" s="594"/>
      <c r="J19" s="596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9" xr:uid="{00000000-0009-0000-0000-00005D000000}"/>
  <mergeCells count="45"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  <mergeCell ref="M14:M15"/>
    <mergeCell ref="N14:N15"/>
    <mergeCell ref="O14:O15"/>
    <mergeCell ref="P14:P15"/>
    <mergeCell ref="R14:R15"/>
    <mergeCell ref="H14:H15"/>
    <mergeCell ref="I14:I15"/>
    <mergeCell ref="J14:J15"/>
    <mergeCell ref="L14:L15"/>
    <mergeCell ref="J12:J13"/>
    <mergeCell ref="L12:L13"/>
    <mergeCell ref="B14:B15"/>
    <mergeCell ref="D14:D15"/>
    <mergeCell ref="E14:E15"/>
    <mergeCell ref="F14:F15"/>
    <mergeCell ref="G14:G15"/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 codeName="Hoja23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1.28515625" hidden="1" customWidth="1"/>
    <col min="3" max="3" width="34.7109375" customWidth="1"/>
    <col min="4" max="4" width="9.28515625" customWidth="1"/>
    <col min="5" max="5" width="10.28515625" customWidth="1"/>
    <col min="6" max="6" width="9.28515625" customWidth="1"/>
    <col min="7" max="7" width="11.85546875" customWidth="1"/>
    <col min="8" max="8" width="9.140625" customWidth="1"/>
    <col min="9" max="9" width="7.85546875" customWidth="1"/>
    <col min="10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H1" s="1"/>
      <c r="J1" s="1"/>
    </row>
    <row r="2" spans="1:18" ht="24.75" customHeight="1" thickBot="1" x14ac:dyDescent="0.35">
      <c r="A2" s="585" t="s">
        <v>1</v>
      </c>
      <c r="B2" s="586"/>
      <c r="C2" s="2">
        <v>45323</v>
      </c>
      <c r="D2" s="1"/>
      <c r="E2" s="1"/>
      <c r="F2" s="3"/>
      <c r="G2" s="1"/>
      <c r="H2" s="1"/>
      <c r="J2" s="3" t="s">
        <v>55</v>
      </c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80" t="s">
        <v>5</v>
      </c>
      <c r="D3" s="4" t="s">
        <v>58</v>
      </c>
      <c r="E3" s="4" t="s">
        <v>62</v>
      </c>
      <c r="F3" s="84" t="s">
        <v>59</v>
      </c>
      <c r="G3" s="4" t="s">
        <v>39</v>
      </c>
      <c r="H3" s="4" t="s">
        <v>6</v>
      </c>
      <c r="I3" s="4" t="s">
        <v>57</v>
      </c>
      <c r="J3" s="18" t="s">
        <v>54</v>
      </c>
      <c r="K3" s="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0">
        <v>500</v>
      </c>
      <c r="B4" s="71" t="s">
        <v>15</v>
      </c>
      <c r="C4" s="81" t="s">
        <v>16</v>
      </c>
      <c r="D4" s="85">
        <f t="shared" ref="D4:D12" si="0">+L4*P4</f>
        <v>4552.3520485584222</v>
      </c>
      <c r="E4" s="72">
        <f t="shared" ref="E4:E11" si="1">+H4/N4</f>
        <v>8194.2336874051598</v>
      </c>
      <c r="F4" s="72" t="str">
        <f t="shared" ref="F4:F19" si="2">+IF(D4-E4&lt;0,"",D4-E4)</f>
        <v/>
      </c>
      <c r="G4" s="73">
        <v>9</v>
      </c>
      <c r="H4" s="87">
        <f t="shared" ref="H4:H11" si="3">G4*M4</f>
        <v>270</v>
      </c>
      <c r="I4" s="74">
        <f t="shared" ref="I4:I19" si="4">+H4/(L4*M4)</f>
        <v>1.8</v>
      </c>
      <c r="J4" s="75">
        <f t="shared" ref="J4:J12" si="5">IF(L4-G4&lt;0,0,L4-G4)</f>
        <v>0</v>
      </c>
      <c r="K4" s="60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6">1.5*Q4/P4</f>
        <v>4.1516999999999999</v>
      </c>
    </row>
    <row r="5" spans="1:18" ht="19.5" thickBot="1" x14ac:dyDescent="0.35">
      <c r="A5" s="76">
        <v>706</v>
      </c>
      <c r="B5" s="69" t="s">
        <v>17</v>
      </c>
      <c r="C5" s="82" t="s">
        <v>18</v>
      </c>
      <c r="D5" s="86">
        <f t="shared" si="0"/>
        <v>5466.9703872437358</v>
      </c>
      <c r="E5" s="67">
        <f t="shared" si="1"/>
        <v>17767.653758542139</v>
      </c>
      <c r="F5" s="67" t="str">
        <f t="shared" si="2"/>
        <v/>
      </c>
      <c r="G5" s="66">
        <v>13</v>
      </c>
      <c r="H5" s="39">
        <f t="shared" si="3"/>
        <v>390</v>
      </c>
      <c r="I5" s="68">
        <f t="shared" si="4"/>
        <v>3.25</v>
      </c>
      <c r="J5" s="77">
        <f t="shared" si="5"/>
        <v>0</v>
      </c>
      <c r="K5" s="60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6"/>
        <v>3.9510000000000001</v>
      </c>
    </row>
    <row r="6" spans="1:18" ht="19.5" thickBot="1" x14ac:dyDescent="0.35">
      <c r="A6" s="76" t="s">
        <v>19</v>
      </c>
      <c r="B6" s="69" t="s">
        <v>20</v>
      </c>
      <c r="C6" s="82" t="s">
        <v>21</v>
      </c>
      <c r="D6" s="86">
        <f t="shared" si="0"/>
        <v>6833.7129840546695</v>
      </c>
      <c r="E6" s="67">
        <f t="shared" si="1"/>
        <v>8200.4555808656041</v>
      </c>
      <c r="F6" s="67" t="str">
        <f t="shared" si="2"/>
        <v/>
      </c>
      <c r="G6" s="66">
        <v>6</v>
      </c>
      <c r="H6" s="39">
        <f t="shared" si="3"/>
        <v>180</v>
      </c>
      <c r="I6" s="68">
        <f t="shared" si="4"/>
        <v>1.2</v>
      </c>
      <c r="J6" s="77">
        <f t="shared" si="5"/>
        <v>0</v>
      </c>
      <c r="K6" s="60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6"/>
        <v>0</v>
      </c>
    </row>
    <row r="7" spans="1:18" ht="19.5" thickBot="1" x14ac:dyDescent="0.35">
      <c r="A7" s="76">
        <v>654</v>
      </c>
      <c r="B7" s="69" t="s">
        <v>22</v>
      </c>
      <c r="C7" s="82" t="s">
        <v>23</v>
      </c>
      <c r="D7" s="86">
        <f t="shared" si="0"/>
        <v>3000</v>
      </c>
      <c r="E7" s="67">
        <f t="shared" si="1"/>
        <v>0</v>
      </c>
      <c r="F7" s="67">
        <f t="shared" si="2"/>
        <v>3000</v>
      </c>
      <c r="G7" s="66">
        <v>0</v>
      </c>
      <c r="H7" s="39">
        <f t="shared" si="3"/>
        <v>0</v>
      </c>
      <c r="I7" s="68">
        <f t="shared" si="4"/>
        <v>0</v>
      </c>
      <c r="J7" s="77">
        <f t="shared" si="5"/>
        <v>25</v>
      </c>
      <c r="K7" s="60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6"/>
        <v>15</v>
      </c>
    </row>
    <row r="8" spans="1:18" ht="19.5" thickBot="1" x14ac:dyDescent="0.35">
      <c r="A8" s="76">
        <v>558</v>
      </c>
      <c r="B8" s="69" t="s">
        <v>24</v>
      </c>
      <c r="C8" s="82" t="s">
        <v>25</v>
      </c>
      <c r="D8" s="86">
        <f t="shared" si="0"/>
        <v>3000</v>
      </c>
      <c r="E8" s="67">
        <f t="shared" si="1"/>
        <v>464.51612903225811</v>
      </c>
      <c r="F8" s="67">
        <f t="shared" si="2"/>
        <v>2535.483870967742</v>
      </c>
      <c r="G8" s="66">
        <v>4</v>
      </c>
      <c r="H8" s="39">
        <f t="shared" si="3"/>
        <v>7.2</v>
      </c>
      <c r="I8" s="68">
        <f t="shared" si="4"/>
        <v>0.16</v>
      </c>
      <c r="J8" s="77">
        <f t="shared" si="5"/>
        <v>21</v>
      </c>
      <c r="K8" s="60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6"/>
        <v>20</v>
      </c>
    </row>
    <row r="9" spans="1:18" ht="21.2" customHeight="1" thickBot="1" x14ac:dyDescent="0.35">
      <c r="A9" s="76">
        <v>557</v>
      </c>
      <c r="B9" s="69" t="s">
        <v>26</v>
      </c>
      <c r="C9" s="82" t="s">
        <v>27</v>
      </c>
      <c r="D9" s="86">
        <f t="shared" si="0"/>
        <v>3000</v>
      </c>
      <c r="E9" s="67">
        <f t="shared" si="1"/>
        <v>679.24528301886789</v>
      </c>
      <c r="F9" s="67">
        <f t="shared" si="2"/>
        <v>2320.7547169811323</v>
      </c>
      <c r="G9" s="66">
        <v>6</v>
      </c>
      <c r="H9" s="39">
        <f t="shared" si="3"/>
        <v>10.8</v>
      </c>
      <c r="I9" s="68">
        <f t="shared" si="4"/>
        <v>0.24000000000000002</v>
      </c>
      <c r="J9" s="77">
        <f t="shared" si="5"/>
        <v>19</v>
      </c>
      <c r="K9" s="60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6"/>
        <v>20</v>
      </c>
    </row>
    <row r="10" spans="1:18" ht="21.2" customHeight="1" thickBot="1" x14ac:dyDescent="0.35">
      <c r="A10" s="76">
        <v>506</v>
      </c>
      <c r="B10" s="69" t="s">
        <v>28</v>
      </c>
      <c r="C10" s="82" t="s">
        <v>29</v>
      </c>
      <c r="D10" s="86">
        <f t="shared" si="0"/>
        <v>10933.940774487472</v>
      </c>
      <c r="E10" s="67">
        <f t="shared" si="1"/>
        <v>23234.624145785878</v>
      </c>
      <c r="F10" s="67" t="str">
        <f t="shared" si="2"/>
        <v/>
      </c>
      <c r="G10" s="66">
        <v>17</v>
      </c>
      <c r="H10" s="39">
        <f t="shared" si="3"/>
        <v>510</v>
      </c>
      <c r="I10" s="68">
        <f t="shared" si="4"/>
        <v>2.125</v>
      </c>
      <c r="J10" s="77">
        <f t="shared" si="5"/>
        <v>0</v>
      </c>
      <c r="K10" s="60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6"/>
        <v>20.426670000000001</v>
      </c>
    </row>
    <row r="11" spans="1:18" ht="19.5" thickBot="1" x14ac:dyDescent="0.35">
      <c r="A11" s="76">
        <v>510</v>
      </c>
      <c r="B11" s="69" t="s">
        <v>30</v>
      </c>
      <c r="C11" s="82" t="s">
        <v>31</v>
      </c>
      <c r="D11" s="86">
        <f t="shared" si="0"/>
        <v>5454.545454545455</v>
      </c>
      <c r="E11" s="67">
        <f t="shared" si="1"/>
        <v>12272.727272727274</v>
      </c>
      <c r="F11" s="67" t="str">
        <f t="shared" si="2"/>
        <v/>
      </c>
      <c r="G11" s="66">
        <v>9</v>
      </c>
      <c r="H11" s="39">
        <f t="shared" si="3"/>
        <v>270</v>
      </c>
      <c r="I11" s="68">
        <f t="shared" si="4"/>
        <v>2.25</v>
      </c>
      <c r="J11" s="77">
        <f t="shared" si="5"/>
        <v>0</v>
      </c>
      <c r="K11" s="60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6"/>
        <v>6.6</v>
      </c>
    </row>
    <row r="12" spans="1:18" ht="19.5" thickBot="1" x14ac:dyDescent="0.35">
      <c r="A12" s="76">
        <v>824</v>
      </c>
      <c r="B12" s="536" t="s">
        <v>32</v>
      </c>
      <c r="C12" s="82" t="s">
        <v>36</v>
      </c>
      <c r="D12" s="609">
        <f t="shared" si="0"/>
        <v>3456</v>
      </c>
      <c r="E12" s="540">
        <f>+G12*L12</f>
        <v>420</v>
      </c>
      <c r="F12" s="540">
        <f t="shared" si="2"/>
        <v>3036</v>
      </c>
      <c r="G12" s="538">
        <v>35</v>
      </c>
      <c r="H12" s="541">
        <f>+G12*M12</f>
        <v>203</v>
      </c>
      <c r="I12" s="537">
        <f t="shared" si="4"/>
        <v>2.916666666666667</v>
      </c>
      <c r="J12" s="610">
        <f t="shared" si="5"/>
        <v>0</v>
      </c>
      <c r="K12" s="60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76">
        <v>26</v>
      </c>
      <c r="B13" s="536"/>
      <c r="C13" s="82" t="s">
        <v>37</v>
      </c>
      <c r="D13" s="609"/>
      <c r="E13" s="540"/>
      <c r="F13" s="540">
        <f t="shared" si="2"/>
        <v>0</v>
      </c>
      <c r="G13" s="539"/>
      <c r="H13" s="541"/>
      <c r="I13" s="537" t="e">
        <f t="shared" si="4"/>
        <v>#DIV/0!</v>
      </c>
      <c r="J13" s="610"/>
      <c r="K13" s="60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76">
        <v>825</v>
      </c>
      <c r="B14" s="536" t="s">
        <v>35</v>
      </c>
      <c r="C14" s="82" t="s">
        <v>33</v>
      </c>
      <c r="D14" s="609">
        <f>+L14*P14</f>
        <v>3456</v>
      </c>
      <c r="E14" s="540">
        <f>+G14*L14</f>
        <v>3000</v>
      </c>
      <c r="F14" s="540">
        <f t="shared" si="2"/>
        <v>456</v>
      </c>
      <c r="G14" s="539">
        <v>125</v>
      </c>
      <c r="H14" s="541">
        <f>+G14*M14</f>
        <v>725</v>
      </c>
      <c r="I14" s="537">
        <f t="shared" si="4"/>
        <v>5.2083333333333339</v>
      </c>
      <c r="J14" s="610">
        <f>IF(L14-G14&lt;0,0,L14-G14)</f>
        <v>0</v>
      </c>
      <c r="K14" s="60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76">
        <v>27</v>
      </c>
      <c r="B15" s="536"/>
      <c r="C15" s="82" t="s">
        <v>34</v>
      </c>
      <c r="D15" s="609"/>
      <c r="E15" s="540"/>
      <c r="F15" s="540">
        <f t="shared" si="2"/>
        <v>0</v>
      </c>
      <c r="G15" s="539"/>
      <c r="H15" s="541"/>
      <c r="I15" s="537" t="e">
        <f t="shared" si="4"/>
        <v>#DIV/0!</v>
      </c>
      <c r="J15" s="610"/>
      <c r="K15" s="60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76">
        <v>29</v>
      </c>
      <c r="B16" s="69" t="s">
        <v>42</v>
      </c>
      <c r="C16" s="82" t="s">
        <v>51</v>
      </c>
      <c r="D16" s="609">
        <f>+L16*P16</f>
        <v>1920</v>
      </c>
      <c r="E16" s="545">
        <f>+G16*L16</f>
        <v>6000</v>
      </c>
      <c r="F16" s="540" t="str">
        <f t="shared" si="2"/>
        <v/>
      </c>
      <c r="G16" s="539">
        <v>75</v>
      </c>
      <c r="H16" s="541">
        <f>+G16*M16</f>
        <v>180</v>
      </c>
      <c r="I16" s="537">
        <f t="shared" si="4"/>
        <v>0.9375</v>
      </c>
      <c r="J16" s="610">
        <f>IF(L16-G16&lt;0,0,L16-G16)</f>
        <v>5</v>
      </c>
      <c r="K16" s="60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76">
        <v>828</v>
      </c>
      <c r="B17" s="69" t="s">
        <v>42</v>
      </c>
      <c r="C17" s="82" t="s">
        <v>60</v>
      </c>
      <c r="D17" s="609"/>
      <c r="E17" s="545"/>
      <c r="F17" s="540">
        <f t="shared" si="2"/>
        <v>0</v>
      </c>
      <c r="G17" s="539"/>
      <c r="H17" s="541"/>
      <c r="I17" s="537">
        <f t="shared" si="4"/>
        <v>0</v>
      </c>
      <c r="J17" s="610"/>
      <c r="K17" s="60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76">
        <v>30</v>
      </c>
      <c r="B18" s="69" t="s">
        <v>43</v>
      </c>
      <c r="C18" s="82" t="s">
        <v>52</v>
      </c>
      <c r="D18" s="609">
        <f>+L18*P18</f>
        <v>2400</v>
      </c>
      <c r="E18" s="545">
        <f>+G18*L18</f>
        <v>2900</v>
      </c>
      <c r="F18" s="540" t="str">
        <f t="shared" si="2"/>
        <v/>
      </c>
      <c r="G18" s="539">
        <v>29</v>
      </c>
      <c r="H18" s="541">
        <f>+G18*M18</f>
        <v>92.800000000000011</v>
      </c>
      <c r="I18" s="537">
        <f t="shared" si="4"/>
        <v>0.29000000000000004</v>
      </c>
      <c r="J18" s="610">
        <v>80</v>
      </c>
      <c r="K18" s="60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9.5" thickBot="1" x14ac:dyDescent="0.35">
      <c r="A19" s="78">
        <v>830</v>
      </c>
      <c r="B19" s="79" t="s">
        <v>43</v>
      </c>
      <c r="C19" s="83" t="s">
        <v>61</v>
      </c>
      <c r="D19" s="611"/>
      <c r="E19" s="546"/>
      <c r="F19" s="544">
        <f t="shared" si="2"/>
        <v>0</v>
      </c>
      <c r="G19" s="543"/>
      <c r="H19" s="547">
        <f>+G19*M19</f>
        <v>0</v>
      </c>
      <c r="I19" s="542">
        <f t="shared" si="4"/>
        <v>0</v>
      </c>
      <c r="J19" s="612"/>
      <c r="K19" s="60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9" xr:uid="{00000000-0009-0000-0000-00005E000000}"/>
  <mergeCells count="45">
    <mergeCell ref="D18:D19"/>
    <mergeCell ref="I18:I19"/>
    <mergeCell ref="J18:J19"/>
    <mergeCell ref="F18:F19"/>
    <mergeCell ref="G16:G17"/>
    <mergeCell ref="H16:H17"/>
    <mergeCell ref="E16:E17"/>
    <mergeCell ref="D16:D17"/>
    <mergeCell ref="I16:I17"/>
    <mergeCell ref="J16:J17"/>
    <mergeCell ref="F16:F17"/>
    <mergeCell ref="G18:G19"/>
    <mergeCell ref="H18:H19"/>
    <mergeCell ref="E18:E19"/>
    <mergeCell ref="M14:M15"/>
    <mergeCell ref="N14:N15"/>
    <mergeCell ref="O14:O15"/>
    <mergeCell ref="P14:P15"/>
    <mergeCell ref="R14:R15"/>
    <mergeCell ref="I14:I15"/>
    <mergeCell ref="J14:J15"/>
    <mergeCell ref="F14:F15"/>
    <mergeCell ref="L14:L15"/>
    <mergeCell ref="F12:F13"/>
    <mergeCell ref="L12:L13"/>
    <mergeCell ref="B14:B15"/>
    <mergeCell ref="G14:G15"/>
    <mergeCell ref="H14:H15"/>
    <mergeCell ref="E14:E15"/>
    <mergeCell ref="D14:D15"/>
    <mergeCell ref="A1:C1"/>
    <mergeCell ref="A2:B2"/>
    <mergeCell ref="L2:R2"/>
    <mergeCell ref="B12:B13"/>
    <mergeCell ref="G12:G13"/>
    <mergeCell ref="H12:H13"/>
    <mergeCell ref="E12:E13"/>
    <mergeCell ref="D12:D13"/>
    <mergeCell ref="I12:I13"/>
    <mergeCell ref="J12:J13"/>
    <mergeCell ref="R12:R13"/>
    <mergeCell ref="M12:M13"/>
    <mergeCell ref="N12:N13"/>
    <mergeCell ref="O12:O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 codeName="Hoja24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44951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9</v>
      </c>
      <c r="E4" s="46">
        <f>D4*M4</f>
        <v>270</v>
      </c>
      <c r="F4" s="54">
        <f>+E4/N4</f>
        <v>8194.2336874051598</v>
      </c>
      <c r="G4" s="54">
        <f t="shared" ref="G4:G12" si="0">+L4*P4</f>
        <v>4552.3520485584222</v>
      </c>
      <c r="H4" s="64">
        <f t="shared" ref="H4:H19" si="1">+E4/(L4*M4)</f>
        <v>1.8</v>
      </c>
      <c r="I4" s="49">
        <f>IF(L4-D4&lt;0,0,L4-D4)</f>
        <v>0</v>
      </c>
      <c r="J4" s="46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13</v>
      </c>
      <c r="E5" s="48">
        <f t="shared" ref="E5:E11" si="4">D5*M5</f>
        <v>390</v>
      </c>
      <c r="F5" s="54">
        <f t="shared" ref="F5:F11" si="5">+E5/N5</f>
        <v>17767.653758542139</v>
      </c>
      <c r="G5" s="54">
        <f t="shared" si="0"/>
        <v>5466.9703872437358</v>
      </c>
      <c r="H5" s="64">
        <f t="shared" si="1"/>
        <v>3.25</v>
      </c>
      <c r="I5" s="50">
        <f t="shared" ref="I5:I16" si="6">IF(L5-D5&lt;0,0,L5-D5)</f>
        <v>0</v>
      </c>
      <c r="J5" s="46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6</v>
      </c>
      <c r="E6" s="48">
        <f t="shared" si="4"/>
        <v>180</v>
      </c>
      <c r="F6" s="54">
        <f t="shared" si="5"/>
        <v>8200.4555808656041</v>
      </c>
      <c r="G6" s="54">
        <f t="shared" si="0"/>
        <v>6833.7129840546695</v>
      </c>
      <c r="H6" s="64">
        <f t="shared" si="1"/>
        <v>1.2</v>
      </c>
      <c r="I6" s="50">
        <f t="shared" si="6"/>
        <v>0</v>
      </c>
      <c r="J6" s="46" t="str">
        <f t="shared" si="2"/>
        <v/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4"/>
        <v>0</v>
      </c>
      <c r="F7" s="54">
        <f t="shared" si="5"/>
        <v>0</v>
      </c>
      <c r="G7" s="54">
        <f t="shared" si="0"/>
        <v>3000</v>
      </c>
      <c r="H7" s="64">
        <f t="shared" si="1"/>
        <v>0</v>
      </c>
      <c r="I7" s="50">
        <f t="shared" si="6"/>
        <v>25</v>
      </c>
      <c r="J7" s="46">
        <f t="shared" si="2"/>
        <v>3000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48">
        <f t="shared" si="4"/>
        <v>7.2</v>
      </c>
      <c r="F8" s="54">
        <f t="shared" si="5"/>
        <v>464.51612903225811</v>
      </c>
      <c r="G8" s="54">
        <f t="shared" si="0"/>
        <v>3000</v>
      </c>
      <c r="H8" s="64">
        <f t="shared" si="1"/>
        <v>0.16</v>
      </c>
      <c r="I8" s="50">
        <f t="shared" si="6"/>
        <v>21</v>
      </c>
      <c r="J8" s="46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6</v>
      </c>
      <c r="E9" s="48">
        <f t="shared" si="4"/>
        <v>10.8</v>
      </c>
      <c r="F9" s="54">
        <f t="shared" si="5"/>
        <v>679.24528301886789</v>
      </c>
      <c r="G9" s="54">
        <f t="shared" si="0"/>
        <v>3000</v>
      </c>
      <c r="H9" s="64">
        <f t="shared" si="1"/>
        <v>0.24000000000000002</v>
      </c>
      <c r="I9" s="50">
        <f t="shared" si="6"/>
        <v>19</v>
      </c>
      <c r="J9" s="46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17</v>
      </c>
      <c r="E10" s="48">
        <f t="shared" si="4"/>
        <v>510</v>
      </c>
      <c r="F10" s="54">
        <f t="shared" si="5"/>
        <v>23234.624145785878</v>
      </c>
      <c r="G10" s="54">
        <f t="shared" si="0"/>
        <v>10933.940774487472</v>
      </c>
      <c r="H10" s="64">
        <f t="shared" si="1"/>
        <v>2.125</v>
      </c>
      <c r="I10" s="50">
        <f t="shared" si="6"/>
        <v>0</v>
      </c>
      <c r="J10" s="46" t="str">
        <f t="shared" si="2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9</v>
      </c>
      <c r="E11" s="48">
        <f t="shared" si="4"/>
        <v>270</v>
      </c>
      <c r="F11" s="54">
        <f t="shared" si="5"/>
        <v>12272.727272727274</v>
      </c>
      <c r="G11" s="54">
        <f t="shared" si="0"/>
        <v>5454.545454545455</v>
      </c>
      <c r="H11" s="64">
        <f t="shared" si="1"/>
        <v>2.25</v>
      </c>
      <c r="I11" s="50">
        <f t="shared" si="6"/>
        <v>0</v>
      </c>
      <c r="J11" s="46" t="str">
        <f t="shared" si="2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35</v>
      </c>
      <c r="E12" s="605">
        <f>+D12*M12</f>
        <v>203</v>
      </c>
      <c r="F12" s="607">
        <f>+D12*L12</f>
        <v>420</v>
      </c>
      <c r="G12" s="601">
        <f t="shared" si="0"/>
        <v>3456</v>
      </c>
      <c r="H12" s="603">
        <f t="shared" si="1"/>
        <v>2.916666666666667</v>
      </c>
      <c r="I12" s="593">
        <f t="shared" si="6"/>
        <v>0</v>
      </c>
      <c r="J12" s="595">
        <f t="shared" si="2"/>
        <v>3036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1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125</v>
      </c>
      <c r="E14" s="605">
        <f>+D14*M14</f>
        <v>725</v>
      </c>
      <c r="F14" s="607">
        <f>+D14*L14</f>
        <v>3000</v>
      </c>
      <c r="G14" s="601">
        <f>+L14*P14</f>
        <v>3456</v>
      </c>
      <c r="H14" s="603">
        <f t="shared" si="1"/>
        <v>5.2083333333333339</v>
      </c>
      <c r="I14" s="593">
        <f t="shared" si="6"/>
        <v>0</v>
      </c>
      <c r="J14" s="595">
        <f t="shared" si="2"/>
        <v>456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1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75</v>
      </c>
      <c r="E16" s="604">
        <f>+D16*M16</f>
        <v>180</v>
      </c>
      <c r="F16" s="599">
        <f>+D16*L16</f>
        <v>6000</v>
      </c>
      <c r="G16" s="601">
        <f>+L16*P16</f>
        <v>1920</v>
      </c>
      <c r="H16" s="603">
        <f t="shared" si="1"/>
        <v>0.9375</v>
      </c>
      <c r="I16" s="593">
        <f t="shared" si="6"/>
        <v>5</v>
      </c>
      <c r="J16" s="595" t="str">
        <f t="shared" si="2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>
        <f t="shared" si="1"/>
        <v>0</v>
      </c>
      <c r="I17" s="594"/>
      <c r="J17" s="596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29</v>
      </c>
      <c r="E18" s="597">
        <f>+D18*M18</f>
        <v>92.800000000000011</v>
      </c>
      <c r="F18" s="599">
        <f>+D18*L18</f>
        <v>2900</v>
      </c>
      <c r="G18" s="601">
        <f>+L18*P18</f>
        <v>2400</v>
      </c>
      <c r="H18" s="603">
        <f t="shared" si="1"/>
        <v>0.29000000000000004</v>
      </c>
      <c r="I18" s="593">
        <v>80</v>
      </c>
      <c r="J18" s="595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1"/>
        <v>0</v>
      </c>
      <c r="I19" s="594"/>
      <c r="J19" s="596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5F000000}"/>
  <mergeCells count="45"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  <mergeCell ref="B14:B15"/>
    <mergeCell ref="D14:D15"/>
    <mergeCell ref="E14:E15"/>
    <mergeCell ref="F14:F15"/>
    <mergeCell ref="G14:G15"/>
    <mergeCell ref="H14:H15"/>
    <mergeCell ref="I14:I15"/>
    <mergeCell ref="J14:J15"/>
    <mergeCell ref="L14:L15"/>
    <mergeCell ref="J12:J13"/>
    <mergeCell ref="L12:L13"/>
    <mergeCell ref="M14:M15"/>
    <mergeCell ref="N14:N15"/>
    <mergeCell ref="O14:O15"/>
    <mergeCell ref="P14:P15"/>
    <mergeCell ref="R14:R15"/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 codeName="Hoja25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44944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9</v>
      </c>
      <c r="E4" s="46">
        <f>D4*M4</f>
        <v>270</v>
      </c>
      <c r="F4" s="54">
        <f>+E4/N4</f>
        <v>8194.2336874051598</v>
      </c>
      <c r="G4" s="54">
        <f t="shared" ref="G4:G12" si="0">+L4*P4</f>
        <v>4552.3520485584222</v>
      </c>
      <c r="H4" s="64">
        <f t="shared" ref="H4:H19" si="1">+E4/(L4*M4)</f>
        <v>1.8</v>
      </c>
      <c r="I4" s="49">
        <f>IF(L4-D4&lt;0,0,L4-D4)</f>
        <v>0</v>
      </c>
      <c r="J4" s="46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13</v>
      </c>
      <c r="E5" s="48">
        <f t="shared" ref="E5:E11" si="4">D5*M5</f>
        <v>390</v>
      </c>
      <c r="F5" s="54">
        <f t="shared" ref="F5:F11" si="5">+E5/N5</f>
        <v>17767.653758542139</v>
      </c>
      <c r="G5" s="54">
        <f t="shared" si="0"/>
        <v>5466.9703872437358</v>
      </c>
      <c r="H5" s="64">
        <f t="shared" si="1"/>
        <v>3.25</v>
      </c>
      <c r="I5" s="50">
        <f t="shared" ref="I5:I16" si="6">IF(L5-D5&lt;0,0,L5-D5)</f>
        <v>0</v>
      </c>
      <c r="J5" s="46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5</v>
      </c>
      <c r="E6" s="48">
        <f t="shared" si="4"/>
        <v>150</v>
      </c>
      <c r="F6" s="54">
        <f t="shared" si="5"/>
        <v>6833.7129840546695</v>
      </c>
      <c r="G6" s="54">
        <f t="shared" si="0"/>
        <v>6833.7129840546695</v>
      </c>
      <c r="H6" s="64">
        <f t="shared" si="1"/>
        <v>1</v>
      </c>
      <c r="I6" s="50">
        <f t="shared" si="6"/>
        <v>0</v>
      </c>
      <c r="J6" s="46">
        <f t="shared" si="2"/>
        <v>0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4"/>
        <v>0</v>
      </c>
      <c r="F7" s="54">
        <f t="shared" si="5"/>
        <v>0</v>
      </c>
      <c r="G7" s="54">
        <f t="shared" si="0"/>
        <v>3000</v>
      </c>
      <c r="H7" s="64">
        <f t="shared" si="1"/>
        <v>0</v>
      </c>
      <c r="I7" s="50">
        <f t="shared" si="6"/>
        <v>25</v>
      </c>
      <c r="J7" s="46">
        <f t="shared" si="2"/>
        <v>3000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48">
        <f t="shared" si="4"/>
        <v>7.2</v>
      </c>
      <c r="F8" s="54">
        <f t="shared" si="5"/>
        <v>464.51612903225811</v>
      </c>
      <c r="G8" s="54">
        <f t="shared" si="0"/>
        <v>3000</v>
      </c>
      <c r="H8" s="64">
        <f t="shared" si="1"/>
        <v>0.16</v>
      </c>
      <c r="I8" s="50">
        <f t="shared" si="6"/>
        <v>21</v>
      </c>
      <c r="J8" s="46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6</v>
      </c>
      <c r="E9" s="48">
        <f t="shared" si="4"/>
        <v>10.8</v>
      </c>
      <c r="F9" s="54">
        <f t="shared" si="5"/>
        <v>679.24528301886789</v>
      </c>
      <c r="G9" s="54">
        <f t="shared" si="0"/>
        <v>3000</v>
      </c>
      <c r="H9" s="64">
        <f t="shared" si="1"/>
        <v>0.24000000000000002</v>
      </c>
      <c r="I9" s="50">
        <f t="shared" si="6"/>
        <v>19</v>
      </c>
      <c r="J9" s="46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17</v>
      </c>
      <c r="E10" s="48">
        <f t="shared" si="4"/>
        <v>510</v>
      </c>
      <c r="F10" s="54">
        <f t="shared" si="5"/>
        <v>23234.624145785878</v>
      </c>
      <c r="G10" s="54">
        <f t="shared" si="0"/>
        <v>10933.940774487472</v>
      </c>
      <c r="H10" s="64">
        <f t="shared" si="1"/>
        <v>2.125</v>
      </c>
      <c r="I10" s="50">
        <f t="shared" si="6"/>
        <v>0</v>
      </c>
      <c r="J10" s="46" t="str">
        <f t="shared" si="2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3</v>
      </c>
      <c r="E11" s="48">
        <f t="shared" si="4"/>
        <v>90</v>
      </c>
      <c r="F11" s="54">
        <f t="shared" si="5"/>
        <v>4090.909090909091</v>
      </c>
      <c r="G11" s="54">
        <f t="shared" si="0"/>
        <v>5454.545454545455</v>
      </c>
      <c r="H11" s="64">
        <f t="shared" si="1"/>
        <v>0.75</v>
      </c>
      <c r="I11" s="50">
        <f t="shared" si="6"/>
        <v>1</v>
      </c>
      <c r="J11" s="46">
        <f t="shared" si="2"/>
        <v>1363.636363636364</v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0</v>
      </c>
      <c r="E12" s="605">
        <f>+D12*M12</f>
        <v>0</v>
      </c>
      <c r="F12" s="607">
        <f>+D12*L12</f>
        <v>0</v>
      </c>
      <c r="G12" s="601">
        <f t="shared" si="0"/>
        <v>3456</v>
      </c>
      <c r="H12" s="603">
        <f t="shared" si="1"/>
        <v>0</v>
      </c>
      <c r="I12" s="593">
        <f t="shared" si="6"/>
        <v>12</v>
      </c>
      <c r="J12" s="595">
        <f t="shared" si="2"/>
        <v>3456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1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151</v>
      </c>
      <c r="E14" s="605">
        <f>+D14*M14</f>
        <v>875.8</v>
      </c>
      <c r="F14" s="607">
        <f>+D14*L14</f>
        <v>3624</v>
      </c>
      <c r="G14" s="601">
        <f>+L14*P14</f>
        <v>3456</v>
      </c>
      <c r="H14" s="603">
        <f t="shared" si="1"/>
        <v>6.291666666666667</v>
      </c>
      <c r="I14" s="593">
        <f t="shared" si="6"/>
        <v>0</v>
      </c>
      <c r="J14" s="595" t="str">
        <f t="shared" si="2"/>
        <v/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1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78</v>
      </c>
      <c r="E16" s="604">
        <f>+D16*M16</f>
        <v>187.2</v>
      </c>
      <c r="F16" s="599">
        <f>+D16*L16</f>
        <v>6240</v>
      </c>
      <c r="G16" s="601">
        <f>+L16*P16</f>
        <v>1920</v>
      </c>
      <c r="H16" s="603">
        <f t="shared" si="1"/>
        <v>0.97499999999999998</v>
      </c>
      <c r="I16" s="593">
        <f t="shared" si="6"/>
        <v>2</v>
      </c>
      <c r="J16" s="595" t="str">
        <f t="shared" si="2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>
        <f t="shared" si="1"/>
        <v>0</v>
      </c>
      <c r="I17" s="594"/>
      <c r="J17" s="596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29</v>
      </c>
      <c r="E18" s="597">
        <f>+D18*M18</f>
        <v>92.800000000000011</v>
      </c>
      <c r="F18" s="599">
        <f>+D18*L18</f>
        <v>2900</v>
      </c>
      <c r="G18" s="601">
        <f>+L18*P18</f>
        <v>2400</v>
      </c>
      <c r="H18" s="603">
        <f t="shared" si="1"/>
        <v>0.29000000000000004</v>
      </c>
      <c r="I18" s="593">
        <v>80</v>
      </c>
      <c r="J18" s="595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1"/>
        <v>0</v>
      </c>
      <c r="I19" s="594"/>
      <c r="J19" s="596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60000000}"/>
  <mergeCells count="45"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  <mergeCell ref="B14:B15"/>
    <mergeCell ref="D14:D15"/>
    <mergeCell ref="E14:E15"/>
    <mergeCell ref="F14:F15"/>
    <mergeCell ref="G14:G15"/>
    <mergeCell ref="H14:H15"/>
    <mergeCell ref="I14:I15"/>
    <mergeCell ref="J14:J15"/>
    <mergeCell ref="L14:L15"/>
    <mergeCell ref="J12:J13"/>
    <mergeCell ref="L12:L13"/>
    <mergeCell ref="M14:M15"/>
    <mergeCell ref="N14:N15"/>
    <mergeCell ref="O14:O15"/>
    <mergeCell ref="P14:P15"/>
    <mergeCell ref="R14:R15"/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 codeName="Hoja26">
    <tabColor rgb="FF00B0F0"/>
  </sheetPr>
  <dimension ref="A1:R23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44937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9</v>
      </c>
      <c r="E4" s="46">
        <f>D4*M4</f>
        <v>270</v>
      </c>
      <c r="F4" s="54">
        <f>+E4/N4</f>
        <v>8194.2336874051598</v>
      </c>
      <c r="G4" s="54">
        <f t="shared" ref="G4:G12" si="0">+L4*P4</f>
        <v>4552.3520485584222</v>
      </c>
      <c r="H4" s="64">
        <f t="shared" ref="H4:H19" si="1">+E4/(L4*M4)</f>
        <v>1.8</v>
      </c>
      <c r="I4" s="49">
        <f>IF(L4-D4&lt;0,0,L4-D4)</f>
        <v>0</v>
      </c>
      <c r="J4" s="46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13</v>
      </c>
      <c r="E5" s="48">
        <f t="shared" ref="E5:E11" si="4">D5*M5</f>
        <v>390</v>
      </c>
      <c r="F5" s="54">
        <f t="shared" ref="F5:F11" si="5">+E5/N5</f>
        <v>17767.653758542139</v>
      </c>
      <c r="G5" s="54">
        <f t="shared" si="0"/>
        <v>5466.9703872437358</v>
      </c>
      <c r="H5" s="64">
        <f t="shared" si="1"/>
        <v>3.25</v>
      </c>
      <c r="I5" s="50">
        <f t="shared" ref="I5:I16" si="6">IF(L5-D5&lt;0,0,L5-D5)</f>
        <v>0</v>
      </c>
      <c r="J5" s="46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6</v>
      </c>
      <c r="E6" s="48">
        <f t="shared" si="4"/>
        <v>180</v>
      </c>
      <c r="F6" s="54">
        <f t="shared" si="5"/>
        <v>8200.4555808656041</v>
      </c>
      <c r="G6" s="54">
        <f t="shared" si="0"/>
        <v>6833.7129840546695</v>
      </c>
      <c r="H6" s="64">
        <f t="shared" si="1"/>
        <v>1.2</v>
      </c>
      <c r="I6" s="50">
        <f t="shared" si="6"/>
        <v>0</v>
      </c>
      <c r="J6" s="46" t="str">
        <f t="shared" si="2"/>
        <v/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4"/>
        <v>0</v>
      </c>
      <c r="F7" s="54">
        <f t="shared" si="5"/>
        <v>0</v>
      </c>
      <c r="G7" s="54">
        <f t="shared" si="0"/>
        <v>3000</v>
      </c>
      <c r="H7" s="64">
        <f t="shared" si="1"/>
        <v>0</v>
      </c>
      <c r="I7" s="50">
        <f t="shared" si="6"/>
        <v>25</v>
      </c>
      <c r="J7" s="46">
        <f t="shared" si="2"/>
        <v>3000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48">
        <f t="shared" si="4"/>
        <v>7.2</v>
      </c>
      <c r="F8" s="54">
        <f t="shared" si="5"/>
        <v>464.51612903225811</v>
      </c>
      <c r="G8" s="54">
        <f t="shared" si="0"/>
        <v>3000</v>
      </c>
      <c r="H8" s="64">
        <f t="shared" si="1"/>
        <v>0.16</v>
      </c>
      <c r="I8" s="50">
        <f t="shared" si="6"/>
        <v>21</v>
      </c>
      <c r="J8" s="46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6</v>
      </c>
      <c r="E9" s="48">
        <f t="shared" si="4"/>
        <v>10.8</v>
      </c>
      <c r="F9" s="54">
        <f t="shared" si="5"/>
        <v>679.24528301886789</v>
      </c>
      <c r="G9" s="54">
        <f t="shared" si="0"/>
        <v>3000</v>
      </c>
      <c r="H9" s="64">
        <f t="shared" si="1"/>
        <v>0.24000000000000002</v>
      </c>
      <c r="I9" s="50">
        <f t="shared" si="6"/>
        <v>19</v>
      </c>
      <c r="J9" s="46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17</v>
      </c>
      <c r="E10" s="48">
        <f t="shared" si="4"/>
        <v>510</v>
      </c>
      <c r="F10" s="54">
        <f t="shared" si="5"/>
        <v>23234.624145785878</v>
      </c>
      <c r="G10" s="54">
        <f t="shared" si="0"/>
        <v>10933.940774487472</v>
      </c>
      <c r="H10" s="64">
        <f t="shared" si="1"/>
        <v>2.125</v>
      </c>
      <c r="I10" s="50">
        <f t="shared" si="6"/>
        <v>0</v>
      </c>
      <c r="J10" s="46" t="str">
        <f t="shared" si="2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3</v>
      </c>
      <c r="E11" s="48">
        <f t="shared" si="4"/>
        <v>90</v>
      </c>
      <c r="F11" s="54">
        <f t="shared" si="5"/>
        <v>4090.909090909091</v>
      </c>
      <c r="G11" s="54">
        <f t="shared" si="0"/>
        <v>5454.545454545455</v>
      </c>
      <c r="H11" s="64">
        <f t="shared" si="1"/>
        <v>0.75</v>
      </c>
      <c r="I11" s="50">
        <f t="shared" si="6"/>
        <v>1</v>
      </c>
      <c r="J11" s="46">
        <f t="shared" si="2"/>
        <v>1363.636363636364</v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0</v>
      </c>
      <c r="E12" s="605">
        <f>+D12*M12</f>
        <v>0</v>
      </c>
      <c r="F12" s="607">
        <f>+D12*L12</f>
        <v>0</v>
      </c>
      <c r="G12" s="601">
        <f t="shared" si="0"/>
        <v>3456</v>
      </c>
      <c r="H12" s="603">
        <f t="shared" si="1"/>
        <v>0</v>
      </c>
      <c r="I12" s="593">
        <f t="shared" si="6"/>
        <v>12</v>
      </c>
      <c r="J12" s="595">
        <f t="shared" si="2"/>
        <v>3456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1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185</v>
      </c>
      <c r="E14" s="605">
        <f>+D14*M14</f>
        <v>1073</v>
      </c>
      <c r="F14" s="607">
        <f>+D14*L14</f>
        <v>4440</v>
      </c>
      <c r="G14" s="601">
        <f>+L14*P14</f>
        <v>3456</v>
      </c>
      <c r="H14" s="603">
        <f t="shared" si="1"/>
        <v>7.7083333333333339</v>
      </c>
      <c r="I14" s="593">
        <f t="shared" si="6"/>
        <v>0</v>
      </c>
      <c r="J14" s="595" t="str">
        <f t="shared" si="2"/>
        <v/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1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75</v>
      </c>
      <c r="E16" s="604">
        <f>+D16*M16</f>
        <v>180</v>
      </c>
      <c r="F16" s="599">
        <f>+D16*L16</f>
        <v>6000</v>
      </c>
      <c r="G16" s="601">
        <f>+L16*P16</f>
        <v>1920</v>
      </c>
      <c r="H16" s="603">
        <f t="shared" si="1"/>
        <v>0.9375</v>
      </c>
      <c r="I16" s="593">
        <f t="shared" si="6"/>
        <v>5</v>
      </c>
      <c r="J16" s="595" t="str">
        <f t="shared" si="2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>
        <f t="shared" si="1"/>
        <v>0</v>
      </c>
      <c r="I17" s="594"/>
      <c r="J17" s="596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34</v>
      </c>
      <c r="E18" s="597">
        <f>+D18*M18</f>
        <v>108.80000000000001</v>
      </c>
      <c r="F18" s="599">
        <f>+D18*L18</f>
        <v>3400</v>
      </c>
      <c r="G18" s="601">
        <f>+L18*P18</f>
        <v>2400</v>
      </c>
      <c r="H18" s="603">
        <f t="shared" si="1"/>
        <v>0.34</v>
      </c>
      <c r="I18" s="593">
        <v>80</v>
      </c>
      <c r="J18" s="595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1"/>
        <v>0</v>
      </c>
      <c r="I19" s="594"/>
      <c r="J19" s="596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  <row r="22" spans="1:18" x14ac:dyDescent="0.25">
      <c r="H22">
        <f>+(94*80)/100</f>
        <v>75.2</v>
      </c>
    </row>
    <row r="23" spans="1:18" x14ac:dyDescent="0.25">
      <c r="H23">
        <f>5*24</f>
        <v>120</v>
      </c>
    </row>
  </sheetData>
  <autoFilter ref="A3:Q19" xr:uid="{00000000-0009-0000-0000-000061000000}"/>
  <mergeCells count="45"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  <mergeCell ref="B14:B15"/>
    <mergeCell ref="D14:D15"/>
    <mergeCell ref="E14:E15"/>
    <mergeCell ref="F14:F15"/>
    <mergeCell ref="G14:G15"/>
    <mergeCell ref="H14:H15"/>
    <mergeCell ref="I14:I15"/>
    <mergeCell ref="J14:J15"/>
    <mergeCell ref="L14:L15"/>
    <mergeCell ref="J12:J13"/>
    <mergeCell ref="L12:L13"/>
    <mergeCell ref="M14:M15"/>
    <mergeCell ref="N14:N15"/>
    <mergeCell ref="O14:O15"/>
    <mergeCell ref="P14:P15"/>
    <mergeCell ref="R14:R15"/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 codeName="Hoja27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45281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9</v>
      </c>
      <c r="E4" s="46">
        <f>D4*M4</f>
        <v>270</v>
      </c>
      <c r="F4" s="54">
        <f>+E4/N4</f>
        <v>8194.2336874051598</v>
      </c>
      <c r="G4" s="54">
        <f t="shared" ref="G4:G12" si="0">+L4*P4</f>
        <v>4552.3520485584222</v>
      </c>
      <c r="H4" s="64">
        <f t="shared" ref="H4:H19" si="1">+E4/(L4*M4)</f>
        <v>1.8</v>
      </c>
      <c r="I4" s="49">
        <f>IF(L4-D4&lt;0,0,L4-D4)</f>
        <v>0</v>
      </c>
      <c r="J4" s="46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13</v>
      </c>
      <c r="E5" s="48">
        <f t="shared" ref="E5:E11" si="4">D5*M5</f>
        <v>390</v>
      </c>
      <c r="F5" s="54">
        <f t="shared" ref="F5:F11" si="5">+E5/N5</f>
        <v>17767.653758542139</v>
      </c>
      <c r="G5" s="54">
        <f t="shared" si="0"/>
        <v>5466.9703872437358</v>
      </c>
      <c r="H5" s="64">
        <f t="shared" si="1"/>
        <v>3.25</v>
      </c>
      <c r="I5" s="50">
        <f t="shared" ref="I5:I16" si="6">IF(L5-D5&lt;0,0,L5-D5)</f>
        <v>0</v>
      </c>
      <c r="J5" s="46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5</v>
      </c>
      <c r="E6" s="48">
        <f t="shared" si="4"/>
        <v>150</v>
      </c>
      <c r="F6" s="54">
        <f t="shared" si="5"/>
        <v>6833.7129840546695</v>
      </c>
      <c r="G6" s="54">
        <f t="shared" si="0"/>
        <v>6833.7129840546695</v>
      </c>
      <c r="H6" s="64">
        <f t="shared" si="1"/>
        <v>1</v>
      </c>
      <c r="I6" s="50">
        <f t="shared" si="6"/>
        <v>0</v>
      </c>
      <c r="J6" s="46">
        <f t="shared" si="2"/>
        <v>0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4"/>
        <v>0</v>
      </c>
      <c r="F7" s="54">
        <f t="shared" si="5"/>
        <v>0</v>
      </c>
      <c r="G7" s="54">
        <f t="shared" si="0"/>
        <v>3000</v>
      </c>
      <c r="H7" s="64">
        <f t="shared" si="1"/>
        <v>0</v>
      </c>
      <c r="I7" s="50">
        <f t="shared" si="6"/>
        <v>25</v>
      </c>
      <c r="J7" s="46">
        <f t="shared" si="2"/>
        <v>3000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48">
        <f t="shared" si="4"/>
        <v>7.2</v>
      </c>
      <c r="F8" s="54">
        <f t="shared" si="5"/>
        <v>464.51612903225811</v>
      </c>
      <c r="G8" s="54">
        <f t="shared" si="0"/>
        <v>3000</v>
      </c>
      <c r="H8" s="64">
        <f t="shared" si="1"/>
        <v>0.16</v>
      </c>
      <c r="I8" s="50">
        <f t="shared" si="6"/>
        <v>21</v>
      </c>
      <c r="J8" s="46">
        <f t="shared" si="2"/>
        <v>2535.483870967742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6</v>
      </c>
      <c r="E9" s="48">
        <f t="shared" si="4"/>
        <v>10.8</v>
      </c>
      <c r="F9" s="54">
        <f t="shared" si="5"/>
        <v>679.24528301886789</v>
      </c>
      <c r="G9" s="54">
        <f t="shared" si="0"/>
        <v>3000</v>
      </c>
      <c r="H9" s="64">
        <f t="shared" si="1"/>
        <v>0.24000000000000002</v>
      </c>
      <c r="I9" s="50">
        <f t="shared" si="6"/>
        <v>19</v>
      </c>
      <c r="J9" s="46">
        <f t="shared" si="2"/>
        <v>2320.7547169811323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22</v>
      </c>
      <c r="E10" s="48">
        <f t="shared" si="4"/>
        <v>660</v>
      </c>
      <c r="F10" s="54">
        <f t="shared" si="5"/>
        <v>30068.337129840547</v>
      </c>
      <c r="G10" s="54">
        <f t="shared" si="0"/>
        <v>10933.940774487472</v>
      </c>
      <c r="H10" s="64">
        <f t="shared" si="1"/>
        <v>2.75</v>
      </c>
      <c r="I10" s="50">
        <f t="shared" si="6"/>
        <v>0</v>
      </c>
      <c r="J10" s="46" t="str">
        <f t="shared" si="2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3</v>
      </c>
      <c r="E11" s="48">
        <f t="shared" si="4"/>
        <v>90</v>
      </c>
      <c r="F11" s="54">
        <f t="shared" si="5"/>
        <v>4090.909090909091</v>
      </c>
      <c r="G11" s="54">
        <f t="shared" si="0"/>
        <v>5454.545454545455</v>
      </c>
      <c r="H11" s="64">
        <f t="shared" si="1"/>
        <v>0.75</v>
      </c>
      <c r="I11" s="50">
        <f t="shared" si="6"/>
        <v>1</v>
      </c>
      <c r="J11" s="46">
        <f t="shared" si="2"/>
        <v>1363.636363636364</v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0</v>
      </c>
      <c r="E12" s="605">
        <f>+D12*M12</f>
        <v>0</v>
      </c>
      <c r="F12" s="607">
        <f>+D12*L12</f>
        <v>0</v>
      </c>
      <c r="G12" s="601">
        <f t="shared" si="0"/>
        <v>3456</v>
      </c>
      <c r="H12" s="603">
        <f t="shared" si="1"/>
        <v>0</v>
      </c>
      <c r="I12" s="593">
        <f t="shared" si="6"/>
        <v>12</v>
      </c>
      <c r="J12" s="595">
        <f t="shared" si="2"/>
        <v>3456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1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134</v>
      </c>
      <c r="E14" s="605">
        <f>+D14*M14</f>
        <v>777.19999999999993</v>
      </c>
      <c r="F14" s="607">
        <f>+D14*L14</f>
        <v>3216</v>
      </c>
      <c r="G14" s="601">
        <f>+L14*P14</f>
        <v>3456</v>
      </c>
      <c r="H14" s="603">
        <f t="shared" si="1"/>
        <v>5.583333333333333</v>
      </c>
      <c r="I14" s="593">
        <f t="shared" si="6"/>
        <v>0</v>
      </c>
      <c r="J14" s="595">
        <f t="shared" si="2"/>
        <v>240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1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65</v>
      </c>
      <c r="E16" s="604">
        <f>+D16*M16</f>
        <v>156</v>
      </c>
      <c r="F16" s="599">
        <f>+D16*L16</f>
        <v>5200</v>
      </c>
      <c r="G16" s="601">
        <f>+L16*P16</f>
        <v>1920</v>
      </c>
      <c r="H16" s="603">
        <f t="shared" si="1"/>
        <v>0.8125</v>
      </c>
      <c r="I16" s="593">
        <f t="shared" si="6"/>
        <v>15</v>
      </c>
      <c r="J16" s="595" t="str">
        <f t="shared" si="2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>
        <f t="shared" si="1"/>
        <v>0</v>
      </c>
      <c r="I17" s="594"/>
      <c r="J17" s="596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34</v>
      </c>
      <c r="E18" s="597">
        <f>+D18*M18</f>
        <v>108.80000000000001</v>
      </c>
      <c r="F18" s="599">
        <f>+D18*L18</f>
        <v>3400</v>
      </c>
      <c r="G18" s="601">
        <f>+L18*P18</f>
        <v>2400</v>
      </c>
      <c r="H18" s="603">
        <f t="shared" si="1"/>
        <v>0.34</v>
      </c>
      <c r="I18" s="593">
        <v>80</v>
      </c>
      <c r="J18" s="595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1"/>
        <v>0</v>
      </c>
      <c r="I19" s="594"/>
      <c r="J19" s="596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62000000}"/>
  <mergeCells count="45"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  <mergeCell ref="M14:M15"/>
    <mergeCell ref="N14:N15"/>
    <mergeCell ref="O14:O15"/>
    <mergeCell ref="P14:P15"/>
    <mergeCell ref="R14:R15"/>
    <mergeCell ref="H14:H15"/>
    <mergeCell ref="I14:I15"/>
    <mergeCell ref="J14:J15"/>
    <mergeCell ref="L14:L15"/>
    <mergeCell ref="J12:J13"/>
    <mergeCell ref="L12:L13"/>
    <mergeCell ref="B14:B15"/>
    <mergeCell ref="D14:D15"/>
    <mergeCell ref="E14:E15"/>
    <mergeCell ref="F14:F15"/>
    <mergeCell ref="G14:G15"/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 codeName="Hoja28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45274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9</v>
      </c>
      <c r="E4" s="46">
        <f>D4*M4</f>
        <v>270</v>
      </c>
      <c r="F4" s="54">
        <f>+E4/N4</f>
        <v>8194.2336874051598</v>
      </c>
      <c r="G4" s="54">
        <f t="shared" ref="G4:G12" si="0">+L4*P4</f>
        <v>4552.3520485584222</v>
      </c>
      <c r="H4" s="64">
        <f>+E4/(L4*M4)</f>
        <v>1.8</v>
      </c>
      <c r="I4" s="49">
        <f>IF(L4-D4&lt;0,0,L4-D4)</f>
        <v>0</v>
      </c>
      <c r="J4" s="46" t="str">
        <f t="shared" ref="J4:J19" si="1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2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13</v>
      </c>
      <c r="E5" s="48">
        <f t="shared" ref="E5:E11" si="3">D5*M5</f>
        <v>390</v>
      </c>
      <c r="F5" s="54">
        <f t="shared" ref="F5:F11" si="4">+E5/N5</f>
        <v>17767.653758542139</v>
      </c>
      <c r="G5" s="54">
        <f t="shared" si="0"/>
        <v>5466.9703872437358</v>
      </c>
      <c r="H5" s="64">
        <f t="shared" ref="H5:H19" si="5">+E5/(L5*M5)</f>
        <v>3.25</v>
      </c>
      <c r="I5" s="50">
        <f t="shared" ref="I5:I16" si="6">IF(L5-D5&lt;0,0,L5-D5)</f>
        <v>0</v>
      </c>
      <c r="J5" s="46" t="str">
        <f t="shared" si="1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2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5</v>
      </c>
      <c r="E6" s="48">
        <f t="shared" si="3"/>
        <v>150</v>
      </c>
      <c r="F6" s="54">
        <f t="shared" si="4"/>
        <v>6833.7129840546695</v>
      </c>
      <c r="G6" s="54">
        <f t="shared" si="0"/>
        <v>6833.7129840546695</v>
      </c>
      <c r="H6" s="64">
        <f t="shared" si="5"/>
        <v>1</v>
      </c>
      <c r="I6" s="50">
        <f t="shared" si="6"/>
        <v>0</v>
      </c>
      <c r="J6" s="46">
        <f t="shared" si="1"/>
        <v>0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2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2</v>
      </c>
      <c r="E7" s="48">
        <f t="shared" si="3"/>
        <v>5.1599999999999993</v>
      </c>
      <c r="F7" s="54">
        <f t="shared" si="4"/>
        <v>239.99999999999997</v>
      </c>
      <c r="G7" s="54">
        <f t="shared" si="0"/>
        <v>3000</v>
      </c>
      <c r="H7" s="64">
        <f t="shared" si="5"/>
        <v>0.08</v>
      </c>
      <c r="I7" s="50">
        <f t="shared" si="6"/>
        <v>23</v>
      </c>
      <c r="J7" s="46">
        <f t="shared" si="1"/>
        <v>2760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2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7</v>
      </c>
      <c r="E8" s="48">
        <f t="shared" si="3"/>
        <v>12.6</v>
      </c>
      <c r="F8" s="54">
        <f t="shared" si="4"/>
        <v>812.90322580645159</v>
      </c>
      <c r="G8" s="54">
        <f t="shared" si="0"/>
        <v>3000</v>
      </c>
      <c r="H8" s="64">
        <f t="shared" si="5"/>
        <v>0.27999999999999997</v>
      </c>
      <c r="I8" s="50">
        <f t="shared" si="6"/>
        <v>18</v>
      </c>
      <c r="J8" s="46">
        <f t="shared" si="1"/>
        <v>2187.0967741935483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2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4</v>
      </c>
      <c r="E9" s="48">
        <f t="shared" si="3"/>
        <v>7.2</v>
      </c>
      <c r="F9" s="54">
        <f t="shared" si="4"/>
        <v>452.83018867924528</v>
      </c>
      <c r="G9" s="54">
        <f t="shared" si="0"/>
        <v>3000</v>
      </c>
      <c r="H9" s="64">
        <f t="shared" si="5"/>
        <v>0.16</v>
      </c>
      <c r="I9" s="50">
        <f t="shared" si="6"/>
        <v>21</v>
      </c>
      <c r="J9" s="46">
        <f t="shared" si="1"/>
        <v>2547.1698113207549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2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25</v>
      </c>
      <c r="E10" s="48">
        <f t="shared" si="3"/>
        <v>750</v>
      </c>
      <c r="F10" s="54">
        <f t="shared" si="4"/>
        <v>34168.564920273348</v>
      </c>
      <c r="G10" s="54">
        <f t="shared" si="0"/>
        <v>10933.940774487472</v>
      </c>
      <c r="H10" s="64">
        <f t="shared" si="5"/>
        <v>3.125</v>
      </c>
      <c r="I10" s="50">
        <f t="shared" si="6"/>
        <v>0</v>
      </c>
      <c r="J10" s="46" t="str">
        <f t="shared" si="1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2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3</v>
      </c>
      <c r="E11" s="48">
        <f t="shared" si="3"/>
        <v>90</v>
      </c>
      <c r="F11" s="54">
        <f t="shared" si="4"/>
        <v>4090.909090909091</v>
      </c>
      <c r="G11" s="54">
        <f t="shared" si="0"/>
        <v>5454.545454545455</v>
      </c>
      <c r="H11" s="64">
        <f t="shared" si="5"/>
        <v>0.75</v>
      </c>
      <c r="I11" s="50">
        <f t="shared" si="6"/>
        <v>1</v>
      </c>
      <c r="J11" s="46">
        <f t="shared" si="1"/>
        <v>1363.636363636364</v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2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37</v>
      </c>
      <c r="E12" s="605">
        <f>+D12*M12</f>
        <v>214.6</v>
      </c>
      <c r="F12" s="607">
        <f>+D12*L12</f>
        <v>444</v>
      </c>
      <c r="G12" s="601">
        <f t="shared" si="0"/>
        <v>3456</v>
      </c>
      <c r="H12" s="603">
        <f t="shared" si="5"/>
        <v>3.0833333333333335</v>
      </c>
      <c r="I12" s="593">
        <f t="shared" si="6"/>
        <v>0</v>
      </c>
      <c r="J12" s="595">
        <f t="shared" si="1"/>
        <v>3012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5"/>
        <v>#DIV/0!</v>
      </c>
      <c r="I13" s="594"/>
      <c r="J13" s="596">
        <f t="shared" si="1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113</v>
      </c>
      <c r="E14" s="605">
        <f>+D14*M14</f>
        <v>655.4</v>
      </c>
      <c r="F14" s="607">
        <f>+D14*L14</f>
        <v>2712</v>
      </c>
      <c r="G14" s="601">
        <f>+L14*P14</f>
        <v>3456</v>
      </c>
      <c r="H14" s="603">
        <f t="shared" si="5"/>
        <v>4.7083333333333339</v>
      </c>
      <c r="I14" s="593">
        <f t="shared" si="6"/>
        <v>0</v>
      </c>
      <c r="J14" s="595">
        <f t="shared" si="1"/>
        <v>744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5"/>
        <v>#DIV/0!</v>
      </c>
      <c r="I15" s="594"/>
      <c r="J15" s="596">
        <f t="shared" si="1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99</v>
      </c>
      <c r="E16" s="604">
        <f>+D16*M16</f>
        <v>237.6</v>
      </c>
      <c r="F16" s="599">
        <f>+D16*L16</f>
        <v>7920</v>
      </c>
      <c r="G16" s="601">
        <f>+L16*P16</f>
        <v>1920</v>
      </c>
      <c r="H16" s="603">
        <f t="shared" si="5"/>
        <v>1.2375</v>
      </c>
      <c r="I16" s="593">
        <f t="shared" si="6"/>
        <v>0</v>
      </c>
      <c r="J16" s="595" t="str">
        <f t="shared" si="1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>
        <f t="shared" si="5"/>
        <v>0</v>
      </c>
      <c r="I17" s="594"/>
      <c r="J17" s="596">
        <f t="shared" si="1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117</v>
      </c>
      <c r="E18" s="597">
        <f>+D18*M18</f>
        <v>374.40000000000003</v>
      </c>
      <c r="F18" s="599">
        <f>+D18*L18</f>
        <v>11700</v>
      </c>
      <c r="G18" s="601">
        <f>+L18*P18</f>
        <v>2400</v>
      </c>
      <c r="H18" s="603">
        <f t="shared" si="5"/>
        <v>1.1700000000000002</v>
      </c>
      <c r="I18" s="593">
        <v>80</v>
      </c>
      <c r="J18" s="595" t="str">
        <f t="shared" si="1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5"/>
        <v>0</v>
      </c>
      <c r="I19" s="594"/>
      <c r="J19" s="596">
        <f t="shared" si="1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63000000}"/>
  <mergeCells count="45"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  <mergeCell ref="M14:M15"/>
    <mergeCell ref="N14:N15"/>
    <mergeCell ref="O14:O15"/>
    <mergeCell ref="P14:P15"/>
    <mergeCell ref="R14:R15"/>
    <mergeCell ref="H14:H15"/>
    <mergeCell ref="I14:I15"/>
    <mergeCell ref="J14:J15"/>
    <mergeCell ref="L14:L15"/>
    <mergeCell ref="J12:J13"/>
    <mergeCell ref="L12:L13"/>
    <mergeCell ref="B14:B15"/>
    <mergeCell ref="D14:D15"/>
    <mergeCell ref="E14:E15"/>
    <mergeCell ref="F14:F15"/>
    <mergeCell ref="G14:G15"/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 codeName="Hoja29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45267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9</v>
      </c>
      <c r="E4" s="46">
        <f>D4*M4</f>
        <v>270</v>
      </c>
      <c r="F4" s="54">
        <f>+E4/N4</f>
        <v>8194.2336874051598</v>
      </c>
      <c r="G4" s="54">
        <f t="shared" ref="G4:G12" si="0">+L4*P4</f>
        <v>4552.3520485584222</v>
      </c>
      <c r="H4" s="64">
        <f t="shared" ref="H4:H19" si="1">+E4/(L4*M4)</f>
        <v>1.8</v>
      </c>
      <c r="I4" s="49">
        <f>IF(L4-D4&lt;0,0,L4-D4)</f>
        <v>0</v>
      </c>
      <c r="J4" s="46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13</v>
      </c>
      <c r="E5" s="48">
        <f t="shared" ref="E5:E11" si="4">D5*M5</f>
        <v>390</v>
      </c>
      <c r="F5" s="54">
        <f t="shared" ref="F5:F11" si="5">+E5/N5</f>
        <v>17767.653758542139</v>
      </c>
      <c r="G5" s="54">
        <f t="shared" si="0"/>
        <v>5466.9703872437358</v>
      </c>
      <c r="H5" s="64">
        <f t="shared" si="1"/>
        <v>3.25</v>
      </c>
      <c r="I5" s="50">
        <f t="shared" ref="I5:I16" si="6">IF(L5-D5&lt;0,0,L5-D5)</f>
        <v>0</v>
      </c>
      <c r="J5" s="46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4</v>
      </c>
      <c r="E6" s="48">
        <f t="shared" si="4"/>
        <v>120</v>
      </c>
      <c r="F6" s="54">
        <f t="shared" si="5"/>
        <v>5466.9703872437358</v>
      </c>
      <c r="G6" s="54">
        <f t="shared" si="0"/>
        <v>6833.7129840546695</v>
      </c>
      <c r="H6" s="64">
        <f t="shared" si="1"/>
        <v>0.8</v>
      </c>
      <c r="I6" s="50">
        <f t="shared" si="6"/>
        <v>1</v>
      </c>
      <c r="J6" s="46">
        <f t="shared" si="2"/>
        <v>1366.7425968109337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3</v>
      </c>
      <c r="E7" s="48">
        <f t="shared" si="4"/>
        <v>7.7399999999999984</v>
      </c>
      <c r="F7" s="54">
        <f t="shared" si="5"/>
        <v>359.99999999999994</v>
      </c>
      <c r="G7" s="54">
        <f t="shared" si="0"/>
        <v>3000</v>
      </c>
      <c r="H7" s="64">
        <f t="shared" si="1"/>
        <v>0.12</v>
      </c>
      <c r="I7" s="50">
        <f t="shared" si="6"/>
        <v>22</v>
      </c>
      <c r="J7" s="46">
        <f t="shared" si="2"/>
        <v>2640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7</v>
      </c>
      <c r="E8" s="48">
        <f t="shared" si="4"/>
        <v>12.6</v>
      </c>
      <c r="F8" s="54">
        <f t="shared" si="5"/>
        <v>812.90322580645159</v>
      </c>
      <c r="G8" s="54">
        <f t="shared" si="0"/>
        <v>3000</v>
      </c>
      <c r="H8" s="64">
        <f t="shared" si="1"/>
        <v>0.27999999999999997</v>
      </c>
      <c r="I8" s="50">
        <f t="shared" si="6"/>
        <v>18</v>
      </c>
      <c r="J8" s="46">
        <f t="shared" si="2"/>
        <v>2187.0967741935483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2</v>
      </c>
      <c r="E9" s="48">
        <f t="shared" si="4"/>
        <v>3.6</v>
      </c>
      <c r="F9" s="54">
        <f t="shared" si="5"/>
        <v>226.41509433962264</v>
      </c>
      <c r="G9" s="54">
        <f t="shared" si="0"/>
        <v>3000</v>
      </c>
      <c r="H9" s="64">
        <f t="shared" si="1"/>
        <v>0.08</v>
      </c>
      <c r="I9" s="50">
        <f t="shared" si="6"/>
        <v>23</v>
      </c>
      <c r="J9" s="46">
        <f t="shared" si="2"/>
        <v>2773.5849056603774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25</v>
      </c>
      <c r="E10" s="48">
        <f t="shared" si="4"/>
        <v>750</v>
      </c>
      <c r="F10" s="54">
        <f t="shared" si="5"/>
        <v>34168.564920273348</v>
      </c>
      <c r="G10" s="54">
        <f t="shared" si="0"/>
        <v>10933.940774487472</v>
      </c>
      <c r="H10" s="64">
        <f t="shared" si="1"/>
        <v>3.125</v>
      </c>
      <c r="I10" s="50">
        <f t="shared" si="6"/>
        <v>0</v>
      </c>
      <c r="J10" s="46" t="str">
        <f t="shared" si="2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3</v>
      </c>
      <c r="E11" s="48">
        <f t="shared" si="4"/>
        <v>90</v>
      </c>
      <c r="F11" s="54">
        <f t="shared" si="5"/>
        <v>4090.909090909091</v>
      </c>
      <c r="G11" s="54">
        <f t="shared" si="0"/>
        <v>5454.545454545455</v>
      </c>
      <c r="H11" s="64">
        <f t="shared" si="1"/>
        <v>0.75</v>
      </c>
      <c r="I11" s="50">
        <f t="shared" si="6"/>
        <v>1</v>
      </c>
      <c r="J11" s="46">
        <f t="shared" si="2"/>
        <v>1363.636363636364</v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37</v>
      </c>
      <c r="E12" s="605">
        <f>+D12*M12</f>
        <v>214.6</v>
      </c>
      <c r="F12" s="607">
        <f>+D12*L12</f>
        <v>444</v>
      </c>
      <c r="G12" s="601">
        <f t="shared" si="0"/>
        <v>3456</v>
      </c>
      <c r="H12" s="603">
        <f t="shared" si="1"/>
        <v>3.0833333333333335</v>
      </c>
      <c r="I12" s="593">
        <f t="shared" si="6"/>
        <v>0</v>
      </c>
      <c r="J12" s="595">
        <f t="shared" si="2"/>
        <v>3012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1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113</v>
      </c>
      <c r="E14" s="605">
        <f>+D14*M14</f>
        <v>655.4</v>
      </c>
      <c r="F14" s="607">
        <f>+D14*L14</f>
        <v>2712</v>
      </c>
      <c r="G14" s="601">
        <f>+L14*P14</f>
        <v>3456</v>
      </c>
      <c r="H14" s="603">
        <f t="shared" si="1"/>
        <v>4.7083333333333339</v>
      </c>
      <c r="I14" s="593">
        <f t="shared" si="6"/>
        <v>0</v>
      </c>
      <c r="J14" s="595">
        <f t="shared" si="2"/>
        <v>744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1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99</v>
      </c>
      <c r="E16" s="604">
        <f>+D16*M16</f>
        <v>237.6</v>
      </c>
      <c r="F16" s="599">
        <f>+D16*L16</f>
        <v>7920</v>
      </c>
      <c r="G16" s="601">
        <f>+L16*P16</f>
        <v>1920</v>
      </c>
      <c r="H16" s="603">
        <f t="shared" si="1"/>
        <v>1.2375</v>
      </c>
      <c r="I16" s="593">
        <f t="shared" si="6"/>
        <v>0</v>
      </c>
      <c r="J16" s="595" t="str">
        <f t="shared" si="2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>
        <f t="shared" si="1"/>
        <v>0</v>
      </c>
      <c r="I17" s="594"/>
      <c r="J17" s="596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117</v>
      </c>
      <c r="E18" s="597">
        <f>+D18*M18</f>
        <v>374.40000000000003</v>
      </c>
      <c r="F18" s="599">
        <f>+D18*L18</f>
        <v>11700</v>
      </c>
      <c r="G18" s="601">
        <f>+L18*P18</f>
        <v>2400</v>
      </c>
      <c r="H18" s="603">
        <f t="shared" si="1"/>
        <v>1.1700000000000002</v>
      </c>
      <c r="I18" s="593">
        <v>80</v>
      </c>
      <c r="J18" s="595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1"/>
        <v>0</v>
      </c>
      <c r="I19" s="594"/>
      <c r="J19" s="596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64000000}"/>
  <mergeCells count="45"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  <mergeCell ref="M14:M15"/>
    <mergeCell ref="N14:N15"/>
    <mergeCell ref="O14:O15"/>
    <mergeCell ref="P14:P15"/>
    <mergeCell ref="R14:R15"/>
    <mergeCell ref="H14:H15"/>
    <mergeCell ref="I14:I15"/>
    <mergeCell ref="J14:J15"/>
    <mergeCell ref="L14:L15"/>
    <mergeCell ref="J12:J13"/>
    <mergeCell ref="L12:L13"/>
    <mergeCell ref="B14:B15"/>
    <mergeCell ref="D14:D15"/>
    <mergeCell ref="E14:E15"/>
    <mergeCell ref="F14:F15"/>
    <mergeCell ref="G14:G15"/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 codeName="Hoja30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45253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9</v>
      </c>
      <c r="E4" s="46">
        <f>D4*M4</f>
        <v>270</v>
      </c>
      <c r="F4" s="54">
        <f>+E4/N4</f>
        <v>8194.2336874051598</v>
      </c>
      <c r="G4" s="54">
        <f t="shared" ref="G4:G12" si="0">+L4*P4</f>
        <v>4552.3520485584222</v>
      </c>
      <c r="H4" s="64">
        <f t="shared" ref="H4:H19" si="1">+E4/(L4*M4)</f>
        <v>1.8</v>
      </c>
      <c r="I4" s="49">
        <f>IF(L4-D4&lt;0,0,L4-D4)</f>
        <v>0</v>
      </c>
      <c r="J4" s="46" t="str">
        <f t="shared" ref="J4:J19" si="2"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13</v>
      </c>
      <c r="E5" s="48">
        <f t="shared" ref="E5:E11" si="4">D5*M5</f>
        <v>390</v>
      </c>
      <c r="F5" s="54">
        <f t="shared" ref="F5:F11" si="5">+E5/N5</f>
        <v>17767.653758542139</v>
      </c>
      <c r="G5" s="54">
        <f t="shared" si="0"/>
        <v>5466.9703872437358</v>
      </c>
      <c r="H5" s="64">
        <f t="shared" si="1"/>
        <v>3.25</v>
      </c>
      <c r="I5" s="50">
        <f t="shared" ref="I5:I16" si="6">IF(L5-D5&lt;0,0,L5-D5)</f>
        <v>0</v>
      </c>
      <c r="J5" s="46" t="str">
        <f t="shared" si="2"/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4</v>
      </c>
      <c r="E6" s="48">
        <f t="shared" si="4"/>
        <v>120</v>
      </c>
      <c r="F6" s="54">
        <f t="shared" si="5"/>
        <v>5466.9703872437358</v>
      </c>
      <c r="G6" s="54">
        <f t="shared" si="0"/>
        <v>6833.7129840546695</v>
      </c>
      <c r="H6" s="64">
        <f t="shared" si="1"/>
        <v>0.8</v>
      </c>
      <c r="I6" s="50">
        <f t="shared" si="6"/>
        <v>1</v>
      </c>
      <c r="J6" s="46">
        <f t="shared" si="2"/>
        <v>1366.7425968109337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4"/>
        <v>0</v>
      </c>
      <c r="F7" s="54">
        <f t="shared" si="5"/>
        <v>0</v>
      </c>
      <c r="G7" s="54">
        <f t="shared" si="0"/>
        <v>3000</v>
      </c>
      <c r="H7" s="64">
        <f t="shared" si="1"/>
        <v>0</v>
      </c>
      <c r="I7" s="50">
        <f t="shared" si="6"/>
        <v>25</v>
      </c>
      <c r="J7" s="46">
        <f t="shared" si="2"/>
        <v>3000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5</v>
      </c>
      <c r="E8" s="48">
        <f t="shared" si="4"/>
        <v>9</v>
      </c>
      <c r="F8" s="54">
        <f t="shared" si="5"/>
        <v>580.64516129032256</v>
      </c>
      <c r="G8" s="54">
        <f t="shared" si="0"/>
        <v>3000</v>
      </c>
      <c r="H8" s="64">
        <f t="shared" si="1"/>
        <v>0.2</v>
      </c>
      <c r="I8" s="50">
        <f t="shared" si="6"/>
        <v>20</v>
      </c>
      <c r="J8" s="46">
        <f t="shared" si="2"/>
        <v>2419.3548387096776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3</v>
      </c>
      <c r="E9" s="48">
        <f t="shared" si="4"/>
        <v>5.4</v>
      </c>
      <c r="F9" s="54">
        <f t="shared" si="5"/>
        <v>339.62264150943395</v>
      </c>
      <c r="G9" s="54">
        <f t="shared" si="0"/>
        <v>3000</v>
      </c>
      <c r="H9" s="64">
        <f t="shared" si="1"/>
        <v>0.12000000000000001</v>
      </c>
      <c r="I9" s="50">
        <f t="shared" si="6"/>
        <v>22</v>
      </c>
      <c r="J9" s="46">
        <f t="shared" si="2"/>
        <v>2660.3773584905662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28</v>
      </c>
      <c r="E10" s="48">
        <f t="shared" si="4"/>
        <v>840</v>
      </c>
      <c r="F10" s="54">
        <f t="shared" si="5"/>
        <v>38268.792710706148</v>
      </c>
      <c r="G10" s="54">
        <f t="shared" si="0"/>
        <v>10933.940774487472</v>
      </c>
      <c r="H10" s="64">
        <f t="shared" si="1"/>
        <v>3.5</v>
      </c>
      <c r="I10" s="50">
        <f t="shared" si="6"/>
        <v>0</v>
      </c>
      <c r="J10" s="46" t="str">
        <f t="shared" si="2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3</v>
      </c>
      <c r="E11" s="48">
        <f t="shared" si="4"/>
        <v>90</v>
      </c>
      <c r="F11" s="54">
        <f t="shared" si="5"/>
        <v>4090.909090909091</v>
      </c>
      <c r="G11" s="54">
        <f t="shared" si="0"/>
        <v>5454.545454545455</v>
      </c>
      <c r="H11" s="64">
        <f t="shared" si="1"/>
        <v>0.75</v>
      </c>
      <c r="I11" s="50">
        <f t="shared" si="6"/>
        <v>1</v>
      </c>
      <c r="J11" s="46">
        <f t="shared" si="2"/>
        <v>1363.636363636364</v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137</v>
      </c>
      <c r="E12" s="605">
        <f>+D12*M12</f>
        <v>794.6</v>
      </c>
      <c r="F12" s="607">
        <f>+D12*L12</f>
        <v>1644</v>
      </c>
      <c r="G12" s="601">
        <f t="shared" si="0"/>
        <v>3456</v>
      </c>
      <c r="H12" s="603">
        <f t="shared" si="1"/>
        <v>11.416666666666668</v>
      </c>
      <c r="I12" s="593">
        <f t="shared" si="6"/>
        <v>0</v>
      </c>
      <c r="J12" s="595">
        <f t="shared" si="2"/>
        <v>1812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1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225</v>
      </c>
      <c r="E14" s="605">
        <f>+D14*M14</f>
        <v>1305</v>
      </c>
      <c r="F14" s="607">
        <f>+D14*L14</f>
        <v>5400</v>
      </c>
      <c r="G14" s="601">
        <f>+L14*P14</f>
        <v>3456</v>
      </c>
      <c r="H14" s="603">
        <f t="shared" si="1"/>
        <v>9.375</v>
      </c>
      <c r="I14" s="593">
        <f t="shared" si="6"/>
        <v>0</v>
      </c>
      <c r="J14" s="595" t="str">
        <f t="shared" si="2"/>
        <v/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1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29</v>
      </c>
      <c r="E16" s="604">
        <f>+D16*M16</f>
        <v>69.599999999999994</v>
      </c>
      <c r="F16" s="599">
        <f>+D16*L16</f>
        <v>2320</v>
      </c>
      <c r="G16" s="601">
        <f>+L16*P16</f>
        <v>1920</v>
      </c>
      <c r="H16" s="603">
        <f t="shared" si="1"/>
        <v>0.36249999999999999</v>
      </c>
      <c r="I16" s="593">
        <f t="shared" si="6"/>
        <v>51</v>
      </c>
      <c r="J16" s="595" t="str">
        <f t="shared" si="2"/>
        <v/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>
        <f t="shared" si="1"/>
        <v>0</v>
      </c>
      <c r="I17" s="594"/>
      <c r="J17" s="596">
        <f t="shared" si="2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59</v>
      </c>
      <c r="E18" s="597">
        <f>+D18*M18</f>
        <v>188.8</v>
      </c>
      <c r="F18" s="599">
        <f>+D18*L18</f>
        <v>5900</v>
      </c>
      <c r="G18" s="601">
        <f>+L18*P18</f>
        <v>2400</v>
      </c>
      <c r="H18" s="603">
        <f t="shared" si="1"/>
        <v>0.59000000000000008</v>
      </c>
      <c r="I18" s="593">
        <v>80</v>
      </c>
      <c r="J18" s="595" t="str">
        <f t="shared" si="2"/>
        <v/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03">
        <f t="shared" si="1"/>
        <v>0</v>
      </c>
      <c r="I19" s="594"/>
      <c r="J19" s="596">
        <f t="shared" si="2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8" xr:uid="{00000000-0009-0000-0000-000065000000}"/>
  <mergeCells count="45">
    <mergeCell ref="I16:I17"/>
    <mergeCell ref="J16:J17"/>
    <mergeCell ref="D18:D19"/>
    <mergeCell ref="E18:E19"/>
    <mergeCell ref="F18:F19"/>
    <mergeCell ref="G18:G19"/>
    <mergeCell ref="H18:H19"/>
    <mergeCell ref="I18:I19"/>
    <mergeCell ref="J18:J19"/>
    <mergeCell ref="D16:D17"/>
    <mergeCell ref="E16:E17"/>
    <mergeCell ref="F16:F17"/>
    <mergeCell ref="G16:G17"/>
    <mergeCell ref="H16:H17"/>
    <mergeCell ref="M14:M15"/>
    <mergeCell ref="N14:N15"/>
    <mergeCell ref="O14:O15"/>
    <mergeCell ref="P14:P15"/>
    <mergeCell ref="R14:R15"/>
    <mergeCell ref="H14:H15"/>
    <mergeCell ref="I14:I15"/>
    <mergeCell ref="J14:J15"/>
    <mergeCell ref="L14:L15"/>
    <mergeCell ref="J12:J13"/>
    <mergeCell ref="L12:L13"/>
    <mergeCell ref="B14:B15"/>
    <mergeCell ref="D14:D15"/>
    <mergeCell ref="E14:E15"/>
    <mergeCell ref="F14:F15"/>
    <mergeCell ref="G14:G15"/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 codeName="Hoja31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8.28515625" customWidth="1"/>
    <col min="9" max="9" width="9.28515625" customWidth="1"/>
    <col min="10" max="10" width="10.425781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45246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9</v>
      </c>
      <c r="E4" s="46">
        <f>D4*M4</f>
        <v>270</v>
      </c>
      <c r="F4" s="54">
        <f>+E4/N4</f>
        <v>8194.2336874051598</v>
      </c>
      <c r="G4" s="54">
        <f t="shared" ref="G4:G12" si="0">+L4*P4</f>
        <v>4552.3520485584222</v>
      </c>
      <c r="H4" s="65">
        <f t="shared" ref="H4:H15" si="1">+E4/(L4*M4)</f>
        <v>1.8</v>
      </c>
      <c r="I4" s="49">
        <f>IF(L4-D4&lt;0,0,L4-D4)</f>
        <v>0</v>
      </c>
      <c r="J4" s="46">
        <f>+G4-F4</f>
        <v>-3641.8816388467376</v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2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13</v>
      </c>
      <c r="E5" s="48">
        <f t="shared" ref="E5:E11" si="3">D5*M5</f>
        <v>390</v>
      </c>
      <c r="F5" s="54">
        <f t="shared" ref="F5:F12" si="4">+E5/N5</f>
        <v>17767.653758542139</v>
      </c>
      <c r="G5" s="54">
        <f t="shared" si="0"/>
        <v>5466.9703872437358</v>
      </c>
      <c r="H5" s="65">
        <f t="shared" si="1"/>
        <v>3.25</v>
      </c>
      <c r="I5" s="50">
        <f t="shared" ref="I5:I16" si="5">IF(L5-D5&lt;0,0,L5-D5)</f>
        <v>0</v>
      </c>
      <c r="J5" s="46">
        <f t="shared" ref="J5:J19" si="6">+G5-F5</f>
        <v>-12300.683371298404</v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2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4</v>
      </c>
      <c r="E6" s="48">
        <f t="shared" si="3"/>
        <v>120</v>
      </c>
      <c r="F6" s="54">
        <f t="shared" si="4"/>
        <v>5466.9703872437358</v>
      </c>
      <c r="G6" s="54">
        <f t="shared" si="0"/>
        <v>6833.7129840546695</v>
      </c>
      <c r="H6" s="65">
        <f t="shared" si="1"/>
        <v>0.8</v>
      </c>
      <c r="I6" s="50">
        <f t="shared" si="5"/>
        <v>1</v>
      </c>
      <c r="J6" s="46">
        <f t="shared" si="6"/>
        <v>1366.7425968109337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2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3"/>
        <v>0</v>
      </c>
      <c r="F7" s="54">
        <f t="shared" si="4"/>
        <v>0</v>
      </c>
      <c r="G7" s="54">
        <f t="shared" si="0"/>
        <v>3000</v>
      </c>
      <c r="H7" s="65">
        <f t="shared" si="1"/>
        <v>0</v>
      </c>
      <c r="I7" s="50">
        <f t="shared" si="5"/>
        <v>25</v>
      </c>
      <c r="J7" s="46">
        <f t="shared" si="6"/>
        <v>3000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2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5</v>
      </c>
      <c r="E8" s="48">
        <f t="shared" si="3"/>
        <v>9</v>
      </c>
      <c r="F8" s="54">
        <f t="shared" si="4"/>
        <v>580.64516129032256</v>
      </c>
      <c r="G8" s="54">
        <f t="shared" si="0"/>
        <v>3000</v>
      </c>
      <c r="H8" s="65">
        <f t="shared" si="1"/>
        <v>0.2</v>
      </c>
      <c r="I8" s="50">
        <f t="shared" si="5"/>
        <v>20</v>
      </c>
      <c r="J8" s="46">
        <f t="shared" si="6"/>
        <v>2419.3548387096776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2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3</v>
      </c>
      <c r="E9" s="48">
        <f t="shared" si="3"/>
        <v>5.4</v>
      </c>
      <c r="F9" s="54">
        <f t="shared" si="4"/>
        <v>339.62264150943395</v>
      </c>
      <c r="G9" s="54">
        <f t="shared" si="0"/>
        <v>3000</v>
      </c>
      <c r="H9" s="65">
        <f t="shared" si="1"/>
        <v>0.12000000000000001</v>
      </c>
      <c r="I9" s="50">
        <f t="shared" si="5"/>
        <v>22</v>
      </c>
      <c r="J9" s="46">
        <f t="shared" si="6"/>
        <v>2660.3773584905662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2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28</v>
      </c>
      <c r="E10" s="48">
        <f t="shared" si="3"/>
        <v>840</v>
      </c>
      <c r="F10" s="54">
        <f t="shared" si="4"/>
        <v>38268.792710706148</v>
      </c>
      <c r="G10" s="54">
        <f t="shared" si="0"/>
        <v>10933.940774487472</v>
      </c>
      <c r="H10" s="65">
        <f t="shared" si="1"/>
        <v>3.5</v>
      </c>
      <c r="I10" s="50">
        <f t="shared" si="5"/>
        <v>0</v>
      </c>
      <c r="J10" s="46">
        <f t="shared" si="6"/>
        <v>-27334.851936218678</v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2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3</v>
      </c>
      <c r="E11" s="48">
        <f t="shared" si="3"/>
        <v>90</v>
      </c>
      <c r="F11" s="54">
        <f t="shared" si="4"/>
        <v>4090.909090909091</v>
      </c>
      <c r="G11" s="54">
        <f t="shared" si="0"/>
        <v>5454.545454545455</v>
      </c>
      <c r="H11" s="65">
        <f t="shared" si="1"/>
        <v>0.75</v>
      </c>
      <c r="I11" s="50">
        <f t="shared" si="5"/>
        <v>1</v>
      </c>
      <c r="J11" s="46">
        <f t="shared" si="6"/>
        <v>1363.636363636364</v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2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145</v>
      </c>
      <c r="E12" s="605">
        <f>+D12*M12</f>
        <v>841</v>
      </c>
      <c r="F12" s="607">
        <f t="shared" si="4"/>
        <v>40239.23444976077</v>
      </c>
      <c r="G12" s="601">
        <f t="shared" si="0"/>
        <v>3456</v>
      </c>
      <c r="H12" s="65">
        <f t="shared" si="1"/>
        <v>12.083333333333334</v>
      </c>
      <c r="I12" s="593">
        <f t="shared" si="5"/>
        <v>0</v>
      </c>
      <c r="J12" s="595">
        <f t="shared" si="6"/>
        <v>-36783.23444976077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5" t="e">
        <f t="shared" si="1"/>
        <v>#DIV/0!</v>
      </c>
      <c r="I13" s="594"/>
      <c r="J13" s="596">
        <f t="shared" si="6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274</v>
      </c>
      <c r="E14" s="605">
        <f>+D14*M14</f>
        <v>1589.2</v>
      </c>
      <c r="F14" s="607">
        <f>+E14/N14</f>
        <v>40232.911392405062</v>
      </c>
      <c r="G14" s="601">
        <f>+L14*P14</f>
        <v>3456</v>
      </c>
      <c r="H14" s="65">
        <f t="shared" si="1"/>
        <v>11.416666666666668</v>
      </c>
      <c r="I14" s="593">
        <f t="shared" si="5"/>
        <v>0</v>
      </c>
      <c r="J14" s="595">
        <f t="shared" si="6"/>
        <v>-36776.911392405062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5" t="e">
        <f t="shared" si="1"/>
        <v>#DIV/0!</v>
      </c>
      <c r="I15" s="594"/>
      <c r="J15" s="596">
        <f t="shared" si="6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29</v>
      </c>
      <c r="E16" s="604">
        <f>+D16*M16</f>
        <v>69.599999999999994</v>
      </c>
      <c r="F16" s="599">
        <f>+D16*P18</f>
        <v>696</v>
      </c>
      <c r="G16" s="601">
        <f>+L16*P16</f>
        <v>1920</v>
      </c>
      <c r="H16" s="65">
        <f>+E16/(L16*M16)</f>
        <v>0.36249999999999999</v>
      </c>
      <c r="I16" s="593">
        <f t="shared" si="5"/>
        <v>51</v>
      </c>
      <c r="J16" s="595">
        <f t="shared" si="6"/>
        <v>1224</v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5">
        <f>+E17/(L17*M17)</f>
        <v>0</v>
      </c>
      <c r="I17" s="594"/>
      <c r="J17" s="596">
        <f t="shared" si="6"/>
        <v>0</v>
      </c>
      <c r="K17" s="8" t="s">
        <v>50</v>
      </c>
      <c r="L17" s="20">
        <v>40</v>
      </c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561">
        <v>37</v>
      </c>
      <c r="E18" s="597">
        <f>+D18*M18</f>
        <v>118.4</v>
      </c>
      <c r="F18" s="599">
        <f>+D18*P20</f>
        <v>0</v>
      </c>
      <c r="G18" s="601">
        <f>+L18*P18</f>
        <v>2400</v>
      </c>
      <c r="H18" s="65">
        <f>+E18/(L18*M18)</f>
        <v>0.37</v>
      </c>
      <c r="I18" s="593">
        <v>80</v>
      </c>
      <c r="J18" s="595">
        <f t="shared" si="6"/>
        <v>2400</v>
      </c>
      <c r="K18" s="8" t="s">
        <v>50</v>
      </c>
      <c r="L18" s="20">
        <v>100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562"/>
      <c r="E19" s="598">
        <f>+D19*M19</f>
        <v>0</v>
      </c>
      <c r="F19" s="600"/>
      <c r="G19" s="602"/>
      <c r="H19" s="65">
        <f>+E19/(L19*M19)</f>
        <v>0</v>
      </c>
      <c r="I19" s="594"/>
      <c r="J19" s="596">
        <f t="shared" si="6"/>
        <v>0</v>
      </c>
      <c r="K19" s="8" t="s">
        <v>50</v>
      </c>
      <c r="L19" s="20">
        <v>80</v>
      </c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9" xr:uid="{00000000-0009-0000-0000-000066000000}"/>
  <mergeCells count="41">
    <mergeCell ref="A1:C1"/>
    <mergeCell ref="A2:B2"/>
    <mergeCell ref="L2:R2"/>
    <mergeCell ref="B12:B13"/>
    <mergeCell ref="D12:D13"/>
    <mergeCell ref="E12:E13"/>
    <mergeCell ref="F12:F13"/>
    <mergeCell ref="G12:G13"/>
    <mergeCell ref="I12:I13"/>
    <mergeCell ref="R12:R13"/>
    <mergeCell ref="M12:M13"/>
    <mergeCell ref="N12:N13"/>
    <mergeCell ref="O12:O13"/>
    <mergeCell ref="P12:P13"/>
    <mergeCell ref="B14:B15"/>
    <mergeCell ref="D14:D15"/>
    <mergeCell ref="E14:E15"/>
    <mergeCell ref="F14:F15"/>
    <mergeCell ref="G14:G15"/>
    <mergeCell ref="I14:I15"/>
    <mergeCell ref="J14:J15"/>
    <mergeCell ref="L14:L15"/>
    <mergeCell ref="J12:J13"/>
    <mergeCell ref="L12:L13"/>
    <mergeCell ref="M14:M15"/>
    <mergeCell ref="N14:N15"/>
    <mergeCell ref="O14:O15"/>
    <mergeCell ref="P14:P15"/>
    <mergeCell ref="R14:R15"/>
    <mergeCell ref="I16:I17"/>
    <mergeCell ref="J16:J17"/>
    <mergeCell ref="D18:D19"/>
    <mergeCell ref="E18:E19"/>
    <mergeCell ref="F18:F19"/>
    <mergeCell ref="G18:G19"/>
    <mergeCell ref="I18:I19"/>
    <mergeCell ref="J18:J19"/>
    <mergeCell ref="D16:D17"/>
    <mergeCell ref="E16:E17"/>
    <mergeCell ref="F16:F17"/>
    <mergeCell ref="G16:G1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 codeName="Hoja32">
    <tabColor rgb="FF00B0F0"/>
  </sheetPr>
  <dimension ref="A1:R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9" width="9.28515625" customWidth="1"/>
    <col min="10" max="10" width="10.140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45239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59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9</v>
      </c>
      <c r="E4" s="46">
        <f>D4*M4</f>
        <v>270</v>
      </c>
      <c r="F4" s="54">
        <f t="shared" ref="F4:F12" si="0">+E4/N4</f>
        <v>8194.2336874051598</v>
      </c>
      <c r="G4" s="54">
        <f t="shared" ref="G4:G12" si="1">+L4*P4</f>
        <v>4552.3520485584222</v>
      </c>
      <c r="H4" s="63">
        <f>+E4/(L4*M4)</f>
        <v>1.8</v>
      </c>
      <c r="I4" s="49">
        <f>IF(L4-D4&lt;0,0,L4-D4)</f>
        <v>0</v>
      </c>
      <c r="J4" s="46" t="str">
        <f>+IF(G4-F4&lt;0,"",G4-F4)</f>
        <v/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2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13</v>
      </c>
      <c r="E5" s="48">
        <f t="shared" ref="E5:E11" si="3">D5*M5</f>
        <v>390</v>
      </c>
      <c r="F5" s="54">
        <f t="shared" si="0"/>
        <v>17767.653758542139</v>
      </c>
      <c r="G5" s="54">
        <f t="shared" si="1"/>
        <v>5466.9703872437358</v>
      </c>
      <c r="H5" s="63">
        <f t="shared" ref="H5:H19" si="4">+E5/(L5*M5)</f>
        <v>3.25</v>
      </c>
      <c r="I5" s="50">
        <f t="shared" ref="I5:I18" si="5">IF(L5-D5&lt;0,0,L5-D5)</f>
        <v>0</v>
      </c>
      <c r="J5" s="46" t="str">
        <f t="shared" ref="J5:J19" si="6">+IF(G5-F5&lt;0,"",G5-F5)</f>
        <v/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2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4</v>
      </c>
      <c r="E6" s="48">
        <f t="shared" si="3"/>
        <v>120</v>
      </c>
      <c r="F6" s="54">
        <f t="shared" si="0"/>
        <v>5466.9703872437358</v>
      </c>
      <c r="G6" s="54">
        <f t="shared" si="1"/>
        <v>6833.7129840546695</v>
      </c>
      <c r="H6" s="63">
        <f t="shared" si="4"/>
        <v>0.8</v>
      </c>
      <c r="I6" s="50">
        <f t="shared" si="5"/>
        <v>1</v>
      </c>
      <c r="J6" s="46">
        <f t="shared" si="6"/>
        <v>1366.7425968109337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2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3"/>
        <v>0</v>
      </c>
      <c r="F7" s="54">
        <f t="shared" si="0"/>
        <v>0</v>
      </c>
      <c r="G7" s="54">
        <f t="shared" si="1"/>
        <v>3000</v>
      </c>
      <c r="H7" s="63">
        <f t="shared" si="4"/>
        <v>0</v>
      </c>
      <c r="I7" s="50">
        <f t="shared" si="5"/>
        <v>25</v>
      </c>
      <c r="J7" s="46">
        <f t="shared" si="6"/>
        <v>3000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2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5</v>
      </c>
      <c r="E8" s="48">
        <f t="shared" si="3"/>
        <v>9</v>
      </c>
      <c r="F8" s="54">
        <f t="shared" si="0"/>
        <v>580.64516129032256</v>
      </c>
      <c r="G8" s="54">
        <f t="shared" si="1"/>
        <v>3000</v>
      </c>
      <c r="H8" s="63">
        <f t="shared" si="4"/>
        <v>0.2</v>
      </c>
      <c r="I8" s="50">
        <f t="shared" si="5"/>
        <v>20</v>
      </c>
      <c r="J8" s="46">
        <f t="shared" si="6"/>
        <v>2419.3548387096776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2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3</v>
      </c>
      <c r="E9" s="48">
        <f t="shared" si="3"/>
        <v>5.4</v>
      </c>
      <c r="F9" s="54">
        <f t="shared" si="0"/>
        <v>339.62264150943395</v>
      </c>
      <c r="G9" s="54">
        <f t="shared" si="1"/>
        <v>3000</v>
      </c>
      <c r="H9" s="63">
        <f t="shared" si="4"/>
        <v>0.12000000000000001</v>
      </c>
      <c r="I9" s="50">
        <f t="shared" si="5"/>
        <v>22</v>
      </c>
      <c r="J9" s="46">
        <f t="shared" si="6"/>
        <v>2660.3773584905662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2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27</v>
      </c>
      <c r="E10" s="48">
        <f t="shared" si="3"/>
        <v>810</v>
      </c>
      <c r="F10" s="54">
        <f t="shared" si="0"/>
        <v>36902.050113895217</v>
      </c>
      <c r="G10" s="54">
        <f t="shared" si="1"/>
        <v>10933.940774487472</v>
      </c>
      <c r="H10" s="63">
        <f t="shared" si="4"/>
        <v>3.375</v>
      </c>
      <c r="I10" s="50">
        <f t="shared" si="5"/>
        <v>0</v>
      </c>
      <c r="J10" s="46" t="str">
        <f t="shared" si="6"/>
        <v/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2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5</v>
      </c>
      <c r="E11" s="48">
        <f t="shared" si="3"/>
        <v>150</v>
      </c>
      <c r="F11" s="54">
        <f t="shared" si="0"/>
        <v>6818.1818181818189</v>
      </c>
      <c r="G11" s="54">
        <f t="shared" si="1"/>
        <v>5454.545454545455</v>
      </c>
      <c r="H11" s="63">
        <f t="shared" si="4"/>
        <v>1.25</v>
      </c>
      <c r="I11" s="50">
        <f t="shared" si="5"/>
        <v>0</v>
      </c>
      <c r="J11" s="46" t="str">
        <f t="shared" si="6"/>
        <v/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2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121</v>
      </c>
      <c r="E12" s="605">
        <f>+D12*M12</f>
        <v>701.8</v>
      </c>
      <c r="F12" s="607">
        <f t="shared" si="0"/>
        <v>33578.947368421053</v>
      </c>
      <c r="G12" s="601">
        <f t="shared" si="1"/>
        <v>3456</v>
      </c>
      <c r="H12" s="603">
        <f>+E12/(L12*M12)</f>
        <v>10.083333333333334</v>
      </c>
      <c r="I12" s="593">
        <f t="shared" si="5"/>
        <v>0</v>
      </c>
      <c r="J12" s="595" t="str">
        <f t="shared" si="6"/>
        <v/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603" t="e">
        <f t="shared" si="4"/>
        <v>#DIV/0!</v>
      </c>
      <c r="I13" s="594"/>
      <c r="J13" s="596">
        <f t="shared" si="6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283</v>
      </c>
      <c r="E14" s="605">
        <f>+D14*M14</f>
        <v>1641.3999999999999</v>
      </c>
      <c r="F14" s="607">
        <f>+E14/N14</f>
        <v>41554.430379746831</v>
      </c>
      <c r="G14" s="601">
        <f>+L14*P14</f>
        <v>3456</v>
      </c>
      <c r="H14" s="603">
        <f t="shared" si="4"/>
        <v>11.791666666666666</v>
      </c>
      <c r="I14" s="593">
        <f t="shared" si="5"/>
        <v>0</v>
      </c>
      <c r="J14" s="595" t="str">
        <f t="shared" si="6"/>
        <v/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603" t="e">
        <f t="shared" si="4"/>
        <v>#DIV/0!</v>
      </c>
      <c r="I15" s="594"/>
      <c r="J15" s="596">
        <f t="shared" si="6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561">
        <v>1</v>
      </c>
      <c r="E16" s="604">
        <f>+D16*M16</f>
        <v>2.4</v>
      </c>
      <c r="F16" s="599">
        <f>+D16*P16</f>
        <v>24</v>
      </c>
      <c r="G16" s="601">
        <f>+L16*P16</f>
        <v>1920</v>
      </c>
      <c r="H16" s="603">
        <f t="shared" si="4"/>
        <v>1.2499999999999999E-2</v>
      </c>
      <c r="I16" s="593">
        <f t="shared" si="5"/>
        <v>79</v>
      </c>
      <c r="J16" s="595">
        <f t="shared" si="6"/>
        <v>1896</v>
      </c>
      <c r="K16" s="8" t="s">
        <v>50</v>
      </c>
      <c r="L16" s="615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thickBot="1" x14ac:dyDescent="0.35">
      <c r="A17" s="9">
        <v>828</v>
      </c>
      <c r="B17" s="10" t="s">
        <v>42</v>
      </c>
      <c r="C17" s="10" t="s">
        <v>60</v>
      </c>
      <c r="D17" s="562"/>
      <c r="E17" s="598"/>
      <c r="F17" s="600"/>
      <c r="G17" s="602"/>
      <c r="H17" s="603" t="e">
        <f t="shared" si="4"/>
        <v>#DIV/0!</v>
      </c>
      <c r="I17" s="594"/>
      <c r="J17" s="596">
        <f t="shared" si="6"/>
        <v>0</v>
      </c>
      <c r="K17" s="8" t="s">
        <v>50</v>
      </c>
      <c r="L17" s="560"/>
      <c r="M17" s="24">
        <v>2.4</v>
      </c>
      <c r="N17" s="22">
        <f>+O17/1000</f>
        <v>8.8999999999999996E-2</v>
      </c>
      <c r="O17" s="26">
        <v>89</v>
      </c>
      <c r="P17" s="20">
        <v>24</v>
      </c>
      <c r="Q17" s="40">
        <v>768</v>
      </c>
      <c r="R17" s="32"/>
    </row>
    <row r="18" spans="1:18" ht="21.2" customHeight="1" thickBot="1" x14ac:dyDescent="0.35">
      <c r="A18" s="9">
        <v>30</v>
      </c>
      <c r="B18" s="10" t="s">
        <v>43</v>
      </c>
      <c r="C18" s="10" t="s">
        <v>52</v>
      </c>
      <c r="D18" s="613">
        <v>22</v>
      </c>
      <c r="E18" s="597">
        <f>+D18*M18</f>
        <v>70.400000000000006</v>
      </c>
      <c r="F18" s="599">
        <f>+D18*P18</f>
        <v>528</v>
      </c>
      <c r="G18" s="601">
        <f>+L18*P18</f>
        <v>1920</v>
      </c>
      <c r="H18" s="603">
        <f t="shared" si="4"/>
        <v>0.27500000000000002</v>
      </c>
      <c r="I18" s="593">
        <f t="shared" si="5"/>
        <v>58</v>
      </c>
      <c r="J18" s="595">
        <f t="shared" si="6"/>
        <v>1392</v>
      </c>
      <c r="K18" s="8" t="s">
        <v>50</v>
      </c>
      <c r="L18" s="559">
        <v>80</v>
      </c>
      <c r="M18" s="24">
        <v>3.2</v>
      </c>
      <c r="N18" s="22">
        <f>+O18/1000</f>
        <v>0.124</v>
      </c>
      <c r="O18" s="26">
        <v>124</v>
      </c>
      <c r="P18" s="20">
        <v>24</v>
      </c>
      <c r="Q18" s="41">
        <v>2184</v>
      </c>
      <c r="R18" s="32"/>
    </row>
    <row r="19" spans="1:18" ht="18.75" x14ac:dyDescent="0.3">
      <c r="A19" s="62">
        <v>830</v>
      </c>
      <c r="B19" s="10" t="s">
        <v>43</v>
      </c>
      <c r="C19" s="10" t="s">
        <v>61</v>
      </c>
      <c r="D19" s="614"/>
      <c r="E19" s="598"/>
      <c r="F19" s="600"/>
      <c r="G19" s="602"/>
      <c r="H19" s="603" t="e">
        <f t="shared" si="4"/>
        <v>#DIV/0!</v>
      </c>
      <c r="I19" s="594"/>
      <c r="J19" s="596">
        <f t="shared" si="6"/>
        <v>0</v>
      </c>
      <c r="K19" s="8" t="s">
        <v>50</v>
      </c>
      <c r="L19" s="560"/>
      <c r="M19" s="24">
        <v>3.2</v>
      </c>
      <c r="N19" s="22">
        <f>+O19/1000</f>
        <v>0.124</v>
      </c>
      <c r="O19" s="26">
        <v>124</v>
      </c>
      <c r="P19" s="20">
        <v>24</v>
      </c>
      <c r="Q19" s="61">
        <v>1728</v>
      </c>
    </row>
  </sheetData>
  <autoFilter ref="A3:Q19" xr:uid="{00000000-0009-0000-0000-000067000000}"/>
  <mergeCells count="47"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B14:B15"/>
    <mergeCell ref="D14:D15"/>
    <mergeCell ref="E14:E15"/>
    <mergeCell ref="F14:F15"/>
    <mergeCell ref="G14:G15"/>
    <mergeCell ref="P14:P15"/>
    <mergeCell ref="R14:R15"/>
    <mergeCell ref="D16:D17"/>
    <mergeCell ref="L16:L17"/>
    <mergeCell ref="R12:R13"/>
    <mergeCell ref="H14:H15"/>
    <mergeCell ref="I14:I15"/>
    <mergeCell ref="J14:J15"/>
    <mergeCell ref="L14:L15"/>
    <mergeCell ref="J12:J13"/>
    <mergeCell ref="L12:L13"/>
    <mergeCell ref="M12:M13"/>
    <mergeCell ref="N12:N13"/>
    <mergeCell ref="O12:O13"/>
    <mergeCell ref="P12:P13"/>
    <mergeCell ref="H16:H17"/>
    <mergeCell ref="H18:H19"/>
    <mergeCell ref="M14:M15"/>
    <mergeCell ref="N14:N15"/>
    <mergeCell ref="O14:O15"/>
    <mergeCell ref="G16:G17"/>
    <mergeCell ref="G18:G19"/>
    <mergeCell ref="L18:L19"/>
    <mergeCell ref="I16:I17"/>
    <mergeCell ref="I18:I19"/>
    <mergeCell ref="J16:J17"/>
    <mergeCell ref="J18:J19"/>
    <mergeCell ref="D18:D19"/>
    <mergeCell ref="E16:E17"/>
    <mergeCell ref="E18:E19"/>
    <mergeCell ref="F16:F17"/>
    <mergeCell ref="F18:F1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 codeName="Hoja33">
    <tabColor rgb="FF00B0F0"/>
  </sheetPr>
  <dimension ref="A1:R17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hidden="1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>
        <v>45232</v>
      </c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11</v>
      </c>
      <c r="E4" s="46">
        <f>D4*M4</f>
        <v>330</v>
      </c>
      <c r="F4" s="54">
        <f t="shared" ref="F4:F12" si="0">+E4/N4</f>
        <v>10015.174506828527</v>
      </c>
      <c r="G4" s="54">
        <f t="shared" ref="G4:G12" si="1">+L4*P4</f>
        <v>4552.3520485584222</v>
      </c>
      <c r="H4" s="52">
        <f>+(E4*100)/(L4*M4)</f>
        <v>220</v>
      </c>
      <c r="I4" s="49">
        <f>IF(L4-D4&lt;0,0,L4-D4)</f>
        <v>0</v>
      </c>
      <c r="J4" s="46">
        <f t="shared" ref="J4:J17" si="2">+F4-E4</f>
        <v>9685.1745068285272</v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15</v>
      </c>
      <c r="E5" s="48">
        <f t="shared" ref="E5:E11" si="4">D5*M5</f>
        <v>450</v>
      </c>
      <c r="F5" s="54">
        <f t="shared" si="0"/>
        <v>20501.138952164009</v>
      </c>
      <c r="G5" s="54">
        <f t="shared" si="1"/>
        <v>5466.9703872437358</v>
      </c>
      <c r="H5" s="52">
        <f t="shared" ref="H5:H17" si="5">+(E5*100)/(L5*M5)</f>
        <v>375</v>
      </c>
      <c r="I5" s="50">
        <f t="shared" ref="I5:I17" si="6">IF(L5-D5&lt;0,0,L5-D5)</f>
        <v>0</v>
      </c>
      <c r="J5" s="46">
        <f t="shared" si="2"/>
        <v>20051.138952164009</v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4</v>
      </c>
      <c r="E6" s="48">
        <f t="shared" si="4"/>
        <v>120</v>
      </c>
      <c r="F6" s="54">
        <f t="shared" si="0"/>
        <v>5466.9703872437358</v>
      </c>
      <c r="G6" s="54">
        <f t="shared" si="1"/>
        <v>6833.7129840546695</v>
      </c>
      <c r="H6" s="52">
        <f t="shared" si="5"/>
        <v>80</v>
      </c>
      <c r="I6" s="50">
        <f t="shared" si="6"/>
        <v>1</v>
      </c>
      <c r="J6" s="46">
        <f t="shared" si="2"/>
        <v>5346.9703872437358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4"/>
        <v>0</v>
      </c>
      <c r="F7" s="54">
        <f t="shared" si="0"/>
        <v>0</v>
      </c>
      <c r="G7" s="54">
        <f t="shared" si="1"/>
        <v>3000</v>
      </c>
      <c r="H7" s="52">
        <f t="shared" si="5"/>
        <v>0</v>
      </c>
      <c r="I7" s="50">
        <f t="shared" si="6"/>
        <v>25</v>
      </c>
      <c r="J7" s="46">
        <f t="shared" si="2"/>
        <v>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6</v>
      </c>
      <c r="E8" s="48">
        <f t="shared" si="4"/>
        <v>10.8</v>
      </c>
      <c r="F8" s="54">
        <f t="shared" si="0"/>
        <v>696.77419354838719</v>
      </c>
      <c r="G8" s="54">
        <f t="shared" si="1"/>
        <v>3000</v>
      </c>
      <c r="H8" s="52">
        <f t="shared" si="5"/>
        <v>24</v>
      </c>
      <c r="I8" s="50">
        <f t="shared" si="6"/>
        <v>19</v>
      </c>
      <c r="J8" s="46">
        <f t="shared" si="2"/>
        <v>685.97419354838723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3</v>
      </c>
      <c r="E9" s="48">
        <f t="shared" si="4"/>
        <v>5.4</v>
      </c>
      <c r="F9" s="54">
        <f t="shared" si="0"/>
        <v>339.62264150943395</v>
      </c>
      <c r="G9" s="54">
        <f t="shared" si="1"/>
        <v>3000</v>
      </c>
      <c r="H9" s="52">
        <f t="shared" si="5"/>
        <v>12</v>
      </c>
      <c r="I9" s="50">
        <f t="shared" si="6"/>
        <v>22</v>
      </c>
      <c r="J9" s="46">
        <f t="shared" si="2"/>
        <v>334.22264150943397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31</v>
      </c>
      <c r="E10" s="48">
        <f t="shared" si="4"/>
        <v>930</v>
      </c>
      <c r="F10" s="54">
        <f t="shared" si="0"/>
        <v>42369.020501138948</v>
      </c>
      <c r="G10" s="54">
        <f t="shared" si="1"/>
        <v>10933.940774487472</v>
      </c>
      <c r="H10" s="52">
        <f t="shared" si="5"/>
        <v>387.5</v>
      </c>
      <c r="I10" s="50">
        <f t="shared" si="6"/>
        <v>0</v>
      </c>
      <c r="J10" s="46">
        <f t="shared" si="2"/>
        <v>41439.020501138948</v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4</v>
      </c>
      <c r="E11" s="48">
        <f t="shared" si="4"/>
        <v>120</v>
      </c>
      <c r="F11" s="54">
        <f t="shared" si="0"/>
        <v>5454.545454545455</v>
      </c>
      <c r="G11" s="54">
        <f t="shared" si="1"/>
        <v>5454.545454545455</v>
      </c>
      <c r="H11" s="52">
        <f t="shared" si="5"/>
        <v>100</v>
      </c>
      <c r="I11" s="50">
        <f t="shared" si="6"/>
        <v>0</v>
      </c>
      <c r="J11" s="46">
        <f t="shared" si="2"/>
        <v>5334.545454545455</v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195</v>
      </c>
      <c r="E12" s="605">
        <f>+D12*M12</f>
        <v>1131</v>
      </c>
      <c r="F12" s="607">
        <f t="shared" si="0"/>
        <v>54114.832535885173</v>
      </c>
      <c r="G12" s="601">
        <f t="shared" si="1"/>
        <v>3456</v>
      </c>
      <c r="H12" s="539">
        <f t="shared" si="5"/>
        <v>1625.0000000000002</v>
      </c>
      <c r="I12" s="593">
        <f t="shared" si="6"/>
        <v>0</v>
      </c>
      <c r="J12" s="595">
        <f t="shared" si="2"/>
        <v>52983.832535885173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539" t="e">
        <f t="shared" si="5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158</v>
      </c>
      <c r="E14" s="605">
        <f>+D14*M14</f>
        <v>916.4</v>
      </c>
      <c r="F14" s="607">
        <f>+E14/N14</f>
        <v>23200</v>
      </c>
      <c r="G14" s="601">
        <f>+L14*P14</f>
        <v>3456</v>
      </c>
      <c r="H14" s="539">
        <f t="shared" si="5"/>
        <v>658.33333333333337</v>
      </c>
      <c r="I14" s="593">
        <f t="shared" si="6"/>
        <v>0</v>
      </c>
      <c r="J14" s="595">
        <f t="shared" si="2"/>
        <v>22283.599999999999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539" t="e">
        <f t="shared" si="5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37">
        <v>24</v>
      </c>
      <c r="E16" s="48">
        <f>+D16*M16</f>
        <v>57.599999999999994</v>
      </c>
      <c r="F16" s="54">
        <f>+E16/N16</f>
        <v>647.19101123595499</v>
      </c>
      <c r="G16" s="54">
        <f>+L16*P16</f>
        <v>1920</v>
      </c>
      <c r="H16" s="53">
        <f t="shared" si="5"/>
        <v>29.999999999999996</v>
      </c>
      <c r="I16" s="51">
        <f t="shared" si="6"/>
        <v>56</v>
      </c>
      <c r="J16" s="47">
        <f t="shared" si="2"/>
        <v>589.59101123595497</v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x14ac:dyDescent="0.3">
      <c r="A17" s="9">
        <v>30</v>
      </c>
      <c r="B17" s="10" t="s">
        <v>43</v>
      </c>
      <c r="C17" s="10" t="s">
        <v>52</v>
      </c>
      <c r="D17" s="38">
        <v>45</v>
      </c>
      <c r="E17" s="48">
        <f>+D17*M17</f>
        <v>144</v>
      </c>
      <c r="F17" s="54">
        <f>+E17/N17</f>
        <v>1161.2903225806451</v>
      </c>
      <c r="G17" s="54">
        <f>+L17*P17</f>
        <v>2400</v>
      </c>
      <c r="H17" s="53">
        <f t="shared" si="5"/>
        <v>45</v>
      </c>
      <c r="I17" s="51">
        <f t="shared" si="6"/>
        <v>55</v>
      </c>
      <c r="J17" s="47">
        <f t="shared" si="2"/>
        <v>1017.2903225806451</v>
      </c>
      <c r="K17" s="8" t="s">
        <v>50</v>
      </c>
      <c r="L17" s="20">
        <v>100</v>
      </c>
      <c r="M17" s="24">
        <v>3.2</v>
      </c>
      <c r="N17" s="22">
        <f>+O17/1000</f>
        <v>0.124</v>
      </c>
      <c r="O17" s="26">
        <v>124</v>
      </c>
      <c r="P17" s="20">
        <v>24</v>
      </c>
      <c r="Q17" s="41">
        <v>2184</v>
      </c>
      <c r="R17" s="32"/>
    </row>
  </sheetData>
  <autoFilter ref="A3:Q17" xr:uid="{00000000-0009-0000-0000-000068000000}"/>
  <mergeCells count="31">
    <mergeCell ref="J12:J13"/>
    <mergeCell ref="J14:J15"/>
    <mergeCell ref="L2:R2"/>
    <mergeCell ref="L14:L15"/>
    <mergeCell ref="N12:N13"/>
    <mergeCell ref="N14:N15"/>
    <mergeCell ref="O12:O13"/>
    <mergeCell ref="P12:P13"/>
    <mergeCell ref="R12:R13"/>
    <mergeCell ref="O14:O15"/>
    <mergeCell ref="M14:M15"/>
    <mergeCell ref="M12:M13"/>
    <mergeCell ref="P14:P15"/>
    <mergeCell ref="R14:R15"/>
    <mergeCell ref="L12:L13"/>
    <mergeCell ref="A1:C1"/>
    <mergeCell ref="A2:B2"/>
    <mergeCell ref="B12:B13"/>
    <mergeCell ref="D12:D13"/>
    <mergeCell ref="E12:E13"/>
    <mergeCell ref="I14:I15"/>
    <mergeCell ref="I12:I13"/>
    <mergeCell ref="B14:B15"/>
    <mergeCell ref="D14:D15"/>
    <mergeCell ref="E14:E15"/>
    <mergeCell ref="F14:F15"/>
    <mergeCell ref="G12:G13"/>
    <mergeCell ref="H12:H13"/>
    <mergeCell ref="H14:H15"/>
    <mergeCell ref="F12:F13"/>
    <mergeCell ref="G14:G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 codeName="Hoja34">
    <tabColor rgb="FF00B0F0"/>
  </sheetPr>
  <dimension ref="A1:R17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1.42578125" customWidth="1"/>
    <col min="7" max="7" width="10.28515625" customWidth="1"/>
    <col min="8" max="8" width="7.85546875" customWidth="1"/>
    <col min="9" max="10" width="9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/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56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11</v>
      </c>
      <c r="E4" s="46">
        <f>D4*M4</f>
        <v>330</v>
      </c>
      <c r="F4" s="54">
        <f t="shared" ref="F4:F12" si="0">+E4/N4</f>
        <v>10015.174506828527</v>
      </c>
      <c r="G4" s="54">
        <f t="shared" ref="G4:G12" si="1">+L4*P4</f>
        <v>4552.3520485584222</v>
      </c>
      <c r="H4" s="52">
        <f>+(E4*100)/(L4*M4)</f>
        <v>220</v>
      </c>
      <c r="I4" s="49">
        <f>IF(L4-D4&lt;0,0,L4-D4)</f>
        <v>0</v>
      </c>
      <c r="J4" s="46">
        <f t="shared" ref="J4:J17" si="2">+F4-E4</f>
        <v>9685.1745068285272</v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3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15</v>
      </c>
      <c r="E5" s="48">
        <f t="shared" ref="E5:E11" si="4">D5*M5</f>
        <v>450</v>
      </c>
      <c r="F5" s="54">
        <f t="shared" si="0"/>
        <v>20501.138952164009</v>
      </c>
      <c r="G5" s="54">
        <f t="shared" si="1"/>
        <v>5466.9703872437358</v>
      </c>
      <c r="H5" s="52">
        <f t="shared" ref="H5:H17" si="5">+(E5*100)/(L5*M5)</f>
        <v>375</v>
      </c>
      <c r="I5" s="50">
        <f t="shared" ref="I5:I17" si="6">IF(L5-D5&lt;0,0,L5-D5)</f>
        <v>0</v>
      </c>
      <c r="J5" s="46">
        <f t="shared" si="2"/>
        <v>20051.138952164009</v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3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4</v>
      </c>
      <c r="E6" s="48">
        <f t="shared" si="4"/>
        <v>120</v>
      </c>
      <c r="F6" s="54">
        <f t="shared" si="0"/>
        <v>5466.9703872437358</v>
      </c>
      <c r="G6" s="54">
        <f t="shared" si="1"/>
        <v>6833.7129840546695</v>
      </c>
      <c r="H6" s="52">
        <f t="shared" si="5"/>
        <v>80</v>
      </c>
      <c r="I6" s="50">
        <f t="shared" si="6"/>
        <v>1</v>
      </c>
      <c r="J6" s="46">
        <f t="shared" si="2"/>
        <v>5346.9703872437358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3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48">
        <f t="shared" si="4"/>
        <v>0</v>
      </c>
      <c r="F7" s="54">
        <f t="shared" si="0"/>
        <v>0</v>
      </c>
      <c r="G7" s="54">
        <f t="shared" si="1"/>
        <v>3000</v>
      </c>
      <c r="H7" s="52">
        <f t="shared" si="5"/>
        <v>0</v>
      </c>
      <c r="I7" s="50">
        <f t="shared" si="6"/>
        <v>25</v>
      </c>
      <c r="J7" s="46">
        <f t="shared" si="2"/>
        <v>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3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6</v>
      </c>
      <c r="E8" s="48">
        <f t="shared" si="4"/>
        <v>10.8</v>
      </c>
      <c r="F8" s="54">
        <f t="shared" si="0"/>
        <v>696.77419354838719</v>
      </c>
      <c r="G8" s="54">
        <f t="shared" si="1"/>
        <v>3000</v>
      </c>
      <c r="H8" s="52">
        <f t="shared" si="5"/>
        <v>24</v>
      </c>
      <c r="I8" s="50">
        <f t="shared" si="6"/>
        <v>19</v>
      </c>
      <c r="J8" s="46">
        <f t="shared" si="2"/>
        <v>685.97419354838723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3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3</v>
      </c>
      <c r="E9" s="48">
        <f t="shared" si="4"/>
        <v>5.4</v>
      </c>
      <c r="F9" s="54">
        <f t="shared" si="0"/>
        <v>339.62264150943395</v>
      </c>
      <c r="G9" s="54">
        <f t="shared" si="1"/>
        <v>3000</v>
      </c>
      <c r="H9" s="52">
        <f t="shared" si="5"/>
        <v>12</v>
      </c>
      <c r="I9" s="50">
        <f t="shared" si="6"/>
        <v>22</v>
      </c>
      <c r="J9" s="46">
        <f t="shared" si="2"/>
        <v>334.22264150943397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3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31</v>
      </c>
      <c r="E10" s="48">
        <f t="shared" si="4"/>
        <v>930</v>
      </c>
      <c r="F10" s="54">
        <f t="shared" si="0"/>
        <v>42369.020501138948</v>
      </c>
      <c r="G10" s="54">
        <f t="shared" si="1"/>
        <v>10933.940774487472</v>
      </c>
      <c r="H10" s="52">
        <f t="shared" si="5"/>
        <v>387.5</v>
      </c>
      <c r="I10" s="50">
        <f t="shared" si="6"/>
        <v>0</v>
      </c>
      <c r="J10" s="46">
        <f t="shared" si="2"/>
        <v>41439.020501138948</v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3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4</v>
      </c>
      <c r="E11" s="48">
        <f t="shared" si="4"/>
        <v>120</v>
      </c>
      <c r="F11" s="54">
        <f t="shared" si="0"/>
        <v>5454.545454545455</v>
      </c>
      <c r="G11" s="54">
        <f t="shared" si="1"/>
        <v>5454.545454545455</v>
      </c>
      <c r="H11" s="52">
        <f t="shared" si="5"/>
        <v>100</v>
      </c>
      <c r="I11" s="50">
        <f t="shared" si="6"/>
        <v>0</v>
      </c>
      <c r="J11" s="46">
        <f t="shared" si="2"/>
        <v>5334.545454545455</v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3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115</v>
      </c>
      <c r="E12" s="605">
        <f>+D12*M12</f>
        <v>667</v>
      </c>
      <c r="F12" s="607">
        <f t="shared" si="0"/>
        <v>31913.875598086128</v>
      </c>
      <c r="G12" s="601">
        <f t="shared" si="1"/>
        <v>3456</v>
      </c>
      <c r="H12" s="539">
        <f t="shared" si="5"/>
        <v>958.33333333333337</v>
      </c>
      <c r="I12" s="593">
        <f t="shared" si="6"/>
        <v>0</v>
      </c>
      <c r="J12" s="595">
        <f t="shared" si="2"/>
        <v>31246.875598086128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608"/>
      <c r="F13" s="607"/>
      <c r="G13" s="602"/>
      <c r="H13" s="539" t="e">
        <f t="shared" si="5"/>
        <v>#DIV/0!</v>
      </c>
      <c r="I13" s="594"/>
      <c r="J13" s="596">
        <f t="shared" si="2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106</v>
      </c>
      <c r="E14" s="605">
        <f>+D14*M14</f>
        <v>614.79999999999995</v>
      </c>
      <c r="F14" s="607">
        <f>+E14/N14</f>
        <v>15564.556962025315</v>
      </c>
      <c r="G14" s="601">
        <f>+L14*P14</f>
        <v>3456</v>
      </c>
      <c r="H14" s="539">
        <f t="shared" si="5"/>
        <v>441.66666666666663</v>
      </c>
      <c r="I14" s="593">
        <f t="shared" si="6"/>
        <v>0</v>
      </c>
      <c r="J14" s="595">
        <f t="shared" si="2"/>
        <v>14949.756962025316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06"/>
      <c r="F15" s="607"/>
      <c r="G15" s="602"/>
      <c r="H15" s="539" t="e">
        <f t="shared" si="5"/>
        <v>#DIV/0!</v>
      </c>
      <c r="I15" s="594"/>
      <c r="J15" s="596">
        <f t="shared" si="2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37">
        <v>0</v>
      </c>
      <c r="E16" s="48">
        <f>+D16*M16</f>
        <v>0</v>
      </c>
      <c r="F16" s="54">
        <f>+E16/N16</f>
        <v>0</v>
      </c>
      <c r="G16" s="54">
        <f>+L16*P16</f>
        <v>1920</v>
      </c>
      <c r="H16" s="53">
        <f t="shared" si="5"/>
        <v>0</v>
      </c>
      <c r="I16" s="51">
        <f t="shared" si="6"/>
        <v>80</v>
      </c>
      <c r="J16" s="47">
        <f t="shared" si="2"/>
        <v>0</v>
      </c>
      <c r="K16" s="8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x14ac:dyDescent="0.3">
      <c r="A17" s="9">
        <v>30</v>
      </c>
      <c r="B17" s="10" t="s">
        <v>43</v>
      </c>
      <c r="C17" s="10" t="s">
        <v>52</v>
      </c>
      <c r="D17" s="38">
        <v>0</v>
      </c>
      <c r="E17" s="48">
        <f>+D17*M17</f>
        <v>0</v>
      </c>
      <c r="F17" s="54">
        <f>+E17/N17</f>
        <v>0</v>
      </c>
      <c r="G17" s="54">
        <f>+L17*P17</f>
        <v>2400</v>
      </c>
      <c r="H17" s="53">
        <f t="shared" si="5"/>
        <v>0</v>
      </c>
      <c r="I17" s="51">
        <f t="shared" si="6"/>
        <v>100</v>
      </c>
      <c r="J17" s="47">
        <f t="shared" si="2"/>
        <v>0</v>
      </c>
      <c r="K17" s="8" t="s">
        <v>50</v>
      </c>
      <c r="L17" s="20">
        <v>100</v>
      </c>
      <c r="M17" s="24">
        <v>3.2</v>
      </c>
      <c r="N17" s="22">
        <f>+O17/1000</f>
        <v>0.124</v>
      </c>
      <c r="O17" s="26">
        <v>124</v>
      </c>
      <c r="P17" s="20">
        <v>24</v>
      </c>
      <c r="Q17" s="41">
        <v>2184</v>
      </c>
      <c r="R17" s="32"/>
    </row>
  </sheetData>
  <autoFilter ref="A3:Q15" xr:uid="{00000000-0009-0000-0000-000069000000}"/>
  <mergeCells count="31">
    <mergeCell ref="A1:C1"/>
    <mergeCell ref="A2:B2"/>
    <mergeCell ref="L2:R2"/>
    <mergeCell ref="B12:B13"/>
    <mergeCell ref="D12:D13"/>
    <mergeCell ref="E12:E13"/>
    <mergeCell ref="F12:F13"/>
    <mergeCell ref="G12:G13"/>
    <mergeCell ref="H12:H13"/>
    <mergeCell ref="I12:I13"/>
    <mergeCell ref="R12:R13"/>
    <mergeCell ref="M12:M13"/>
    <mergeCell ref="N12:N13"/>
    <mergeCell ref="O12:O13"/>
    <mergeCell ref="P12:P13"/>
    <mergeCell ref="B14:B15"/>
    <mergeCell ref="D14:D15"/>
    <mergeCell ref="E14:E15"/>
    <mergeCell ref="F14:F15"/>
    <mergeCell ref="G14:G15"/>
    <mergeCell ref="H14:H15"/>
    <mergeCell ref="I14:I15"/>
    <mergeCell ref="J14:J15"/>
    <mergeCell ref="L14:L15"/>
    <mergeCell ref="J12:J13"/>
    <mergeCell ref="L12:L13"/>
    <mergeCell ref="M14:M15"/>
    <mergeCell ref="N14:N15"/>
    <mergeCell ref="O14:O15"/>
    <mergeCell ref="P14:P15"/>
    <mergeCell ref="R14:R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 codeName="Hoja35">
    <tabColor rgb="FF00B0F0"/>
  </sheetPr>
  <dimension ref="A1:R17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0.28515625" customWidth="1"/>
    <col min="7" max="7" width="12.140625" customWidth="1"/>
    <col min="8" max="8" width="7.85546875" customWidth="1"/>
    <col min="9" max="9" width="9.28515625" customWidth="1"/>
    <col min="10" max="10" width="12.28515625" customWidth="1"/>
    <col min="11" max="11" width="13.140625" customWidth="1"/>
    <col min="12" max="12" width="12" customWidth="1"/>
    <col min="13" max="13" width="9.42578125" customWidth="1"/>
    <col min="14" max="14" width="10.85546875" customWidth="1"/>
    <col min="15" max="15" width="8.28515625" customWidth="1"/>
    <col min="16" max="16" width="11.28515625" customWidth="1"/>
    <col min="17" max="17" width="11.140625" customWidth="1"/>
    <col min="18" max="18" width="11.28515625" customWidth="1"/>
  </cols>
  <sheetData>
    <row r="1" spans="1:18" ht="47.25" thickBot="1" x14ac:dyDescent="0.3">
      <c r="A1" s="527" t="s">
        <v>0</v>
      </c>
      <c r="B1" s="528"/>
      <c r="C1" s="529"/>
      <c r="D1" s="1"/>
      <c r="E1" s="1"/>
      <c r="F1" s="1"/>
      <c r="G1" s="1"/>
      <c r="I1" s="1"/>
      <c r="J1" s="1"/>
    </row>
    <row r="2" spans="1:18" ht="24.75" customHeight="1" thickBot="1" x14ac:dyDescent="0.35">
      <c r="A2" s="585" t="s">
        <v>1</v>
      </c>
      <c r="B2" s="586"/>
      <c r="C2" s="2"/>
      <c r="D2" s="1"/>
      <c r="E2" s="1"/>
      <c r="F2" s="1"/>
      <c r="G2" s="1"/>
      <c r="I2" s="3" t="s">
        <v>55</v>
      </c>
      <c r="J2" s="3"/>
      <c r="L2" s="522" t="s">
        <v>2</v>
      </c>
      <c r="M2" s="523"/>
      <c r="N2" s="523"/>
      <c r="O2" s="523"/>
      <c r="P2" s="523"/>
      <c r="Q2" s="523"/>
      <c r="R2" s="524"/>
    </row>
    <row r="3" spans="1:18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G3" s="4" t="s">
        <v>58</v>
      </c>
      <c r="H3" s="4" t="s">
        <v>57</v>
      </c>
      <c r="I3" s="18" t="s">
        <v>54</v>
      </c>
      <c r="J3" s="45" t="s">
        <v>59</v>
      </c>
      <c r="K3" s="36" t="s">
        <v>46</v>
      </c>
      <c r="L3" s="4" t="s">
        <v>13</v>
      </c>
      <c r="M3" s="6" t="s">
        <v>38</v>
      </c>
      <c r="N3" s="4" t="s">
        <v>10</v>
      </c>
      <c r="O3" s="6" t="s">
        <v>9</v>
      </c>
      <c r="P3" s="4" t="s">
        <v>11</v>
      </c>
      <c r="Q3" s="6" t="s">
        <v>14</v>
      </c>
      <c r="R3" s="4" t="s">
        <v>12</v>
      </c>
    </row>
    <row r="4" spans="1:18" ht="19.5" thickBot="1" x14ac:dyDescent="0.35">
      <c r="A4" s="7">
        <v>500</v>
      </c>
      <c r="B4" s="8" t="s">
        <v>15</v>
      </c>
      <c r="C4" s="8" t="s">
        <v>16</v>
      </c>
      <c r="D4" s="33">
        <v>11</v>
      </c>
      <c r="E4" s="17">
        <f>D4*M4</f>
        <v>330</v>
      </c>
      <c r="F4" s="46">
        <f t="shared" ref="F4:F12" si="0">+E4/N4</f>
        <v>10015.174506828527</v>
      </c>
      <c r="G4" s="58">
        <f>+L4*P4</f>
        <v>4552.3520485584222</v>
      </c>
      <c r="H4" s="57">
        <f>+(F4*100)/G4</f>
        <v>219.99999999999997</v>
      </c>
      <c r="I4" s="54">
        <f>IF(L4-D4&lt;0,0,L4-D4)</f>
        <v>0</v>
      </c>
      <c r="J4" s="59">
        <f>+G4-F4</f>
        <v>-5462.822458270105</v>
      </c>
      <c r="K4" s="8" t="s">
        <v>47</v>
      </c>
      <c r="L4" s="19">
        <v>5</v>
      </c>
      <c r="M4" s="23">
        <v>30</v>
      </c>
      <c r="N4" s="21">
        <f>+O4/1000</f>
        <v>3.295E-2</v>
      </c>
      <c r="O4" s="25">
        <v>32.950000000000003</v>
      </c>
      <c r="P4" s="19">
        <f>+M4/N4</f>
        <v>910.4704097116844</v>
      </c>
      <c r="Q4" s="23">
        <v>2520</v>
      </c>
      <c r="R4" s="31">
        <f t="shared" ref="R4:R11" si="1">1.5*Q4/P4</f>
        <v>4.1516999999999999</v>
      </c>
    </row>
    <row r="5" spans="1:18" ht="19.5" thickBot="1" x14ac:dyDescent="0.35">
      <c r="A5" s="9">
        <v>706</v>
      </c>
      <c r="B5" s="10" t="s">
        <v>17</v>
      </c>
      <c r="C5" s="10" t="s">
        <v>18</v>
      </c>
      <c r="D5" s="34">
        <v>17</v>
      </c>
      <c r="E5" s="16">
        <f t="shared" ref="E5:E11" si="2">D5*M5</f>
        <v>510</v>
      </c>
      <c r="F5" s="48">
        <f t="shared" si="0"/>
        <v>23234.624145785878</v>
      </c>
      <c r="G5" s="58">
        <f t="shared" ref="G5:G17" si="3">+L5*P5</f>
        <v>5466.9703872437358</v>
      </c>
      <c r="H5" s="57">
        <f t="shared" ref="H5:H17" si="4">+(F5*100)/G5</f>
        <v>425</v>
      </c>
      <c r="I5" s="54">
        <f t="shared" ref="I5:I17" si="5">IF(L5-D5&lt;0,0,L5-D5)</f>
        <v>0</v>
      </c>
      <c r="J5" s="59">
        <f t="shared" ref="J5:J17" si="6">+G5-F5</f>
        <v>-17767.653758542143</v>
      </c>
      <c r="K5" s="8" t="s">
        <v>47</v>
      </c>
      <c r="L5" s="20">
        <v>4</v>
      </c>
      <c r="M5" s="24">
        <v>30</v>
      </c>
      <c r="N5" s="22">
        <f t="shared" ref="N5:N11" si="7">+O5/1000</f>
        <v>2.1950000000000001E-2</v>
      </c>
      <c r="O5" s="26">
        <v>21.95</v>
      </c>
      <c r="P5" s="20">
        <f t="shared" ref="P5:P11" si="8">+M5/N5</f>
        <v>1366.7425968109339</v>
      </c>
      <c r="Q5" s="24">
        <v>3600</v>
      </c>
      <c r="R5" s="32">
        <f t="shared" si="1"/>
        <v>3.9510000000000001</v>
      </c>
    </row>
    <row r="6" spans="1:18" ht="19.5" thickBot="1" x14ac:dyDescent="0.35">
      <c r="A6" s="9" t="s">
        <v>19</v>
      </c>
      <c r="B6" s="10" t="s">
        <v>20</v>
      </c>
      <c r="C6" s="10" t="s">
        <v>21</v>
      </c>
      <c r="D6" s="34">
        <v>4</v>
      </c>
      <c r="E6" s="16">
        <f t="shared" si="2"/>
        <v>120</v>
      </c>
      <c r="F6" s="48">
        <f t="shared" si="0"/>
        <v>5466.9703872437358</v>
      </c>
      <c r="G6" s="58">
        <f t="shared" si="3"/>
        <v>6833.7129840546695</v>
      </c>
      <c r="H6" s="57">
        <f t="shared" si="4"/>
        <v>80</v>
      </c>
      <c r="I6" s="54">
        <f t="shared" si="5"/>
        <v>1</v>
      </c>
      <c r="J6" s="59">
        <f t="shared" si="6"/>
        <v>1366.7425968109337</v>
      </c>
      <c r="K6" s="8" t="s">
        <v>47</v>
      </c>
      <c r="L6" s="20">
        <v>5</v>
      </c>
      <c r="M6" s="24">
        <v>30</v>
      </c>
      <c r="N6" s="22">
        <f t="shared" si="7"/>
        <v>2.1950000000000001E-2</v>
      </c>
      <c r="O6" s="26">
        <v>21.95</v>
      </c>
      <c r="P6" s="20">
        <f t="shared" si="8"/>
        <v>1366.7425968109339</v>
      </c>
      <c r="Q6" s="24">
        <v>0</v>
      </c>
      <c r="R6" s="32">
        <f t="shared" si="1"/>
        <v>0</v>
      </c>
    </row>
    <row r="7" spans="1:18" ht="19.5" thickBot="1" x14ac:dyDescent="0.35">
      <c r="A7" s="9">
        <v>654</v>
      </c>
      <c r="B7" s="10" t="s">
        <v>22</v>
      </c>
      <c r="C7" s="10" t="s">
        <v>23</v>
      </c>
      <c r="D7" s="34">
        <v>2</v>
      </c>
      <c r="E7" s="16">
        <f t="shared" si="2"/>
        <v>5.1599999999999993</v>
      </c>
      <c r="F7" s="48">
        <f t="shared" si="0"/>
        <v>239.99999999999997</v>
      </c>
      <c r="G7" s="58">
        <f t="shared" si="3"/>
        <v>3000</v>
      </c>
      <c r="H7" s="57">
        <f t="shared" si="4"/>
        <v>7.9999999999999991</v>
      </c>
      <c r="I7" s="54">
        <f t="shared" si="5"/>
        <v>23</v>
      </c>
      <c r="J7" s="59">
        <f t="shared" si="6"/>
        <v>2760</v>
      </c>
      <c r="K7" s="8" t="s">
        <v>53</v>
      </c>
      <c r="L7" s="20">
        <v>25</v>
      </c>
      <c r="M7" s="30">
        <f>+P7*N7</f>
        <v>2.5799999999999996</v>
      </c>
      <c r="N7" s="22">
        <f t="shared" si="7"/>
        <v>2.1499999999999998E-2</v>
      </c>
      <c r="O7" s="26">
        <v>21.5</v>
      </c>
      <c r="P7" s="20">
        <v>120</v>
      </c>
      <c r="Q7" s="24">
        <v>1200</v>
      </c>
      <c r="R7" s="32">
        <f t="shared" si="1"/>
        <v>15</v>
      </c>
    </row>
    <row r="8" spans="1:18" ht="19.5" thickBot="1" x14ac:dyDescent="0.35">
      <c r="A8" s="9">
        <v>558</v>
      </c>
      <c r="B8" s="10" t="s">
        <v>24</v>
      </c>
      <c r="C8" s="10" t="s">
        <v>25</v>
      </c>
      <c r="D8" s="34">
        <v>6</v>
      </c>
      <c r="E8" s="16">
        <f t="shared" si="2"/>
        <v>10.8</v>
      </c>
      <c r="F8" s="48">
        <f t="shared" si="0"/>
        <v>696.77419354838719</v>
      </c>
      <c r="G8" s="58">
        <f t="shared" si="3"/>
        <v>3000</v>
      </c>
      <c r="H8" s="57">
        <f t="shared" si="4"/>
        <v>23.225806451612904</v>
      </c>
      <c r="I8" s="54">
        <f t="shared" si="5"/>
        <v>19</v>
      </c>
      <c r="J8" s="59">
        <f t="shared" si="6"/>
        <v>2303.2258064516127</v>
      </c>
      <c r="K8" s="8" t="s">
        <v>53</v>
      </c>
      <c r="L8" s="20">
        <v>25</v>
      </c>
      <c r="M8" s="30">
        <v>1.8</v>
      </c>
      <c r="N8" s="22">
        <f t="shared" si="7"/>
        <v>1.55E-2</v>
      </c>
      <c r="O8" s="26">
        <v>15.5</v>
      </c>
      <c r="P8" s="20">
        <v>120</v>
      </c>
      <c r="Q8" s="24">
        <v>1600</v>
      </c>
      <c r="R8" s="32">
        <f t="shared" si="1"/>
        <v>20</v>
      </c>
    </row>
    <row r="9" spans="1:18" ht="21.2" customHeight="1" thickBot="1" x14ac:dyDescent="0.35">
      <c r="A9" s="9">
        <v>557</v>
      </c>
      <c r="B9" s="10" t="s">
        <v>26</v>
      </c>
      <c r="C9" s="10" t="s">
        <v>27</v>
      </c>
      <c r="D9" s="34">
        <v>3</v>
      </c>
      <c r="E9" s="16">
        <f t="shared" si="2"/>
        <v>5.4</v>
      </c>
      <c r="F9" s="48">
        <f t="shared" si="0"/>
        <v>339.62264150943395</v>
      </c>
      <c r="G9" s="58">
        <f t="shared" si="3"/>
        <v>3000</v>
      </c>
      <c r="H9" s="57">
        <f t="shared" si="4"/>
        <v>11.320754716981131</v>
      </c>
      <c r="I9" s="54">
        <f t="shared" si="5"/>
        <v>22</v>
      </c>
      <c r="J9" s="59">
        <f t="shared" si="6"/>
        <v>2660.3773584905662</v>
      </c>
      <c r="K9" s="8" t="s">
        <v>53</v>
      </c>
      <c r="L9" s="20">
        <v>25</v>
      </c>
      <c r="M9" s="30">
        <v>1.8</v>
      </c>
      <c r="N9" s="22">
        <f t="shared" si="7"/>
        <v>1.5900000000000001E-2</v>
      </c>
      <c r="O9" s="26">
        <v>15.9</v>
      </c>
      <c r="P9" s="20">
        <v>120</v>
      </c>
      <c r="Q9" s="24">
        <v>1600</v>
      </c>
      <c r="R9" s="32">
        <f t="shared" si="1"/>
        <v>20</v>
      </c>
    </row>
    <row r="10" spans="1:18" ht="21.2" customHeight="1" thickBot="1" x14ac:dyDescent="0.35">
      <c r="A10" s="9">
        <v>506</v>
      </c>
      <c r="B10" s="10" t="s">
        <v>28</v>
      </c>
      <c r="C10" s="10" t="s">
        <v>29</v>
      </c>
      <c r="D10" s="34">
        <v>32</v>
      </c>
      <c r="E10" s="16">
        <f t="shared" si="2"/>
        <v>960</v>
      </c>
      <c r="F10" s="48">
        <f t="shared" si="0"/>
        <v>43735.763097949886</v>
      </c>
      <c r="G10" s="58">
        <f t="shared" si="3"/>
        <v>10933.940774487472</v>
      </c>
      <c r="H10" s="57">
        <f t="shared" si="4"/>
        <v>400</v>
      </c>
      <c r="I10" s="54">
        <f t="shared" si="5"/>
        <v>0</v>
      </c>
      <c r="J10" s="59">
        <f t="shared" si="6"/>
        <v>-32801.822323462417</v>
      </c>
      <c r="K10" s="8" t="s">
        <v>47</v>
      </c>
      <c r="L10" s="20">
        <v>8</v>
      </c>
      <c r="M10" s="24">
        <v>30</v>
      </c>
      <c r="N10" s="22">
        <f t="shared" si="7"/>
        <v>2.1950000000000001E-2</v>
      </c>
      <c r="O10" s="26">
        <v>21.95</v>
      </c>
      <c r="P10" s="20">
        <f t="shared" si="8"/>
        <v>1366.7425968109339</v>
      </c>
      <c r="Q10" s="24">
        <v>18612</v>
      </c>
      <c r="R10" s="32">
        <f t="shared" si="1"/>
        <v>20.426670000000001</v>
      </c>
    </row>
    <row r="11" spans="1:18" ht="19.5" thickBot="1" x14ac:dyDescent="0.35">
      <c r="A11" s="9">
        <v>510</v>
      </c>
      <c r="B11" s="10" t="s">
        <v>30</v>
      </c>
      <c r="C11" s="10" t="s">
        <v>31</v>
      </c>
      <c r="D11" s="34">
        <v>1</v>
      </c>
      <c r="E11" s="16">
        <f t="shared" si="2"/>
        <v>30</v>
      </c>
      <c r="F11" s="48">
        <f t="shared" si="0"/>
        <v>1363.6363636363637</v>
      </c>
      <c r="G11" s="58">
        <f t="shared" si="3"/>
        <v>5454.545454545455</v>
      </c>
      <c r="H11" s="57">
        <f t="shared" si="4"/>
        <v>25</v>
      </c>
      <c r="I11" s="54">
        <f t="shared" si="5"/>
        <v>3</v>
      </c>
      <c r="J11" s="59">
        <f t="shared" si="6"/>
        <v>4090.909090909091</v>
      </c>
      <c r="K11" s="8" t="s">
        <v>47</v>
      </c>
      <c r="L11" s="20">
        <v>4</v>
      </c>
      <c r="M11" s="24">
        <v>30</v>
      </c>
      <c r="N11" s="22">
        <f t="shared" si="7"/>
        <v>2.1999999999999999E-2</v>
      </c>
      <c r="O11" s="26">
        <v>22</v>
      </c>
      <c r="P11" s="20">
        <f t="shared" si="8"/>
        <v>1363.6363636363637</v>
      </c>
      <c r="Q11" s="24">
        <v>6000</v>
      </c>
      <c r="R11" s="32">
        <f t="shared" si="1"/>
        <v>6.6</v>
      </c>
    </row>
    <row r="12" spans="1:18" ht="19.5" thickBot="1" x14ac:dyDescent="0.35">
      <c r="A12" s="9">
        <v>824</v>
      </c>
      <c r="B12" s="579" t="s">
        <v>32</v>
      </c>
      <c r="C12" s="10" t="s">
        <v>36</v>
      </c>
      <c r="D12" s="587">
        <v>110</v>
      </c>
      <c r="E12" s="595">
        <f>+D12*M12</f>
        <v>638</v>
      </c>
      <c r="F12" s="605">
        <f t="shared" si="0"/>
        <v>30526.315789473687</v>
      </c>
      <c r="G12" s="607">
        <f t="shared" si="3"/>
        <v>3456</v>
      </c>
      <c r="H12" s="617">
        <f t="shared" si="4"/>
        <v>883.28460038986361</v>
      </c>
      <c r="I12" s="607">
        <f t="shared" si="5"/>
        <v>0</v>
      </c>
      <c r="J12" s="593">
        <f t="shared" si="6"/>
        <v>-27070.315789473687</v>
      </c>
      <c r="K12" s="8" t="s">
        <v>49</v>
      </c>
      <c r="L12" s="559">
        <v>12</v>
      </c>
      <c r="M12" s="568">
        <v>5.8</v>
      </c>
      <c r="N12" s="570">
        <f>+O12/1000</f>
        <v>2.0899999999999998E-2</v>
      </c>
      <c r="O12" s="572">
        <v>20.9</v>
      </c>
      <c r="P12" s="574">
        <v>288</v>
      </c>
      <c r="Q12" s="39">
        <v>8000</v>
      </c>
      <c r="R12" s="576">
        <f>1.5*(Q12+Q13)/P12</f>
        <v>55.666666666666664</v>
      </c>
    </row>
    <row r="13" spans="1:18" ht="19.5" thickBot="1" x14ac:dyDescent="0.35">
      <c r="A13" s="9">
        <v>26</v>
      </c>
      <c r="B13" s="579"/>
      <c r="C13" s="10" t="s">
        <v>37</v>
      </c>
      <c r="D13" s="581"/>
      <c r="E13" s="596"/>
      <c r="F13" s="608"/>
      <c r="G13" s="607">
        <f t="shared" si="3"/>
        <v>0</v>
      </c>
      <c r="H13" s="617" t="e">
        <f t="shared" si="4"/>
        <v>#DIV/0!</v>
      </c>
      <c r="I13" s="607"/>
      <c r="J13" s="594">
        <f t="shared" si="6"/>
        <v>0</v>
      </c>
      <c r="K13" s="8" t="s">
        <v>49</v>
      </c>
      <c r="L13" s="560"/>
      <c r="M13" s="589"/>
      <c r="N13" s="570"/>
      <c r="O13" s="590">
        <f>+N13*1000</f>
        <v>0</v>
      </c>
      <c r="P13" s="574"/>
      <c r="Q13" s="39">
        <v>2688</v>
      </c>
      <c r="R13" s="576"/>
    </row>
    <row r="14" spans="1:18" ht="19.5" thickBot="1" x14ac:dyDescent="0.35">
      <c r="A14" s="9">
        <v>825</v>
      </c>
      <c r="B14" s="579" t="s">
        <v>35</v>
      </c>
      <c r="C14" s="10" t="s">
        <v>33</v>
      </c>
      <c r="D14" s="581">
        <v>302</v>
      </c>
      <c r="E14" s="595">
        <f>+D14*M14</f>
        <v>1751.6</v>
      </c>
      <c r="F14" s="605">
        <f>+E14/N14</f>
        <v>44344.303797468354</v>
      </c>
      <c r="G14" s="607">
        <f t="shared" si="3"/>
        <v>3456</v>
      </c>
      <c r="H14" s="539">
        <f t="shared" si="4"/>
        <v>1283.1106422878574</v>
      </c>
      <c r="I14" s="607">
        <f t="shared" si="5"/>
        <v>0</v>
      </c>
      <c r="J14" s="593">
        <f t="shared" si="6"/>
        <v>-40888.303797468354</v>
      </c>
      <c r="K14" s="8" t="s">
        <v>49</v>
      </c>
      <c r="L14" s="559">
        <v>24</v>
      </c>
      <c r="M14" s="568">
        <v>5.8</v>
      </c>
      <c r="N14" s="570">
        <f>+O14/1000</f>
        <v>3.95E-2</v>
      </c>
      <c r="O14" s="572">
        <v>39.5</v>
      </c>
      <c r="P14" s="574">
        <v>144</v>
      </c>
      <c r="Q14" s="39">
        <v>4320</v>
      </c>
      <c r="R14" s="576">
        <f>1.5*(Q14+Q15)/P14</f>
        <v>75</v>
      </c>
    </row>
    <row r="15" spans="1:18" ht="19.5" thickBot="1" x14ac:dyDescent="0.35">
      <c r="A15" s="11">
        <v>27</v>
      </c>
      <c r="B15" s="580"/>
      <c r="C15" s="12" t="s">
        <v>34</v>
      </c>
      <c r="D15" s="582"/>
      <c r="E15" s="616"/>
      <c r="F15" s="606"/>
      <c r="G15" s="607">
        <f t="shared" si="3"/>
        <v>0</v>
      </c>
      <c r="H15" s="539" t="e">
        <f t="shared" si="4"/>
        <v>#DIV/0!</v>
      </c>
      <c r="I15" s="607"/>
      <c r="J15" s="594">
        <f t="shared" si="6"/>
        <v>0</v>
      </c>
      <c r="K15" s="8" t="s">
        <v>49</v>
      </c>
      <c r="L15" s="578"/>
      <c r="M15" s="569"/>
      <c r="N15" s="571"/>
      <c r="O15" s="573">
        <v>39.200000000000003</v>
      </c>
      <c r="P15" s="575"/>
      <c r="Q15" s="39">
        <v>2880</v>
      </c>
      <c r="R15" s="577"/>
    </row>
    <row r="16" spans="1:18" ht="21.2" customHeight="1" thickBot="1" x14ac:dyDescent="0.35">
      <c r="A16" s="9">
        <v>29</v>
      </c>
      <c r="B16" s="10" t="s">
        <v>42</v>
      </c>
      <c r="C16" s="10" t="s">
        <v>51</v>
      </c>
      <c r="D16" s="37">
        <v>26</v>
      </c>
      <c r="E16" s="16">
        <f>+D16*M16</f>
        <v>62.4</v>
      </c>
      <c r="F16" s="48">
        <f>+E16/N16</f>
        <v>701.12359550561803</v>
      </c>
      <c r="G16" s="54">
        <f t="shared" si="3"/>
        <v>1920</v>
      </c>
      <c r="H16" s="56">
        <f t="shared" si="4"/>
        <v>36.516853932584269</v>
      </c>
      <c r="I16" s="55">
        <f t="shared" si="5"/>
        <v>54</v>
      </c>
      <c r="J16" s="55">
        <f t="shared" si="6"/>
        <v>1218.8764044943819</v>
      </c>
      <c r="K16" s="60" t="s">
        <v>50</v>
      </c>
      <c r="L16" s="20">
        <v>80</v>
      </c>
      <c r="M16" s="24">
        <v>2.4</v>
      </c>
      <c r="N16" s="22">
        <f>+O16/1000</f>
        <v>8.8999999999999996E-2</v>
      </c>
      <c r="O16" s="26">
        <v>89</v>
      </c>
      <c r="P16" s="20">
        <v>24</v>
      </c>
      <c r="Q16" s="40">
        <v>1704</v>
      </c>
      <c r="R16" s="32"/>
    </row>
    <row r="17" spans="1:18" ht="21.2" customHeight="1" x14ac:dyDescent="0.3">
      <c r="A17" s="9">
        <v>30</v>
      </c>
      <c r="B17" s="10" t="s">
        <v>43</v>
      </c>
      <c r="C17" s="10" t="s">
        <v>52</v>
      </c>
      <c r="D17" s="38">
        <v>7</v>
      </c>
      <c r="E17" s="16">
        <f>+D17*M17</f>
        <v>22.400000000000002</v>
      </c>
      <c r="F17" s="48">
        <f>+E17/N17</f>
        <v>180.64516129032259</v>
      </c>
      <c r="G17" s="54">
        <f t="shared" si="3"/>
        <v>2400</v>
      </c>
      <c r="H17" s="56">
        <f t="shared" si="4"/>
        <v>7.5268817204301071</v>
      </c>
      <c r="I17" s="55">
        <f t="shared" si="5"/>
        <v>93</v>
      </c>
      <c r="J17" s="55">
        <f t="shared" si="6"/>
        <v>2219.3548387096776</v>
      </c>
      <c r="K17" s="60" t="s">
        <v>50</v>
      </c>
      <c r="L17" s="20">
        <v>100</v>
      </c>
      <c r="M17" s="24">
        <v>3.2</v>
      </c>
      <c r="N17" s="22">
        <f>+O17/1000</f>
        <v>0.124</v>
      </c>
      <c r="O17" s="26">
        <v>124</v>
      </c>
      <c r="P17" s="20">
        <v>24</v>
      </c>
      <c r="Q17" s="41">
        <v>2184</v>
      </c>
      <c r="R17" s="32"/>
    </row>
  </sheetData>
  <autoFilter ref="A3:Q17" xr:uid="{00000000-0009-0000-0000-00006A000000}"/>
  <mergeCells count="31">
    <mergeCell ref="P12:P13"/>
    <mergeCell ref="R12:R13"/>
    <mergeCell ref="A1:C1"/>
    <mergeCell ref="A2:B2"/>
    <mergeCell ref="L2:R2"/>
    <mergeCell ref="B12:B13"/>
    <mergeCell ref="D12:D13"/>
    <mergeCell ref="E12:E13"/>
    <mergeCell ref="F12:F13"/>
    <mergeCell ref="H12:H13"/>
    <mergeCell ref="I12:I13"/>
    <mergeCell ref="J12:J13"/>
    <mergeCell ref="G12:G13"/>
    <mergeCell ref="I14:I15"/>
    <mergeCell ref="L12:L13"/>
    <mergeCell ref="M12:M13"/>
    <mergeCell ref="N12:N13"/>
    <mergeCell ref="O12:O13"/>
    <mergeCell ref="B14:B15"/>
    <mergeCell ref="D14:D15"/>
    <mergeCell ref="E14:E15"/>
    <mergeCell ref="F14:F15"/>
    <mergeCell ref="H14:H15"/>
    <mergeCell ref="G14:G15"/>
    <mergeCell ref="R14:R15"/>
    <mergeCell ref="J14:J15"/>
    <mergeCell ref="L14:L15"/>
    <mergeCell ref="M14:M15"/>
    <mergeCell ref="N14:N15"/>
    <mergeCell ref="O14:O15"/>
    <mergeCell ref="P14:P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 codeName="Hoja36">
    <tabColor rgb="FF00B0F0"/>
  </sheetPr>
  <dimension ref="A1:P17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0.28515625" customWidth="1"/>
    <col min="7" max="7" width="5.42578125" customWidth="1"/>
    <col min="8" max="8" width="9.28515625" customWidth="1"/>
    <col min="9" max="10" width="13.140625" customWidth="1"/>
    <col min="11" max="11" width="9.42578125" customWidth="1"/>
    <col min="12" max="12" width="10.85546875" customWidth="1"/>
    <col min="13" max="13" width="8.28515625" customWidth="1"/>
    <col min="14" max="14" width="11.28515625" customWidth="1"/>
    <col min="15" max="15" width="11.140625" customWidth="1"/>
    <col min="16" max="16" width="11.28515625" customWidth="1"/>
  </cols>
  <sheetData>
    <row r="1" spans="1:16" ht="47.25" thickBot="1" x14ac:dyDescent="0.3">
      <c r="A1" s="527" t="s">
        <v>0</v>
      </c>
      <c r="B1" s="528"/>
      <c r="C1" s="529"/>
      <c r="D1" s="1"/>
      <c r="E1" s="1"/>
      <c r="F1" s="1"/>
      <c r="H1" s="1"/>
    </row>
    <row r="2" spans="1:16" ht="24.75" customHeight="1" thickBot="1" x14ac:dyDescent="0.35">
      <c r="A2" s="585" t="s">
        <v>1</v>
      </c>
      <c r="B2" s="586"/>
      <c r="C2" s="2">
        <v>45216</v>
      </c>
      <c r="D2" s="1"/>
      <c r="E2" s="1"/>
      <c r="F2" s="1"/>
      <c r="H2" s="3"/>
      <c r="J2" s="522" t="s">
        <v>2</v>
      </c>
      <c r="K2" s="523"/>
      <c r="L2" s="523"/>
      <c r="M2" s="523"/>
      <c r="N2" s="523"/>
      <c r="O2" s="523"/>
      <c r="P2" s="524"/>
    </row>
    <row r="3" spans="1:16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H3" s="42" t="s">
        <v>54</v>
      </c>
      <c r="I3" s="44" t="s">
        <v>46</v>
      </c>
      <c r="J3" s="5" t="s">
        <v>13</v>
      </c>
      <c r="K3" s="6" t="s">
        <v>38</v>
      </c>
      <c r="L3" s="4" t="s">
        <v>10</v>
      </c>
      <c r="M3" s="6" t="s">
        <v>9</v>
      </c>
      <c r="N3" s="4" t="s">
        <v>11</v>
      </c>
      <c r="O3" s="6" t="s">
        <v>14</v>
      </c>
      <c r="P3" s="4" t="s">
        <v>12</v>
      </c>
    </row>
    <row r="4" spans="1:16" ht="19.5" thickBot="1" x14ac:dyDescent="0.35">
      <c r="A4" s="7">
        <v>500</v>
      </c>
      <c r="B4" s="8" t="s">
        <v>15</v>
      </c>
      <c r="C4" s="8" t="s">
        <v>16</v>
      </c>
      <c r="D4" s="33">
        <v>12</v>
      </c>
      <c r="E4" s="17">
        <f t="shared" ref="E4:E11" si="0">D4*K4</f>
        <v>360</v>
      </c>
      <c r="F4" s="17">
        <f t="shared" ref="F4:F12" si="1">+E4/L4</f>
        <v>10925.644916540212</v>
      </c>
      <c r="H4" s="17">
        <f t="shared" ref="H4:H12" si="2">IF(J4-D4&lt;0,0,J4-D4)</f>
        <v>0</v>
      </c>
      <c r="I4" s="43" t="s">
        <v>47</v>
      </c>
      <c r="J4" s="19">
        <v>5</v>
      </c>
      <c r="K4" s="23">
        <v>30</v>
      </c>
      <c r="L4" s="21">
        <f>+M4/1000</f>
        <v>3.295E-2</v>
      </c>
      <c r="M4" s="25">
        <v>32.950000000000003</v>
      </c>
      <c r="N4" s="19">
        <f>+K4/L4</f>
        <v>910.4704097116844</v>
      </c>
      <c r="O4" s="23">
        <v>2520</v>
      </c>
      <c r="P4" s="31">
        <f t="shared" ref="P4:P11" si="3">1.5*O4/N4</f>
        <v>4.1516999999999999</v>
      </c>
    </row>
    <row r="5" spans="1:16" ht="19.5" thickBot="1" x14ac:dyDescent="0.35">
      <c r="A5" s="9">
        <v>706</v>
      </c>
      <c r="B5" s="10" t="s">
        <v>17</v>
      </c>
      <c r="C5" s="10" t="s">
        <v>18</v>
      </c>
      <c r="D5" s="34">
        <v>18</v>
      </c>
      <c r="E5" s="16">
        <f t="shared" si="0"/>
        <v>540</v>
      </c>
      <c r="F5" s="16">
        <f t="shared" si="1"/>
        <v>24601.366742596809</v>
      </c>
      <c r="H5" s="16">
        <f t="shared" si="2"/>
        <v>0</v>
      </c>
      <c r="I5" s="8" t="s">
        <v>47</v>
      </c>
      <c r="J5" s="20">
        <v>4</v>
      </c>
      <c r="K5" s="24">
        <v>30</v>
      </c>
      <c r="L5" s="22">
        <f t="shared" ref="L5:L11" si="4">+M5/1000</f>
        <v>2.1950000000000001E-2</v>
      </c>
      <c r="M5" s="26">
        <v>21.95</v>
      </c>
      <c r="N5" s="20">
        <f t="shared" ref="N5:N11" si="5">+K5/L5</f>
        <v>1366.7425968109339</v>
      </c>
      <c r="O5" s="24">
        <v>3600</v>
      </c>
      <c r="P5" s="32">
        <f t="shared" si="3"/>
        <v>3.9510000000000001</v>
      </c>
    </row>
    <row r="6" spans="1:16" ht="19.5" thickBot="1" x14ac:dyDescent="0.35">
      <c r="A6" s="9" t="s">
        <v>19</v>
      </c>
      <c r="B6" s="10" t="s">
        <v>20</v>
      </c>
      <c r="C6" s="10" t="s">
        <v>21</v>
      </c>
      <c r="D6" s="34">
        <v>4</v>
      </c>
      <c r="E6" s="16">
        <f t="shared" si="0"/>
        <v>120</v>
      </c>
      <c r="F6" s="16">
        <f t="shared" si="1"/>
        <v>5466.9703872437358</v>
      </c>
      <c r="H6" s="16">
        <f t="shared" si="2"/>
        <v>1</v>
      </c>
      <c r="I6" s="8" t="s">
        <v>47</v>
      </c>
      <c r="J6" s="20">
        <v>5</v>
      </c>
      <c r="K6" s="24">
        <v>30</v>
      </c>
      <c r="L6" s="22">
        <f t="shared" si="4"/>
        <v>2.1950000000000001E-2</v>
      </c>
      <c r="M6" s="26">
        <v>21.95</v>
      </c>
      <c r="N6" s="20">
        <f t="shared" si="5"/>
        <v>1366.7425968109339</v>
      </c>
      <c r="O6" s="24">
        <v>0</v>
      </c>
      <c r="P6" s="32">
        <f t="shared" si="3"/>
        <v>0</v>
      </c>
    </row>
    <row r="7" spans="1:16" ht="19.5" thickBot="1" x14ac:dyDescent="0.35">
      <c r="A7" s="9">
        <v>654</v>
      </c>
      <c r="B7" s="10" t="s">
        <v>22</v>
      </c>
      <c r="C7" s="10" t="s">
        <v>23</v>
      </c>
      <c r="D7" s="34">
        <v>2</v>
      </c>
      <c r="E7" s="16">
        <f t="shared" si="0"/>
        <v>5.1599999999999993</v>
      </c>
      <c r="F7" s="16">
        <f t="shared" si="1"/>
        <v>239.99999999999997</v>
      </c>
      <c r="H7" s="16">
        <f t="shared" si="2"/>
        <v>23</v>
      </c>
      <c r="I7" s="8" t="s">
        <v>53</v>
      </c>
      <c r="J7" s="20">
        <v>25</v>
      </c>
      <c r="K7" s="30">
        <f>+N7*L7</f>
        <v>2.5799999999999996</v>
      </c>
      <c r="L7" s="22">
        <f t="shared" si="4"/>
        <v>2.1499999999999998E-2</v>
      </c>
      <c r="M7" s="26">
        <v>21.5</v>
      </c>
      <c r="N7" s="20">
        <v>120</v>
      </c>
      <c r="O7" s="24">
        <v>1200</v>
      </c>
      <c r="P7" s="32">
        <f t="shared" si="3"/>
        <v>15</v>
      </c>
    </row>
    <row r="8" spans="1:16" ht="19.5" thickBot="1" x14ac:dyDescent="0.35">
      <c r="A8" s="9">
        <v>558</v>
      </c>
      <c r="B8" s="10" t="s">
        <v>24</v>
      </c>
      <c r="C8" s="10" t="s">
        <v>25</v>
      </c>
      <c r="D8" s="34">
        <v>6</v>
      </c>
      <c r="E8" s="16">
        <f t="shared" si="0"/>
        <v>10.8</v>
      </c>
      <c r="F8" s="16">
        <f t="shared" si="1"/>
        <v>696.77419354838719</v>
      </c>
      <c r="H8" s="16">
        <f t="shared" si="2"/>
        <v>19</v>
      </c>
      <c r="I8" s="8" t="s">
        <v>53</v>
      </c>
      <c r="J8" s="20">
        <v>25</v>
      </c>
      <c r="K8" s="30">
        <v>1.8</v>
      </c>
      <c r="L8" s="22">
        <f t="shared" si="4"/>
        <v>1.55E-2</v>
      </c>
      <c r="M8" s="26">
        <v>15.5</v>
      </c>
      <c r="N8" s="20">
        <v>120</v>
      </c>
      <c r="O8" s="24">
        <v>1600</v>
      </c>
      <c r="P8" s="32">
        <f t="shared" si="3"/>
        <v>20</v>
      </c>
    </row>
    <row r="9" spans="1:16" ht="21.2" customHeight="1" thickBot="1" x14ac:dyDescent="0.35">
      <c r="A9" s="9">
        <v>557</v>
      </c>
      <c r="B9" s="10" t="s">
        <v>26</v>
      </c>
      <c r="C9" s="10" t="s">
        <v>27</v>
      </c>
      <c r="D9" s="34">
        <v>3</v>
      </c>
      <c r="E9" s="16">
        <f t="shared" si="0"/>
        <v>5.4</v>
      </c>
      <c r="F9" s="16">
        <f t="shared" si="1"/>
        <v>339.62264150943395</v>
      </c>
      <c r="H9" s="16">
        <f t="shared" si="2"/>
        <v>22</v>
      </c>
      <c r="I9" s="8" t="s">
        <v>53</v>
      </c>
      <c r="J9" s="20">
        <v>25</v>
      </c>
      <c r="K9" s="30">
        <v>1.8</v>
      </c>
      <c r="L9" s="22">
        <f t="shared" si="4"/>
        <v>1.5900000000000001E-2</v>
      </c>
      <c r="M9" s="26">
        <v>15.9</v>
      </c>
      <c r="N9" s="20">
        <v>120</v>
      </c>
      <c r="O9" s="24">
        <v>1600</v>
      </c>
      <c r="P9" s="32">
        <f t="shared" si="3"/>
        <v>20</v>
      </c>
    </row>
    <row r="10" spans="1:16" ht="21.2" customHeight="1" thickBot="1" x14ac:dyDescent="0.35">
      <c r="A10" s="9">
        <v>506</v>
      </c>
      <c r="B10" s="10" t="s">
        <v>28</v>
      </c>
      <c r="C10" s="10" t="s">
        <v>29</v>
      </c>
      <c r="D10" s="34">
        <v>32</v>
      </c>
      <c r="E10" s="16">
        <f t="shared" si="0"/>
        <v>960</v>
      </c>
      <c r="F10" s="16">
        <f t="shared" si="1"/>
        <v>43735.763097949886</v>
      </c>
      <c r="H10" s="16">
        <f t="shared" si="2"/>
        <v>0</v>
      </c>
      <c r="I10" s="8" t="s">
        <v>47</v>
      </c>
      <c r="J10" s="20">
        <v>8</v>
      </c>
      <c r="K10" s="24">
        <v>30</v>
      </c>
      <c r="L10" s="22">
        <f t="shared" si="4"/>
        <v>2.1950000000000001E-2</v>
      </c>
      <c r="M10" s="26">
        <v>21.95</v>
      </c>
      <c r="N10" s="20">
        <f t="shared" si="5"/>
        <v>1366.7425968109339</v>
      </c>
      <c r="O10" s="24">
        <v>18612</v>
      </c>
      <c r="P10" s="32">
        <f t="shared" si="3"/>
        <v>20.426670000000001</v>
      </c>
    </row>
    <row r="11" spans="1:16" ht="19.5" thickBot="1" x14ac:dyDescent="0.35">
      <c r="A11" s="9">
        <v>510</v>
      </c>
      <c r="B11" s="10" t="s">
        <v>30</v>
      </c>
      <c r="C11" s="10" t="s">
        <v>31</v>
      </c>
      <c r="D11" s="34">
        <v>1</v>
      </c>
      <c r="E11" s="16">
        <f t="shared" si="0"/>
        <v>30</v>
      </c>
      <c r="F11" s="16">
        <f t="shared" si="1"/>
        <v>1363.6363636363637</v>
      </c>
      <c r="H11" s="16">
        <f t="shared" si="2"/>
        <v>3</v>
      </c>
      <c r="I11" s="8" t="s">
        <v>47</v>
      </c>
      <c r="J11" s="20">
        <v>4</v>
      </c>
      <c r="K11" s="24">
        <v>30</v>
      </c>
      <c r="L11" s="22">
        <f t="shared" si="4"/>
        <v>2.1999999999999999E-2</v>
      </c>
      <c r="M11" s="26">
        <v>22</v>
      </c>
      <c r="N11" s="20">
        <f t="shared" si="5"/>
        <v>1363.6363636363637</v>
      </c>
      <c r="O11" s="24">
        <v>6000</v>
      </c>
      <c r="P11" s="32">
        <f t="shared" si="3"/>
        <v>6.6</v>
      </c>
    </row>
    <row r="12" spans="1:16" ht="19.5" thickBot="1" x14ac:dyDescent="0.35">
      <c r="A12" s="9">
        <v>824</v>
      </c>
      <c r="B12" s="579" t="s">
        <v>32</v>
      </c>
      <c r="C12" s="10" t="s">
        <v>36</v>
      </c>
      <c r="D12" s="587">
        <v>110</v>
      </c>
      <c r="E12" s="595">
        <f>+D12*K12</f>
        <v>638</v>
      </c>
      <c r="F12" s="595">
        <f t="shared" si="1"/>
        <v>30526.315789473687</v>
      </c>
      <c r="H12" s="595">
        <f t="shared" si="2"/>
        <v>0</v>
      </c>
      <c r="I12" s="8" t="s">
        <v>49</v>
      </c>
      <c r="J12" s="559">
        <v>12</v>
      </c>
      <c r="K12" s="568">
        <v>5.8</v>
      </c>
      <c r="L12" s="570">
        <f>+M12/1000</f>
        <v>2.0899999999999998E-2</v>
      </c>
      <c r="M12" s="572">
        <v>20.9</v>
      </c>
      <c r="N12" s="618">
        <v>288</v>
      </c>
      <c r="O12" s="27">
        <v>8000</v>
      </c>
      <c r="P12" s="620">
        <f>1.5*(O12+O13)/N12</f>
        <v>55.666666666666664</v>
      </c>
    </row>
    <row r="13" spans="1:16" ht="19.5" thickBot="1" x14ac:dyDescent="0.35">
      <c r="A13" s="9">
        <v>26</v>
      </c>
      <c r="B13" s="579"/>
      <c r="C13" s="10" t="s">
        <v>37</v>
      </c>
      <c r="D13" s="581"/>
      <c r="E13" s="596"/>
      <c r="F13" s="596"/>
      <c r="H13" s="596"/>
      <c r="I13" s="8" t="s">
        <v>49</v>
      </c>
      <c r="J13" s="560"/>
      <c r="K13" s="589"/>
      <c r="L13" s="570"/>
      <c r="M13" s="590">
        <f>+L13*1000</f>
        <v>0</v>
      </c>
      <c r="N13" s="618"/>
      <c r="O13" s="28">
        <v>2688</v>
      </c>
      <c r="P13" s="620"/>
    </row>
    <row r="14" spans="1:16" ht="19.5" thickBot="1" x14ac:dyDescent="0.35">
      <c r="A14" s="9">
        <v>825</v>
      </c>
      <c r="B14" s="579" t="s">
        <v>35</v>
      </c>
      <c r="C14" s="10" t="s">
        <v>33</v>
      </c>
      <c r="D14" s="581">
        <v>302</v>
      </c>
      <c r="E14" s="595">
        <f>+D14*K14</f>
        <v>1751.6</v>
      </c>
      <c r="F14" s="595">
        <f>+E14/L14</f>
        <v>44344.303797468354</v>
      </c>
      <c r="H14" s="595">
        <f>IF(J14-D14&lt;0,0,J14-D14)</f>
        <v>0</v>
      </c>
      <c r="I14" s="8" t="s">
        <v>49</v>
      </c>
      <c r="J14" s="559">
        <v>24</v>
      </c>
      <c r="K14" s="568">
        <v>5.8</v>
      </c>
      <c r="L14" s="570">
        <f>+M14/1000</f>
        <v>3.95E-2</v>
      </c>
      <c r="M14" s="572">
        <v>39.5</v>
      </c>
      <c r="N14" s="618">
        <v>144</v>
      </c>
      <c r="O14" s="27">
        <v>4320</v>
      </c>
      <c r="P14" s="620">
        <f>1.5*(O14+O15)/N14</f>
        <v>75</v>
      </c>
    </row>
    <row r="15" spans="1:16" ht="19.5" thickBot="1" x14ac:dyDescent="0.35">
      <c r="A15" s="11">
        <v>27</v>
      </c>
      <c r="B15" s="580"/>
      <c r="C15" s="12" t="s">
        <v>34</v>
      </c>
      <c r="D15" s="582"/>
      <c r="E15" s="616"/>
      <c r="F15" s="616"/>
      <c r="H15" s="616"/>
      <c r="I15" s="8" t="s">
        <v>49</v>
      </c>
      <c r="J15" s="578"/>
      <c r="K15" s="569"/>
      <c r="L15" s="571"/>
      <c r="M15" s="573">
        <v>39.200000000000003</v>
      </c>
      <c r="N15" s="619"/>
      <c r="O15" s="29">
        <v>2880</v>
      </c>
      <c r="P15" s="621"/>
    </row>
    <row r="16" spans="1:16" ht="21.2" customHeight="1" thickBot="1" x14ac:dyDescent="0.35">
      <c r="A16" s="9"/>
      <c r="B16" s="10" t="s">
        <v>42</v>
      </c>
      <c r="C16" s="10" t="s">
        <v>40</v>
      </c>
      <c r="D16" s="37">
        <v>26</v>
      </c>
      <c r="E16" s="16">
        <f>+D16*K16</f>
        <v>62.4</v>
      </c>
      <c r="F16" s="16">
        <f>+E16/L16</f>
        <v>701.12359550561803</v>
      </c>
      <c r="H16" s="16">
        <f>IF(J16-D16&lt;0,0,J16-D16)</f>
        <v>54</v>
      </c>
      <c r="I16" s="8" t="s">
        <v>50</v>
      </c>
      <c r="J16" s="20">
        <v>80</v>
      </c>
      <c r="K16" s="24">
        <v>2.4</v>
      </c>
      <c r="L16" s="22">
        <v>8.8999999999999996E-2</v>
      </c>
      <c r="M16" s="26">
        <v>89</v>
      </c>
      <c r="N16" s="20">
        <v>24</v>
      </c>
      <c r="O16" s="41">
        <v>1704</v>
      </c>
      <c r="P16" s="32"/>
    </row>
    <row r="17" spans="1:16" ht="21.2" customHeight="1" x14ac:dyDescent="0.3">
      <c r="A17" s="9"/>
      <c r="B17" s="10" t="s">
        <v>43</v>
      </c>
      <c r="C17" s="10" t="s">
        <v>41</v>
      </c>
      <c r="D17" s="38">
        <v>7</v>
      </c>
      <c r="E17" s="16">
        <f>+D17*K17</f>
        <v>22.400000000000002</v>
      </c>
      <c r="F17" s="16">
        <f>+E17/L17</f>
        <v>180.64516129032259</v>
      </c>
      <c r="H17" s="16">
        <f>IF(J17-D17&lt;0,0,J17-D17)</f>
        <v>93</v>
      </c>
      <c r="I17" s="8" t="s">
        <v>50</v>
      </c>
      <c r="J17" s="20">
        <v>100</v>
      </c>
      <c r="K17" s="24">
        <v>3.2</v>
      </c>
      <c r="L17" s="22">
        <v>0.124</v>
      </c>
      <c r="M17" s="26">
        <v>124</v>
      </c>
      <c r="N17" s="20">
        <v>24</v>
      </c>
      <c r="O17" s="41">
        <v>2184</v>
      </c>
      <c r="P17" s="32"/>
    </row>
  </sheetData>
  <autoFilter ref="A3:O15" xr:uid="{00000000-0009-0000-0000-00006B000000}"/>
  <mergeCells count="25">
    <mergeCell ref="A1:C1"/>
    <mergeCell ref="A2:B2"/>
    <mergeCell ref="J2:P2"/>
    <mergeCell ref="B12:B13"/>
    <mergeCell ref="D12:D13"/>
    <mergeCell ref="E12:E13"/>
    <mergeCell ref="F12:F13"/>
    <mergeCell ref="H12:H13"/>
    <mergeCell ref="J12:J13"/>
    <mergeCell ref="K12:K13"/>
    <mergeCell ref="B14:B15"/>
    <mergeCell ref="D14:D15"/>
    <mergeCell ref="E14:E15"/>
    <mergeCell ref="F14:F15"/>
    <mergeCell ref="H14:H15"/>
    <mergeCell ref="P14:P15"/>
    <mergeCell ref="L12:L13"/>
    <mergeCell ref="M12:M13"/>
    <mergeCell ref="N12:N13"/>
    <mergeCell ref="P12:P13"/>
    <mergeCell ref="J14:J15"/>
    <mergeCell ref="K14:K15"/>
    <mergeCell ref="L14:L15"/>
    <mergeCell ref="M14:M15"/>
    <mergeCell ref="N14:N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 codeName="Hoja37">
    <tabColor rgb="FF00B0F0"/>
  </sheetPr>
  <dimension ref="A1:P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0.28515625" customWidth="1"/>
    <col min="7" max="7" width="5.42578125" customWidth="1"/>
    <col min="8" max="8" width="9.28515625" customWidth="1"/>
    <col min="9" max="10" width="13.140625" customWidth="1"/>
    <col min="11" max="11" width="9.42578125" customWidth="1"/>
    <col min="12" max="12" width="10.85546875" customWidth="1"/>
    <col min="13" max="13" width="8.28515625" customWidth="1"/>
    <col min="14" max="14" width="11.28515625" customWidth="1"/>
    <col min="15" max="15" width="11.140625" customWidth="1"/>
    <col min="16" max="16" width="11.28515625" customWidth="1"/>
  </cols>
  <sheetData>
    <row r="1" spans="1:16" ht="47.25" thickBot="1" x14ac:dyDescent="0.3">
      <c r="A1" s="527" t="s">
        <v>0</v>
      </c>
      <c r="B1" s="528"/>
      <c r="C1" s="529"/>
      <c r="D1" s="1"/>
      <c r="E1" s="1"/>
      <c r="F1" s="1"/>
      <c r="H1" s="1"/>
    </row>
    <row r="2" spans="1:16" ht="24.75" customHeight="1" thickBot="1" x14ac:dyDescent="0.35">
      <c r="A2" s="585" t="s">
        <v>1</v>
      </c>
      <c r="B2" s="586"/>
      <c r="C2" s="2"/>
      <c r="D2" s="1"/>
      <c r="E2" s="1"/>
      <c r="F2" s="1"/>
      <c r="H2" s="3"/>
      <c r="J2" s="522" t="s">
        <v>2</v>
      </c>
      <c r="K2" s="523"/>
      <c r="L2" s="523"/>
      <c r="M2" s="523"/>
      <c r="N2" s="523"/>
      <c r="O2" s="523"/>
      <c r="P2" s="524"/>
    </row>
    <row r="3" spans="1:16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H3" s="18" t="s">
        <v>8</v>
      </c>
      <c r="I3" s="36" t="s">
        <v>46</v>
      </c>
      <c r="J3" s="4" t="s">
        <v>13</v>
      </c>
      <c r="K3" s="6" t="s">
        <v>38</v>
      </c>
      <c r="L3" s="4" t="s">
        <v>10</v>
      </c>
      <c r="M3" s="6" t="s">
        <v>9</v>
      </c>
      <c r="N3" s="4" t="s">
        <v>11</v>
      </c>
      <c r="O3" s="6" t="s">
        <v>14</v>
      </c>
      <c r="P3" s="4" t="s">
        <v>12</v>
      </c>
    </row>
    <row r="4" spans="1:16" ht="19.5" thickBot="1" x14ac:dyDescent="0.35">
      <c r="A4" s="7">
        <v>500</v>
      </c>
      <c r="B4" s="8" t="s">
        <v>15</v>
      </c>
      <c r="C4" s="8" t="s">
        <v>16</v>
      </c>
      <c r="D4" s="33"/>
      <c r="E4" s="17">
        <f>D4*K4</f>
        <v>0</v>
      </c>
      <c r="F4" s="17">
        <f t="shared" ref="F4:F12" si="0">+E4/L4</f>
        <v>0</v>
      </c>
      <c r="H4" s="17">
        <f>IF(J4-D4&lt;0,0,J4-D4)</f>
        <v>5</v>
      </c>
      <c r="I4" s="8" t="s">
        <v>47</v>
      </c>
      <c r="J4" s="19">
        <v>5</v>
      </c>
      <c r="K4" s="23">
        <v>30</v>
      </c>
      <c r="L4" s="21">
        <f>+M4/1000</f>
        <v>3.295E-2</v>
      </c>
      <c r="M4" s="25">
        <v>32.950000000000003</v>
      </c>
      <c r="N4" s="19">
        <f>+K4/L4</f>
        <v>910.4704097116844</v>
      </c>
      <c r="O4" s="23">
        <v>2520</v>
      </c>
      <c r="P4" s="31">
        <f t="shared" ref="P4:P11" si="1">1.5*O4/N4</f>
        <v>4.1516999999999999</v>
      </c>
    </row>
    <row r="5" spans="1:16" ht="19.5" thickBot="1" x14ac:dyDescent="0.35">
      <c r="A5" s="9">
        <v>706</v>
      </c>
      <c r="B5" s="10" t="s">
        <v>17</v>
      </c>
      <c r="C5" s="10" t="s">
        <v>18</v>
      </c>
      <c r="D5" s="34"/>
      <c r="E5" s="16">
        <f t="shared" ref="E5:E11" si="2">D5*K5</f>
        <v>0</v>
      </c>
      <c r="F5" s="16">
        <f t="shared" si="0"/>
        <v>0</v>
      </c>
      <c r="H5" s="16">
        <f t="shared" ref="H5:H14" si="3">IF(J5-D5&lt;0,0,J5-D5)</f>
        <v>4</v>
      </c>
      <c r="I5" s="8" t="s">
        <v>47</v>
      </c>
      <c r="J5" s="20">
        <v>4</v>
      </c>
      <c r="K5" s="24">
        <v>30</v>
      </c>
      <c r="L5" s="22">
        <f t="shared" ref="L5:L11" si="4">+M5/1000</f>
        <v>2.1950000000000001E-2</v>
      </c>
      <c r="M5" s="26">
        <v>21.95</v>
      </c>
      <c r="N5" s="20">
        <f t="shared" ref="N5:N11" si="5">+K5/L5</f>
        <v>1366.7425968109339</v>
      </c>
      <c r="O5" s="24">
        <v>3600</v>
      </c>
      <c r="P5" s="32">
        <f t="shared" si="1"/>
        <v>3.9510000000000001</v>
      </c>
    </row>
    <row r="6" spans="1:16" ht="19.5" thickBot="1" x14ac:dyDescent="0.35">
      <c r="A6" s="9" t="s">
        <v>19</v>
      </c>
      <c r="B6" s="10" t="s">
        <v>20</v>
      </c>
      <c r="C6" s="10" t="s">
        <v>21</v>
      </c>
      <c r="D6" s="34"/>
      <c r="E6" s="16">
        <f t="shared" si="2"/>
        <v>0</v>
      </c>
      <c r="F6" s="16">
        <f t="shared" si="0"/>
        <v>0</v>
      </c>
      <c r="H6" s="16">
        <f t="shared" si="3"/>
        <v>5</v>
      </c>
      <c r="I6" s="8" t="s">
        <v>47</v>
      </c>
      <c r="J6" s="20">
        <v>5</v>
      </c>
      <c r="K6" s="24">
        <v>30</v>
      </c>
      <c r="L6" s="22">
        <f t="shared" si="4"/>
        <v>2.1950000000000001E-2</v>
      </c>
      <c r="M6" s="26">
        <v>21.95</v>
      </c>
      <c r="N6" s="20">
        <f t="shared" si="5"/>
        <v>1366.7425968109339</v>
      </c>
      <c r="O6" s="24">
        <v>0</v>
      </c>
      <c r="P6" s="32">
        <f t="shared" si="1"/>
        <v>0</v>
      </c>
    </row>
    <row r="7" spans="1:16" ht="19.5" thickBot="1" x14ac:dyDescent="0.35">
      <c r="A7" s="9">
        <v>654</v>
      </c>
      <c r="B7" s="10" t="s">
        <v>22</v>
      </c>
      <c r="C7" s="10" t="s">
        <v>23</v>
      </c>
      <c r="D7" s="34"/>
      <c r="E7" s="16">
        <f t="shared" si="2"/>
        <v>0</v>
      </c>
      <c r="F7" s="16">
        <f t="shared" si="0"/>
        <v>0</v>
      </c>
      <c r="H7" s="16">
        <f t="shared" si="3"/>
        <v>25</v>
      </c>
      <c r="I7" s="8" t="s">
        <v>48</v>
      </c>
      <c r="J7" s="20">
        <v>25</v>
      </c>
      <c r="K7" s="30">
        <f>+N7*L7</f>
        <v>2.5799999999999996</v>
      </c>
      <c r="L7" s="22">
        <f t="shared" si="4"/>
        <v>2.1499999999999998E-2</v>
      </c>
      <c r="M7" s="26">
        <v>21.5</v>
      </c>
      <c r="N7" s="20">
        <v>120</v>
      </c>
      <c r="O7" s="24">
        <v>1200</v>
      </c>
      <c r="P7" s="32">
        <f t="shared" si="1"/>
        <v>15</v>
      </c>
    </row>
    <row r="8" spans="1:16" ht="19.5" thickBot="1" x14ac:dyDescent="0.35">
      <c r="A8" s="9">
        <v>558</v>
      </c>
      <c r="B8" s="10" t="s">
        <v>24</v>
      </c>
      <c r="C8" s="10" t="s">
        <v>25</v>
      </c>
      <c r="D8" s="34"/>
      <c r="E8" s="16">
        <f t="shared" si="2"/>
        <v>0</v>
      </c>
      <c r="F8" s="16">
        <f t="shared" si="0"/>
        <v>0</v>
      </c>
      <c r="H8" s="16">
        <f t="shared" si="3"/>
        <v>25</v>
      </c>
      <c r="I8" s="8" t="s">
        <v>48</v>
      </c>
      <c r="J8" s="20">
        <v>25</v>
      </c>
      <c r="K8" s="30">
        <v>1.8</v>
      </c>
      <c r="L8" s="22">
        <f t="shared" si="4"/>
        <v>1.55E-2</v>
      </c>
      <c r="M8" s="26">
        <v>15.5</v>
      </c>
      <c r="N8" s="20">
        <v>120</v>
      </c>
      <c r="O8" s="24">
        <v>1600</v>
      </c>
      <c r="P8" s="32">
        <f t="shared" si="1"/>
        <v>20</v>
      </c>
    </row>
    <row r="9" spans="1:16" ht="21.2" customHeight="1" thickBot="1" x14ac:dyDescent="0.35">
      <c r="A9" s="9">
        <v>557</v>
      </c>
      <c r="B9" s="10" t="s">
        <v>26</v>
      </c>
      <c r="C9" s="10" t="s">
        <v>27</v>
      </c>
      <c r="D9" s="34"/>
      <c r="E9" s="16">
        <f t="shared" si="2"/>
        <v>0</v>
      </c>
      <c r="F9" s="16">
        <f t="shared" si="0"/>
        <v>0</v>
      </c>
      <c r="H9" s="16">
        <f t="shared" si="3"/>
        <v>25</v>
      </c>
      <c r="I9" s="8" t="s">
        <v>48</v>
      </c>
      <c r="J9" s="20">
        <v>25</v>
      </c>
      <c r="K9" s="30">
        <v>1.8</v>
      </c>
      <c r="L9" s="22">
        <f t="shared" si="4"/>
        <v>1.5900000000000001E-2</v>
      </c>
      <c r="M9" s="26">
        <v>15.9</v>
      </c>
      <c r="N9" s="20">
        <v>120</v>
      </c>
      <c r="O9" s="24">
        <v>1600</v>
      </c>
      <c r="P9" s="32">
        <f t="shared" si="1"/>
        <v>20</v>
      </c>
    </row>
    <row r="10" spans="1:16" ht="21.2" customHeight="1" thickBot="1" x14ac:dyDescent="0.35">
      <c r="A10" s="9">
        <v>506</v>
      </c>
      <c r="B10" s="10" t="s">
        <v>28</v>
      </c>
      <c r="C10" s="10" t="s">
        <v>29</v>
      </c>
      <c r="D10" s="34"/>
      <c r="E10" s="16">
        <f t="shared" si="2"/>
        <v>0</v>
      </c>
      <c r="F10" s="16">
        <f t="shared" si="0"/>
        <v>0</v>
      </c>
      <c r="H10" s="16">
        <f t="shared" si="3"/>
        <v>8</v>
      </c>
      <c r="I10" s="8" t="s">
        <v>47</v>
      </c>
      <c r="J10" s="20">
        <v>8</v>
      </c>
      <c r="K10" s="24">
        <v>30</v>
      </c>
      <c r="L10" s="22">
        <f t="shared" si="4"/>
        <v>2.1950000000000001E-2</v>
      </c>
      <c r="M10" s="26">
        <v>21.95</v>
      </c>
      <c r="N10" s="20">
        <f t="shared" si="5"/>
        <v>1366.7425968109339</v>
      </c>
      <c r="O10" s="24">
        <v>18612</v>
      </c>
      <c r="P10" s="32">
        <f t="shared" si="1"/>
        <v>20.426670000000001</v>
      </c>
    </row>
    <row r="11" spans="1:16" ht="19.5" thickBot="1" x14ac:dyDescent="0.35">
      <c r="A11" s="9">
        <v>510</v>
      </c>
      <c r="B11" s="10" t="s">
        <v>30</v>
      </c>
      <c r="C11" s="10" t="s">
        <v>31</v>
      </c>
      <c r="D11" s="34"/>
      <c r="E11" s="16">
        <f t="shared" si="2"/>
        <v>0</v>
      </c>
      <c r="F11" s="16">
        <f t="shared" si="0"/>
        <v>0</v>
      </c>
      <c r="H11" s="16">
        <f t="shared" si="3"/>
        <v>4</v>
      </c>
      <c r="I11" s="8" t="s">
        <v>47</v>
      </c>
      <c r="J11" s="20">
        <v>4</v>
      </c>
      <c r="K11" s="24">
        <v>30</v>
      </c>
      <c r="L11" s="22">
        <f t="shared" si="4"/>
        <v>2.1999999999999999E-2</v>
      </c>
      <c r="M11" s="26">
        <v>22</v>
      </c>
      <c r="N11" s="20">
        <f t="shared" si="5"/>
        <v>1363.6363636363637</v>
      </c>
      <c r="O11" s="24">
        <v>6000</v>
      </c>
      <c r="P11" s="32">
        <f t="shared" si="1"/>
        <v>6.6</v>
      </c>
    </row>
    <row r="12" spans="1:16" ht="19.5" thickBot="1" x14ac:dyDescent="0.35">
      <c r="A12" s="9">
        <v>824</v>
      </c>
      <c r="B12" s="579" t="s">
        <v>32</v>
      </c>
      <c r="C12" s="10" t="s">
        <v>36</v>
      </c>
      <c r="D12" s="587"/>
      <c r="E12" s="595">
        <f>+D12*K12</f>
        <v>0</v>
      </c>
      <c r="F12" s="595">
        <f t="shared" si="0"/>
        <v>0</v>
      </c>
      <c r="H12" s="595">
        <f t="shared" si="3"/>
        <v>12</v>
      </c>
      <c r="I12" s="8" t="s">
        <v>49</v>
      </c>
      <c r="J12" s="559">
        <v>12</v>
      </c>
      <c r="K12" s="568">
        <v>5.8</v>
      </c>
      <c r="L12" s="570">
        <f>+M12/1000</f>
        <v>2.0899999999999998E-2</v>
      </c>
      <c r="M12" s="572">
        <v>20.9</v>
      </c>
      <c r="N12" s="618">
        <v>288</v>
      </c>
      <c r="O12" s="27">
        <v>8000</v>
      </c>
      <c r="P12" s="620">
        <f>1.5*(O12+O13)/N12</f>
        <v>55.666666666666664</v>
      </c>
    </row>
    <row r="13" spans="1:16" ht="19.5" thickBot="1" x14ac:dyDescent="0.35">
      <c r="A13" s="9">
        <v>26</v>
      </c>
      <c r="B13" s="579"/>
      <c r="C13" s="10" t="s">
        <v>37</v>
      </c>
      <c r="D13" s="581"/>
      <c r="E13" s="596"/>
      <c r="F13" s="596"/>
      <c r="H13" s="596"/>
      <c r="I13" s="8" t="s">
        <v>49</v>
      </c>
      <c r="J13" s="560"/>
      <c r="K13" s="589"/>
      <c r="L13" s="570"/>
      <c r="M13" s="590">
        <f>+L13*1000</f>
        <v>0</v>
      </c>
      <c r="N13" s="618"/>
      <c r="O13" s="28">
        <v>2688</v>
      </c>
      <c r="P13" s="620"/>
    </row>
    <row r="14" spans="1:16" ht="19.5" thickBot="1" x14ac:dyDescent="0.35">
      <c r="A14" s="9">
        <v>825</v>
      </c>
      <c r="B14" s="579" t="s">
        <v>35</v>
      </c>
      <c r="C14" s="10" t="s">
        <v>33</v>
      </c>
      <c r="D14" s="581"/>
      <c r="E14" s="595">
        <f>+D14*K14</f>
        <v>0</v>
      </c>
      <c r="F14" s="595">
        <f>+E14/L14</f>
        <v>0</v>
      </c>
      <c r="H14" s="595">
        <f t="shared" si="3"/>
        <v>24</v>
      </c>
      <c r="I14" s="8" t="s">
        <v>49</v>
      </c>
      <c r="J14" s="559">
        <v>24</v>
      </c>
      <c r="K14" s="568">
        <v>5.8</v>
      </c>
      <c r="L14" s="570">
        <f>+M14/1000</f>
        <v>3.95E-2</v>
      </c>
      <c r="M14" s="572">
        <v>39.5</v>
      </c>
      <c r="N14" s="618">
        <v>144</v>
      </c>
      <c r="O14" s="27">
        <v>4320</v>
      </c>
      <c r="P14" s="620">
        <f>1.5*(O14+O15)/N14</f>
        <v>75</v>
      </c>
    </row>
    <row r="15" spans="1:16" ht="19.5" thickBot="1" x14ac:dyDescent="0.35">
      <c r="A15" s="11">
        <v>27</v>
      </c>
      <c r="B15" s="580"/>
      <c r="C15" s="12" t="s">
        <v>34</v>
      </c>
      <c r="D15" s="582"/>
      <c r="E15" s="616"/>
      <c r="F15" s="616"/>
      <c r="H15" s="616"/>
      <c r="I15" s="8" t="s">
        <v>49</v>
      </c>
      <c r="J15" s="578"/>
      <c r="K15" s="569"/>
      <c r="L15" s="571"/>
      <c r="M15" s="573">
        <v>39.200000000000003</v>
      </c>
      <c r="N15" s="619"/>
      <c r="O15" s="29">
        <v>2880</v>
      </c>
      <c r="P15" s="621"/>
    </row>
    <row r="16" spans="1:16" ht="21.2" customHeight="1" thickBot="1" x14ac:dyDescent="0.35">
      <c r="A16" s="9"/>
      <c r="B16" s="10" t="s">
        <v>42</v>
      </c>
      <c r="C16" s="10" t="s">
        <v>40</v>
      </c>
      <c r="D16" s="561"/>
      <c r="E16" s="595">
        <f>+D16*K16</f>
        <v>0</v>
      </c>
      <c r="F16" s="595" t="e">
        <f>+E16/L16</f>
        <v>#DIV/0!</v>
      </c>
      <c r="H16" s="16"/>
      <c r="I16" s="8" t="s">
        <v>50</v>
      </c>
      <c r="J16" s="20"/>
      <c r="K16" s="24"/>
      <c r="L16" s="22"/>
      <c r="M16" s="26"/>
      <c r="N16" s="20"/>
      <c r="O16" s="24"/>
      <c r="P16" s="32"/>
    </row>
    <row r="17" spans="1:16" ht="21.2" customHeight="1" thickBot="1" x14ac:dyDescent="0.35">
      <c r="A17" s="9"/>
      <c r="B17" s="10"/>
      <c r="C17" s="10"/>
      <c r="D17" s="562"/>
      <c r="E17" s="616"/>
      <c r="F17" s="616"/>
      <c r="H17" s="16"/>
      <c r="I17" s="8"/>
      <c r="J17" s="20"/>
      <c r="K17" s="24"/>
      <c r="L17" s="22"/>
      <c r="M17" s="26"/>
      <c r="N17" s="20"/>
      <c r="O17" s="24"/>
      <c r="P17" s="32"/>
    </row>
    <row r="18" spans="1:16" ht="21.2" customHeight="1" x14ac:dyDescent="0.3">
      <c r="A18" s="9"/>
      <c r="B18" s="10" t="s">
        <v>43</v>
      </c>
      <c r="C18" s="10" t="s">
        <v>41</v>
      </c>
      <c r="D18" s="622"/>
      <c r="E18" s="595">
        <f>+D18*K18</f>
        <v>0</v>
      </c>
      <c r="F18" s="595" t="e">
        <f>+E18/L18</f>
        <v>#DIV/0!</v>
      </c>
      <c r="H18" s="16"/>
      <c r="I18" s="8" t="s">
        <v>50</v>
      </c>
      <c r="J18" s="20"/>
      <c r="K18" s="24"/>
      <c r="L18" s="22"/>
      <c r="M18" s="26"/>
      <c r="N18" s="20"/>
      <c r="O18" s="24"/>
      <c r="P18" s="32"/>
    </row>
    <row r="19" spans="1:16" ht="21.2" customHeight="1" thickBot="1" x14ac:dyDescent="0.35">
      <c r="A19" s="9"/>
      <c r="B19" s="10"/>
      <c r="C19" s="10"/>
      <c r="D19" s="562"/>
      <c r="E19" s="616"/>
      <c r="F19" s="616"/>
      <c r="H19" s="16"/>
      <c r="J19" s="20"/>
      <c r="K19" s="24"/>
      <c r="L19" s="22"/>
      <c r="M19" s="26"/>
      <c r="N19" s="20"/>
      <c r="O19" s="24"/>
      <c r="P19" s="32"/>
    </row>
  </sheetData>
  <autoFilter ref="A3:O19" xr:uid="{00000000-0009-0000-0000-00006C000000}"/>
  <mergeCells count="31">
    <mergeCell ref="A1:C1"/>
    <mergeCell ref="A2:B2"/>
    <mergeCell ref="J2:P2"/>
    <mergeCell ref="B12:B13"/>
    <mergeCell ref="D12:D13"/>
    <mergeCell ref="E12:E13"/>
    <mergeCell ref="F12:F13"/>
    <mergeCell ref="H12:H13"/>
    <mergeCell ref="J12:J13"/>
    <mergeCell ref="K12:K13"/>
    <mergeCell ref="L12:L13"/>
    <mergeCell ref="M12:M13"/>
    <mergeCell ref="N12:N13"/>
    <mergeCell ref="P12:P13"/>
    <mergeCell ref="B14:B15"/>
    <mergeCell ref="D14:D15"/>
    <mergeCell ref="E14:E15"/>
    <mergeCell ref="F14:F15"/>
    <mergeCell ref="H14:H15"/>
    <mergeCell ref="M14:M15"/>
    <mergeCell ref="N14:N15"/>
    <mergeCell ref="P14:P15"/>
    <mergeCell ref="D16:D17"/>
    <mergeCell ref="E16:E17"/>
    <mergeCell ref="F16:F17"/>
    <mergeCell ref="D18:D19"/>
    <mergeCell ref="E18:E19"/>
    <mergeCell ref="F18:F19"/>
    <mergeCell ref="K14:K15"/>
    <mergeCell ref="L14:L15"/>
    <mergeCell ref="J14:J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 codeName="Hoja38">
    <tabColor rgb="FF00B0F0"/>
  </sheetPr>
  <dimension ref="A1:P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0.28515625" customWidth="1"/>
    <col min="7" max="7" width="5.42578125" customWidth="1"/>
    <col min="8" max="8" width="9.28515625" customWidth="1"/>
    <col min="9" max="10" width="13.140625" customWidth="1"/>
    <col min="11" max="11" width="9.42578125" customWidth="1"/>
    <col min="12" max="12" width="10.85546875" customWidth="1"/>
    <col min="13" max="13" width="8.28515625" customWidth="1"/>
    <col min="14" max="14" width="11.28515625" customWidth="1"/>
    <col min="15" max="15" width="11.140625" customWidth="1"/>
    <col min="16" max="16" width="11.28515625" customWidth="1"/>
  </cols>
  <sheetData>
    <row r="1" spans="1:16" ht="47.25" thickBot="1" x14ac:dyDescent="0.3">
      <c r="A1" s="527" t="s">
        <v>0</v>
      </c>
      <c r="B1" s="528"/>
      <c r="C1" s="529"/>
      <c r="D1" s="1"/>
      <c r="E1" s="1"/>
      <c r="F1" s="1"/>
      <c r="H1" s="1"/>
    </row>
    <row r="2" spans="1:16" ht="24.75" customHeight="1" thickBot="1" x14ac:dyDescent="0.35">
      <c r="A2" s="585" t="s">
        <v>1</v>
      </c>
      <c r="B2" s="586"/>
      <c r="C2" s="2"/>
      <c r="D2" s="1"/>
      <c r="E2" s="1"/>
      <c r="F2" s="1"/>
      <c r="H2" s="3"/>
      <c r="J2" s="522" t="s">
        <v>2</v>
      </c>
      <c r="K2" s="523"/>
      <c r="L2" s="523"/>
      <c r="M2" s="523"/>
      <c r="N2" s="523"/>
      <c r="O2" s="523"/>
      <c r="P2" s="524"/>
    </row>
    <row r="3" spans="1:16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H3" s="18" t="s">
        <v>8</v>
      </c>
      <c r="I3" s="36" t="s">
        <v>46</v>
      </c>
      <c r="J3" s="4" t="s">
        <v>13</v>
      </c>
      <c r="K3" s="6" t="s">
        <v>38</v>
      </c>
      <c r="L3" s="4" t="s">
        <v>10</v>
      </c>
      <c r="M3" s="6" t="s">
        <v>9</v>
      </c>
      <c r="N3" s="4" t="s">
        <v>11</v>
      </c>
      <c r="O3" s="6" t="s">
        <v>14</v>
      </c>
      <c r="P3" s="4" t="s">
        <v>12</v>
      </c>
    </row>
    <row r="4" spans="1:16" ht="19.5" thickBot="1" x14ac:dyDescent="0.35">
      <c r="A4" s="7">
        <v>500</v>
      </c>
      <c r="B4" s="8" t="s">
        <v>15</v>
      </c>
      <c r="C4" s="8" t="s">
        <v>16</v>
      </c>
      <c r="D4" s="33">
        <v>13</v>
      </c>
      <c r="E4" s="17">
        <f>D4*K4</f>
        <v>390</v>
      </c>
      <c r="F4" s="17">
        <f t="shared" ref="F4:F12" si="0">+E4/L4</f>
        <v>11836.115326251896</v>
      </c>
      <c r="H4" s="17">
        <f>IF(J4-D4&lt;0,0,J4-D4)</f>
        <v>0</v>
      </c>
      <c r="I4" s="8" t="s">
        <v>47</v>
      </c>
      <c r="J4" s="19">
        <v>5</v>
      </c>
      <c r="K4" s="23">
        <v>30</v>
      </c>
      <c r="L4" s="21">
        <f>+M4/1000</f>
        <v>3.295E-2</v>
      </c>
      <c r="M4" s="25">
        <v>32.950000000000003</v>
      </c>
      <c r="N4" s="19">
        <f>+K4/L4</f>
        <v>910.4704097116844</v>
      </c>
      <c r="O4" s="23">
        <v>2520</v>
      </c>
      <c r="P4" s="31">
        <f t="shared" ref="P4:P11" si="1">1.5*O4/N4</f>
        <v>4.1516999999999999</v>
      </c>
    </row>
    <row r="5" spans="1:16" ht="19.5" thickBot="1" x14ac:dyDescent="0.35">
      <c r="A5" s="9">
        <v>706</v>
      </c>
      <c r="B5" s="10" t="s">
        <v>17</v>
      </c>
      <c r="C5" s="10" t="s">
        <v>18</v>
      </c>
      <c r="D5" s="34">
        <v>19</v>
      </c>
      <c r="E5" s="16">
        <f t="shared" ref="E5:E11" si="2">D5*K5</f>
        <v>570</v>
      </c>
      <c r="F5" s="16">
        <f t="shared" si="0"/>
        <v>25968.109339407743</v>
      </c>
      <c r="H5" s="16">
        <f t="shared" ref="H5:H14" si="3">IF(J5-D5&lt;0,0,J5-D5)</f>
        <v>0</v>
      </c>
      <c r="I5" s="8" t="s">
        <v>47</v>
      </c>
      <c r="J5" s="20">
        <v>4</v>
      </c>
      <c r="K5" s="24">
        <v>30</v>
      </c>
      <c r="L5" s="22">
        <f t="shared" ref="L5:L11" si="4">+M5/1000</f>
        <v>2.1950000000000001E-2</v>
      </c>
      <c r="M5" s="26">
        <v>21.95</v>
      </c>
      <c r="N5" s="20">
        <f t="shared" ref="N5:N11" si="5">+K5/L5</f>
        <v>1366.7425968109339</v>
      </c>
      <c r="O5" s="24">
        <v>3600</v>
      </c>
      <c r="P5" s="32">
        <f t="shared" si="1"/>
        <v>3.9510000000000001</v>
      </c>
    </row>
    <row r="6" spans="1:16" ht="19.5" thickBot="1" x14ac:dyDescent="0.35">
      <c r="A6" s="9" t="s">
        <v>19</v>
      </c>
      <c r="B6" s="10" t="s">
        <v>20</v>
      </c>
      <c r="C6" s="10" t="s">
        <v>21</v>
      </c>
      <c r="D6" s="34">
        <v>4</v>
      </c>
      <c r="E6" s="16">
        <f t="shared" si="2"/>
        <v>120</v>
      </c>
      <c r="F6" s="16">
        <f t="shared" si="0"/>
        <v>5466.9703872437358</v>
      </c>
      <c r="H6" s="16">
        <f t="shared" si="3"/>
        <v>1</v>
      </c>
      <c r="I6" s="8" t="s">
        <v>47</v>
      </c>
      <c r="J6" s="20">
        <v>5</v>
      </c>
      <c r="K6" s="24">
        <v>30</v>
      </c>
      <c r="L6" s="22">
        <f t="shared" si="4"/>
        <v>2.1950000000000001E-2</v>
      </c>
      <c r="M6" s="26">
        <v>21.95</v>
      </c>
      <c r="N6" s="20">
        <f t="shared" si="5"/>
        <v>1366.7425968109339</v>
      </c>
      <c r="O6" s="24">
        <v>0</v>
      </c>
      <c r="P6" s="32">
        <f t="shared" si="1"/>
        <v>0</v>
      </c>
    </row>
    <row r="7" spans="1:16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16">
        <f t="shared" si="2"/>
        <v>0</v>
      </c>
      <c r="F7" s="16">
        <f t="shared" si="0"/>
        <v>0</v>
      </c>
      <c r="H7" s="16">
        <f t="shared" si="3"/>
        <v>25</v>
      </c>
      <c r="I7" s="8" t="s">
        <v>48</v>
      </c>
      <c r="J7" s="20">
        <v>25</v>
      </c>
      <c r="K7" s="30">
        <f>+N7*L7</f>
        <v>2.5799999999999996</v>
      </c>
      <c r="L7" s="22">
        <f t="shared" si="4"/>
        <v>2.1499999999999998E-2</v>
      </c>
      <c r="M7" s="26">
        <v>21.5</v>
      </c>
      <c r="N7" s="20">
        <v>120</v>
      </c>
      <c r="O7" s="24">
        <v>1200</v>
      </c>
      <c r="P7" s="32">
        <f t="shared" si="1"/>
        <v>15</v>
      </c>
    </row>
    <row r="8" spans="1:16" ht="19.5" thickBot="1" x14ac:dyDescent="0.35">
      <c r="A8" s="9">
        <v>558</v>
      </c>
      <c r="B8" s="10" t="s">
        <v>24</v>
      </c>
      <c r="C8" s="10" t="s">
        <v>25</v>
      </c>
      <c r="D8" s="34">
        <v>4</v>
      </c>
      <c r="E8" s="16">
        <f t="shared" si="2"/>
        <v>7.2</v>
      </c>
      <c r="F8" s="16">
        <f t="shared" si="0"/>
        <v>464.51612903225811</v>
      </c>
      <c r="H8" s="16">
        <f t="shared" si="3"/>
        <v>21</v>
      </c>
      <c r="I8" s="8" t="s">
        <v>48</v>
      </c>
      <c r="J8" s="20">
        <v>25</v>
      </c>
      <c r="K8" s="30">
        <v>1.8</v>
      </c>
      <c r="L8" s="22">
        <f t="shared" si="4"/>
        <v>1.55E-2</v>
      </c>
      <c r="M8" s="26">
        <v>15.5</v>
      </c>
      <c r="N8" s="20">
        <v>120</v>
      </c>
      <c r="O8" s="24">
        <v>1600</v>
      </c>
      <c r="P8" s="32">
        <f t="shared" si="1"/>
        <v>20</v>
      </c>
    </row>
    <row r="9" spans="1:16" ht="21.2" customHeight="1" thickBot="1" x14ac:dyDescent="0.35">
      <c r="A9" s="9">
        <v>557</v>
      </c>
      <c r="B9" s="10" t="s">
        <v>26</v>
      </c>
      <c r="C9" s="10" t="s">
        <v>27</v>
      </c>
      <c r="D9" s="34">
        <v>2</v>
      </c>
      <c r="E9" s="16">
        <f t="shared" si="2"/>
        <v>3.6</v>
      </c>
      <c r="F9" s="16">
        <f t="shared" si="0"/>
        <v>226.41509433962264</v>
      </c>
      <c r="H9" s="16">
        <f t="shared" si="3"/>
        <v>23</v>
      </c>
      <c r="I9" s="8" t="s">
        <v>48</v>
      </c>
      <c r="J9" s="20">
        <v>25</v>
      </c>
      <c r="K9" s="30">
        <v>1.8</v>
      </c>
      <c r="L9" s="22">
        <f t="shared" si="4"/>
        <v>1.5900000000000001E-2</v>
      </c>
      <c r="M9" s="26">
        <v>15.9</v>
      </c>
      <c r="N9" s="20">
        <v>120</v>
      </c>
      <c r="O9" s="24">
        <v>1600</v>
      </c>
      <c r="P9" s="32">
        <f t="shared" si="1"/>
        <v>20</v>
      </c>
    </row>
    <row r="10" spans="1:16" ht="21.2" customHeight="1" thickBot="1" x14ac:dyDescent="0.35">
      <c r="A10" s="9">
        <v>506</v>
      </c>
      <c r="B10" s="10" t="s">
        <v>28</v>
      </c>
      <c r="C10" s="10" t="s">
        <v>29</v>
      </c>
      <c r="D10" s="34">
        <v>29</v>
      </c>
      <c r="E10" s="16">
        <f t="shared" si="2"/>
        <v>870</v>
      </c>
      <c r="F10" s="16">
        <f t="shared" si="0"/>
        <v>39635.535307517086</v>
      </c>
      <c r="H10" s="16">
        <f t="shared" si="3"/>
        <v>0</v>
      </c>
      <c r="I10" s="8" t="s">
        <v>47</v>
      </c>
      <c r="J10" s="20">
        <v>8</v>
      </c>
      <c r="K10" s="24">
        <v>30</v>
      </c>
      <c r="L10" s="22">
        <f t="shared" si="4"/>
        <v>2.1950000000000001E-2</v>
      </c>
      <c r="M10" s="26">
        <v>21.95</v>
      </c>
      <c r="N10" s="20">
        <f t="shared" si="5"/>
        <v>1366.7425968109339</v>
      </c>
      <c r="O10" s="24">
        <v>18612</v>
      </c>
      <c r="P10" s="32">
        <f t="shared" si="1"/>
        <v>20.426670000000001</v>
      </c>
    </row>
    <row r="11" spans="1:16" ht="19.5" thickBot="1" x14ac:dyDescent="0.35">
      <c r="A11" s="9">
        <v>510</v>
      </c>
      <c r="B11" s="10" t="s">
        <v>30</v>
      </c>
      <c r="C11" s="10" t="s">
        <v>31</v>
      </c>
      <c r="D11" s="34">
        <v>0</v>
      </c>
      <c r="E11" s="16">
        <f t="shared" si="2"/>
        <v>0</v>
      </c>
      <c r="F11" s="16">
        <f t="shared" si="0"/>
        <v>0</v>
      </c>
      <c r="H11" s="16">
        <f t="shared" si="3"/>
        <v>4</v>
      </c>
      <c r="I11" s="8" t="s">
        <v>47</v>
      </c>
      <c r="J11" s="20">
        <v>4</v>
      </c>
      <c r="K11" s="24">
        <v>30</v>
      </c>
      <c r="L11" s="22">
        <f t="shared" si="4"/>
        <v>2.1999999999999999E-2</v>
      </c>
      <c r="M11" s="26">
        <v>22</v>
      </c>
      <c r="N11" s="20">
        <f t="shared" si="5"/>
        <v>1363.6363636363637</v>
      </c>
      <c r="O11" s="24">
        <v>6000</v>
      </c>
      <c r="P11" s="32">
        <f t="shared" si="1"/>
        <v>6.6</v>
      </c>
    </row>
    <row r="12" spans="1:16" ht="19.5" thickBot="1" x14ac:dyDescent="0.35">
      <c r="A12" s="9">
        <v>824</v>
      </c>
      <c r="B12" s="579" t="s">
        <v>32</v>
      </c>
      <c r="C12" s="10" t="s">
        <v>36</v>
      </c>
      <c r="D12" s="587">
        <v>209</v>
      </c>
      <c r="E12" s="595">
        <f>+D12*K12</f>
        <v>1212.2</v>
      </c>
      <c r="F12" s="595">
        <f t="shared" si="0"/>
        <v>58000.000000000007</v>
      </c>
      <c r="H12" s="595">
        <f t="shared" si="3"/>
        <v>0</v>
      </c>
      <c r="I12" s="8" t="s">
        <v>49</v>
      </c>
      <c r="J12" s="559">
        <v>12</v>
      </c>
      <c r="K12" s="568">
        <v>5.8</v>
      </c>
      <c r="L12" s="570">
        <f>+M12/1000</f>
        <v>2.0899999999999998E-2</v>
      </c>
      <c r="M12" s="572">
        <v>20.9</v>
      </c>
      <c r="N12" s="618">
        <v>288</v>
      </c>
      <c r="O12" s="27">
        <v>8000</v>
      </c>
      <c r="P12" s="620">
        <f>1.5*(O12+O13)/N12</f>
        <v>55.666666666666664</v>
      </c>
    </row>
    <row r="13" spans="1:16" ht="19.5" thickBot="1" x14ac:dyDescent="0.35">
      <c r="A13" s="9">
        <v>26</v>
      </c>
      <c r="B13" s="579"/>
      <c r="C13" s="10" t="s">
        <v>37</v>
      </c>
      <c r="D13" s="581"/>
      <c r="E13" s="596"/>
      <c r="F13" s="596"/>
      <c r="H13" s="596"/>
      <c r="I13" s="8" t="s">
        <v>49</v>
      </c>
      <c r="J13" s="560"/>
      <c r="K13" s="589"/>
      <c r="L13" s="570"/>
      <c r="M13" s="590">
        <f>+L13*1000</f>
        <v>0</v>
      </c>
      <c r="N13" s="618"/>
      <c r="O13" s="28">
        <v>2688</v>
      </c>
      <c r="P13" s="620"/>
    </row>
    <row r="14" spans="1:16" ht="19.5" thickBot="1" x14ac:dyDescent="0.35">
      <c r="A14" s="9">
        <v>825</v>
      </c>
      <c r="B14" s="579" t="s">
        <v>35</v>
      </c>
      <c r="C14" s="10" t="s">
        <v>33</v>
      </c>
      <c r="D14" s="581">
        <v>156</v>
      </c>
      <c r="E14" s="595">
        <f>+D14*K14</f>
        <v>904.8</v>
      </c>
      <c r="F14" s="595">
        <f>+E14/L14</f>
        <v>22906.32911392405</v>
      </c>
      <c r="H14" s="595">
        <f t="shared" si="3"/>
        <v>0</v>
      </c>
      <c r="I14" s="8" t="s">
        <v>49</v>
      </c>
      <c r="J14" s="559">
        <v>24</v>
      </c>
      <c r="K14" s="568">
        <v>5.8</v>
      </c>
      <c r="L14" s="570">
        <f>+M14/1000</f>
        <v>3.95E-2</v>
      </c>
      <c r="M14" s="572">
        <v>39.5</v>
      </c>
      <c r="N14" s="618">
        <v>144</v>
      </c>
      <c r="O14" s="27">
        <v>4320</v>
      </c>
      <c r="P14" s="620">
        <f>1.5*(O14+O15)/N14</f>
        <v>75</v>
      </c>
    </row>
    <row r="15" spans="1:16" ht="19.5" thickBot="1" x14ac:dyDescent="0.35">
      <c r="A15" s="11">
        <v>27</v>
      </c>
      <c r="B15" s="580"/>
      <c r="C15" s="12" t="s">
        <v>34</v>
      </c>
      <c r="D15" s="582"/>
      <c r="E15" s="616"/>
      <c r="F15" s="616"/>
      <c r="H15" s="616"/>
      <c r="I15" s="8" t="s">
        <v>49</v>
      </c>
      <c r="J15" s="578"/>
      <c r="K15" s="569"/>
      <c r="L15" s="571"/>
      <c r="M15" s="573">
        <v>39.200000000000003</v>
      </c>
      <c r="N15" s="619"/>
      <c r="O15" s="29">
        <v>2880</v>
      </c>
      <c r="P15" s="621"/>
    </row>
    <row r="16" spans="1:16" ht="21.2" customHeight="1" thickBot="1" x14ac:dyDescent="0.35">
      <c r="A16" s="9"/>
      <c r="B16" s="10" t="s">
        <v>42</v>
      </c>
      <c r="C16" s="10" t="s">
        <v>40</v>
      </c>
      <c r="D16" s="561">
        <v>60</v>
      </c>
      <c r="E16" s="595">
        <f>+D16*K16</f>
        <v>0</v>
      </c>
      <c r="F16" s="595" t="e">
        <f>+E16/L16</f>
        <v>#DIV/0!</v>
      </c>
      <c r="H16" s="16"/>
      <c r="I16" s="8" t="s">
        <v>50</v>
      </c>
      <c r="J16" s="20"/>
      <c r="K16" s="24"/>
      <c r="L16" s="22"/>
      <c r="M16" s="26"/>
      <c r="N16" s="20"/>
      <c r="O16" s="24"/>
      <c r="P16" s="32"/>
    </row>
    <row r="17" spans="1:16" ht="21.2" customHeight="1" thickBot="1" x14ac:dyDescent="0.35">
      <c r="A17" s="9"/>
      <c r="B17" s="10"/>
      <c r="C17" s="10"/>
      <c r="D17" s="562"/>
      <c r="E17" s="616"/>
      <c r="F17" s="616"/>
      <c r="H17" s="16"/>
      <c r="I17" s="8"/>
      <c r="J17" s="20"/>
      <c r="K17" s="24"/>
      <c r="L17" s="22"/>
      <c r="M17" s="26"/>
      <c r="N17" s="20"/>
      <c r="O17" s="24"/>
      <c r="P17" s="32"/>
    </row>
    <row r="18" spans="1:16" ht="21.2" customHeight="1" x14ac:dyDescent="0.3">
      <c r="A18" s="9"/>
      <c r="B18" s="10" t="s">
        <v>43</v>
      </c>
      <c r="C18" s="10" t="s">
        <v>41</v>
      </c>
      <c r="D18" s="622">
        <v>23</v>
      </c>
      <c r="E18" s="595">
        <f>+D18*K18</f>
        <v>0</v>
      </c>
      <c r="F18" s="595" t="e">
        <f>+E18/L18</f>
        <v>#DIV/0!</v>
      </c>
      <c r="H18" s="16"/>
      <c r="I18" s="8" t="s">
        <v>50</v>
      </c>
      <c r="J18" s="20"/>
      <c r="K18" s="24"/>
      <c r="L18" s="22"/>
      <c r="M18" s="26"/>
      <c r="N18" s="20"/>
      <c r="O18" s="24"/>
      <c r="P18" s="32"/>
    </row>
    <row r="19" spans="1:16" ht="21.2" customHeight="1" thickBot="1" x14ac:dyDescent="0.35">
      <c r="A19" s="9"/>
      <c r="B19" s="10"/>
      <c r="C19" s="10"/>
      <c r="D19" s="562"/>
      <c r="E19" s="616"/>
      <c r="F19" s="616"/>
      <c r="H19" s="16"/>
      <c r="J19" s="20"/>
      <c r="K19" s="24"/>
      <c r="L19" s="22"/>
      <c r="M19" s="26"/>
      <c r="N19" s="20"/>
      <c r="O19" s="24"/>
      <c r="P19" s="32"/>
    </row>
  </sheetData>
  <autoFilter ref="A3:O15" xr:uid="{00000000-0009-0000-0000-00006D000000}"/>
  <mergeCells count="31">
    <mergeCell ref="A1:C1"/>
    <mergeCell ref="A2:B2"/>
    <mergeCell ref="J2:P2"/>
    <mergeCell ref="B12:B13"/>
    <mergeCell ref="D12:D13"/>
    <mergeCell ref="E12:E13"/>
    <mergeCell ref="F12:F13"/>
    <mergeCell ref="H12:H13"/>
    <mergeCell ref="J12:J13"/>
    <mergeCell ref="K12:K13"/>
    <mergeCell ref="L12:L13"/>
    <mergeCell ref="M12:M13"/>
    <mergeCell ref="N12:N13"/>
    <mergeCell ref="P12:P13"/>
    <mergeCell ref="B14:B15"/>
    <mergeCell ref="D14:D15"/>
    <mergeCell ref="E14:E15"/>
    <mergeCell ref="F14:F15"/>
    <mergeCell ref="H14:H15"/>
    <mergeCell ref="P14:P15"/>
    <mergeCell ref="D18:D19"/>
    <mergeCell ref="E16:E17"/>
    <mergeCell ref="E18:E19"/>
    <mergeCell ref="F16:F17"/>
    <mergeCell ref="F18:F19"/>
    <mergeCell ref="D16:D17"/>
    <mergeCell ref="J14:J15"/>
    <mergeCell ref="K14:K15"/>
    <mergeCell ref="L14:L15"/>
    <mergeCell ref="M14:M15"/>
    <mergeCell ref="N14:N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 codeName="Hoja39">
    <tabColor rgb="FF00B0F0"/>
  </sheetPr>
  <dimension ref="A1:P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0.28515625" customWidth="1"/>
    <col min="7" max="7" width="5.42578125" customWidth="1"/>
    <col min="8" max="8" width="9.28515625" customWidth="1"/>
    <col min="9" max="9" width="11.42578125" customWidth="1"/>
    <col min="10" max="11" width="9.42578125" customWidth="1"/>
    <col min="12" max="12" width="10.85546875" customWidth="1"/>
    <col min="13" max="13" width="8.28515625" customWidth="1"/>
    <col min="14" max="14" width="11.28515625" customWidth="1"/>
    <col min="15" max="15" width="11.140625" customWidth="1"/>
    <col min="16" max="16" width="11.28515625" customWidth="1"/>
  </cols>
  <sheetData>
    <row r="1" spans="1:16" ht="47.25" thickBot="1" x14ac:dyDescent="0.3">
      <c r="A1" s="527" t="s">
        <v>0</v>
      </c>
      <c r="B1" s="528"/>
      <c r="C1" s="529"/>
      <c r="D1" s="1"/>
      <c r="E1" s="1"/>
      <c r="F1" s="1"/>
      <c r="H1" s="1"/>
    </row>
    <row r="2" spans="1:16" ht="24.75" customHeight="1" thickBot="1" x14ac:dyDescent="0.35">
      <c r="A2" s="585" t="s">
        <v>1</v>
      </c>
      <c r="B2" s="586"/>
      <c r="C2" s="2">
        <v>45190</v>
      </c>
      <c r="D2" s="1"/>
      <c r="E2" s="1"/>
      <c r="F2" s="1"/>
      <c r="H2" s="3"/>
      <c r="J2" s="522" t="s">
        <v>2</v>
      </c>
      <c r="K2" s="523"/>
      <c r="L2" s="523"/>
      <c r="M2" s="523"/>
      <c r="N2" s="523"/>
      <c r="O2" s="523"/>
      <c r="P2" s="524"/>
    </row>
    <row r="3" spans="1:16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H3" s="18" t="s">
        <v>8</v>
      </c>
      <c r="I3" s="36" t="s">
        <v>46</v>
      </c>
      <c r="J3" s="4" t="s">
        <v>13</v>
      </c>
      <c r="K3" s="6" t="s">
        <v>38</v>
      </c>
      <c r="L3" s="4" t="s">
        <v>10</v>
      </c>
      <c r="M3" s="6" t="s">
        <v>9</v>
      </c>
      <c r="N3" s="4" t="s">
        <v>11</v>
      </c>
      <c r="O3" s="6" t="s">
        <v>14</v>
      </c>
      <c r="P3" s="4" t="s">
        <v>12</v>
      </c>
    </row>
    <row r="4" spans="1:16" ht="19.5" thickBot="1" x14ac:dyDescent="0.35">
      <c r="A4" s="7">
        <v>500</v>
      </c>
      <c r="B4" s="8" t="s">
        <v>15</v>
      </c>
      <c r="C4" s="8" t="s">
        <v>16</v>
      </c>
      <c r="D4" s="33">
        <v>13</v>
      </c>
      <c r="E4" s="17">
        <f>D4*K4</f>
        <v>390</v>
      </c>
      <c r="F4" s="17">
        <f t="shared" ref="F4:F12" si="0">+E4/L4</f>
        <v>11836.115326251896</v>
      </c>
      <c r="H4" s="17">
        <f>IF(J4-D4&lt;0,0,J4-D4)</f>
        <v>0</v>
      </c>
      <c r="I4" s="8" t="s">
        <v>47</v>
      </c>
      <c r="J4" s="19">
        <v>5</v>
      </c>
      <c r="K4" s="23">
        <v>30</v>
      </c>
      <c r="L4" s="21">
        <f>+M4/1000</f>
        <v>3.295E-2</v>
      </c>
      <c r="M4" s="25">
        <v>32.950000000000003</v>
      </c>
      <c r="N4" s="19">
        <f>+K4/L4</f>
        <v>910.4704097116844</v>
      </c>
      <c r="O4" s="23">
        <v>2520</v>
      </c>
      <c r="P4" s="31">
        <f t="shared" ref="P4:P11" si="1">1.5*O4/N4</f>
        <v>4.1516999999999999</v>
      </c>
    </row>
    <row r="5" spans="1:16" ht="19.5" thickBot="1" x14ac:dyDescent="0.35">
      <c r="A5" s="9">
        <v>706</v>
      </c>
      <c r="B5" s="10" t="s">
        <v>17</v>
      </c>
      <c r="C5" s="10" t="s">
        <v>18</v>
      </c>
      <c r="D5" s="34">
        <v>18</v>
      </c>
      <c r="E5" s="16">
        <f t="shared" ref="E5:E11" si="2">D5*K5</f>
        <v>540</v>
      </c>
      <c r="F5" s="16">
        <f t="shared" si="0"/>
        <v>24601.366742596809</v>
      </c>
      <c r="H5" s="16">
        <f t="shared" ref="H5:H14" si="3">IF(J5-D5&lt;0,0,J5-D5)</f>
        <v>0</v>
      </c>
      <c r="I5" s="8" t="s">
        <v>47</v>
      </c>
      <c r="J5" s="20">
        <v>4</v>
      </c>
      <c r="K5" s="24">
        <v>30</v>
      </c>
      <c r="L5" s="22">
        <f t="shared" ref="L5:L11" si="4">+M5/1000</f>
        <v>2.1950000000000001E-2</v>
      </c>
      <c r="M5" s="26">
        <v>21.95</v>
      </c>
      <c r="N5" s="20">
        <f t="shared" ref="N5:N11" si="5">+K5/L5</f>
        <v>1366.7425968109339</v>
      </c>
      <c r="O5" s="24">
        <v>3600</v>
      </c>
      <c r="P5" s="32">
        <f t="shared" si="1"/>
        <v>3.9510000000000001</v>
      </c>
    </row>
    <row r="6" spans="1:16" ht="19.5" thickBot="1" x14ac:dyDescent="0.35">
      <c r="A6" s="9" t="s">
        <v>19</v>
      </c>
      <c r="B6" s="10" t="s">
        <v>20</v>
      </c>
      <c r="C6" s="10" t="s">
        <v>21</v>
      </c>
      <c r="D6" s="34">
        <v>4</v>
      </c>
      <c r="E6" s="16">
        <f t="shared" si="2"/>
        <v>120</v>
      </c>
      <c r="F6" s="16">
        <f t="shared" si="0"/>
        <v>5466.9703872437358</v>
      </c>
      <c r="H6" s="16">
        <f t="shared" si="3"/>
        <v>1</v>
      </c>
      <c r="I6" s="8" t="s">
        <v>47</v>
      </c>
      <c r="J6" s="20">
        <v>5</v>
      </c>
      <c r="K6" s="24">
        <v>30</v>
      </c>
      <c r="L6" s="22">
        <f t="shared" si="4"/>
        <v>2.1950000000000001E-2</v>
      </c>
      <c r="M6" s="26">
        <v>21.95</v>
      </c>
      <c r="N6" s="20">
        <f t="shared" si="5"/>
        <v>1366.7425968109339</v>
      </c>
      <c r="O6" s="24">
        <v>0</v>
      </c>
      <c r="P6" s="32">
        <f t="shared" si="1"/>
        <v>0</v>
      </c>
    </row>
    <row r="7" spans="1:16" ht="19.5" thickBot="1" x14ac:dyDescent="0.35">
      <c r="A7" s="9">
        <v>654</v>
      </c>
      <c r="B7" s="10" t="s">
        <v>22</v>
      </c>
      <c r="C7" s="10" t="s">
        <v>23</v>
      </c>
      <c r="D7" s="34">
        <v>0</v>
      </c>
      <c r="E7" s="16">
        <f t="shared" si="2"/>
        <v>0</v>
      </c>
      <c r="F7" s="16">
        <f t="shared" si="0"/>
        <v>0</v>
      </c>
      <c r="H7" s="16">
        <f t="shared" si="3"/>
        <v>25</v>
      </c>
      <c r="I7" s="8" t="s">
        <v>48</v>
      </c>
      <c r="J7" s="20">
        <v>25</v>
      </c>
      <c r="K7" s="30">
        <f>+N7*L7</f>
        <v>2.5799999999999996</v>
      </c>
      <c r="L7" s="22">
        <f t="shared" si="4"/>
        <v>2.1499999999999998E-2</v>
      </c>
      <c r="M7" s="26">
        <v>21.5</v>
      </c>
      <c r="N7" s="20">
        <v>120</v>
      </c>
      <c r="O7" s="24">
        <v>1200</v>
      </c>
      <c r="P7" s="32">
        <f t="shared" si="1"/>
        <v>15</v>
      </c>
    </row>
    <row r="8" spans="1:16" ht="19.5" thickBot="1" x14ac:dyDescent="0.35">
      <c r="A8" s="9">
        <v>558</v>
      </c>
      <c r="B8" s="10" t="s">
        <v>24</v>
      </c>
      <c r="C8" s="10" t="s">
        <v>25</v>
      </c>
      <c r="D8" s="34">
        <v>6</v>
      </c>
      <c r="E8" s="16">
        <f t="shared" si="2"/>
        <v>10.8</v>
      </c>
      <c r="F8" s="16">
        <f t="shared" si="0"/>
        <v>696.77419354838719</v>
      </c>
      <c r="H8" s="16">
        <f t="shared" si="3"/>
        <v>19</v>
      </c>
      <c r="I8" s="8" t="s">
        <v>48</v>
      </c>
      <c r="J8" s="20">
        <v>25</v>
      </c>
      <c r="K8" s="30">
        <v>1.8</v>
      </c>
      <c r="L8" s="22">
        <f t="shared" si="4"/>
        <v>1.55E-2</v>
      </c>
      <c r="M8" s="26">
        <v>15.5</v>
      </c>
      <c r="N8" s="20">
        <v>120</v>
      </c>
      <c r="O8" s="24">
        <v>1600</v>
      </c>
      <c r="P8" s="32">
        <f t="shared" si="1"/>
        <v>20</v>
      </c>
    </row>
    <row r="9" spans="1:16" ht="21.2" customHeight="1" thickBot="1" x14ac:dyDescent="0.35">
      <c r="A9" s="9">
        <v>557</v>
      </c>
      <c r="B9" s="10" t="s">
        <v>26</v>
      </c>
      <c r="C9" s="10" t="s">
        <v>27</v>
      </c>
      <c r="D9" s="34">
        <v>4</v>
      </c>
      <c r="E9" s="16">
        <f t="shared" si="2"/>
        <v>7.2</v>
      </c>
      <c r="F9" s="16">
        <f t="shared" si="0"/>
        <v>452.83018867924528</v>
      </c>
      <c r="H9" s="16">
        <f t="shared" si="3"/>
        <v>21</v>
      </c>
      <c r="I9" s="8" t="s">
        <v>48</v>
      </c>
      <c r="J9" s="20">
        <v>25</v>
      </c>
      <c r="K9" s="30">
        <v>1.8</v>
      </c>
      <c r="L9" s="22">
        <f t="shared" si="4"/>
        <v>1.5900000000000001E-2</v>
      </c>
      <c r="M9" s="26">
        <v>15.9</v>
      </c>
      <c r="N9" s="20">
        <v>120</v>
      </c>
      <c r="O9" s="24">
        <v>1600</v>
      </c>
      <c r="P9" s="32">
        <f t="shared" si="1"/>
        <v>20</v>
      </c>
    </row>
    <row r="10" spans="1:16" ht="21.2" customHeight="1" thickBot="1" x14ac:dyDescent="0.35">
      <c r="A10" s="9">
        <v>506</v>
      </c>
      <c r="B10" s="10" t="s">
        <v>28</v>
      </c>
      <c r="C10" s="10" t="s">
        <v>29</v>
      </c>
      <c r="D10" s="34">
        <v>29</v>
      </c>
      <c r="E10" s="16">
        <f t="shared" si="2"/>
        <v>870</v>
      </c>
      <c r="F10" s="16">
        <f t="shared" si="0"/>
        <v>39635.535307517086</v>
      </c>
      <c r="H10" s="16">
        <f t="shared" si="3"/>
        <v>0</v>
      </c>
      <c r="I10" s="8" t="s">
        <v>47</v>
      </c>
      <c r="J10" s="20">
        <v>8</v>
      </c>
      <c r="K10" s="24">
        <v>30</v>
      </c>
      <c r="L10" s="22">
        <f t="shared" si="4"/>
        <v>2.1950000000000001E-2</v>
      </c>
      <c r="M10" s="26">
        <v>21.95</v>
      </c>
      <c r="N10" s="20">
        <f t="shared" si="5"/>
        <v>1366.7425968109339</v>
      </c>
      <c r="O10" s="24">
        <v>18612</v>
      </c>
      <c r="P10" s="32">
        <f t="shared" si="1"/>
        <v>20.426670000000001</v>
      </c>
    </row>
    <row r="11" spans="1:16" ht="19.5" thickBot="1" x14ac:dyDescent="0.35">
      <c r="A11" s="9">
        <v>510</v>
      </c>
      <c r="B11" s="10" t="s">
        <v>30</v>
      </c>
      <c r="C11" s="10" t="s">
        <v>31</v>
      </c>
      <c r="D11" s="34">
        <v>0</v>
      </c>
      <c r="E11" s="16">
        <f t="shared" si="2"/>
        <v>0</v>
      </c>
      <c r="F11" s="16">
        <f t="shared" si="0"/>
        <v>0</v>
      </c>
      <c r="H11" s="16">
        <f t="shared" si="3"/>
        <v>4</v>
      </c>
      <c r="I11" s="8" t="s">
        <v>47</v>
      </c>
      <c r="J11" s="20">
        <v>4</v>
      </c>
      <c r="K11" s="24">
        <v>30</v>
      </c>
      <c r="L11" s="22">
        <f t="shared" si="4"/>
        <v>2.1999999999999999E-2</v>
      </c>
      <c r="M11" s="26">
        <v>22</v>
      </c>
      <c r="N11" s="20">
        <f t="shared" si="5"/>
        <v>1363.6363636363637</v>
      </c>
      <c r="O11" s="24">
        <v>6000</v>
      </c>
      <c r="P11" s="32">
        <f t="shared" si="1"/>
        <v>6.6</v>
      </c>
    </row>
    <row r="12" spans="1:16" ht="19.5" thickBot="1" x14ac:dyDescent="0.35">
      <c r="A12" s="9">
        <v>824</v>
      </c>
      <c r="B12" s="579" t="s">
        <v>32</v>
      </c>
      <c r="C12" s="10" t="s">
        <v>36</v>
      </c>
      <c r="D12" s="587">
        <v>149</v>
      </c>
      <c r="E12" s="595">
        <f>+D12*K12</f>
        <v>864.19999999999993</v>
      </c>
      <c r="F12" s="595">
        <f t="shared" si="0"/>
        <v>41349.282296650716</v>
      </c>
      <c r="H12" s="595">
        <f t="shared" si="3"/>
        <v>0</v>
      </c>
      <c r="I12" s="8" t="s">
        <v>49</v>
      </c>
      <c r="J12" s="559">
        <v>12</v>
      </c>
      <c r="K12" s="568">
        <v>5.8</v>
      </c>
      <c r="L12" s="570">
        <f>+M12/1000</f>
        <v>2.0899999999999998E-2</v>
      </c>
      <c r="M12" s="572">
        <v>20.9</v>
      </c>
      <c r="N12" s="618">
        <v>288</v>
      </c>
      <c r="O12" s="27">
        <v>8000</v>
      </c>
      <c r="P12" s="620">
        <f>1.5*(O12+O13)/N12</f>
        <v>55.666666666666664</v>
      </c>
    </row>
    <row r="13" spans="1:16" ht="19.5" thickBot="1" x14ac:dyDescent="0.35">
      <c r="A13" s="9">
        <v>26</v>
      </c>
      <c r="B13" s="579"/>
      <c r="C13" s="10" t="s">
        <v>37</v>
      </c>
      <c r="D13" s="581"/>
      <c r="E13" s="596"/>
      <c r="F13" s="596"/>
      <c r="H13" s="596"/>
      <c r="I13" s="8" t="s">
        <v>49</v>
      </c>
      <c r="J13" s="560"/>
      <c r="K13" s="589"/>
      <c r="L13" s="570"/>
      <c r="M13" s="590">
        <f>+L13*1000</f>
        <v>0</v>
      </c>
      <c r="N13" s="618"/>
      <c r="O13" s="28">
        <v>2688</v>
      </c>
      <c r="P13" s="620"/>
    </row>
    <row r="14" spans="1:16" ht="19.5" thickBot="1" x14ac:dyDescent="0.35">
      <c r="A14" s="9">
        <v>825</v>
      </c>
      <c r="B14" s="579" t="s">
        <v>35</v>
      </c>
      <c r="C14" s="10" t="s">
        <v>33</v>
      </c>
      <c r="D14" s="581">
        <v>246</v>
      </c>
      <c r="E14" s="595">
        <f>+D14*K14</f>
        <v>1426.8</v>
      </c>
      <c r="F14" s="595">
        <f>+E14/L14</f>
        <v>36121.518987341769</v>
      </c>
      <c r="H14" s="595">
        <f t="shared" si="3"/>
        <v>0</v>
      </c>
      <c r="I14" s="8" t="s">
        <v>49</v>
      </c>
      <c r="J14" s="559">
        <v>24</v>
      </c>
      <c r="K14" s="568">
        <v>5.8</v>
      </c>
      <c r="L14" s="570">
        <f>+M14/1000</f>
        <v>3.95E-2</v>
      </c>
      <c r="M14" s="572">
        <v>39.5</v>
      </c>
      <c r="N14" s="618">
        <v>144</v>
      </c>
      <c r="O14" s="27">
        <v>4320</v>
      </c>
      <c r="P14" s="620">
        <f>1.5*(O14+O15)/N14</f>
        <v>75</v>
      </c>
    </row>
    <row r="15" spans="1:16" ht="19.5" thickBot="1" x14ac:dyDescent="0.35">
      <c r="A15" s="11">
        <v>27</v>
      </c>
      <c r="B15" s="580"/>
      <c r="C15" s="12" t="s">
        <v>34</v>
      </c>
      <c r="D15" s="582"/>
      <c r="E15" s="616"/>
      <c r="F15" s="616"/>
      <c r="H15" s="616"/>
      <c r="I15" s="8" t="s">
        <v>49</v>
      </c>
      <c r="J15" s="578"/>
      <c r="K15" s="569"/>
      <c r="L15" s="571"/>
      <c r="M15" s="573">
        <v>39.200000000000003</v>
      </c>
      <c r="N15" s="619"/>
      <c r="O15" s="29">
        <v>2880</v>
      </c>
      <c r="P15" s="621"/>
    </row>
    <row r="16" spans="1:16" ht="21.2" customHeight="1" thickBot="1" x14ac:dyDescent="0.35">
      <c r="A16" s="9"/>
      <c r="B16" s="10" t="s">
        <v>42</v>
      </c>
      <c r="C16" s="10" t="s">
        <v>40</v>
      </c>
      <c r="D16" s="561">
        <v>60</v>
      </c>
      <c r="E16" s="16"/>
      <c r="F16" s="16"/>
      <c r="H16" s="16"/>
      <c r="I16" s="8" t="s">
        <v>50</v>
      </c>
      <c r="J16" s="20"/>
      <c r="K16" s="24"/>
      <c r="L16" s="22"/>
      <c r="M16" s="26"/>
      <c r="N16" s="20"/>
      <c r="O16" s="24"/>
      <c r="P16" s="32"/>
    </row>
    <row r="17" spans="1:16" ht="21.2" customHeight="1" thickBot="1" x14ac:dyDescent="0.35">
      <c r="A17" s="9"/>
      <c r="B17" s="10"/>
      <c r="C17" s="10"/>
      <c r="D17" s="562"/>
      <c r="E17" s="16"/>
      <c r="F17" s="16"/>
      <c r="H17" s="16"/>
      <c r="I17" s="8"/>
      <c r="J17" s="20"/>
      <c r="K17" s="24"/>
      <c r="L17" s="22"/>
      <c r="M17" s="26"/>
      <c r="N17" s="20"/>
      <c r="O17" s="24"/>
      <c r="P17" s="32"/>
    </row>
    <row r="18" spans="1:16" ht="21.2" customHeight="1" x14ac:dyDescent="0.3">
      <c r="A18" s="9"/>
      <c r="B18" s="10" t="s">
        <v>43</v>
      </c>
      <c r="C18" s="10" t="s">
        <v>41</v>
      </c>
      <c r="D18" s="622">
        <v>23</v>
      </c>
      <c r="E18" s="16"/>
      <c r="F18" s="16"/>
      <c r="H18" s="16"/>
      <c r="I18" s="8" t="s">
        <v>50</v>
      </c>
      <c r="J18" s="20"/>
      <c r="K18" s="24"/>
      <c r="L18" s="22"/>
      <c r="M18" s="26"/>
      <c r="N18" s="20"/>
      <c r="O18" s="24"/>
      <c r="P18" s="32"/>
    </row>
    <row r="19" spans="1:16" ht="21.2" customHeight="1" x14ac:dyDescent="0.3">
      <c r="A19" s="9"/>
      <c r="B19" s="10"/>
      <c r="C19" s="10"/>
      <c r="D19" s="562"/>
      <c r="E19" s="16"/>
      <c r="F19" s="16"/>
      <c r="H19" s="16"/>
      <c r="J19" s="20"/>
      <c r="K19" s="24"/>
      <c r="L19" s="22"/>
      <c r="M19" s="26"/>
      <c r="N19" s="20"/>
      <c r="O19" s="24"/>
      <c r="P19" s="32"/>
    </row>
  </sheetData>
  <autoFilter ref="A3:O19" xr:uid="{00000000-0009-0000-0000-00006E000000}"/>
  <mergeCells count="27">
    <mergeCell ref="A1:C1"/>
    <mergeCell ref="A2:B2"/>
    <mergeCell ref="J2:P2"/>
    <mergeCell ref="B12:B13"/>
    <mergeCell ref="D12:D13"/>
    <mergeCell ref="E12:E13"/>
    <mergeCell ref="F12:F13"/>
    <mergeCell ref="H12:H13"/>
    <mergeCell ref="J12:J13"/>
    <mergeCell ref="K12:K13"/>
    <mergeCell ref="B14:B15"/>
    <mergeCell ref="D14:D15"/>
    <mergeCell ref="E14:E15"/>
    <mergeCell ref="F14:F15"/>
    <mergeCell ref="H14:H15"/>
    <mergeCell ref="P14:P15"/>
    <mergeCell ref="D16:D17"/>
    <mergeCell ref="L12:L13"/>
    <mergeCell ref="M12:M13"/>
    <mergeCell ref="N12:N13"/>
    <mergeCell ref="P12:P13"/>
    <mergeCell ref="J14:J15"/>
    <mergeCell ref="D18:D19"/>
    <mergeCell ref="K14:K15"/>
    <mergeCell ref="L14:L15"/>
    <mergeCell ref="M14:M15"/>
    <mergeCell ref="N14:N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 codeName="Hoja40">
    <tabColor theme="6" tint="0.59999389629810485"/>
  </sheetPr>
  <dimension ref="A1:P15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0.28515625" customWidth="1"/>
    <col min="7" max="7" width="5.42578125" customWidth="1"/>
    <col min="8" max="8" width="9.28515625" customWidth="1"/>
    <col min="9" max="11" width="9.42578125" customWidth="1"/>
    <col min="12" max="12" width="10.85546875" customWidth="1"/>
    <col min="13" max="13" width="8.28515625" customWidth="1"/>
    <col min="14" max="14" width="11.28515625" customWidth="1"/>
    <col min="15" max="15" width="11.140625" customWidth="1"/>
    <col min="16" max="16" width="11.28515625" customWidth="1"/>
  </cols>
  <sheetData>
    <row r="1" spans="1:16" ht="47.25" thickBot="1" x14ac:dyDescent="0.3">
      <c r="A1" s="527" t="s">
        <v>0</v>
      </c>
      <c r="B1" s="528"/>
      <c r="C1" s="529"/>
      <c r="D1" s="1"/>
      <c r="E1" s="1"/>
      <c r="F1" s="1"/>
      <c r="H1" s="1"/>
    </row>
    <row r="2" spans="1:16" ht="24.75" customHeight="1" thickBot="1" x14ac:dyDescent="0.35">
      <c r="A2" s="585" t="s">
        <v>1</v>
      </c>
      <c r="B2" s="586"/>
      <c r="C2" s="2"/>
      <c r="D2" s="1"/>
      <c r="E2" s="1"/>
      <c r="F2" s="1"/>
      <c r="H2" s="3"/>
      <c r="J2" s="522" t="s">
        <v>2</v>
      </c>
      <c r="K2" s="523"/>
      <c r="L2" s="523"/>
      <c r="M2" s="523"/>
      <c r="N2" s="523"/>
      <c r="O2" s="523"/>
      <c r="P2" s="524"/>
    </row>
    <row r="3" spans="1:16" ht="54.6" customHeight="1" thickBot="1" x14ac:dyDescent="0.3">
      <c r="A3" s="15" t="s">
        <v>3</v>
      </c>
      <c r="B3" s="4" t="s">
        <v>4</v>
      </c>
      <c r="C3" s="4" t="s">
        <v>5</v>
      </c>
      <c r="D3" s="5" t="s">
        <v>39</v>
      </c>
      <c r="E3" s="4" t="s">
        <v>6</v>
      </c>
      <c r="F3" s="4" t="s">
        <v>7</v>
      </c>
      <c r="H3" s="18" t="s">
        <v>8</v>
      </c>
      <c r="J3" s="4" t="s">
        <v>13</v>
      </c>
      <c r="K3" s="6" t="s">
        <v>38</v>
      </c>
      <c r="L3" s="4" t="s">
        <v>10</v>
      </c>
      <c r="M3" s="6" t="s">
        <v>9</v>
      </c>
      <c r="N3" s="4" t="s">
        <v>11</v>
      </c>
      <c r="O3" s="6" t="s">
        <v>14</v>
      </c>
      <c r="P3" s="4" t="s">
        <v>12</v>
      </c>
    </row>
    <row r="4" spans="1:16" ht="18.75" x14ac:dyDescent="0.3">
      <c r="A4" s="7">
        <v>500</v>
      </c>
      <c r="B4" s="8" t="s">
        <v>15</v>
      </c>
      <c r="C4" s="8" t="s">
        <v>16</v>
      </c>
      <c r="D4" s="13">
        <v>8</v>
      </c>
      <c r="E4" s="17">
        <f>D4*K4</f>
        <v>240</v>
      </c>
      <c r="F4" s="17">
        <f t="shared" ref="F4:F12" si="0">+E4/L4</f>
        <v>7283.7632776934752</v>
      </c>
      <c r="H4" s="17">
        <f>IF(J4-D4&lt;0,0,J4-D4)</f>
        <v>0</v>
      </c>
      <c r="J4" s="19">
        <v>5</v>
      </c>
      <c r="K4" s="23">
        <v>30</v>
      </c>
      <c r="L4" s="21">
        <f>+M4/1000</f>
        <v>3.295E-2</v>
      </c>
      <c r="M4" s="25">
        <v>32.950000000000003</v>
      </c>
      <c r="N4" s="19">
        <f>+K4/L4</f>
        <v>910.4704097116844</v>
      </c>
      <c r="O4" s="23">
        <v>2520</v>
      </c>
      <c r="P4" s="31">
        <f t="shared" ref="P4:P11" si="1">1.5*O4/N4</f>
        <v>4.1516999999999999</v>
      </c>
    </row>
    <row r="5" spans="1:16" ht="18.75" x14ac:dyDescent="0.3">
      <c r="A5" s="9">
        <v>706</v>
      </c>
      <c r="B5" s="10" t="s">
        <v>17</v>
      </c>
      <c r="C5" s="10" t="s">
        <v>18</v>
      </c>
      <c r="D5" s="14">
        <v>9</v>
      </c>
      <c r="E5" s="16">
        <f t="shared" ref="E5:E11" si="2">D5*K5</f>
        <v>270</v>
      </c>
      <c r="F5" s="16">
        <f t="shared" si="0"/>
        <v>12300.683371298404</v>
      </c>
      <c r="H5" s="16">
        <f t="shared" ref="H5:H14" si="3">IF(J5-D5&lt;0,0,J5-D5)</f>
        <v>0</v>
      </c>
      <c r="J5" s="20">
        <v>4</v>
      </c>
      <c r="K5" s="24">
        <v>30</v>
      </c>
      <c r="L5" s="22">
        <f t="shared" ref="L5:L11" si="4">+M5/1000</f>
        <v>2.1950000000000001E-2</v>
      </c>
      <c r="M5" s="26">
        <v>21.95</v>
      </c>
      <c r="N5" s="20">
        <f t="shared" ref="N5:N11" si="5">+K5/L5</f>
        <v>1366.7425968109339</v>
      </c>
      <c r="O5" s="24">
        <v>3600</v>
      </c>
      <c r="P5" s="32">
        <f t="shared" si="1"/>
        <v>3.9510000000000001</v>
      </c>
    </row>
    <row r="6" spans="1:16" ht="18.75" x14ac:dyDescent="0.3">
      <c r="A6" s="9" t="s">
        <v>19</v>
      </c>
      <c r="B6" s="10" t="s">
        <v>20</v>
      </c>
      <c r="C6" s="10" t="s">
        <v>21</v>
      </c>
      <c r="D6" s="14">
        <v>6</v>
      </c>
      <c r="E6" s="16">
        <f t="shared" si="2"/>
        <v>180</v>
      </c>
      <c r="F6" s="16">
        <f t="shared" si="0"/>
        <v>8200.4555808656041</v>
      </c>
      <c r="H6" s="16">
        <f t="shared" si="3"/>
        <v>0</v>
      </c>
      <c r="J6" s="20">
        <v>5</v>
      </c>
      <c r="K6" s="24">
        <v>30</v>
      </c>
      <c r="L6" s="22">
        <f t="shared" si="4"/>
        <v>2.1950000000000001E-2</v>
      </c>
      <c r="M6" s="26">
        <v>21.95</v>
      </c>
      <c r="N6" s="20">
        <f t="shared" si="5"/>
        <v>1366.7425968109339</v>
      </c>
      <c r="O6" s="24">
        <v>0</v>
      </c>
      <c r="P6" s="32">
        <f t="shared" si="1"/>
        <v>0</v>
      </c>
    </row>
    <row r="7" spans="1:16" ht="18.75" x14ac:dyDescent="0.3">
      <c r="A7" s="9">
        <v>654</v>
      </c>
      <c r="B7" s="10" t="s">
        <v>22</v>
      </c>
      <c r="C7" s="10" t="s">
        <v>23</v>
      </c>
      <c r="D7" s="14">
        <v>0</v>
      </c>
      <c r="E7" s="16">
        <f t="shared" si="2"/>
        <v>0</v>
      </c>
      <c r="F7" s="16">
        <f t="shared" si="0"/>
        <v>0</v>
      </c>
      <c r="H7" s="16">
        <f t="shared" si="3"/>
        <v>25</v>
      </c>
      <c r="J7" s="20">
        <v>25</v>
      </c>
      <c r="K7" s="30">
        <f>+N7*L7</f>
        <v>2.5799999999999996</v>
      </c>
      <c r="L7" s="22">
        <f t="shared" si="4"/>
        <v>2.1499999999999998E-2</v>
      </c>
      <c r="M7" s="26">
        <v>21.5</v>
      </c>
      <c r="N7" s="20">
        <v>120</v>
      </c>
      <c r="O7" s="24">
        <v>1200</v>
      </c>
      <c r="P7" s="32">
        <f t="shared" si="1"/>
        <v>15</v>
      </c>
    </row>
    <row r="8" spans="1:16" ht="18.75" x14ac:dyDescent="0.3">
      <c r="A8" s="9">
        <v>558</v>
      </c>
      <c r="B8" s="10" t="s">
        <v>24</v>
      </c>
      <c r="C8" s="10" t="s">
        <v>25</v>
      </c>
      <c r="D8" s="14">
        <v>13</v>
      </c>
      <c r="E8" s="16">
        <f t="shared" si="2"/>
        <v>23.400000000000002</v>
      </c>
      <c r="F8" s="16">
        <f t="shared" si="0"/>
        <v>1509.6774193548388</v>
      </c>
      <c r="H8" s="16">
        <f t="shared" si="3"/>
        <v>12</v>
      </c>
      <c r="J8" s="20">
        <v>25</v>
      </c>
      <c r="K8" s="30">
        <v>1.8</v>
      </c>
      <c r="L8" s="22">
        <f t="shared" si="4"/>
        <v>1.55E-2</v>
      </c>
      <c r="M8" s="26">
        <v>15.5</v>
      </c>
      <c r="N8" s="20">
        <v>120</v>
      </c>
      <c r="O8" s="24">
        <v>1600</v>
      </c>
      <c r="P8" s="32">
        <f t="shared" si="1"/>
        <v>20</v>
      </c>
    </row>
    <row r="9" spans="1:16" ht="21.2" customHeight="1" x14ac:dyDescent="0.3">
      <c r="A9" s="9">
        <v>557</v>
      </c>
      <c r="B9" s="10" t="s">
        <v>26</v>
      </c>
      <c r="C9" s="10" t="s">
        <v>27</v>
      </c>
      <c r="D9" s="14">
        <v>34</v>
      </c>
      <c r="E9" s="16">
        <f t="shared" si="2"/>
        <v>61.2</v>
      </c>
      <c r="F9" s="16">
        <f t="shared" si="0"/>
        <v>3849.0566037735848</v>
      </c>
      <c r="H9" s="16">
        <f t="shared" si="3"/>
        <v>0</v>
      </c>
      <c r="J9" s="20">
        <v>25</v>
      </c>
      <c r="K9" s="30">
        <v>1.8</v>
      </c>
      <c r="L9" s="22">
        <f t="shared" si="4"/>
        <v>1.5900000000000001E-2</v>
      </c>
      <c r="M9" s="26">
        <v>15.9</v>
      </c>
      <c r="N9" s="20">
        <v>120</v>
      </c>
      <c r="O9" s="24">
        <v>1600</v>
      </c>
      <c r="P9" s="32">
        <f t="shared" si="1"/>
        <v>20</v>
      </c>
    </row>
    <row r="10" spans="1:16" ht="21.2" customHeight="1" x14ac:dyDescent="0.3">
      <c r="A10" s="9">
        <v>506</v>
      </c>
      <c r="B10" s="10" t="s">
        <v>28</v>
      </c>
      <c r="C10" s="10" t="s">
        <v>29</v>
      </c>
      <c r="D10" s="14">
        <v>24</v>
      </c>
      <c r="E10" s="16">
        <f t="shared" si="2"/>
        <v>720</v>
      </c>
      <c r="F10" s="16">
        <f t="shared" si="0"/>
        <v>32801.822323462417</v>
      </c>
      <c r="H10" s="16">
        <f t="shared" si="3"/>
        <v>0</v>
      </c>
      <c r="J10" s="20">
        <v>8</v>
      </c>
      <c r="K10" s="24">
        <v>30</v>
      </c>
      <c r="L10" s="22">
        <f t="shared" si="4"/>
        <v>2.1950000000000001E-2</v>
      </c>
      <c r="M10" s="26">
        <v>21.95</v>
      </c>
      <c r="N10" s="20">
        <f t="shared" si="5"/>
        <v>1366.7425968109339</v>
      </c>
      <c r="O10" s="24">
        <v>18612</v>
      </c>
      <c r="P10" s="32">
        <f t="shared" si="1"/>
        <v>20.426670000000001</v>
      </c>
    </row>
    <row r="11" spans="1:16" ht="18.75" x14ac:dyDescent="0.3">
      <c r="A11" s="9">
        <v>510</v>
      </c>
      <c r="B11" s="10" t="s">
        <v>30</v>
      </c>
      <c r="C11" s="10" t="s">
        <v>31</v>
      </c>
      <c r="D11" s="14">
        <v>1</v>
      </c>
      <c r="E11" s="16">
        <f t="shared" si="2"/>
        <v>30</v>
      </c>
      <c r="F11" s="16">
        <f t="shared" si="0"/>
        <v>1363.6363636363637</v>
      </c>
      <c r="H11" s="16">
        <f t="shared" si="3"/>
        <v>3</v>
      </c>
      <c r="J11" s="20">
        <v>4</v>
      </c>
      <c r="K11" s="24">
        <v>30</v>
      </c>
      <c r="L11" s="22">
        <f t="shared" si="4"/>
        <v>2.1999999999999999E-2</v>
      </c>
      <c r="M11" s="26">
        <v>22</v>
      </c>
      <c r="N11" s="20">
        <f t="shared" si="5"/>
        <v>1363.6363636363637</v>
      </c>
      <c r="O11" s="24">
        <v>6000</v>
      </c>
      <c r="P11" s="32">
        <f t="shared" si="1"/>
        <v>6.6</v>
      </c>
    </row>
    <row r="12" spans="1:16" ht="18.75" x14ac:dyDescent="0.3">
      <c r="A12" s="9">
        <v>824</v>
      </c>
      <c r="B12" s="579" t="s">
        <v>32</v>
      </c>
      <c r="C12" s="10" t="s">
        <v>36</v>
      </c>
      <c r="D12" s="623">
        <v>0</v>
      </c>
      <c r="E12" s="595">
        <f>+D12*K12</f>
        <v>0</v>
      </c>
      <c r="F12" s="595">
        <f t="shared" si="0"/>
        <v>0</v>
      </c>
      <c r="H12" s="595">
        <f t="shared" si="3"/>
        <v>12</v>
      </c>
      <c r="J12" s="559">
        <v>12</v>
      </c>
      <c r="K12" s="568">
        <v>5.8</v>
      </c>
      <c r="L12" s="570">
        <f>+M12/1000</f>
        <v>2.0899999999999998E-2</v>
      </c>
      <c r="M12" s="572">
        <v>20.9</v>
      </c>
      <c r="N12" s="618">
        <v>288</v>
      </c>
      <c r="O12" s="27">
        <v>8000</v>
      </c>
      <c r="P12" s="620">
        <f>1.5*(O12+O13)/N12</f>
        <v>55.666666666666664</v>
      </c>
    </row>
    <row r="13" spans="1:16" ht="18.75" x14ac:dyDescent="0.3">
      <c r="A13" s="9">
        <v>26</v>
      </c>
      <c r="B13" s="579"/>
      <c r="C13" s="10" t="s">
        <v>37</v>
      </c>
      <c r="D13" s="624"/>
      <c r="E13" s="596"/>
      <c r="F13" s="596"/>
      <c r="H13" s="596"/>
      <c r="J13" s="560"/>
      <c r="K13" s="589"/>
      <c r="L13" s="570"/>
      <c r="M13" s="590">
        <f>+L13*1000</f>
        <v>0</v>
      </c>
      <c r="N13" s="618"/>
      <c r="O13" s="28">
        <v>2688</v>
      </c>
      <c r="P13" s="620"/>
    </row>
    <row r="14" spans="1:16" ht="18.75" x14ac:dyDescent="0.3">
      <c r="A14" s="9">
        <v>825</v>
      </c>
      <c r="B14" s="579" t="s">
        <v>35</v>
      </c>
      <c r="C14" s="10" t="s">
        <v>33</v>
      </c>
      <c r="D14" s="624">
        <v>9</v>
      </c>
      <c r="E14" s="595">
        <f>+D14*K14</f>
        <v>52.199999999999996</v>
      </c>
      <c r="F14" s="595">
        <f>+E14/L14</f>
        <v>1321.5189873417721</v>
      </c>
      <c r="H14" s="595">
        <f t="shared" si="3"/>
        <v>15</v>
      </c>
      <c r="J14" s="559">
        <v>24</v>
      </c>
      <c r="K14" s="568">
        <v>5.8</v>
      </c>
      <c r="L14" s="570">
        <f>+M14/1000</f>
        <v>3.95E-2</v>
      </c>
      <c r="M14" s="572">
        <v>39.5</v>
      </c>
      <c r="N14" s="618">
        <v>144</v>
      </c>
      <c r="O14" s="27">
        <v>4320</v>
      </c>
      <c r="P14" s="620">
        <f>1.5*(O14+O15)/N14</f>
        <v>75</v>
      </c>
    </row>
    <row r="15" spans="1:16" ht="19.5" thickBot="1" x14ac:dyDescent="0.35">
      <c r="A15" s="11">
        <v>27</v>
      </c>
      <c r="B15" s="580"/>
      <c r="C15" s="12" t="s">
        <v>34</v>
      </c>
      <c r="D15" s="625"/>
      <c r="E15" s="616"/>
      <c r="F15" s="616"/>
      <c r="H15" s="616"/>
      <c r="J15" s="578"/>
      <c r="K15" s="569"/>
      <c r="L15" s="571"/>
      <c r="M15" s="573">
        <v>39.200000000000003</v>
      </c>
      <c r="N15" s="619"/>
      <c r="O15" s="29">
        <v>2880</v>
      </c>
      <c r="P15" s="621"/>
    </row>
  </sheetData>
  <autoFilter ref="A3:O15" xr:uid="{00000000-0009-0000-0000-00006F000000}"/>
  <mergeCells count="25">
    <mergeCell ref="P14:P15"/>
    <mergeCell ref="J14:J15"/>
    <mergeCell ref="K14:K15"/>
    <mergeCell ref="L14:L15"/>
    <mergeCell ref="M14:M15"/>
    <mergeCell ref="N14:N15"/>
    <mergeCell ref="B14:B15"/>
    <mergeCell ref="D14:D15"/>
    <mergeCell ref="E14:E15"/>
    <mergeCell ref="F14:F15"/>
    <mergeCell ref="H14:H15"/>
    <mergeCell ref="A1:C1"/>
    <mergeCell ref="A2:B2"/>
    <mergeCell ref="J2:P2"/>
    <mergeCell ref="B12:B13"/>
    <mergeCell ref="D12:D13"/>
    <mergeCell ref="E12:E13"/>
    <mergeCell ref="F12:F13"/>
    <mergeCell ref="H12:H13"/>
    <mergeCell ref="J12:J13"/>
    <mergeCell ref="K12:K13"/>
    <mergeCell ref="L12:L13"/>
    <mergeCell ref="M12:M13"/>
    <mergeCell ref="N12:N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 codeName="Hoja41">
    <tabColor rgb="FF00B0F0"/>
  </sheetPr>
  <dimension ref="A1:P15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0.28515625" customWidth="1"/>
    <col min="7" max="7" width="5.42578125" customWidth="1"/>
    <col min="8" max="8" width="9.28515625" customWidth="1"/>
    <col min="9" max="11" width="9.42578125" customWidth="1"/>
    <col min="12" max="12" width="10.85546875" customWidth="1"/>
    <col min="13" max="13" width="8.28515625" customWidth="1"/>
    <col min="14" max="14" width="11.28515625" customWidth="1"/>
    <col min="15" max="15" width="11.140625" customWidth="1"/>
    <col min="16" max="16" width="11.28515625" customWidth="1"/>
  </cols>
  <sheetData>
    <row r="1" spans="1:16" ht="47.25" thickBot="1" x14ac:dyDescent="0.3">
      <c r="A1" s="527" t="s">
        <v>0</v>
      </c>
      <c r="B1" s="528"/>
      <c r="C1" s="529"/>
      <c r="D1" s="1"/>
      <c r="E1" s="1"/>
      <c r="F1" s="1"/>
      <c r="H1" s="1"/>
    </row>
    <row r="2" spans="1:16" ht="24.75" customHeight="1" thickBot="1" x14ac:dyDescent="0.35">
      <c r="A2" s="585" t="s">
        <v>1</v>
      </c>
      <c r="B2" s="586"/>
      <c r="C2" s="2"/>
      <c r="D2" s="1"/>
      <c r="E2" s="1"/>
      <c r="F2" s="1"/>
      <c r="H2" s="3"/>
      <c r="J2" s="522" t="s">
        <v>2</v>
      </c>
      <c r="K2" s="523"/>
      <c r="L2" s="523"/>
      <c r="M2" s="523"/>
      <c r="N2" s="523"/>
      <c r="O2" s="523"/>
      <c r="P2" s="524"/>
    </row>
    <row r="3" spans="1:16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H3" s="18" t="s">
        <v>8</v>
      </c>
      <c r="J3" s="4" t="s">
        <v>13</v>
      </c>
      <c r="K3" s="6" t="s">
        <v>38</v>
      </c>
      <c r="L3" s="4" t="s">
        <v>10</v>
      </c>
      <c r="M3" s="6" t="s">
        <v>9</v>
      </c>
      <c r="N3" s="4" t="s">
        <v>11</v>
      </c>
      <c r="O3" s="6" t="s">
        <v>14</v>
      </c>
      <c r="P3" s="4" t="s">
        <v>12</v>
      </c>
    </row>
    <row r="4" spans="1:16" ht="18.75" x14ac:dyDescent="0.3">
      <c r="A4" s="7">
        <v>500</v>
      </c>
      <c r="B4" s="8" t="s">
        <v>15</v>
      </c>
      <c r="C4" s="8" t="s">
        <v>16</v>
      </c>
      <c r="D4" s="33">
        <v>8</v>
      </c>
      <c r="E4" s="17">
        <f>D4*K4</f>
        <v>240</v>
      </c>
      <c r="F4" s="17">
        <f t="shared" ref="F4:F12" si="0">+E4/L4</f>
        <v>7283.7632776934752</v>
      </c>
      <c r="H4" s="17">
        <f>IF(J4-D4&lt;0,0,J4-D4)</f>
        <v>0</v>
      </c>
      <c r="J4" s="19">
        <v>5</v>
      </c>
      <c r="K4" s="23">
        <v>30</v>
      </c>
      <c r="L4" s="21">
        <f>+M4/1000</f>
        <v>3.295E-2</v>
      </c>
      <c r="M4" s="25">
        <v>32.950000000000003</v>
      </c>
      <c r="N4" s="19">
        <f>+K4/L4</f>
        <v>910.4704097116844</v>
      </c>
      <c r="O4" s="23">
        <v>2520</v>
      </c>
      <c r="P4" s="31">
        <f t="shared" ref="P4:P11" si="1">1.5*O4/N4</f>
        <v>4.1516999999999999</v>
      </c>
    </row>
    <row r="5" spans="1:16" ht="18.75" x14ac:dyDescent="0.3">
      <c r="A5" s="9">
        <v>706</v>
      </c>
      <c r="B5" s="10" t="s">
        <v>17</v>
      </c>
      <c r="C5" s="10" t="s">
        <v>18</v>
      </c>
      <c r="D5" s="34">
        <v>9</v>
      </c>
      <c r="E5" s="16">
        <f t="shared" ref="E5:E11" si="2">D5*K5</f>
        <v>270</v>
      </c>
      <c r="F5" s="16">
        <f t="shared" si="0"/>
        <v>12300.683371298404</v>
      </c>
      <c r="H5" s="16">
        <f t="shared" ref="H5:H14" si="3">IF(J5-D5&lt;0,0,J5-D5)</f>
        <v>0</v>
      </c>
      <c r="J5" s="20">
        <v>4</v>
      </c>
      <c r="K5" s="24">
        <v>30</v>
      </c>
      <c r="L5" s="22">
        <f t="shared" ref="L5:L11" si="4">+M5/1000</f>
        <v>2.1950000000000001E-2</v>
      </c>
      <c r="M5" s="26">
        <v>21.95</v>
      </c>
      <c r="N5" s="20">
        <f t="shared" ref="N5:N11" si="5">+K5/L5</f>
        <v>1366.7425968109339</v>
      </c>
      <c r="O5" s="24">
        <v>3600</v>
      </c>
      <c r="P5" s="32">
        <f t="shared" si="1"/>
        <v>3.9510000000000001</v>
      </c>
    </row>
    <row r="6" spans="1:16" ht="18.75" x14ac:dyDescent="0.3">
      <c r="A6" s="9" t="s">
        <v>19</v>
      </c>
      <c r="B6" s="10" t="s">
        <v>20</v>
      </c>
      <c r="C6" s="10" t="s">
        <v>21</v>
      </c>
      <c r="D6" s="34">
        <v>6</v>
      </c>
      <c r="E6" s="16">
        <f t="shared" si="2"/>
        <v>180</v>
      </c>
      <c r="F6" s="16">
        <f t="shared" si="0"/>
        <v>8200.4555808656041</v>
      </c>
      <c r="H6" s="16">
        <f t="shared" si="3"/>
        <v>0</v>
      </c>
      <c r="J6" s="20">
        <v>5</v>
      </c>
      <c r="K6" s="24">
        <v>30</v>
      </c>
      <c r="L6" s="22">
        <f t="shared" si="4"/>
        <v>2.1950000000000001E-2</v>
      </c>
      <c r="M6" s="26">
        <v>21.95</v>
      </c>
      <c r="N6" s="20">
        <f t="shared" si="5"/>
        <v>1366.7425968109339</v>
      </c>
      <c r="O6" s="24">
        <v>0</v>
      </c>
      <c r="P6" s="32">
        <f t="shared" si="1"/>
        <v>0</v>
      </c>
    </row>
    <row r="7" spans="1:16" ht="18.75" x14ac:dyDescent="0.3">
      <c r="A7" s="9">
        <v>654</v>
      </c>
      <c r="B7" s="10" t="s">
        <v>22</v>
      </c>
      <c r="C7" s="10" t="s">
        <v>23</v>
      </c>
      <c r="D7" s="34">
        <v>1</v>
      </c>
      <c r="E7" s="16">
        <f t="shared" si="2"/>
        <v>2.5799999999999996</v>
      </c>
      <c r="F7" s="16">
        <f t="shared" si="0"/>
        <v>119.99999999999999</v>
      </c>
      <c r="H7" s="16">
        <f>IF(J7-D7&lt;0,0,J7-D7)</f>
        <v>24</v>
      </c>
      <c r="J7" s="20">
        <v>25</v>
      </c>
      <c r="K7" s="30">
        <f>+N7*L7</f>
        <v>2.5799999999999996</v>
      </c>
      <c r="L7" s="22">
        <f t="shared" si="4"/>
        <v>2.1499999999999998E-2</v>
      </c>
      <c r="M7" s="26">
        <v>21.5</v>
      </c>
      <c r="N7" s="20">
        <v>120</v>
      </c>
      <c r="O7" s="24">
        <v>1200</v>
      </c>
      <c r="P7" s="32">
        <f t="shared" si="1"/>
        <v>15</v>
      </c>
    </row>
    <row r="8" spans="1:16" ht="18.75" x14ac:dyDescent="0.3">
      <c r="A8" s="9">
        <v>558</v>
      </c>
      <c r="B8" s="10" t="s">
        <v>24</v>
      </c>
      <c r="C8" s="10" t="s">
        <v>25</v>
      </c>
      <c r="D8" s="34">
        <v>5</v>
      </c>
      <c r="E8" s="16">
        <f t="shared" si="2"/>
        <v>9</v>
      </c>
      <c r="F8" s="16">
        <f t="shared" si="0"/>
        <v>580.64516129032256</v>
      </c>
      <c r="H8" s="16">
        <f t="shared" si="3"/>
        <v>20</v>
      </c>
      <c r="J8" s="20">
        <v>25</v>
      </c>
      <c r="K8" s="30">
        <v>1.8</v>
      </c>
      <c r="L8" s="22">
        <f t="shared" si="4"/>
        <v>1.55E-2</v>
      </c>
      <c r="M8" s="26">
        <v>15.5</v>
      </c>
      <c r="N8" s="20">
        <v>120</v>
      </c>
      <c r="O8" s="24">
        <v>1600</v>
      </c>
      <c r="P8" s="32">
        <f t="shared" si="1"/>
        <v>20</v>
      </c>
    </row>
    <row r="9" spans="1:16" ht="21.2" customHeight="1" x14ac:dyDescent="0.3">
      <c r="A9" s="9">
        <v>557</v>
      </c>
      <c r="B9" s="10" t="s">
        <v>26</v>
      </c>
      <c r="C9" s="10" t="s">
        <v>27</v>
      </c>
      <c r="D9" s="34">
        <v>4</v>
      </c>
      <c r="E9" s="16">
        <f t="shared" si="2"/>
        <v>7.2</v>
      </c>
      <c r="F9" s="16">
        <f t="shared" si="0"/>
        <v>452.83018867924528</v>
      </c>
      <c r="H9" s="16">
        <f t="shared" si="3"/>
        <v>21</v>
      </c>
      <c r="J9" s="20">
        <v>25</v>
      </c>
      <c r="K9" s="30">
        <v>1.8</v>
      </c>
      <c r="L9" s="22">
        <f t="shared" si="4"/>
        <v>1.5900000000000001E-2</v>
      </c>
      <c r="M9" s="26">
        <v>15.9</v>
      </c>
      <c r="N9" s="20">
        <v>120</v>
      </c>
      <c r="O9" s="24">
        <v>1600</v>
      </c>
      <c r="P9" s="32">
        <f t="shared" si="1"/>
        <v>20</v>
      </c>
    </row>
    <row r="10" spans="1:16" ht="21.2" customHeight="1" x14ac:dyDescent="0.3">
      <c r="A10" s="9">
        <v>506</v>
      </c>
      <c r="B10" s="10" t="s">
        <v>28</v>
      </c>
      <c r="C10" s="10" t="s">
        <v>29</v>
      </c>
      <c r="D10" s="34">
        <v>19</v>
      </c>
      <c r="E10" s="16">
        <f t="shared" si="2"/>
        <v>570</v>
      </c>
      <c r="F10" s="16">
        <f t="shared" si="0"/>
        <v>25968.109339407743</v>
      </c>
      <c r="H10" s="16">
        <f t="shared" si="3"/>
        <v>0</v>
      </c>
      <c r="J10" s="20">
        <v>8</v>
      </c>
      <c r="K10" s="24">
        <v>30</v>
      </c>
      <c r="L10" s="22">
        <f t="shared" si="4"/>
        <v>2.1950000000000001E-2</v>
      </c>
      <c r="M10" s="26">
        <v>21.95</v>
      </c>
      <c r="N10" s="20">
        <f t="shared" si="5"/>
        <v>1366.7425968109339</v>
      </c>
      <c r="O10" s="24">
        <v>18612</v>
      </c>
      <c r="P10" s="32">
        <f t="shared" si="1"/>
        <v>20.426670000000001</v>
      </c>
    </row>
    <row r="11" spans="1:16" ht="18.75" x14ac:dyDescent="0.3">
      <c r="A11" s="9">
        <v>510</v>
      </c>
      <c r="B11" s="10" t="s">
        <v>30</v>
      </c>
      <c r="C11" s="10" t="s">
        <v>31</v>
      </c>
      <c r="D11" s="34">
        <v>3</v>
      </c>
      <c r="E11" s="16">
        <f t="shared" si="2"/>
        <v>90</v>
      </c>
      <c r="F11" s="16">
        <f t="shared" si="0"/>
        <v>4090.909090909091</v>
      </c>
      <c r="H11" s="16">
        <f t="shared" si="3"/>
        <v>1</v>
      </c>
      <c r="J11" s="20">
        <v>4</v>
      </c>
      <c r="K11" s="24">
        <v>30</v>
      </c>
      <c r="L11" s="22">
        <f t="shared" si="4"/>
        <v>2.1999999999999999E-2</v>
      </c>
      <c r="M11" s="26">
        <v>22</v>
      </c>
      <c r="N11" s="20">
        <f t="shared" si="5"/>
        <v>1363.6363636363637</v>
      </c>
      <c r="O11" s="24">
        <v>6000</v>
      </c>
      <c r="P11" s="32">
        <f t="shared" si="1"/>
        <v>6.6</v>
      </c>
    </row>
    <row r="12" spans="1:16" ht="18.75" x14ac:dyDescent="0.3">
      <c r="A12" s="9">
        <v>824</v>
      </c>
      <c r="B12" s="579" t="s">
        <v>32</v>
      </c>
      <c r="C12" s="10" t="s">
        <v>36</v>
      </c>
      <c r="D12" s="587">
        <v>33</v>
      </c>
      <c r="E12" s="595">
        <f>+D12*K12</f>
        <v>191.4</v>
      </c>
      <c r="F12" s="595">
        <f t="shared" si="0"/>
        <v>9157.8947368421068</v>
      </c>
      <c r="H12" s="595">
        <f t="shared" si="3"/>
        <v>0</v>
      </c>
      <c r="J12" s="559">
        <v>12</v>
      </c>
      <c r="K12" s="568">
        <v>5.8</v>
      </c>
      <c r="L12" s="570">
        <f>+M12/1000</f>
        <v>2.0899999999999998E-2</v>
      </c>
      <c r="M12" s="572">
        <v>20.9</v>
      </c>
      <c r="N12" s="618">
        <v>288</v>
      </c>
      <c r="O12" s="27">
        <v>8000</v>
      </c>
      <c r="P12" s="620">
        <f>1.5*(O12+O13)/N12</f>
        <v>55.666666666666664</v>
      </c>
    </row>
    <row r="13" spans="1:16" ht="18.75" x14ac:dyDescent="0.3">
      <c r="A13" s="9">
        <v>26</v>
      </c>
      <c r="B13" s="579"/>
      <c r="C13" s="10" t="s">
        <v>37</v>
      </c>
      <c r="D13" s="581"/>
      <c r="E13" s="596"/>
      <c r="F13" s="596"/>
      <c r="H13" s="596"/>
      <c r="J13" s="560"/>
      <c r="K13" s="589"/>
      <c r="L13" s="570"/>
      <c r="M13" s="590">
        <f>+L13*1000</f>
        <v>0</v>
      </c>
      <c r="N13" s="618"/>
      <c r="O13" s="28">
        <v>2688</v>
      </c>
      <c r="P13" s="620"/>
    </row>
    <row r="14" spans="1:16" ht="18.75" x14ac:dyDescent="0.3">
      <c r="A14" s="9">
        <v>825</v>
      </c>
      <c r="B14" s="579" t="s">
        <v>35</v>
      </c>
      <c r="C14" s="10" t="s">
        <v>33</v>
      </c>
      <c r="D14" s="581">
        <v>0</v>
      </c>
      <c r="E14" s="595">
        <f>+D14*K14</f>
        <v>0</v>
      </c>
      <c r="F14" s="595">
        <f>+E14/L14</f>
        <v>0</v>
      </c>
      <c r="H14" s="595">
        <f t="shared" si="3"/>
        <v>24</v>
      </c>
      <c r="J14" s="559">
        <v>24</v>
      </c>
      <c r="K14" s="568">
        <v>5.8</v>
      </c>
      <c r="L14" s="570">
        <f>+M14/1000</f>
        <v>3.95E-2</v>
      </c>
      <c r="M14" s="572">
        <v>39.5</v>
      </c>
      <c r="N14" s="618">
        <v>144</v>
      </c>
      <c r="O14" s="27">
        <v>4320</v>
      </c>
      <c r="P14" s="620">
        <f>1.5*(O14+O15)/N14</f>
        <v>75</v>
      </c>
    </row>
    <row r="15" spans="1:16" ht="19.5" thickBot="1" x14ac:dyDescent="0.35">
      <c r="A15" s="11">
        <v>27</v>
      </c>
      <c r="B15" s="580"/>
      <c r="C15" s="12" t="s">
        <v>34</v>
      </c>
      <c r="D15" s="582"/>
      <c r="E15" s="616"/>
      <c r="F15" s="616"/>
      <c r="H15" s="616"/>
      <c r="J15" s="578"/>
      <c r="K15" s="569"/>
      <c r="L15" s="571"/>
      <c r="M15" s="573">
        <v>39.200000000000003</v>
      </c>
      <c r="N15" s="619"/>
      <c r="O15" s="29">
        <v>2880</v>
      </c>
      <c r="P15" s="621"/>
    </row>
  </sheetData>
  <autoFilter ref="A3:O15" xr:uid="{00000000-0009-0000-0000-000070000000}"/>
  <mergeCells count="25">
    <mergeCell ref="P14:P15"/>
    <mergeCell ref="J14:J15"/>
    <mergeCell ref="K14:K15"/>
    <mergeCell ref="L14:L15"/>
    <mergeCell ref="M14:M15"/>
    <mergeCell ref="N14:N15"/>
    <mergeCell ref="B14:B15"/>
    <mergeCell ref="D14:D15"/>
    <mergeCell ref="E14:E15"/>
    <mergeCell ref="F14:F15"/>
    <mergeCell ref="H14:H15"/>
    <mergeCell ref="A1:C1"/>
    <mergeCell ref="A2:B2"/>
    <mergeCell ref="J2:P2"/>
    <mergeCell ref="B12:B13"/>
    <mergeCell ref="D12:D13"/>
    <mergeCell ref="E12:E13"/>
    <mergeCell ref="F12:F13"/>
    <mergeCell ref="H12:H13"/>
    <mergeCell ref="J12:J13"/>
    <mergeCell ref="K12:K13"/>
    <mergeCell ref="L12:L13"/>
    <mergeCell ref="M12:M13"/>
    <mergeCell ref="N12:N13"/>
    <mergeCell ref="P12:P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 codeName="Hoja42">
    <tabColor rgb="FF00B0F0"/>
  </sheetPr>
  <dimension ref="A1:P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0.28515625" customWidth="1"/>
    <col min="7" max="7" width="5.42578125" customWidth="1"/>
    <col min="8" max="8" width="9.28515625" customWidth="1"/>
    <col min="9" max="11" width="9.42578125" customWidth="1"/>
    <col min="12" max="12" width="10.85546875" customWidth="1"/>
    <col min="13" max="13" width="8.28515625" customWidth="1"/>
    <col min="14" max="14" width="11.28515625" customWidth="1"/>
    <col min="15" max="15" width="11.140625" customWidth="1"/>
    <col min="16" max="16" width="11.28515625" customWidth="1"/>
  </cols>
  <sheetData>
    <row r="1" spans="1:16" ht="47.25" thickBot="1" x14ac:dyDescent="0.3">
      <c r="A1" s="527" t="s">
        <v>0</v>
      </c>
      <c r="B1" s="528"/>
      <c r="C1" s="529"/>
      <c r="D1" s="1"/>
      <c r="E1" s="1"/>
      <c r="F1" s="1"/>
      <c r="H1" s="1"/>
    </row>
    <row r="2" spans="1:16" ht="24.75" customHeight="1" thickBot="1" x14ac:dyDescent="0.35">
      <c r="A2" s="585" t="s">
        <v>1</v>
      </c>
      <c r="B2" s="586"/>
      <c r="C2" s="2"/>
      <c r="D2" s="1"/>
      <c r="E2" s="1"/>
      <c r="F2" s="1"/>
      <c r="H2" s="3"/>
      <c r="J2" s="522" t="s">
        <v>2</v>
      </c>
      <c r="K2" s="523"/>
      <c r="L2" s="523"/>
      <c r="M2" s="523"/>
      <c r="N2" s="523"/>
      <c r="O2" s="523"/>
      <c r="P2" s="524"/>
    </row>
    <row r="3" spans="1:16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H3" s="18" t="s">
        <v>8</v>
      </c>
      <c r="J3" s="4" t="s">
        <v>13</v>
      </c>
      <c r="K3" s="6" t="s">
        <v>38</v>
      </c>
      <c r="L3" s="4" t="s">
        <v>10</v>
      </c>
      <c r="M3" s="6" t="s">
        <v>9</v>
      </c>
      <c r="N3" s="4" t="s">
        <v>11</v>
      </c>
      <c r="O3" s="6" t="s">
        <v>14</v>
      </c>
      <c r="P3" s="4" t="s">
        <v>12</v>
      </c>
    </row>
    <row r="4" spans="1:16" ht="18.75" x14ac:dyDescent="0.3">
      <c r="A4" s="7">
        <v>500</v>
      </c>
      <c r="B4" s="8" t="s">
        <v>15</v>
      </c>
      <c r="C4" s="8" t="s">
        <v>16</v>
      </c>
      <c r="D4" s="33">
        <v>8</v>
      </c>
      <c r="E4" s="17">
        <f>D4*K4</f>
        <v>240</v>
      </c>
      <c r="F4" s="17">
        <f t="shared" ref="F4:F12" si="0">+E4/L4</f>
        <v>7283.7632776934752</v>
      </c>
      <c r="H4" s="17">
        <f>IF(J4-D4&lt;0,0,J4-D4)</f>
        <v>0</v>
      </c>
      <c r="J4" s="19">
        <v>5</v>
      </c>
      <c r="K4" s="23">
        <v>30</v>
      </c>
      <c r="L4" s="21">
        <f>+M4/1000</f>
        <v>3.295E-2</v>
      </c>
      <c r="M4" s="25">
        <v>32.950000000000003</v>
      </c>
      <c r="N4" s="19">
        <f>+K4/L4</f>
        <v>910.4704097116844</v>
      </c>
      <c r="O4" s="23">
        <v>2520</v>
      </c>
      <c r="P4" s="31">
        <f t="shared" ref="P4:P11" si="1">1.5*O4/N4</f>
        <v>4.1516999999999999</v>
      </c>
    </row>
    <row r="5" spans="1:16" ht="18.75" x14ac:dyDescent="0.3">
      <c r="A5" s="9">
        <v>706</v>
      </c>
      <c r="B5" s="10" t="s">
        <v>17</v>
      </c>
      <c r="C5" s="10" t="s">
        <v>18</v>
      </c>
      <c r="D5" s="34">
        <v>9</v>
      </c>
      <c r="E5" s="16">
        <f t="shared" ref="E5:E11" si="2">D5*K5</f>
        <v>270</v>
      </c>
      <c r="F5" s="16">
        <f t="shared" si="0"/>
        <v>12300.683371298404</v>
      </c>
      <c r="H5" s="16">
        <f t="shared" ref="H5:H14" si="3">IF(J5-D5&lt;0,0,J5-D5)</f>
        <v>0</v>
      </c>
      <c r="J5" s="20">
        <v>4</v>
      </c>
      <c r="K5" s="24">
        <v>30</v>
      </c>
      <c r="L5" s="22">
        <f t="shared" ref="L5:L11" si="4">+M5/1000</f>
        <v>2.1950000000000001E-2</v>
      </c>
      <c r="M5" s="26">
        <v>21.95</v>
      </c>
      <c r="N5" s="20">
        <f t="shared" ref="N5:N11" si="5">+K5/L5</f>
        <v>1366.7425968109339</v>
      </c>
      <c r="O5" s="24">
        <v>3600</v>
      </c>
      <c r="P5" s="32">
        <f t="shared" si="1"/>
        <v>3.9510000000000001</v>
      </c>
    </row>
    <row r="6" spans="1:16" ht="18.75" x14ac:dyDescent="0.3">
      <c r="A6" s="9" t="s">
        <v>19</v>
      </c>
      <c r="B6" s="10" t="s">
        <v>20</v>
      </c>
      <c r="C6" s="10" t="s">
        <v>21</v>
      </c>
      <c r="D6" s="34">
        <v>6</v>
      </c>
      <c r="E6" s="16">
        <f t="shared" si="2"/>
        <v>180</v>
      </c>
      <c r="F6" s="16">
        <f t="shared" si="0"/>
        <v>8200.4555808656041</v>
      </c>
      <c r="H6" s="16">
        <f t="shared" si="3"/>
        <v>0</v>
      </c>
      <c r="J6" s="20">
        <v>5</v>
      </c>
      <c r="K6" s="24">
        <v>30</v>
      </c>
      <c r="L6" s="22">
        <f t="shared" si="4"/>
        <v>2.1950000000000001E-2</v>
      </c>
      <c r="M6" s="26">
        <v>21.95</v>
      </c>
      <c r="N6" s="20">
        <f t="shared" si="5"/>
        <v>1366.7425968109339</v>
      </c>
      <c r="O6" s="24">
        <v>0</v>
      </c>
      <c r="P6" s="32">
        <f t="shared" si="1"/>
        <v>0</v>
      </c>
    </row>
    <row r="7" spans="1:16" ht="18.75" x14ac:dyDescent="0.3">
      <c r="A7" s="9">
        <v>654</v>
      </c>
      <c r="B7" s="10" t="s">
        <v>22</v>
      </c>
      <c r="C7" s="10" t="s">
        <v>23</v>
      </c>
      <c r="D7" s="34">
        <v>0</v>
      </c>
      <c r="E7" s="16">
        <f t="shared" si="2"/>
        <v>0</v>
      </c>
      <c r="F7" s="16">
        <f t="shared" si="0"/>
        <v>0</v>
      </c>
      <c r="H7" s="16">
        <f t="shared" si="3"/>
        <v>25</v>
      </c>
      <c r="J7" s="20">
        <v>25</v>
      </c>
      <c r="K7" s="30">
        <f>+N7*L7</f>
        <v>2.5799999999999996</v>
      </c>
      <c r="L7" s="22">
        <f t="shared" si="4"/>
        <v>2.1499999999999998E-2</v>
      </c>
      <c r="M7" s="26">
        <v>21.5</v>
      </c>
      <c r="N7" s="20">
        <v>120</v>
      </c>
      <c r="O7" s="24">
        <v>1200</v>
      </c>
      <c r="P7" s="32">
        <f t="shared" si="1"/>
        <v>15</v>
      </c>
    </row>
    <row r="8" spans="1:16" ht="18.75" x14ac:dyDescent="0.3">
      <c r="A8" s="9">
        <v>558</v>
      </c>
      <c r="B8" s="10" t="s">
        <v>24</v>
      </c>
      <c r="C8" s="10" t="s">
        <v>25</v>
      </c>
      <c r="D8" s="34">
        <v>5</v>
      </c>
      <c r="E8" s="16">
        <f t="shared" si="2"/>
        <v>9</v>
      </c>
      <c r="F8" s="35">
        <f t="shared" si="0"/>
        <v>580.64516129032256</v>
      </c>
      <c r="H8" s="16">
        <f t="shared" si="3"/>
        <v>20</v>
      </c>
      <c r="J8" s="20">
        <v>25</v>
      </c>
      <c r="K8" s="30">
        <v>1.8</v>
      </c>
      <c r="L8" s="22">
        <f t="shared" si="4"/>
        <v>1.55E-2</v>
      </c>
      <c r="M8" s="26">
        <v>15.5</v>
      </c>
      <c r="N8" s="20">
        <v>120</v>
      </c>
      <c r="O8" s="24">
        <v>1600</v>
      </c>
      <c r="P8" s="32">
        <f t="shared" si="1"/>
        <v>20</v>
      </c>
    </row>
    <row r="9" spans="1:16" ht="21.2" customHeight="1" x14ac:dyDescent="0.3">
      <c r="A9" s="9">
        <v>557</v>
      </c>
      <c r="B9" s="10" t="s">
        <v>26</v>
      </c>
      <c r="C9" s="10" t="s">
        <v>27</v>
      </c>
      <c r="D9" s="34">
        <v>4</v>
      </c>
      <c r="E9" s="16">
        <f t="shared" si="2"/>
        <v>7.2</v>
      </c>
      <c r="F9" s="16">
        <f t="shared" si="0"/>
        <v>452.83018867924528</v>
      </c>
      <c r="H9" s="16">
        <f t="shared" si="3"/>
        <v>21</v>
      </c>
      <c r="J9" s="20">
        <v>25</v>
      </c>
      <c r="K9" s="30">
        <v>1.8</v>
      </c>
      <c r="L9" s="22">
        <f t="shared" si="4"/>
        <v>1.5900000000000001E-2</v>
      </c>
      <c r="M9" s="26">
        <v>15.9</v>
      </c>
      <c r="N9" s="20">
        <v>120</v>
      </c>
      <c r="O9" s="24">
        <v>1600</v>
      </c>
      <c r="P9" s="32">
        <f t="shared" si="1"/>
        <v>20</v>
      </c>
    </row>
    <row r="10" spans="1:16" ht="21.2" customHeight="1" x14ac:dyDescent="0.3">
      <c r="A10" s="9">
        <v>506</v>
      </c>
      <c r="B10" s="10" t="s">
        <v>28</v>
      </c>
      <c r="C10" s="10" t="s">
        <v>29</v>
      </c>
      <c r="D10" s="34">
        <v>13</v>
      </c>
      <c r="E10" s="16">
        <f t="shared" si="2"/>
        <v>390</v>
      </c>
      <c r="F10" s="16">
        <f t="shared" si="0"/>
        <v>17767.653758542139</v>
      </c>
      <c r="H10" s="16">
        <f t="shared" si="3"/>
        <v>0</v>
      </c>
      <c r="J10" s="20">
        <v>8</v>
      </c>
      <c r="K10" s="24">
        <v>30</v>
      </c>
      <c r="L10" s="22">
        <f t="shared" si="4"/>
        <v>2.1950000000000001E-2</v>
      </c>
      <c r="M10" s="26">
        <v>21.95</v>
      </c>
      <c r="N10" s="20">
        <f t="shared" si="5"/>
        <v>1366.7425968109339</v>
      </c>
      <c r="O10" s="24">
        <v>18612</v>
      </c>
      <c r="P10" s="32">
        <f t="shared" si="1"/>
        <v>20.426670000000001</v>
      </c>
    </row>
    <row r="11" spans="1:16" ht="18.75" x14ac:dyDescent="0.3">
      <c r="A11" s="9">
        <v>510</v>
      </c>
      <c r="B11" s="10" t="s">
        <v>30</v>
      </c>
      <c r="C11" s="10" t="s">
        <v>31</v>
      </c>
      <c r="D11" s="34">
        <v>3</v>
      </c>
      <c r="E11" s="16">
        <f t="shared" si="2"/>
        <v>90</v>
      </c>
      <c r="F11" s="16">
        <f t="shared" si="0"/>
        <v>4090.909090909091</v>
      </c>
      <c r="H11" s="16">
        <f t="shared" si="3"/>
        <v>1</v>
      </c>
      <c r="J11" s="20">
        <v>4</v>
      </c>
      <c r="K11" s="24">
        <v>30</v>
      </c>
      <c r="L11" s="22">
        <f t="shared" si="4"/>
        <v>2.1999999999999999E-2</v>
      </c>
      <c r="M11" s="26">
        <v>22</v>
      </c>
      <c r="N11" s="20">
        <f t="shared" si="5"/>
        <v>1363.6363636363637</v>
      </c>
      <c r="O11" s="24">
        <v>6000</v>
      </c>
      <c r="P11" s="32">
        <f t="shared" si="1"/>
        <v>6.6</v>
      </c>
    </row>
    <row r="12" spans="1:16" ht="18.75" x14ac:dyDescent="0.3">
      <c r="A12" s="9">
        <v>824</v>
      </c>
      <c r="B12" s="579" t="s">
        <v>32</v>
      </c>
      <c r="C12" s="10" t="s">
        <v>36</v>
      </c>
      <c r="D12" s="587">
        <v>11</v>
      </c>
      <c r="E12" s="595">
        <f>+D12*K12</f>
        <v>63.8</v>
      </c>
      <c r="F12" s="595">
        <f t="shared" si="0"/>
        <v>3052.6315789473683</v>
      </c>
      <c r="H12" s="595">
        <f t="shared" si="3"/>
        <v>1</v>
      </c>
      <c r="J12" s="559">
        <v>12</v>
      </c>
      <c r="K12" s="568">
        <v>5.8</v>
      </c>
      <c r="L12" s="570">
        <f>+M12/1000</f>
        <v>2.0899999999999998E-2</v>
      </c>
      <c r="M12" s="572">
        <v>20.9</v>
      </c>
      <c r="N12" s="618">
        <v>288</v>
      </c>
      <c r="O12" s="27">
        <v>8000</v>
      </c>
      <c r="P12" s="620">
        <f>1.5*(O12+O13)/N12</f>
        <v>55.666666666666664</v>
      </c>
    </row>
    <row r="13" spans="1:16" ht="18.75" x14ac:dyDescent="0.3">
      <c r="A13" s="9">
        <v>26</v>
      </c>
      <c r="B13" s="579"/>
      <c r="C13" s="10" t="s">
        <v>37</v>
      </c>
      <c r="D13" s="581"/>
      <c r="E13" s="596"/>
      <c r="F13" s="596"/>
      <c r="H13" s="596"/>
      <c r="J13" s="560"/>
      <c r="K13" s="589"/>
      <c r="L13" s="570"/>
      <c r="M13" s="590">
        <f>+L13*1000</f>
        <v>0</v>
      </c>
      <c r="N13" s="618"/>
      <c r="O13" s="28">
        <v>2688</v>
      </c>
      <c r="P13" s="620"/>
    </row>
    <row r="14" spans="1:16" ht="18.75" x14ac:dyDescent="0.3">
      <c r="A14" s="9">
        <v>825</v>
      </c>
      <c r="B14" s="579" t="s">
        <v>35</v>
      </c>
      <c r="C14" s="10" t="s">
        <v>33</v>
      </c>
      <c r="D14" s="581">
        <v>1</v>
      </c>
      <c r="E14" s="595">
        <f>+D14*K14</f>
        <v>5.8</v>
      </c>
      <c r="F14" s="595">
        <f>+E14/L14</f>
        <v>146.83544303797467</v>
      </c>
      <c r="H14" s="595">
        <f t="shared" si="3"/>
        <v>23</v>
      </c>
      <c r="J14" s="559">
        <v>24</v>
      </c>
      <c r="K14" s="568">
        <v>5.8</v>
      </c>
      <c r="L14" s="570">
        <f>+M14/1000</f>
        <v>3.95E-2</v>
      </c>
      <c r="M14" s="572">
        <v>39.5</v>
      </c>
      <c r="N14" s="618">
        <v>144</v>
      </c>
      <c r="O14" s="27">
        <v>4320</v>
      </c>
      <c r="P14" s="620">
        <f>1.5*(O14+O15)/N14</f>
        <v>75</v>
      </c>
    </row>
    <row r="15" spans="1:16" ht="19.5" thickBot="1" x14ac:dyDescent="0.35">
      <c r="A15" s="11">
        <v>27</v>
      </c>
      <c r="B15" s="580"/>
      <c r="C15" s="12" t="s">
        <v>34</v>
      </c>
      <c r="D15" s="582"/>
      <c r="E15" s="616"/>
      <c r="F15" s="616"/>
      <c r="H15" s="616"/>
      <c r="J15" s="578"/>
      <c r="K15" s="569"/>
      <c r="L15" s="571"/>
      <c r="M15" s="573">
        <v>39.200000000000003</v>
      </c>
      <c r="N15" s="619"/>
      <c r="O15" s="29">
        <v>2880</v>
      </c>
      <c r="P15" s="621"/>
    </row>
    <row r="16" spans="1:16" ht="21.2" customHeight="1" x14ac:dyDescent="0.3">
      <c r="A16" s="9"/>
      <c r="B16" s="10"/>
      <c r="C16" s="10" t="s">
        <v>40</v>
      </c>
      <c r="D16" s="561">
        <v>0</v>
      </c>
      <c r="E16" s="16"/>
      <c r="F16" s="16"/>
      <c r="H16" s="16"/>
      <c r="J16" s="20"/>
      <c r="K16" s="24"/>
      <c r="L16" s="22"/>
      <c r="M16" s="26"/>
      <c r="N16" s="20"/>
      <c r="O16" s="24"/>
      <c r="P16" s="32"/>
    </row>
    <row r="17" spans="1:16" ht="21.2" customHeight="1" x14ac:dyDescent="0.3">
      <c r="A17" s="9"/>
      <c r="B17" s="10"/>
      <c r="C17" s="10"/>
      <c r="D17" s="562"/>
      <c r="E17" s="16"/>
      <c r="F17" s="16"/>
      <c r="H17" s="16"/>
      <c r="J17" s="20"/>
      <c r="K17" s="24"/>
      <c r="L17" s="22"/>
      <c r="M17" s="26"/>
      <c r="N17" s="20"/>
      <c r="O17" s="24"/>
      <c r="P17" s="32"/>
    </row>
    <row r="18" spans="1:16" ht="21.2" customHeight="1" x14ac:dyDescent="0.3">
      <c r="A18" s="9"/>
      <c r="B18" s="10"/>
      <c r="C18" s="10" t="s">
        <v>41</v>
      </c>
      <c r="D18" s="622">
        <v>0</v>
      </c>
      <c r="E18" s="16"/>
      <c r="F18" s="16"/>
      <c r="H18" s="16"/>
      <c r="J18" s="20"/>
      <c r="K18" s="24"/>
      <c r="L18" s="22"/>
      <c r="M18" s="26"/>
      <c r="N18" s="20"/>
      <c r="O18" s="24"/>
      <c r="P18" s="32"/>
    </row>
    <row r="19" spans="1:16" ht="21.2" customHeight="1" x14ac:dyDescent="0.3">
      <c r="A19" s="9"/>
      <c r="B19" s="10"/>
      <c r="C19" s="10"/>
      <c r="D19" s="562"/>
      <c r="E19" s="16"/>
      <c r="F19" s="16"/>
      <c r="H19" s="16"/>
      <c r="J19" s="20"/>
      <c r="K19" s="24"/>
      <c r="L19" s="22"/>
      <c r="M19" s="26"/>
      <c r="N19" s="20"/>
      <c r="O19" s="24"/>
      <c r="P19" s="32"/>
    </row>
  </sheetData>
  <autoFilter ref="A3:O15" xr:uid="{00000000-0009-0000-0000-000071000000}"/>
  <mergeCells count="27">
    <mergeCell ref="D18:D19"/>
    <mergeCell ref="K14:K15"/>
    <mergeCell ref="L14:L15"/>
    <mergeCell ref="M14:M15"/>
    <mergeCell ref="N14:N15"/>
    <mergeCell ref="P14:P15"/>
    <mergeCell ref="D16:D17"/>
    <mergeCell ref="L12:L13"/>
    <mergeCell ref="M12:M13"/>
    <mergeCell ref="N12:N13"/>
    <mergeCell ref="P12:P13"/>
    <mergeCell ref="J14:J15"/>
    <mergeCell ref="B14:B15"/>
    <mergeCell ref="D14:D15"/>
    <mergeCell ref="E14:E15"/>
    <mergeCell ref="F14:F15"/>
    <mergeCell ref="H14:H15"/>
    <mergeCell ref="A1:C1"/>
    <mergeCell ref="A2:B2"/>
    <mergeCell ref="J2:P2"/>
    <mergeCell ref="B12:B13"/>
    <mergeCell ref="D12:D13"/>
    <mergeCell ref="E12:E13"/>
    <mergeCell ref="F12:F13"/>
    <mergeCell ref="H12:H13"/>
    <mergeCell ref="J12:J13"/>
    <mergeCell ref="K12:K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 codeName="Hoja43">
    <tabColor rgb="FF00B0F0"/>
  </sheetPr>
  <dimension ref="A1:P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hidden="1" customWidth="1"/>
    <col min="5" max="5" width="9.140625" hidden="1" customWidth="1"/>
    <col min="6" max="6" width="10.28515625" hidden="1" customWidth="1"/>
    <col min="7" max="7" width="5.42578125" hidden="1" customWidth="1"/>
    <col min="8" max="8" width="9.28515625" customWidth="1"/>
    <col min="9" max="11" width="9.42578125" customWidth="1"/>
    <col min="12" max="12" width="10.85546875" customWidth="1"/>
    <col min="13" max="13" width="8.28515625" customWidth="1"/>
    <col min="14" max="14" width="11.28515625" customWidth="1"/>
    <col min="15" max="15" width="11.140625" customWidth="1"/>
    <col min="16" max="16" width="11.28515625" customWidth="1"/>
  </cols>
  <sheetData>
    <row r="1" spans="1:16" ht="47.25" thickBot="1" x14ac:dyDescent="0.3">
      <c r="A1" s="527" t="s">
        <v>0</v>
      </c>
      <c r="B1" s="528"/>
      <c r="C1" s="529"/>
      <c r="D1" s="1"/>
      <c r="E1" s="1"/>
      <c r="F1" s="1"/>
      <c r="H1" s="1"/>
    </row>
    <row r="2" spans="1:16" ht="24.75" customHeight="1" thickBot="1" x14ac:dyDescent="0.35">
      <c r="A2" s="585" t="s">
        <v>1</v>
      </c>
      <c r="B2" s="586"/>
      <c r="C2" s="2">
        <v>45133</v>
      </c>
      <c r="D2" s="1"/>
      <c r="E2" s="1"/>
      <c r="F2" s="1"/>
      <c r="H2" s="3"/>
      <c r="J2" s="522" t="s">
        <v>2</v>
      </c>
      <c r="K2" s="523"/>
      <c r="L2" s="523"/>
      <c r="M2" s="523"/>
      <c r="N2" s="523"/>
      <c r="O2" s="523"/>
      <c r="P2" s="524"/>
    </row>
    <row r="3" spans="1:16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H3" s="18" t="s">
        <v>8</v>
      </c>
      <c r="J3" s="4" t="s">
        <v>13</v>
      </c>
      <c r="K3" s="6" t="s">
        <v>38</v>
      </c>
      <c r="L3" s="4" t="s">
        <v>10</v>
      </c>
      <c r="M3" s="6" t="s">
        <v>9</v>
      </c>
      <c r="N3" s="4" t="s">
        <v>11</v>
      </c>
      <c r="O3" s="6" t="s">
        <v>14</v>
      </c>
      <c r="P3" s="4" t="s">
        <v>12</v>
      </c>
    </row>
    <row r="4" spans="1:16" ht="18.75" x14ac:dyDescent="0.3">
      <c r="A4" s="7">
        <v>500</v>
      </c>
      <c r="B4" s="8" t="s">
        <v>15</v>
      </c>
      <c r="C4" s="8" t="s">
        <v>16</v>
      </c>
      <c r="D4" s="33">
        <v>8</v>
      </c>
      <c r="E4" s="17">
        <f>D4*K4</f>
        <v>240</v>
      </c>
      <c r="F4" s="17">
        <f t="shared" ref="F4:F12" si="0">+E4/L4</f>
        <v>7283.7632776934752</v>
      </c>
      <c r="H4" s="17">
        <f>IF(J4-D4&lt;0,0,J4-D4)</f>
        <v>0</v>
      </c>
      <c r="J4" s="19">
        <v>5</v>
      </c>
      <c r="K4" s="23">
        <v>30</v>
      </c>
      <c r="L4" s="21">
        <f>+M4/1000</f>
        <v>3.295E-2</v>
      </c>
      <c r="M4" s="25">
        <v>32.950000000000003</v>
      </c>
      <c r="N4" s="19">
        <f>+K4/L4</f>
        <v>910.4704097116844</v>
      </c>
      <c r="O4" s="23">
        <v>2520</v>
      </c>
      <c r="P4" s="31">
        <f t="shared" ref="P4:P11" si="1">1.5*O4/N4</f>
        <v>4.1516999999999999</v>
      </c>
    </row>
    <row r="5" spans="1:16" ht="18.75" x14ac:dyDescent="0.3">
      <c r="A5" s="9">
        <v>706</v>
      </c>
      <c r="B5" s="10" t="s">
        <v>17</v>
      </c>
      <c r="C5" s="10" t="s">
        <v>18</v>
      </c>
      <c r="D5" s="34">
        <v>9</v>
      </c>
      <c r="E5" s="16">
        <f t="shared" ref="E5:E11" si="2">D5*K5</f>
        <v>270</v>
      </c>
      <c r="F5" s="16">
        <f t="shared" si="0"/>
        <v>12300.683371298404</v>
      </c>
      <c r="H5" s="16">
        <f t="shared" ref="H5:H14" si="3">IF(J5-D5&lt;0,0,J5-D5)</f>
        <v>0</v>
      </c>
      <c r="J5" s="20">
        <v>4</v>
      </c>
      <c r="K5" s="24">
        <v>30</v>
      </c>
      <c r="L5" s="22">
        <f t="shared" ref="L5:L11" si="4">+M5/1000</f>
        <v>2.1950000000000001E-2</v>
      </c>
      <c r="M5" s="26">
        <v>21.95</v>
      </c>
      <c r="N5" s="20">
        <f t="shared" ref="N5:N11" si="5">+K5/L5</f>
        <v>1366.7425968109339</v>
      </c>
      <c r="O5" s="24">
        <v>3600</v>
      </c>
      <c r="P5" s="32">
        <f t="shared" si="1"/>
        <v>3.9510000000000001</v>
      </c>
    </row>
    <row r="6" spans="1:16" ht="18.75" x14ac:dyDescent="0.3">
      <c r="A6" s="9" t="s">
        <v>19</v>
      </c>
      <c r="B6" s="10" t="s">
        <v>20</v>
      </c>
      <c r="C6" s="10" t="s">
        <v>21</v>
      </c>
      <c r="D6" s="34">
        <v>6</v>
      </c>
      <c r="E6" s="16">
        <f t="shared" si="2"/>
        <v>180</v>
      </c>
      <c r="F6" s="16">
        <f t="shared" si="0"/>
        <v>8200.4555808656041</v>
      </c>
      <c r="H6" s="16">
        <f t="shared" si="3"/>
        <v>0</v>
      </c>
      <c r="J6" s="20">
        <v>5</v>
      </c>
      <c r="K6" s="24">
        <v>30</v>
      </c>
      <c r="L6" s="22">
        <f t="shared" si="4"/>
        <v>2.1950000000000001E-2</v>
      </c>
      <c r="M6" s="26">
        <v>21.95</v>
      </c>
      <c r="N6" s="20">
        <f t="shared" si="5"/>
        <v>1366.7425968109339</v>
      </c>
      <c r="O6" s="24">
        <v>0</v>
      </c>
      <c r="P6" s="32">
        <f t="shared" si="1"/>
        <v>0</v>
      </c>
    </row>
    <row r="7" spans="1:16" ht="18.75" x14ac:dyDescent="0.3">
      <c r="A7" s="9">
        <v>654</v>
      </c>
      <c r="B7" s="10" t="s">
        <v>22</v>
      </c>
      <c r="C7" s="10" t="s">
        <v>23</v>
      </c>
      <c r="D7" s="34">
        <v>0</v>
      </c>
      <c r="E7" s="16">
        <f t="shared" si="2"/>
        <v>0</v>
      </c>
      <c r="F7" s="16">
        <f t="shared" si="0"/>
        <v>0</v>
      </c>
      <c r="H7" s="16">
        <f t="shared" si="3"/>
        <v>25</v>
      </c>
      <c r="J7" s="20">
        <v>25</v>
      </c>
      <c r="K7" s="30">
        <f>+N7*L7</f>
        <v>2.5799999999999996</v>
      </c>
      <c r="L7" s="22">
        <f t="shared" si="4"/>
        <v>2.1499999999999998E-2</v>
      </c>
      <c r="M7" s="26">
        <v>21.5</v>
      </c>
      <c r="N7" s="20">
        <v>120</v>
      </c>
      <c r="O7" s="24">
        <v>1200</v>
      </c>
      <c r="P7" s="32">
        <f t="shared" si="1"/>
        <v>15</v>
      </c>
    </row>
    <row r="8" spans="1:16" ht="18.75" x14ac:dyDescent="0.3">
      <c r="A8" s="9">
        <v>558</v>
      </c>
      <c r="B8" s="10" t="s">
        <v>24</v>
      </c>
      <c r="C8" s="10" t="s">
        <v>25</v>
      </c>
      <c r="D8" s="34">
        <v>5</v>
      </c>
      <c r="E8" s="16">
        <f t="shared" si="2"/>
        <v>9</v>
      </c>
      <c r="F8" s="16">
        <f t="shared" si="0"/>
        <v>580.64516129032256</v>
      </c>
      <c r="H8" s="16">
        <f t="shared" si="3"/>
        <v>20</v>
      </c>
      <c r="J8" s="20">
        <v>25</v>
      </c>
      <c r="K8" s="30">
        <v>1.8</v>
      </c>
      <c r="L8" s="22">
        <f t="shared" si="4"/>
        <v>1.55E-2</v>
      </c>
      <c r="M8" s="26">
        <v>15.5</v>
      </c>
      <c r="N8" s="20">
        <v>120</v>
      </c>
      <c r="O8" s="24">
        <v>1600</v>
      </c>
      <c r="P8" s="32">
        <f t="shared" si="1"/>
        <v>20</v>
      </c>
    </row>
    <row r="9" spans="1:16" ht="21.2" customHeight="1" x14ac:dyDescent="0.3">
      <c r="A9" s="9">
        <v>557</v>
      </c>
      <c r="B9" s="10" t="s">
        <v>26</v>
      </c>
      <c r="C9" s="10" t="s">
        <v>27</v>
      </c>
      <c r="D9" s="34">
        <v>4</v>
      </c>
      <c r="E9" s="16">
        <f t="shared" si="2"/>
        <v>7.2</v>
      </c>
      <c r="F9" s="16">
        <f t="shared" si="0"/>
        <v>452.83018867924528</v>
      </c>
      <c r="H9" s="16">
        <f t="shared" si="3"/>
        <v>21</v>
      </c>
      <c r="J9" s="20">
        <v>25</v>
      </c>
      <c r="K9" s="30">
        <v>1.8</v>
      </c>
      <c r="L9" s="22">
        <f t="shared" si="4"/>
        <v>1.5900000000000001E-2</v>
      </c>
      <c r="M9" s="26">
        <v>15.9</v>
      </c>
      <c r="N9" s="20">
        <v>120</v>
      </c>
      <c r="O9" s="24">
        <v>1600</v>
      </c>
      <c r="P9" s="32">
        <f t="shared" si="1"/>
        <v>20</v>
      </c>
    </row>
    <row r="10" spans="1:16" ht="21.2" customHeight="1" x14ac:dyDescent="0.3">
      <c r="A10" s="9">
        <v>506</v>
      </c>
      <c r="B10" s="10" t="s">
        <v>28</v>
      </c>
      <c r="C10" s="10" t="s">
        <v>29</v>
      </c>
      <c r="D10" s="34">
        <v>10</v>
      </c>
      <c r="E10" s="16">
        <f t="shared" si="2"/>
        <v>300</v>
      </c>
      <c r="F10" s="16">
        <f t="shared" si="0"/>
        <v>13667.425968109339</v>
      </c>
      <c r="H10" s="16">
        <f t="shared" si="3"/>
        <v>0</v>
      </c>
      <c r="J10" s="20">
        <v>8</v>
      </c>
      <c r="K10" s="24">
        <v>30</v>
      </c>
      <c r="L10" s="22">
        <f t="shared" si="4"/>
        <v>2.1950000000000001E-2</v>
      </c>
      <c r="M10" s="26">
        <v>21.95</v>
      </c>
      <c r="N10" s="20">
        <f t="shared" si="5"/>
        <v>1366.7425968109339</v>
      </c>
      <c r="O10" s="24">
        <v>18612</v>
      </c>
      <c r="P10" s="32">
        <f t="shared" si="1"/>
        <v>20.426670000000001</v>
      </c>
    </row>
    <row r="11" spans="1:16" ht="18.75" x14ac:dyDescent="0.3">
      <c r="A11" s="9">
        <v>510</v>
      </c>
      <c r="B11" s="10" t="s">
        <v>30</v>
      </c>
      <c r="C11" s="10" t="s">
        <v>31</v>
      </c>
      <c r="D11" s="34">
        <v>2</v>
      </c>
      <c r="E11" s="16">
        <f t="shared" si="2"/>
        <v>60</v>
      </c>
      <c r="F11" s="16">
        <f t="shared" si="0"/>
        <v>2727.2727272727275</v>
      </c>
      <c r="H11" s="16">
        <f t="shared" si="3"/>
        <v>2</v>
      </c>
      <c r="J11" s="20">
        <v>4</v>
      </c>
      <c r="K11" s="24">
        <v>30</v>
      </c>
      <c r="L11" s="22">
        <f t="shared" si="4"/>
        <v>2.1999999999999999E-2</v>
      </c>
      <c r="M11" s="26">
        <v>22</v>
      </c>
      <c r="N11" s="20">
        <f t="shared" si="5"/>
        <v>1363.6363636363637</v>
      </c>
      <c r="O11" s="24">
        <v>6000</v>
      </c>
      <c r="P11" s="32">
        <f t="shared" si="1"/>
        <v>6.6</v>
      </c>
    </row>
    <row r="12" spans="1:16" ht="18.75" x14ac:dyDescent="0.3">
      <c r="A12" s="9">
        <v>824</v>
      </c>
      <c r="B12" s="579" t="s">
        <v>32</v>
      </c>
      <c r="C12" s="10" t="s">
        <v>36</v>
      </c>
      <c r="D12" s="587">
        <v>11</v>
      </c>
      <c r="E12" s="595">
        <f>+D12*K12</f>
        <v>63.8</v>
      </c>
      <c r="F12" s="595">
        <f t="shared" si="0"/>
        <v>3052.6315789473683</v>
      </c>
      <c r="H12" s="595">
        <f t="shared" si="3"/>
        <v>1</v>
      </c>
      <c r="J12" s="559">
        <v>12</v>
      </c>
      <c r="K12" s="568">
        <v>5.8</v>
      </c>
      <c r="L12" s="570">
        <f>+M12/1000</f>
        <v>2.0899999999999998E-2</v>
      </c>
      <c r="M12" s="572">
        <v>20.9</v>
      </c>
      <c r="N12" s="618">
        <v>288</v>
      </c>
      <c r="O12" s="27">
        <v>8000</v>
      </c>
      <c r="P12" s="620">
        <f>1.5*(O12+O13)/N12</f>
        <v>55.666666666666664</v>
      </c>
    </row>
    <row r="13" spans="1:16" ht="18.75" x14ac:dyDescent="0.3">
      <c r="A13" s="9">
        <v>26</v>
      </c>
      <c r="B13" s="579"/>
      <c r="C13" s="10" t="s">
        <v>37</v>
      </c>
      <c r="D13" s="581"/>
      <c r="E13" s="596"/>
      <c r="F13" s="596"/>
      <c r="H13" s="596"/>
      <c r="J13" s="560"/>
      <c r="K13" s="589"/>
      <c r="L13" s="570"/>
      <c r="M13" s="590">
        <f>+L13*1000</f>
        <v>0</v>
      </c>
      <c r="N13" s="618"/>
      <c r="O13" s="28">
        <v>2688</v>
      </c>
      <c r="P13" s="620"/>
    </row>
    <row r="14" spans="1:16" ht="18.75" x14ac:dyDescent="0.3">
      <c r="A14" s="9">
        <v>825</v>
      </c>
      <c r="B14" s="579" t="s">
        <v>35</v>
      </c>
      <c r="C14" s="10" t="s">
        <v>33</v>
      </c>
      <c r="D14" s="581">
        <v>0</v>
      </c>
      <c r="E14" s="595">
        <f>+D14*K14</f>
        <v>0</v>
      </c>
      <c r="F14" s="595">
        <f>+E14/L14</f>
        <v>0</v>
      </c>
      <c r="H14" s="595">
        <f t="shared" si="3"/>
        <v>24</v>
      </c>
      <c r="J14" s="559">
        <v>24</v>
      </c>
      <c r="K14" s="568">
        <v>5.8</v>
      </c>
      <c r="L14" s="570">
        <f>+M14/1000</f>
        <v>3.95E-2</v>
      </c>
      <c r="M14" s="572">
        <v>39.5</v>
      </c>
      <c r="N14" s="618">
        <v>144</v>
      </c>
      <c r="O14" s="27">
        <v>4320</v>
      </c>
      <c r="P14" s="620">
        <f>1.5*(O14+O15)/N14</f>
        <v>75</v>
      </c>
    </row>
    <row r="15" spans="1:16" ht="19.5" thickBot="1" x14ac:dyDescent="0.35">
      <c r="A15" s="11">
        <v>27</v>
      </c>
      <c r="B15" s="580"/>
      <c r="C15" s="12" t="s">
        <v>34</v>
      </c>
      <c r="D15" s="582"/>
      <c r="E15" s="616"/>
      <c r="F15" s="616"/>
      <c r="H15" s="616"/>
      <c r="J15" s="578"/>
      <c r="K15" s="569"/>
      <c r="L15" s="571"/>
      <c r="M15" s="573">
        <v>39.200000000000003</v>
      </c>
      <c r="N15" s="619"/>
      <c r="O15" s="29">
        <v>2880</v>
      </c>
      <c r="P15" s="621"/>
    </row>
    <row r="16" spans="1:16" ht="21.2" customHeight="1" x14ac:dyDescent="0.3">
      <c r="A16" s="9"/>
      <c r="B16" s="10"/>
      <c r="C16" s="10" t="s">
        <v>40</v>
      </c>
      <c r="D16" s="561">
        <v>0</v>
      </c>
      <c r="E16" s="16"/>
      <c r="F16" s="16"/>
      <c r="H16" s="16"/>
      <c r="J16" s="20"/>
      <c r="K16" s="24"/>
      <c r="L16" s="22"/>
      <c r="M16" s="26"/>
      <c r="N16" s="20"/>
      <c r="O16" s="24"/>
      <c r="P16" s="32"/>
    </row>
    <row r="17" spans="1:16" ht="21.2" customHeight="1" x14ac:dyDescent="0.3">
      <c r="A17" s="9"/>
      <c r="B17" s="10"/>
      <c r="C17" s="10"/>
      <c r="D17" s="562"/>
      <c r="E17" s="16"/>
      <c r="F17" s="16"/>
      <c r="H17" s="16"/>
      <c r="J17" s="20"/>
      <c r="K17" s="24"/>
      <c r="L17" s="22"/>
      <c r="M17" s="26"/>
      <c r="N17" s="20"/>
      <c r="O17" s="24"/>
      <c r="P17" s="32"/>
    </row>
    <row r="18" spans="1:16" ht="21.2" customHeight="1" x14ac:dyDescent="0.3">
      <c r="A18" s="9"/>
      <c r="B18" s="10"/>
      <c r="C18" s="10" t="s">
        <v>41</v>
      </c>
      <c r="D18" s="622">
        <v>57</v>
      </c>
      <c r="E18" s="16"/>
      <c r="F18" s="16"/>
      <c r="H18" s="16"/>
      <c r="J18" s="20"/>
      <c r="K18" s="24"/>
      <c r="L18" s="22"/>
      <c r="M18" s="26"/>
      <c r="N18" s="20"/>
      <c r="O18" s="24"/>
      <c r="P18" s="32"/>
    </row>
    <row r="19" spans="1:16" ht="21.2" customHeight="1" x14ac:dyDescent="0.3">
      <c r="A19" s="9"/>
      <c r="B19" s="10"/>
      <c r="C19" s="10"/>
      <c r="D19" s="562"/>
      <c r="E19" s="16"/>
      <c r="F19" s="16"/>
      <c r="H19" s="16"/>
      <c r="J19" s="20"/>
      <c r="K19" s="24"/>
      <c r="L19" s="22"/>
      <c r="M19" s="26"/>
      <c r="N19" s="20"/>
      <c r="O19" s="24"/>
      <c r="P19" s="32"/>
    </row>
  </sheetData>
  <autoFilter ref="A3:O19" xr:uid="{00000000-0009-0000-0000-000072000000}"/>
  <mergeCells count="27">
    <mergeCell ref="A1:C1"/>
    <mergeCell ref="A2:B2"/>
    <mergeCell ref="J2:P2"/>
    <mergeCell ref="B12:B13"/>
    <mergeCell ref="D12:D13"/>
    <mergeCell ref="E12:E13"/>
    <mergeCell ref="F12:F13"/>
    <mergeCell ref="H12:H13"/>
    <mergeCell ref="J12:J13"/>
    <mergeCell ref="K12:K13"/>
    <mergeCell ref="B14:B15"/>
    <mergeCell ref="D14:D15"/>
    <mergeCell ref="E14:E15"/>
    <mergeCell ref="F14:F15"/>
    <mergeCell ref="H14:H15"/>
    <mergeCell ref="P14:P15"/>
    <mergeCell ref="D16:D17"/>
    <mergeCell ref="L12:L13"/>
    <mergeCell ref="M12:M13"/>
    <mergeCell ref="N12:N13"/>
    <mergeCell ref="P12:P13"/>
    <mergeCell ref="J14:J15"/>
    <mergeCell ref="D18:D19"/>
    <mergeCell ref="K14:K15"/>
    <mergeCell ref="L14:L15"/>
    <mergeCell ref="M14:M15"/>
    <mergeCell ref="N14:N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 codeName="Hoja44">
    <tabColor rgb="FF00B0F0"/>
  </sheetPr>
  <dimension ref="A1:P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0.28515625" customWidth="1"/>
    <col min="7" max="7" width="5.42578125" customWidth="1"/>
    <col min="8" max="8" width="9.28515625" customWidth="1"/>
    <col min="9" max="11" width="9.42578125" customWidth="1"/>
    <col min="12" max="12" width="10.85546875" customWidth="1"/>
    <col min="13" max="13" width="8.28515625" customWidth="1"/>
    <col min="14" max="14" width="11.28515625" customWidth="1"/>
    <col min="15" max="15" width="11.140625" customWidth="1"/>
    <col min="16" max="16" width="11.28515625" customWidth="1"/>
  </cols>
  <sheetData>
    <row r="1" spans="1:16" ht="47.25" thickBot="1" x14ac:dyDescent="0.3">
      <c r="A1" s="527" t="s">
        <v>0</v>
      </c>
      <c r="B1" s="528"/>
      <c r="C1" s="529"/>
      <c r="D1" s="1"/>
      <c r="E1" s="1"/>
      <c r="F1" s="1"/>
      <c r="H1" s="1"/>
    </row>
    <row r="2" spans="1:16" ht="24.75" customHeight="1" thickBot="1" x14ac:dyDescent="0.35">
      <c r="A2" s="585" t="s">
        <v>1</v>
      </c>
      <c r="B2" s="586"/>
      <c r="C2" s="2">
        <v>45154</v>
      </c>
      <c r="D2" s="1"/>
      <c r="E2" s="1"/>
      <c r="F2" s="1"/>
      <c r="H2" s="3"/>
      <c r="J2" s="522" t="s">
        <v>2</v>
      </c>
      <c r="K2" s="523"/>
      <c r="L2" s="523"/>
      <c r="M2" s="523"/>
      <c r="N2" s="523"/>
      <c r="O2" s="523"/>
      <c r="P2" s="524"/>
    </row>
    <row r="3" spans="1:16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H3" s="18" t="s">
        <v>8</v>
      </c>
      <c r="J3" s="4" t="s">
        <v>13</v>
      </c>
      <c r="K3" s="6" t="s">
        <v>38</v>
      </c>
      <c r="L3" s="4" t="s">
        <v>10</v>
      </c>
      <c r="M3" s="6" t="s">
        <v>9</v>
      </c>
      <c r="N3" s="4" t="s">
        <v>11</v>
      </c>
      <c r="O3" s="6" t="s">
        <v>14</v>
      </c>
      <c r="P3" s="4" t="s">
        <v>12</v>
      </c>
    </row>
    <row r="4" spans="1:16" ht="18.75" x14ac:dyDescent="0.3">
      <c r="A4" s="7">
        <v>500</v>
      </c>
      <c r="B4" s="8" t="s">
        <v>15</v>
      </c>
      <c r="C4" s="8" t="s">
        <v>16</v>
      </c>
      <c r="D4" s="33">
        <v>8</v>
      </c>
      <c r="E4" s="17">
        <f>D4*K4</f>
        <v>240</v>
      </c>
      <c r="F4" s="17">
        <f t="shared" ref="F4:F12" si="0">+E4/L4</f>
        <v>7283.7632776934752</v>
      </c>
      <c r="H4" s="17">
        <f>IF(J4-D4&lt;0,0,J4-D4)</f>
        <v>0</v>
      </c>
      <c r="J4" s="19">
        <v>5</v>
      </c>
      <c r="K4" s="23">
        <v>30</v>
      </c>
      <c r="L4" s="21">
        <f>+M4/1000</f>
        <v>3.295E-2</v>
      </c>
      <c r="M4" s="25">
        <v>32.950000000000003</v>
      </c>
      <c r="N4" s="19">
        <f>+K4/L4</f>
        <v>910.4704097116844</v>
      </c>
      <c r="O4" s="23">
        <v>2520</v>
      </c>
      <c r="P4" s="31">
        <f t="shared" ref="P4:P11" si="1">1.5*O4/N4</f>
        <v>4.1516999999999999</v>
      </c>
    </row>
    <row r="5" spans="1:16" ht="18.75" x14ac:dyDescent="0.3">
      <c r="A5" s="9">
        <v>706</v>
      </c>
      <c r="B5" s="10" t="s">
        <v>17</v>
      </c>
      <c r="C5" s="10" t="s">
        <v>18</v>
      </c>
      <c r="D5" s="34">
        <v>13</v>
      </c>
      <c r="E5" s="16">
        <f t="shared" ref="E5:E11" si="2">D5*K5</f>
        <v>390</v>
      </c>
      <c r="F5" s="16">
        <f t="shared" si="0"/>
        <v>17767.653758542139</v>
      </c>
      <c r="H5" s="16">
        <f t="shared" ref="H5:H14" si="3">IF(J5-D5&lt;0,0,J5-D5)</f>
        <v>0</v>
      </c>
      <c r="J5" s="20">
        <v>4</v>
      </c>
      <c r="K5" s="24">
        <v>30</v>
      </c>
      <c r="L5" s="22">
        <f t="shared" ref="L5:L11" si="4">+M5/1000</f>
        <v>2.1950000000000001E-2</v>
      </c>
      <c r="M5" s="26">
        <v>21.95</v>
      </c>
      <c r="N5" s="20">
        <f t="shared" ref="N5:N11" si="5">+K5/L5</f>
        <v>1366.7425968109339</v>
      </c>
      <c r="O5" s="24">
        <v>3600</v>
      </c>
      <c r="P5" s="32">
        <f t="shared" si="1"/>
        <v>3.9510000000000001</v>
      </c>
    </row>
    <row r="6" spans="1:16" ht="18.75" x14ac:dyDescent="0.3">
      <c r="A6" s="9" t="s">
        <v>19</v>
      </c>
      <c r="B6" s="10" t="s">
        <v>20</v>
      </c>
      <c r="C6" s="10" t="s">
        <v>21</v>
      </c>
      <c r="D6" s="34">
        <v>6</v>
      </c>
      <c r="E6" s="16">
        <f t="shared" si="2"/>
        <v>180</v>
      </c>
      <c r="F6" s="16">
        <f t="shared" si="0"/>
        <v>8200.4555808656041</v>
      </c>
      <c r="H6" s="16">
        <f t="shared" si="3"/>
        <v>0</v>
      </c>
      <c r="J6" s="20">
        <v>5</v>
      </c>
      <c r="K6" s="24">
        <v>30</v>
      </c>
      <c r="L6" s="22">
        <f t="shared" si="4"/>
        <v>2.1950000000000001E-2</v>
      </c>
      <c r="M6" s="26">
        <v>21.95</v>
      </c>
      <c r="N6" s="20">
        <f t="shared" si="5"/>
        <v>1366.7425968109339</v>
      </c>
      <c r="O6" s="24">
        <v>0</v>
      </c>
      <c r="P6" s="32">
        <f t="shared" si="1"/>
        <v>0</v>
      </c>
    </row>
    <row r="7" spans="1:16" ht="18.75" x14ac:dyDescent="0.3">
      <c r="A7" s="9">
        <v>654</v>
      </c>
      <c r="B7" s="10" t="s">
        <v>22</v>
      </c>
      <c r="C7" s="10" t="s">
        <v>23</v>
      </c>
      <c r="D7" s="34">
        <v>1</v>
      </c>
      <c r="E7" s="16">
        <f t="shared" si="2"/>
        <v>2.5799999999999996</v>
      </c>
      <c r="F7" s="16">
        <f t="shared" si="0"/>
        <v>119.99999999999999</v>
      </c>
      <c r="H7" s="16">
        <f t="shared" si="3"/>
        <v>24</v>
      </c>
      <c r="J7" s="20">
        <v>25</v>
      </c>
      <c r="K7" s="30">
        <f>+N7*L7</f>
        <v>2.5799999999999996</v>
      </c>
      <c r="L7" s="22">
        <f t="shared" si="4"/>
        <v>2.1499999999999998E-2</v>
      </c>
      <c r="M7" s="26">
        <v>21.5</v>
      </c>
      <c r="N7" s="20">
        <v>120</v>
      </c>
      <c r="O7" s="24">
        <v>1200</v>
      </c>
      <c r="P7" s="32">
        <f t="shared" si="1"/>
        <v>15</v>
      </c>
    </row>
    <row r="8" spans="1:16" ht="18.75" x14ac:dyDescent="0.3">
      <c r="A8" s="9">
        <v>558</v>
      </c>
      <c r="B8" s="10" t="s">
        <v>24</v>
      </c>
      <c r="C8" s="10" t="s">
        <v>25</v>
      </c>
      <c r="D8" s="34">
        <v>7</v>
      </c>
      <c r="E8" s="16">
        <f t="shared" si="2"/>
        <v>12.6</v>
      </c>
      <c r="F8" s="16">
        <f t="shared" si="0"/>
        <v>812.90322580645159</v>
      </c>
      <c r="H8" s="16">
        <f t="shared" si="3"/>
        <v>18</v>
      </c>
      <c r="J8" s="20">
        <v>25</v>
      </c>
      <c r="K8" s="30">
        <v>1.8</v>
      </c>
      <c r="L8" s="22">
        <f t="shared" si="4"/>
        <v>1.55E-2</v>
      </c>
      <c r="M8" s="26">
        <v>15.5</v>
      </c>
      <c r="N8" s="20">
        <v>120</v>
      </c>
      <c r="O8" s="24">
        <v>1600</v>
      </c>
      <c r="P8" s="32">
        <f t="shared" si="1"/>
        <v>20</v>
      </c>
    </row>
    <row r="9" spans="1:16" ht="21.2" customHeight="1" x14ac:dyDescent="0.3">
      <c r="A9" s="9">
        <v>557</v>
      </c>
      <c r="B9" s="10" t="s">
        <v>26</v>
      </c>
      <c r="C9" s="10" t="s">
        <v>27</v>
      </c>
      <c r="D9" s="34">
        <v>4</v>
      </c>
      <c r="E9" s="16">
        <f t="shared" si="2"/>
        <v>7.2</v>
      </c>
      <c r="F9" s="16">
        <f t="shared" si="0"/>
        <v>452.83018867924528</v>
      </c>
      <c r="H9" s="16">
        <f t="shared" si="3"/>
        <v>21</v>
      </c>
      <c r="J9" s="20">
        <v>25</v>
      </c>
      <c r="K9" s="30">
        <v>1.8</v>
      </c>
      <c r="L9" s="22">
        <f t="shared" si="4"/>
        <v>1.5900000000000001E-2</v>
      </c>
      <c r="M9" s="26">
        <v>15.9</v>
      </c>
      <c r="N9" s="20">
        <v>120</v>
      </c>
      <c r="O9" s="24">
        <v>1600</v>
      </c>
      <c r="P9" s="32">
        <f t="shared" si="1"/>
        <v>20</v>
      </c>
    </row>
    <row r="10" spans="1:16" ht="21.2" customHeight="1" x14ac:dyDescent="0.3">
      <c r="A10" s="9">
        <v>506</v>
      </c>
      <c r="B10" s="10" t="s">
        <v>28</v>
      </c>
      <c r="C10" s="10" t="s">
        <v>29</v>
      </c>
      <c r="D10" s="34">
        <v>21</v>
      </c>
      <c r="E10" s="16">
        <f t="shared" si="2"/>
        <v>630</v>
      </c>
      <c r="F10" s="16">
        <f t="shared" si="0"/>
        <v>28701.594533029613</v>
      </c>
      <c r="H10" s="16">
        <f t="shared" si="3"/>
        <v>0</v>
      </c>
      <c r="J10" s="20">
        <v>8</v>
      </c>
      <c r="K10" s="24">
        <v>30</v>
      </c>
      <c r="L10" s="22">
        <f t="shared" si="4"/>
        <v>2.1950000000000001E-2</v>
      </c>
      <c r="M10" s="26">
        <v>21.95</v>
      </c>
      <c r="N10" s="20">
        <f t="shared" si="5"/>
        <v>1366.7425968109339</v>
      </c>
      <c r="O10" s="24">
        <v>18612</v>
      </c>
      <c r="P10" s="32">
        <f t="shared" si="1"/>
        <v>20.426670000000001</v>
      </c>
    </row>
    <row r="11" spans="1:16" ht="18.75" x14ac:dyDescent="0.3">
      <c r="A11" s="9">
        <v>510</v>
      </c>
      <c r="B11" s="10" t="s">
        <v>30</v>
      </c>
      <c r="C11" s="10" t="s">
        <v>31</v>
      </c>
      <c r="D11" s="34">
        <v>0</v>
      </c>
      <c r="E11" s="16">
        <f t="shared" si="2"/>
        <v>0</v>
      </c>
      <c r="F11" s="16">
        <f t="shared" si="0"/>
        <v>0</v>
      </c>
      <c r="H11" s="16">
        <f t="shared" si="3"/>
        <v>4</v>
      </c>
      <c r="J11" s="20">
        <v>4</v>
      </c>
      <c r="K11" s="24">
        <v>30</v>
      </c>
      <c r="L11" s="22">
        <f t="shared" si="4"/>
        <v>2.1999999999999999E-2</v>
      </c>
      <c r="M11" s="26">
        <v>22</v>
      </c>
      <c r="N11" s="20">
        <f t="shared" si="5"/>
        <v>1363.6363636363637</v>
      </c>
      <c r="O11" s="24">
        <v>6000</v>
      </c>
      <c r="P11" s="32">
        <f t="shared" si="1"/>
        <v>6.6</v>
      </c>
    </row>
    <row r="12" spans="1:16" ht="18.75" x14ac:dyDescent="0.3">
      <c r="A12" s="9">
        <v>824</v>
      </c>
      <c r="B12" s="579" t="s">
        <v>32</v>
      </c>
      <c r="C12" s="10" t="s">
        <v>36</v>
      </c>
      <c r="D12" s="587">
        <v>0</v>
      </c>
      <c r="E12" s="595">
        <f>+D12*K12</f>
        <v>0</v>
      </c>
      <c r="F12" s="595">
        <f t="shared" si="0"/>
        <v>0</v>
      </c>
      <c r="H12" s="595">
        <f t="shared" si="3"/>
        <v>12</v>
      </c>
      <c r="J12" s="559">
        <v>12</v>
      </c>
      <c r="K12" s="568">
        <v>5.8</v>
      </c>
      <c r="L12" s="570">
        <f>+M12/1000</f>
        <v>2.0899999999999998E-2</v>
      </c>
      <c r="M12" s="572">
        <v>20.9</v>
      </c>
      <c r="N12" s="618">
        <v>288</v>
      </c>
      <c r="O12" s="27">
        <v>8000</v>
      </c>
      <c r="P12" s="620">
        <f>1.5*(O12+O13)/N12</f>
        <v>55.666666666666664</v>
      </c>
    </row>
    <row r="13" spans="1:16" ht="18.75" x14ac:dyDescent="0.3">
      <c r="A13" s="9">
        <v>26</v>
      </c>
      <c r="B13" s="579"/>
      <c r="C13" s="10" t="s">
        <v>37</v>
      </c>
      <c r="D13" s="581"/>
      <c r="E13" s="596"/>
      <c r="F13" s="596"/>
      <c r="H13" s="596"/>
      <c r="J13" s="560"/>
      <c r="K13" s="589"/>
      <c r="L13" s="570"/>
      <c r="M13" s="590">
        <f>+L13*1000</f>
        <v>0</v>
      </c>
      <c r="N13" s="618"/>
      <c r="O13" s="28">
        <v>2688</v>
      </c>
      <c r="P13" s="620"/>
    </row>
    <row r="14" spans="1:16" ht="18.75" x14ac:dyDescent="0.3">
      <c r="A14" s="9">
        <v>825</v>
      </c>
      <c r="B14" s="579" t="s">
        <v>35</v>
      </c>
      <c r="C14" s="10" t="s">
        <v>33</v>
      </c>
      <c r="D14" s="581">
        <v>0</v>
      </c>
      <c r="E14" s="595">
        <f>+D14*K14</f>
        <v>0</v>
      </c>
      <c r="F14" s="595">
        <f>+E14/L14</f>
        <v>0</v>
      </c>
      <c r="H14" s="595">
        <f t="shared" si="3"/>
        <v>24</v>
      </c>
      <c r="J14" s="559">
        <v>24</v>
      </c>
      <c r="K14" s="568">
        <v>5.8</v>
      </c>
      <c r="L14" s="570">
        <f>+M14/1000</f>
        <v>3.95E-2</v>
      </c>
      <c r="M14" s="572">
        <v>39.5</v>
      </c>
      <c r="N14" s="618">
        <v>144</v>
      </c>
      <c r="O14" s="27">
        <v>4320</v>
      </c>
      <c r="P14" s="620">
        <f>1.5*(O14+O15)/N14</f>
        <v>75</v>
      </c>
    </row>
    <row r="15" spans="1:16" ht="19.5" thickBot="1" x14ac:dyDescent="0.35">
      <c r="A15" s="11">
        <v>27</v>
      </c>
      <c r="B15" s="580"/>
      <c r="C15" s="12" t="s">
        <v>34</v>
      </c>
      <c r="D15" s="582"/>
      <c r="E15" s="616"/>
      <c r="F15" s="616"/>
      <c r="H15" s="616"/>
      <c r="J15" s="578"/>
      <c r="K15" s="569"/>
      <c r="L15" s="571"/>
      <c r="M15" s="573">
        <v>39.200000000000003</v>
      </c>
      <c r="N15" s="619"/>
      <c r="O15" s="29">
        <v>2880</v>
      </c>
      <c r="P15" s="621"/>
    </row>
    <row r="16" spans="1:16" ht="21.2" customHeight="1" x14ac:dyDescent="0.3">
      <c r="A16" s="9"/>
      <c r="B16" s="10" t="s">
        <v>42</v>
      </c>
      <c r="C16" s="10" t="s">
        <v>40</v>
      </c>
      <c r="D16" s="561">
        <v>12</v>
      </c>
      <c r="E16" s="16"/>
      <c r="F16" s="16"/>
      <c r="H16" s="16"/>
      <c r="J16" s="20"/>
      <c r="K16" s="24"/>
      <c r="L16" s="22"/>
      <c r="M16" s="26"/>
      <c r="N16" s="20"/>
      <c r="O16" s="24"/>
      <c r="P16" s="32"/>
    </row>
    <row r="17" spans="1:16" ht="21.2" customHeight="1" x14ac:dyDescent="0.3">
      <c r="A17" s="9"/>
      <c r="B17" s="10"/>
      <c r="C17" s="10"/>
      <c r="D17" s="562"/>
      <c r="E17" s="16"/>
      <c r="F17" s="16"/>
      <c r="H17" s="16"/>
      <c r="J17" s="20"/>
      <c r="K17" s="24"/>
      <c r="L17" s="22"/>
      <c r="M17" s="26"/>
      <c r="N17" s="20"/>
      <c r="O17" s="24"/>
      <c r="P17" s="32"/>
    </row>
    <row r="18" spans="1:16" ht="21.2" customHeight="1" x14ac:dyDescent="0.3">
      <c r="A18" s="9"/>
      <c r="B18" s="10" t="s">
        <v>43</v>
      </c>
      <c r="C18" s="10" t="s">
        <v>41</v>
      </c>
      <c r="D18" s="622">
        <v>0</v>
      </c>
      <c r="E18" s="16"/>
      <c r="F18" s="16"/>
      <c r="H18" s="16"/>
      <c r="J18" s="20"/>
      <c r="K18" s="24"/>
      <c r="L18" s="22"/>
      <c r="M18" s="26"/>
      <c r="N18" s="20"/>
      <c r="O18" s="24"/>
      <c r="P18" s="32"/>
    </row>
    <row r="19" spans="1:16" ht="21.2" customHeight="1" x14ac:dyDescent="0.3">
      <c r="A19" s="9"/>
      <c r="B19" s="10"/>
      <c r="C19" s="10"/>
      <c r="D19" s="562"/>
      <c r="E19" s="16"/>
      <c r="F19" s="16"/>
      <c r="H19" s="16"/>
      <c r="J19" s="20"/>
      <c r="K19" s="24"/>
      <c r="L19" s="22"/>
      <c r="M19" s="26"/>
      <c r="N19" s="20"/>
      <c r="O19" s="24"/>
      <c r="P19" s="32"/>
    </row>
  </sheetData>
  <autoFilter ref="A3:O15" xr:uid="{00000000-0009-0000-0000-000073000000}"/>
  <mergeCells count="27">
    <mergeCell ref="A1:C1"/>
    <mergeCell ref="A2:B2"/>
    <mergeCell ref="J2:P2"/>
    <mergeCell ref="B12:B13"/>
    <mergeCell ref="D12:D13"/>
    <mergeCell ref="E12:E13"/>
    <mergeCell ref="F12:F13"/>
    <mergeCell ref="H12:H13"/>
    <mergeCell ref="J12:J13"/>
    <mergeCell ref="K12:K13"/>
    <mergeCell ref="B14:B15"/>
    <mergeCell ref="D14:D15"/>
    <mergeCell ref="E14:E15"/>
    <mergeCell ref="F14:F15"/>
    <mergeCell ref="H14:H15"/>
    <mergeCell ref="P14:P15"/>
    <mergeCell ref="D16:D17"/>
    <mergeCell ref="L12:L13"/>
    <mergeCell ref="M12:M13"/>
    <mergeCell ref="N12:N13"/>
    <mergeCell ref="P12:P13"/>
    <mergeCell ref="J14:J15"/>
    <mergeCell ref="D18:D19"/>
    <mergeCell ref="K14:K15"/>
    <mergeCell ref="L14:L15"/>
    <mergeCell ref="M14:M15"/>
    <mergeCell ref="N14:N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 codeName="Hoja45">
    <tabColor rgb="FF00B0F0"/>
  </sheetPr>
  <dimension ref="A1:P19"/>
  <sheetViews>
    <sheetView workbookViewId="0">
      <selection sqref="A1:C1"/>
    </sheetView>
  </sheetViews>
  <sheetFormatPr baseColWidth="10" defaultRowHeight="15" x14ac:dyDescent="0.25"/>
  <cols>
    <col min="1" max="1" width="7.28515625" customWidth="1"/>
    <col min="2" max="2" width="9.140625" customWidth="1"/>
    <col min="3" max="3" width="27.140625" customWidth="1"/>
    <col min="4" max="4" width="12.140625" customWidth="1"/>
    <col min="5" max="5" width="9.140625" customWidth="1"/>
    <col min="6" max="6" width="10.28515625" customWidth="1"/>
    <col min="7" max="7" width="5.42578125" customWidth="1"/>
    <col min="8" max="8" width="9.28515625" customWidth="1"/>
    <col min="9" max="11" width="9.42578125" customWidth="1"/>
    <col min="12" max="12" width="10.85546875" customWidth="1"/>
    <col min="13" max="13" width="8.28515625" customWidth="1"/>
    <col min="14" max="14" width="11.28515625" customWidth="1"/>
    <col min="15" max="15" width="11.140625" customWidth="1"/>
    <col min="16" max="16" width="11.28515625" customWidth="1"/>
  </cols>
  <sheetData>
    <row r="1" spans="1:16" ht="47.25" thickBot="1" x14ac:dyDescent="0.3">
      <c r="A1" s="527" t="s">
        <v>0</v>
      </c>
      <c r="B1" s="528"/>
      <c r="C1" s="529"/>
      <c r="D1" s="1"/>
      <c r="E1" s="1"/>
      <c r="F1" s="1"/>
      <c r="H1" s="1"/>
    </row>
    <row r="2" spans="1:16" ht="24.75" customHeight="1" thickBot="1" x14ac:dyDescent="0.35">
      <c r="A2" s="585" t="s">
        <v>1</v>
      </c>
      <c r="B2" s="586"/>
      <c r="C2" s="2">
        <v>45176</v>
      </c>
      <c r="D2" s="1"/>
      <c r="E2" s="1"/>
      <c r="F2" s="1"/>
      <c r="H2" s="3"/>
      <c r="J2" s="522" t="s">
        <v>2</v>
      </c>
      <c r="K2" s="523"/>
      <c r="L2" s="523"/>
      <c r="M2" s="523"/>
      <c r="N2" s="523"/>
      <c r="O2" s="523"/>
      <c r="P2" s="524"/>
    </row>
    <row r="3" spans="1:16" ht="54.6" customHeight="1" thickBot="1" x14ac:dyDescent="0.3">
      <c r="A3" s="15" t="s">
        <v>3</v>
      </c>
      <c r="B3" s="4" t="s">
        <v>4</v>
      </c>
      <c r="C3" s="4" t="s">
        <v>5</v>
      </c>
      <c r="D3" s="4" t="s">
        <v>39</v>
      </c>
      <c r="E3" s="4" t="s">
        <v>6</v>
      </c>
      <c r="F3" s="4" t="s">
        <v>7</v>
      </c>
      <c r="H3" s="18" t="s">
        <v>8</v>
      </c>
      <c r="J3" s="4" t="s">
        <v>13</v>
      </c>
      <c r="K3" s="6" t="s">
        <v>38</v>
      </c>
      <c r="L3" s="4" t="s">
        <v>10</v>
      </c>
      <c r="M3" s="6" t="s">
        <v>9</v>
      </c>
      <c r="N3" s="4" t="s">
        <v>11</v>
      </c>
      <c r="O3" s="6" t="s">
        <v>14</v>
      </c>
      <c r="P3" s="4" t="s">
        <v>12</v>
      </c>
    </row>
    <row r="4" spans="1:16" ht="18.75" x14ac:dyDescent="0.3">
      <c r="A4" s="7">
        <v>500</v>
      </c>
      <c r="B4" s="8" t="s">
        <v>15</v>
      </c>
      <c r="C4" s="8" t="s">
        <v>16</v>
      </c>
      <c r="D4" s="33">
        <v>13</v>
      </c>
      <c r="E4" s="17">
        <f>D4*K4</f>
        <v>390</v>
      </c>
      <c r="F4" s="17">
        <f t="shared" ref="F4:F12" si="0">+E4/L4</f>
        <v>11836.115326251896</v>
      </c>
      <c r="H4" s="17">
        <f>IF(J4-D4&lt;0,0,J4-D4)</f>
        <v>0</v>
      </c>
      <c r="J4" s="19">
        <v>5</v>
      </c>
      <c r="K4" s="23">
        <v>30</v>
      </c>
      <c r="L4" s="21">
        <f>+M4/1000</f>
        <v>3.295E-2</v>
      </c>
      <c r="M4" s="25">
        <v>32.950000000000003</v>
      </c>
      <c r="N4" s="19">
        <f>+K4/L4</f>
        <v>910.4704097116844</v>
      </c>
      <c r="O4" s="23">
        <v>2520</v>
      </c>
      <c r="P4" s="31">
        <f t="shared" ref="P4:P11" si="1">1.5*O4/N4</f>
        <v>4.1516999999999999</v>
      </c>
    </row>
    <row r="5" spans="1:16" ht="18.75" x14ac:dyDescent="0.3">
      <c r="A5" s="9">
        <v>706</v>
      </c>
      <c r="B5" s="10" t="s">
        <v>17</v>
      </c>
      <c r="C5" s="10" t="s">
        <v>18</v>
      </c>
      <c r="D5" s="34">
        <v>17</v>
      </c>
      <c r="E5" s="16">
        <f t="shared" ref="E5:E11" si="2">D5*K5</f>
        <v>510</v>
      </c>
      <c r="F5" s="16">
        <f t="shared" si="0"/>
        <v>23234.624145785878</v>
      </c>
      <c r="H5" s="16">
        <f t="shared" ref="H5:H14" si="3">IF(J5-D5&lt;0,0,J5-D5)</f>
        <v>0</v>
      </c>
      <c r="J5" s="20">
        <v>4</v>
      </c>
      <c r="K5" s="24">
        <v>30</v>
      </c>
      <c r="L5" s="22">
        <f t="shared" ref="L5:L11" si="4">+M5/1000</f>
        <v>2.1950000000000001E-2</v>
      </c>
      <c r="M5" s="26">
        <v>21.95</v>
      </c>
      <c r="N5" s="20">
        <f t="shared" ref="N5:N11" si="5">+K5/L5</f>
        <v>1366.7425968109339</v>
      </c>
      <c r="O5" s="24">
        <v>3600</v>
      </c>
      <c r="P5" s="32">
        <f t="shared" si="1"/>
        <v>3.9510000000000001</v>
      </c>
    </row>
    <row r="6" spans="1:16" ht="18.75" x14ac:dyDescent="0.3">
      <c r="A6" s="9" t="s">
        <v>19</v>
      </c>
      <c r="B6" s="10" t="s">
        <v>20</v>
      </c>
      <c r="C6" s="10" t="s">
        <v>21</v>
      </c>
      <c r="D6" s="34">
        <v>4</v>
      </c>
      <c r="E6" s="16">
        <f t="shared" si="2"/>
        <v>120</v>
      </c>
      <c r="F6" s="16">
        <f t="shared" si="0"/>
        <v>5466.9703872437358</v>
      </c>
      <c r="H6" s="16">
        <f t="shared" si="3"/>
        <v>1</v>
      </c>
      <c r="J6" s="20">
        <v>5</v>
      </c>
      <c r="K6" s="24">
        <v>30</v>
      </c>
      <c r="L6" s="22">
        <f t="shared" si="4"/>
        <v>2.1950000000000001E-2</v>
      </c>
      <c r="M6" s="26">
        <v>21.95</v>
      </c>
      <c r="N6" s="20">
        <f t="shared" si="5"/>
        <v>1366.7425968109339</v>
      </c>
      <c r="O6" s="24">
        <v>0</v>
      </c>
      <c r="P6" s="32">
        <f t="shared" si="1"/>
        <v>0</v>
      </c>
    </row>
    <row r="7" spans="1:16" ht="18.75" x14ac:dyDescent="0.3">
      <c r="A7" s="9">
        <v>654</v>
      </c>
      <c r="B7" s="10" t="s">
        <v>22</v>
      </c>
      <c r="C7" s="10" t="s">
        <v>23</v>
      </c>
      <c r="D7" s="34">
        <v>0</v>
      </c>
      <c r="E7" s="16">
        <f t="shared" si="2"/>
        <v>0</v>
      </c>
      <c r="F7" s="16">
        <f t="shared" si="0"/>
        <v>0</v>
      </c>
      <c r="H7" s="16">
        <f t="shared" si="3"/>
        <v>25</v>
      </c>
      <c r="J7" s="20">
        <v>25</v>
      </c>
      <c r="K7" s="30">
        <f>+N7*L7</f>
        <v>2.5799999999999996</v>
      </c>
      <c r="L7" s="22">
        <f t="shared" si="4"/>
        <v>2.1499999999999998E-2</v>
      </c>
      <c r="M7" s="26">
        <v>21.5</v>
      </c>
      <c r="N7" s="20">
        <v>120</v>
      </c>
      <c r="O7" s="24">
        <v>1200</v>
      </c>
      <c r="P7" s="32">
        <f t="shared" si="1"/>
        <v>15</v>
      </c>
    </row>
    <row r="8" spans="1:16" ht="18.75" x14ac:dyDescent="0.3">
      <c r="A8" s="9">
        <v>558</v>
      </c>
      <c r="B8" s="10" t="s">
        <v>24</v>
      </c>
      <c r="C8" s="10" t="s">
        <v>25</v>
      </c>
      <c r="D8" s="34">
        <v>7</v>
      </c>
      <c r="E8" s="16">
        <f t="shared" si="2"/>
        <v>12.6</v>
      </c>
      <c r="F8" s="16">
        <f t="shared" si="0"/>
        <v>812.90322580645159</v>
      </c>
      <c r="H8" s="16">
        <f t="shared" si="3"/>
        <v>18</v>
      </c>
      <c r="J8" s="20">
        <v>25</v>
      </c>
      <c r="K8" s="30">
        <v>1.8</v>
      </c>
      <c r="L8" s="22">
        <f t="shared" si="4"/>
        <v>1.55E-2</v>
      </c>
      <c r="M8" s="26">
        <v>15.5</v>
      </c>
      <c r="N8" s="20">
        <v>120</v>
      </c>
      <c r="O8" s="24">
        <v>1600</v>
      </c>
      <c r="P8" s="32">
        <f t="shared" si="1"/>
        <v>20</v>
      </c>
    </row>
    <row r="9" spans="1:16" ht="21.2" customHeight="1" x14ac:dyDescent="0.3">
      <c r="A9" s="9">
        <v>557</v>
      </c>
      <c r="B9" s="10" t="s">
        <v>26</v>
      </c>
      <c r="C9" s="10" t="s">
        <v>27</v>
      </c>
      <c r="D9" s="34">
        <v>4</v>
      </c>
      <c r="E9" s="16">
        <f t="shared" si="2"/>
        <v>7.2</v>
      </c>
      <c r="F9" s="16">
        <f t="shared" si="0"/>
        <v>452.83018867924528</v>
      </c>
      <c r="H9" s="16">
        <f t="shared" si="3"/>
        <v>21</v>
      </c>
      <c r="J9" s="20">
        <v>25</v>
      </c>
      <c r="K9" s="30">
        <v>1.8</v>
      </c>
      <c r="L9" s="22">
        <f t="shared" si="4"/>
        <v>1.5900000000000001E-2</v>
      </c>
      <c r="M9" s="26">
        <v>15.9</v>
      </c>
      <c r="N9" s="20">
        <v>120</v>
      </c>
      <c r="O9" s="24">
        <v>1600</v>
      </c>
      <c r="P9" s="32">
        <f t="shared" si="1"/>
        <v>20</v>
      </c>
    </row>
    <row r="10" spans="1:16" ht="21.2" customHeight="1" x14ac:dyDescent="0.3">
      <c r="A10" s="9">
        <v>506</v>
      </c>
      <c r="B10" s="10" t="s">
        <v>28</v>
      </c>
      <c r="C10" s="10" t="s">
        <v>29</v>
      </c>
      <c r="D10" s="34">
        <v>30</v>
      </c>
      <c r="E10" s="16">
        <f t="shared" si="2"/>
        <v>900</v>
      </c>
      <c r="F10" s="16">
        <f t="shared" si="0"/>
        <v>41002.277904328017</v>
      </c>
      <c r="H10" s="16">
        <f t="shared" si="3"/>
        <v>0</v>
      </c>
      <c r="J10" s="20">
        <v>8</v>
      </c>
      <c r="K10" s="24">
        <v>30</v>
      </c>
      <c r="L10" s="22">
        <f t="shared" si="4"/>
        <v>2.1950000000000001E-2</v>
      </c>
      <c r="M10" s="26">
        <v>21.95</v>
      </c>
      <c r="N10" s="20">
        <f t="shared" si="5"/>
        <v>1366.7425968109339</v>
      </c>
      <c r="O10" s="24">
        <v>18612</v>
      </c>
      <c r="P10" s="32">
        <f t="shared" si="1"/>
        <v>20.426670000000001</v>
      </c>
    </row>
    <row r="11" spans="1:16" ht="18.75" x14ac:dyDescent="0.3">
      <c r="A11" s="9">
        <v>510</v>
      </c>
      <c r="B11" s="10" t="s">
        <v>30</v>
      </c>
      <c r="C11" s="10" t="s">
        <v>31</v>
      </c>
      <c r="D11" s="34">
        <v>0</v>
      </c>
      <c r="E11" s="16">
        <f t="shared" si="2"/>
        <v>0</v>
      </c>
      <c r="F11" s="16">
        <f t="shared" si="0"/>
        <v>0</v>
      </c>
      <c r="H11" s="16">
        <f t="shared" si="3"/>
        <v>4</v>
      </c>
      <c r="J11" s="20">
        <v>4</v>
      </c>
      <c r="K11" s="24">
        <v>30</v>
      </c>
      <c r="L11" s="22">
        <f t="shared" si="4"/>
        <v>2.1999999999999999E-2</v>
      </c>
      <c r="M11" s="26">
        <v>22</v>
      </c>
      <c r="N11" s="20">
        <f t="shared" si="5"/>
        <v>1363.6363636363637</v>
      </c>
      <c r="O11" s="24">
        <v>6000</v>
      </c>
      <c r="P11" s="32">
        <f t="shared" si="1"/>
        <v>6.6</v>
      </c>
    </row>
    <row r="12" spans="1:16" ht="18.75" x14ac:dyDescent="0.3">
      <c r="A12" s="9">
        <v>824</v>
      </c>
      <c r="B12" s="579" t="s">
        <v>32</v>
      </c>
      <c r="C12" s="10" t="s">
        <v>36</v>
      </c>
      <c r="D12" s="587">
        <v>130</v>
      </c>
      <c r="E12" s="595">
        <f>+D12*K12</f>
        <v>754</v>
      </c>
      <c r="F12" s="595">
        <f t="shared" si="0"/>
        <v>36076.555023923451</v>
      </c>
      <c r="H12" s="595">
        <f t="shared" si="3"/>
        <v>0</v>
      </c>
      <c r="J12" s="559">
        <v>12</v>
      </c>
      <c r="K12" s="568">
        <v>5.8</v>
      </c>
      <c r="L12" s="570">
        <f>+M12/1000</f>
        <v>2.0899999999999998E-2</v>
      </c>
      <c r="M12" s="572">
        <v>20.9</v>
      </c>
      <c r="N12" s="618">
        <v>288</v>
      </c>
      <c r="O12" s="27">
        <v>8000</v>
      </c>
      <c r="P12" s="620">
        <f>1.5*(O12+O13)/N12</f>
        <v>55.666666666666664</v>
      </c>
    </row>
    <row r="13" spans="1:16" ht="18.75" x14ac:dyDescent="0.3">
      <c r="A13" s="9">
        <v>26</v>
      </c>
      <c r="B13" s="579"/>
      <c r="C13" s="10" t="s">
        <v>37</v>
      </c>
      <c r="D13" s="581"/>
      <c r="E13" s="596"/>
      <c r="F13" s="596"/>
      <c r="H13" s="596"/>
      <c r="J13" s="560"/>
      <c r="K13" s="589"/>
      <c r="L13" s="570"/>
      <c r="M13" s="590">
        <f>+L13*1000</f>
        <v>0</v>
      </c>
      <c r="N13" s="618"/>
      <c r="O13" s="28">
        <v>2688</v>
      </c>
      <c r="P13" s="620"/>
    </row>
    <row r="14" spans="1:16" ht="18.75" x14ac:dyDescent="0.3">
      <c r="A14" s="9">
        <v>825</v>
      </c>
      <c r="B14" s="579" t="s">
        <v>35</v>
      </c>
      <c r="C14" s="10" t="s">
        <v>33</v>
      </c>
      <c r="D14" s="581">
        <v>146</v>
      </c>
      <c r="E14" s="595">
        <f>+D14*K14</f>
        <v>846.8</v>
      </c>
      <c r="F14" s="595">
        <f>+E14/L14</f>
        <v>21437.974683544304</v>
      </c>
      <c r="H14" s="595">
        <f t="shared" si="3"/>
        <v>0</v>
      </c>
      <c r="J14" s="559">
        <v>24</v>
      </c>
      <c r="K14" s="568">
        <v>5.8</v>
      </c>
      <c r="L14" s="570">
        <f>+M14/1000</f>
        <v>3.95E-2</v>
      </c>
      <c r="M14" s="572">
        <v>39.5</v>
      </c>
      <c r="N14" s="618">
        <v>144</v>
      </c>
      <c r="O14" s="27">
        <v>4320</v>
      </c>
      <c r="P14" s="620">
        <f>1.5*(O14+O15)/N14</f>
        <v>75</v>
      </c>
    </row>
    <row r="15" spans="1:16" ht="19.5" thickBot="1" x14ac:dyDescent="0.35">
      <c r="A15" s="11">
        <v>27</v>
      </c>
      <c r="B15" s="580"/>
      <c r="C15" s="12" t="s">
        <v>34</v>
      </c>
      <c r="D15" s="582"/>
      <c r="E15" s="616"/>
      <c r="F15" s="616"/>
      <c r="H15" s="616"/>
      <c r="J15" s="578"/>
      <c r="K15" s="569"/>
      <c r="L15" s="571"/>
      <c r="M15" s="573">
        <v>39.200000000000003</v>
      </c>
      <c r="N15" s="619"/>
      <c r="O15" s="29">
        <v>2880</v>
      </c>
      <c r="P15" s="621"/>
    </row>
    <row r="16" spans="1:16" ht="21.2" customHeight="1" x14ac:dyDescent="0.3">
      <c r="A16" s="9"/>
      <c r="B16" s="10" t="s">
        <v>44</v>
      </c>
      <c r="C16" s="10" t="s">
        <v>40</v>
      </c>
      <c r="D16" s="561">
        <v>0</v>
      </c>
      <c r="E16" s="16"/>
      <c r="F16" s="16"/>
      <c r="H16" s="16"/>
      <c r="J16" s="20"/>
      <c r="K16" s="24"/>
      <c r="L16" s="22"/>
      <c r="M16" s="26"/>
      <c r="N16" s="20"/>
      <c r="O16" s="24"/>
      <c r="P16" s="32"/>
    </row>
    <row r="17" spans="1:16" ht="21.2" customHeight="1" x14ac:dyDescent="0.3">
      <c r="A17" s="9"/>
      <c r="B17" s="10"/>
      <c r="C17" s="10"/>
      <c r="D17" s="562"/>
      <c r="E17" s="16"/>
      <c r="F17" s="16"/>
      <c r="H17" s="16"/>
      <c r="J17" s="20"/>
      <c r="K17" s="24"/>
      <c r="L17" s="22"/>
      <c r="M17" s="26"/>
      <c r="N17" s="20"/>
      <c r="O17" s="24"/>
      <c r="P17" s="32"/>
    </row>
    <row r="18" spans="1:16" ht="21.2" customHeight="1" x14ac:dyDescent="0.3">
      <c r="A18" s="9"/>
      <c r="B18" s="10" t="s">
        <v>45</v>
      </c>
      <c r="C18" s="10" t="s">
        <v>41</v>
      </c>
      <c r="D18" s="622">
        <v>62</v>
      </c>
      <c r="E18" s="16"/>
      <c r="F18" s="16"/>
      <c r="H18" s="16"/>
      <c r="J18" s="20"/>
      <c r="K18" s="24"/>
      <c r="L18" s="22"/>
      <c r="M18" s="26"/>
      <c r="N18" s="20"/>
      <c r="O18" s="24"/>
      <c r="P18" s="32"/>
    </row>
    <row r="19" spans="1:16" ht="21.2" customHeight="1" x14ac:dyDescent="0.3">
      <c r="A19" s="9"/>
      <c r="B19" s="10"/>
      <c r="C19" s="10"/>
      <c r="D19" s="562"/>
      <c r="E19" s="16"/>
      <c r="F19" s="16"/>
      <c r="H19" s="16"/>
      <c r="J19" s="20"/>
      <c r="K19" s="24"/>
      <c r="L19" s="22"/>
      <c r="M19" s="26"/>
      <c r="N19" s="20"/>
      <c r="O19" s="24"/>
      <c r="P19" s="32"/>
    </row>
  </sheetData>
  <autoFilter ref="A3:O15" xr:uid="{00000000-0009-0000-0000-000074000000}"/>
  <mergeCells count="27">
    <mergeCell ref="D18:D19"/>
    <mergeCell ref="K14:K15"/>
    <mergeCell ref="L14:L15"/>
    <mergeCell ref="M14:M15"/>
    <mergeCell ref="N14:N15"/>
    <mergeCell ref="P14:P15"/>
    <mergeCell ref="D16:D17"/>
    <mergeCell ref="L12:L13"/>
    <mergeCell ref="M12:M13"/>
    <mergeCell ref="N12:N13"/>
    <mergeCell ref="P12:P13"/>
    <mergeCell ref="J14:J15"/>
    <mergeCell ref="B14:B15"/>
    <mergeCell ref="D14:D15"/>
    <mergeCell ref="E14:E15"/>
    <mergeCell ref="F14:F15"/>
    <mergeCell ref="H14:H15"/>
    <mergeCell ref="A1:C1"/>
    <mergeCell ref="A2:B2"/>
    <mergeCell ref="J2:P2"/>
    <mergeCell ref="B12:B13"/>
    <mergeCell ref="D12:D13"/>
    <mergeCell ref="E12:E13"/>
    <mergeCell ref="F12:F13"/>
    <mergeCell ref="H12:H13"/>
    <mergeCell ref="J12:J13"/>
    <mergeCell ref="K12:K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25" orientation="portrait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tabColor rgb="FFFFFF00"/>
  </sheetPr>
  <dimension ref="A1:AE31"/>
  <sheetViews>
    <sheetView topLeftCell="A8" zoomScale="70" zoomScaleNormal="70" workbookViewId="0">
      <selection activeCell="AH14" sqref="AH14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customWidth="1"/>
    <col min="5" max="5" width="9.140625" customWidth="1"/>
    <col min="6" max="6" width="8.28515625" customWidth="1"/>
    <col min="7" max="7" width="10.42578125" customWidth="1"/>
    <col min="8" max="8" width="8.42578125" customWidth="1"/>
    <col min="9" max="9" width="8.7109375" customWidth="1"/>
    <col min="10" max="10" width="9.28515625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f ca="1">TODAY()</f>
        <v>46101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0.6</v>
      </c>
      <c r="G7" s="111" t="s">
        <v>15</v>
      </c>
      <c r="H7" s="73">
        <v>3</v>
      </c>
      <c r="I7" s="72">
        <f t="shared" ref="I7:I23" si="0">H7*W7</f>
        <v>90</v>
      </c>
      <c r="J7" s="72">
        <f t="shared" ref="J7:J23" si="1">+I7/Y7</f>
        <v>2731.411229135053</v>
      </c>
      <c r="K7" s="72">
        <f t="shared" ref="K7:K23" si="2">IF(V7-H7&lt;0,0,V7-H7)</f>
        <v>2</v>
      </c>
      <c r="L7" s="75">
        <f t="shared" ref="L7:L23" si="3">+IF(X7-J7&lt;0,"",X7-J7)</f>
        <v>1820.9408194233692</v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0.44444444444444442</v>
      </c>
      <c r="G9" s="112" t="s">
        <v>28</v>
      </c>
      <c r="H9" s="327">
        <v>16</v>
      </c>
      <c r="I9" s="117">
        <f>H9*W9</f>
        <v>480</v>
      </c>
      <c r="J9" s="117">
        <f>+I9/Y9</f>
        <v>21867.881548974943</v>
      </c>
      <c r="K9" s="117">
        <f>IF(V9-H9&lt;0,0,(V9-H9)*1/4)</f>
        <v>5</v>
      </c>
      <c r="L9" s="328">
        <f>+IF(X9-J9&lt;0,"",X9-J9)</f>
        <v>27334.851936218682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</v>
      </c>
      <c r="G15" s="106" t="s">
        <v>24</v>
      </c>
      <c r="H15" s="66">
        <v>0</v>
      </c>
      <c r="I15" s="67">
        <f t="shared" si="0"/>
        <v>0</v>
      </c>
      <c r="J15" s="67">
        <f t="shared" ref="J15:J16" si="7">H15*AA15</f>
        <v>0</v>
      </c>
      <c r="K15" s="67">
        <f t="shared" si="2"/>
        <v>10</v>
      </c>
      <c r="L15" s="77">
        <f t="shared" si="3"/>
        <v>7200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</v>
      </c>
      <c r="G22" s="111" t="s">
        <v>30</v>
      </c>
      <c r="H22" s="73">
        <v>0</v>
      </c>
      <c r="I22" s="72">
        <f t="shared" si="0"/>
        <v>0</v>
      </c>
      <c r="J22" s="72">
        <f t="shared" si="1"/>
        <v>0</v>
      </c>
      <c r="K22" s="72">
        <f t="shared" si="2"/>
        <v>4</v>
      </c>
      <c r="L22" s="75">
        <f t="shared" si="3"/>
        <v>5454.545454545455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68"/>
      <c r="E23" s="68"/>
      <c r="F23" s="68">
        <f>+I23/(V23*W23)</f>
        <v>0.57407407407407407</v>
      </c>
      <c r="G23" s="106" t="s">
        <v>702</v>
      </c>
      <c r="H23" s="66">
        <v>31</v>
      </c>
      <c r="I23" s="67">
        <f t="shared" si="0"/>
        <v>486.08</v>
      </c>
      <c r="J23" s="67">
        <f t="shared" si="1"/>
        <v>4960</v>
      </c>
      <c r="K23" s="67">
        <f t="shared" si="2"/>
        <v>23</v>
      </c>
      <c r="L23" s="77">
        <f t="shared" si="3"/>
        <v>3680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329"/>
      <c r="E24" s="329"/>
      <c r="F24" s="329">
        <f>+I24/(V24*W24)</f>
        <v>0</v>
      </c>
      <c r="G24" s="112" t="s">
        <v>28</v>
      </c>
      <c r="H24" s="327"/>
      <c r="I24" s="117">
        <f>H24*W24</f>
        <v>0</v>
      </c>
      <c r="J24" s="117">
        <f>+I24/Y24</f>
        <v>0</v>
      </c>
      <c r="K24" s="117">
        <f>IF(V24-H24&lt;0,0,(V24-H24)*3/4)</f>
        <v>27</v>
      </c>
      <c r="L24" s="328">
        <f>+IF(X24-J24&lt;0,"",X24-J24)</f>
        <v>49202.733485193625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117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8.0417300586828926</v>
      </c>
      <c r="G29" s="231" t="s">
        <v>444</v>
      </c>
      <c r="H29" s="234">
        <v>5</v>
      </c>
      <c r="I29" s="235">
        <f>+H29*X29</f>
        <v>100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14-8'!G29)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120" fitToHeight="0" orientation="landscape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tabColor rgb="FFFFFF00"/>
  </sheetPr>
  <dimension ref="A1:AE31"/>
  <sheetViews>
    <sheetView topLeftCell="A19" zoomScale="70" zoomScaleNormal="70" workbookViewId="0">
      <selection activeCell="H30" sqref="H30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customWidth="1"/>
    <col min="5" max="5" width="9.140625" customWidth="1"/>
    <col min="6" max="6" width="8.28515625" customWidth="1"/>
    <col min="7" max="7" width="10.42578125" customWidth="1"/>
    <col min="8" max="8" width="8.42578125" customWidth="1"/>
    <col min="9" max="9" width="8.7109375" customWidth="1"/>
    <col min="10" max="10" width="9.28515625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v>45904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0.6</v>
      </c>
      <c r="G7" s="111" t="s">
        <v>15</v>
      </c>
      <c r="H7" s="73">
        <v>3</v>
      </c>
      <c r="I7" s="72">
        <f t="shared" ref="I7:I23" si="0">H7*W7</f>
        <v>90</v>
      </c>
      <c r="J7" s="72">
        <f t="shared" ref="J7:J23" si="1">+I7/Y7</f>
        <v>2731.411229135053</v>
      </c>
      <c r="K7" s="72">
        <f t="shared" ref="K7:K23" si="2">IF(V7-H7&lt;0,0,V7-H7)</f>
        <v>2</v>
      </c>
      <c r="L7" s="75">
        <f t="shared" ref="L7:L23" si="3">+IF(X7-J7&lt;0,"",X7-J7)</f>
        <v>1820.9408194233692</v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0.27777777777777779</v>
      </c>
      <c r="G9" s="112" t="s">
        <v>28</v>
      </c>
      <c r="H9" s="327">
        <v>10</v>
      </c>
      <c r="I9" s="117">
        <f>H9*W9</f>
        <v>300</v>
      </c>
      <c r="J9" s="117">
        <f>+I9/Y9</f>
        <v>13667.425968109339</v>
      </c>
      <c r="K9" s="117">
        <f>IF(V9-H9&lt;0,0,(V9-H9)*1/4)</f>
        <v>6.5</v>
      </c>
      <c r="L9" s="328">
        <f>+IF(X9-J9&lt;0,"",X9-J9)</f>
        <v>35535.307517084286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0.30000000000000004</v>
      </c>
      <c r="G15" s="106" t="s">
        <v>24</v>
      </c>
      <c r="H15" s="66">
        <v>3</v>
      </c>
      <c r="I15" s="67">
        <f t="shared" si="0"/>
        <v>5.4</v>
      </c>
      <c r="J15" s="67">
        <f t="shared" ref="J15:J16" si="7">H15*AA15</f>
        <v>2160</v>
      </c>
      <c r="K15" s="67">
        <f t="shared" si="2"/>
        <v>7</v>
      </c>
      <c r="L15" s="77">
        <f t="shared" si="3"/>
        <v>5040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</v>
      </c>
      <c r="G22" s="111" t="s">
        <v>30</v>
      </c>
      <c r="H22" s="73">
        <v>0</v>
      </c>
      <c r="I22" s="72">
        <f t="shared" si="0"/>
        <v>0</v>
      </c>
      <c r="J22" s="72">
        <f t="shared" si="1"/>
        <v>0</v>
      </c>
      <c r="K22" s="72">
        <f t="shared" si="2"/>
        <v>4</v>
      </c>
      <c r="L22" s="75">
        <f t="shared" si="3"/>
        <v>5454.545454545455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68"/>
      <c r="E23" s="68"/>
      <c r="F23" s="68">
        <f>+I23/(V23*W23)</f>
        <v>0.57407407407407407</v>
      </c>
      <c r="G23" s="106" t="s">
        <v>702</v>
      </c>
      <c r="H23" s="66">
        <v>31</v>
      </c>
      <c r="I23" s="67">
        <f t="shared" si="0"/>
        <v>486.08</v>
      </c>
      <c r="J23" s="67">
        <f t="shared" si="1"/>
        <v>4960</v>
      </c>
      <c r="K23" s="67">
        <f t="shared" si="2"/>
        <v>23</v>
      </c>
      <c r="L23" s="77">
        <f t="shared" si="3"/>
        <v>3680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329"/>
      <c r="E24" s="329"/>
      <c r="F24" s="329">
        <f>+I24/(V24*W24)</f>
        <v>0.27777777777777779</v>
      </c>
      <c r="G24" s="112" t="s">
        <v>28</v>
      </c>
      <c r="H24" s="327">
        <v>10</v>
      </c>
      <c r="I24" s="117">
        <f>H24*W24</f>
        <v>300</v>
      </c>
      <c r="J24" s="117">
        <f>+I24/Y24</f>
        <v>13667.425968109339</v>
      </c>
      <c r="K24" s="117">
        <f>IF(V24-H24&lt;0,0,(V24-H24)*3/4)</f>
        <v>19.5</v>
      </c>
      <c r="L24" s="328">
        <f>+IF(X24-J24&lt;0,"",X24-J24)</f>
        <v>35535.307517084286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117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8.0417300586828926</v>
      </c>
      <c r="G29" s="231" t="s">
        <v>444</v>
      </c>
      <c r="H29" s="234">
        <v>5</v>
      </c>
      <c r="I29" s="235">
        <f>+H29*X29</f>
        <v>100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Sep'!G29)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120" fitToHeight="0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tabColor rgb="FFFFFF00"/>
  </sheetPr>
  <dimension ref="A1:AE31"/>
  <sheetViews>
    <sheetView zoomScale="70" zoomScaleNormal="70" workbookViewId="0">
      <selection activeCell="C34" sqref="C34"/>
    </sheetView>
  </sheetViews>
  <sheetFormatPr baseColWidth="10" defaultRowHeight="15" x14ac:dyDescent="0.25"/>
  <cols>
    <col min="1" max="1" width="11" customWidth="1"/>
    <col min="2" max="2" width="6" customWidth="1"/>
    <col min="3" max="3" width="28.85546875" customWidth="1"/>
    <col min="4" max="4" width="15.28515625" hidden="1" customWidth="1"/>
    <col min="5" max="5" width="9.140625" hidden="1" customWidth="1"/>
    <col min="6" max="6" width="8.28515625" hidden="1" customWidth="1"/>
    <col min="7" max="7" width="10.42578125" hidden="1" customWidth="1"/>
    <col min="8" max="8" width="8.42578125" hidden="1" customWidth="1"/>
    <col min="9" max="9" width="8.7109375" hidden="1" customWidth="1"/>
    <col min="10" max="10" width="9.28515625" hidden="1" customWidth="1"/>
    <col min="11" max="11" width="9.42578125" customWidth="1"/>
    <col min="12" max="12" width="12.140625" style="110" customWidth="1"/>
    <col min="13" max="13" width="1.140625" customWidth="1"/>
    <col min="14" max="14" width="7.28515625" customWidth="1"/>
    <col min="15" max="15" width="8.7109375" customWidth="1"/>
    <col min="16" max="16" width="7.28515625" customWidth="1"/>
    <col min="17" max="17" width="8.28515625" customWidth="1"/>
    <col min="18" max="18" width="1.140625" customWidth="1"/>
    <col min="19" max="19" width="9" customWidth="1"/>
    <col min="20" max="20" width="8.7109375" customWidth="1"/>
    <col min="21" max="21" width="1.140625" customWidth="1"/>
    <col min="22" max="22" width="8.140625" customWidth="1"/>
    <col min="23" max="23" width="8" hidden="1" customWidth="1"/>
    <col min="24" max="24" width="11.140625" hidden="1" customWidth="1"/>
    <col min="25" max="25" width="14.140625" style="110" hidden="1" customWidth="1"/>
    <col min="26" max="26" width="8.28515625" hidden="1" customWidth="1"/>
    <col min="27" max="27" width="10" hidden="1" customWidth="1"/>
    <col min="28" max="28" width="11.42578125" hidden="1" customWidth="1"/>
    <col min="29" max="29" width="11.28515625" hidden="1" customWidth="1"/>
    <col min="30" max="30" width="8.28515625" hidden="1" customWidth="1"/>
    <col min="31" max="31" width="19.28515625" hidden="1" customWidth="1"/>
  </cols>
  <sheetData>
    <row r="1" spans="2:31" ht="39.200000000000003" customHeight="1" thickBot="1" x14ac:dyDescent="0.3">
      <c r="B1" s="323" t="s">
        <v>705</v>
      </c>
      <c r="C1" s="321"/>
      <c r="D1" s="357"/>
      <c r="E1" s="357"/>
      <c r="F1" s="357"/>
      <c r="G1" s="321"/>
      <c r="H1" s="322"/>
      <c r="K1" s="345"/>
      <c r="L1"/>
      <c r="X1" s="347"/>
      <c r="AA1" s="345"/>
      <c r="AB1" s="345"/>
    </row>
    <row r="2" spans="2:31" ht="24.75" customHeight="1" thickBot="1" x14ac:dyDescent="0.4">
      <c r="C2" s="164" t="s">
        <v>1</v>
      </c>
      <c r="D2" s="365">
        <f ca="1">+TODAY()</f>
        <v>46101</v>
      </c>
      <c r="E2" s="318"/>
      <c r="G2" s="364">
        <v>45904</v>
      </c>
      <c r="J2" s="1"/>
      <c r="K2" s="3" t="s">
        <v>55</v>
      </c>
      <c r="L2" s="3"/>
    </row>
    <row r="3" spans="2:31" ht="24.75" hidden="1" customHeight="1" x14ac:dyDescent="0.3">
      <c r="H3" s="1"/>
      <c r="I3" s="1"/>
      <c r="J3" s="1"/>
      <c r="K3" s="3"/>
      <c r="L3" s="3"/>
    </row>
    <row r="4" spans="2:31" ht="24.75" customHeight="1" thickBot="1" x14ac:dyDescent="0.4">
      <c r="C4" s="166" t="s">
        <v>96</v>
      </c>
      <c r="D4" s="163"/>
      <c r="E4" s="163"/>
      <c r="F4" s="163"/>
      <c r="G4" s="163"/>
      <c r="H4" s="1"/>
      <c r="I4" s="1"/>
      <c r="J4" s="1"/>
      <c r="K4" s="3"/>
      <c r="L4" s="3"/>
    </row>
    <row r="5" spans="2:31" ht="24.75" customHeight="1" thickBot="1" x14ac:dyDescent="0.35">
      <c r="C5" s="161" t="s">
        <v>97</v>
      </c>
      <c r="D5" s="162" t="s">
        <v>1</v>
      </c>
      <c r="E5" s="162"/>
      <c r="F5" s="160"/>
      <c r="H5" s="1"/>
      <c r="I5" s="1"/>
      <c r="J5" s="1"/>
      <c r="K5" s="3"/>
      <c r="L5" s="3"/>
      <c r="V5" s="346" t="s">
        <v>73</v>
      </c>
      <c r="W5" s="325"/>
      <c r="X5" s="325"/>
      <c r="Y5" s="325"/>
      <c r="Z5" s="325"/>
      <c r="AA5" s="325"/>
      <c r="AB5" s="325"/>
      <c r="AC5" s="325"/>
      <c r="AD5" s="325"/>
      <c r="AE5" s="326"/>
    </row>
    <row r="6" spans="2:31" ht="77.45" customHeight="1" thickBot="1" x14ac:dyDescent="0.3">
      <c r="B6" s="15" t="s">
        <v>3</v>
      </c>
      <c r="C6" s="4" t="s">
        <v>5</v>
      </c>
      <c r="D6" s="4" t="s">
        <v>59</v>
      </c>
      <c r="E6" s="4" t="s">
        <v>68</v>
      </c>
      <c r="F6" s="4" t="s">
        <v>76</v>
      </c>
      <c r="G6" s="4" t="s">
        <v>4</v>
      </c>
      <c r="H6" s="4" t="s">
        <v>438</v>
      </c>
      <c r="I6" s="4" t="s">
        <v>6</v>
      </c>
      <c r="J6" s="4" t="s">
        <v>62</v>
      </c>
      <c r="K6" s="153" t="s">
        <v>68</v>
      </c>
      <c r="L6" s="18" t="s">
        <v>59</v>
      </c>
      <c r="M6" s="91"/>
      <c r="N6" s="133" t="s">
        <v>75</v>
      </c>
      <c r="O6" s="133" t="s">
        <v>69</v>
      </c>
      <c r="P6" s="6" t="s">
        <v>70</v>
      </c>
      <c r="Q6" s="138" t="s">
        <v>74</v>
      </c>
      <c r="R6" s="91"/>
      <c r="S6" s="133" t="s">
        <v>71</v>
      </c>
      <c r="T6" s="6" t="s">
        <v>72</v>
      </c>
      <c r="U6" s="91"/>
      <c r="V6" s="353" t="s">
        <v>63</v>
      </c>
      <c r="W6" s="354" t="s">
        <v>38</v>
      </c>
      <c r="X6" s="354" t="s">
        <v>58</v>
      </c>
      <c r="Y6" s="354" t="s">
        <v>10</v>
      </c>
      <c r="Z6" s="354" t="s">
        <v>65</v>
      </c>
      <c r="AA6" s="354" t="s">
        <v>11</v>
      </c>
      <c r="AB6" s="354" t="s">
        <v>14</v>
      </c>
      <c r="AC6" s="355" t="s">
        <v>475</v>
      </c>
      <c r="AD6" s="140" t="s">
        <v>80</v>
      </c>
      <c r="AE6" s="4" t="s">
        <v>46</v>
      </c>
    </row>
    <row r="7" spans="2:31" ht="18.75" x14ac:dyDescent="0.3">
      <c r="B7" s="70">
        <v>500</v>
      </c>
      <c r="C7" s="71" t="s">
        <v>16</v>
      </c>
      <c r="D7" s="74"/>
      <c r="E7" s="74"/>
      <c r="F7" s="74">
        <f>+I7/(V7*W7)</f>
        <v>0</v>
      </c>
      <c r="G7" s="111" t="s">
        <v>15</v>
      </c>
      <c r="H7" s="73">
        <v>0</v>
      </c>
      <c r="I7" s="72">
        <f t="shared" ref="I7:I23" si="0">H7*W7</f>
        <v>0</v>
      </c>
      <c r="J7" s="72">
        <f t="shared" ref="J7:J23" si="1">+I7/Y7</f>
        <v>0</v>
      </c>
      <c r="K7" s="72">
        <f t="shared" ref="K7:K23" si="2">IF(V7-H7&lt;0,0,V7-H7)</f>
        <v>5</v>
      </c>
      <c r="L7" s="75">
        <f t="shared" ref="L7:L23" si="3">+IF(X7-J7&lt;0,"",X7-J7)</f>
        <v>4552.3520485584222</v>
      </c>
      <c r="M7" s="92"/>
      <c r="N7" s="330"/>
      <c r="O7" s="87"/>
      <c r="P7" s="87"/>
      <c r="Q7" s="331"/>
      <c r="R7" s="92"/>
      <c r="S7" s="332"/>
      <c r="T7" s="331"/>
      <c r="U7" s="92"/>
      <c r="V7" s="332">
        <v>5</v>
      </c>
      <c r="W7" s="87">
        <v>30</v>
      </c>
      <c r="X7" s="87">
        <f>+V7*AA7</f>
        <v>4552.3520485584222</v>
      </c>
      <c r="Y7" s="336">
        <f>+Z7/1000</f>
        <v>3.295E-2</v>
      </c>
      <c r="Z7" s="337">
        <v>32.950000000000003</v>
      </c>
      <c r="AA7" s="87">
        <f>+W7/Y7</f>
        <v>910.4704097116844</v>
      </c>
      <c r="AB7" s="87">
        <f>IFERROR(VLOOKUP(B7,'Estadistica Madre CH 23-01'!A:C,3,0),+VLOOKUP(B7,'Estadistica Madre LK 23-01 '!A:C,3,0))</f>
        <v>1440</v>
      </c>
      <c r="AC7" s="356">
        <f>4*AB7/AA7</f>
        <v>6.3263999999999996</v>
      </c>
      <c r="AD7" s="356"/>
      <c r="AE7" s="107" t="s">
        <v>47</v>
      </c>
    </row>
    <row r="8" spans="2:31" ht="18.75" x14ac:dyDescent="0.3">
      <c r="B8" s="76">
        <v>706</v>
      </c>
      <c r="C8" s="69" t="s">
        <v>18</v>
      </c>
      <c r="D8" s="68"/>
      <c r="E8" s="68"/>
      <c r="F8" s="68">
        <f>+I8/(V8*W8)</f>
        <v>0</v>
      </c>
      <c r="G8" s="106" t="s">
        <v>17</v>
      </c>
      <c r="H8" s="66">
        <v>0</v>
      </c>
      <c r="I8" s="67">
        <f t="shared" si="0"/>
        <v>0</v>
      </c>
      <c r="J8" s="67">
        <f t="shared" si="1"/>
        <v>0</v>
      </c>
      <c r="K8" s="67">
        <f t="shared" si="2"/>
        <v>12</v>
      </c>
      <c r="L8" s="77">
        <f t="shared" si="3"/>
        <v>16400.911161731208</v>
      </c>
      <c r="M8" s="92"/>
      <c r="N8" s="134"/>
      <c r="O8" s="39"/>
      <c r="P8" s="39"/>
      <c r="Q8" s="128"/>
      <c r="R8" s="92"/>
      <c r="S8" s="96"/>
      <c r="T8" s="128"/>
      <c r="U8" s="92"/>
      <c r="V8" s="96">
        <v>12</v>
      </c>
      <c r="W8" s="39">
        <v>30</v>
      </c>
      <c r="X8" s="39">
        <f t="shared" ref="X8:X23" si="4">+V8*AA8</f>
        <v>16400.911161731208</v>
      </c>
      <c r="Y8" s="94">
        <f t="shared" ref="Y8:Y23" si="5">+Z8/1000</f>
        <v>2.1950000000000001E-2</v>
      </c>
      <c r="Z8" s="121">
        <v>21.95</v>
      </c>
      <c r="AA8" s="39">
        <f t="shared" ref="AA8:AA23" si="6">+W8/Y8</f>
        <v>1366.7425968109339</v>
      </c>
      <c r="AB8" s="39">
        <f>IFERROR(VLOOKUP(B8,'Estadistica Madre CH 23-01'!A:C,3,0),+VLOOKUP(B8,'Estadistica Madre LK 23-01 '!A:C,3,0))</f>
        <v>2400</v>
      </c>
      <c r="AC8" s="122">
        <f>4*AB8/AA8</f>
        <v>7.024</v>
      </c>
      <c r="AD8" s="122"/>
      <c r="AE8" s="108" t="s">
        <v>47</v>
      </c>
    </row>
    <row r="9" spans="2:31" ht="21.2" customHeight="1" thickBot="1" x14ac:dyDescent="0.35">
      <c r="B9" s="78">
        <v>506</v>
      </c>
      <c r="C9" s="79" t="s">
        <v>29</v>
      </c>
      <c r="D9" s="329"/>
      <c r="E9" s="329"/>
      <c r="F9" s="329">
        <f>+I9/(V9*W9)</f>
        <v>0</v>
      </c>
      <c r="G9" s="112" t="s">
        <v>28</v>
      </c>
      <c r="H9" s="327">
        <v>0</v>
      </c>
      <c r="I9" s="117">
        <f>H9*W9</f>
        <v>0</v>
      </c>
      <c r="J9" s="117">
        <f>+I9/Y9</f>
        <v>0</v>
      </c>
      <c r="K9" s="117">
        <f>IF(V9-H9&lt;0,0,(V9-H9)*1/4)</f>
        <v>9</v>
      </c>
      <c r="L9" s="328">
        <f>+IF(X9-J9&lt;0,"",X9-J9)</f>
        <v>49202.733485193625</v>
      </c>
      <c r="M9" s="92"/>
      <c r="N9" s="135"/>
      <c r="O9" s="119"/>
      <c r="P9" s="119"/>
      <c r="Q9" s="130"/>
      <c r="R9" s="92"/>
      <c r="S9" s="98"/>
      <c r="T9" s="130"/>
      <c r="U9" s="92"/>
      <c r="V9" s="98">
        <v>36</v>
      </c>
      <c r="W9" s="119">
        <v>30</v>
      </c>
      <c r="X9" s="119">
        <f>+V9*AA9</f>
        <v>49202.733485193625</v>
      </c>
      <c r="Y9" s="99">
        <f>+Z9/1000</f>
        <v>2.1950000000000001E-2</v>
      </c>
      <c r="Z9" s="125">
        <v>21.95</v>
      </c>
      <c r="AA9" s="119">
        <f>+W9/Y9</f>
        <v>1366.7425968109339</v>
      </c>
      <c r="AB9" s="119">
        <f>IFERROR(VLOOKUP(B9,'Estadistica Madre CH 23-01'!A:C,3,0),+VLOOKUP(B9,'Estadistica Madre LK 23-01 '!A:C,3,0))</f>
        <v>18840</v>
      </c>
      <c r="AC9" s="127">
        <f>4.1*AB9/AA9</f>
        <v>56.516860000000001</v>
      </c>
      <c r="AD9" s="127"/>
      <c r="AE9" s="109" t="s">
        <v>47</v>
      </c>
    </row>
    <row r="10" spans="2:31" ht="6" customHeight="1" x14ac:dyDescent="0.25">
      <c r="L10"/>
    </row>
    <row r="11" spans="2:31" ht="24" thickBot="1" x14ac:dyDescent="0.4">
      <c r="C11" s="166" t="s">
        <v>96</v>
      </c>
      <c r="D11" s="163"/>
      <c r="E11" s="163"/>
      <c r="F11" s="163"/>
      <c r="G11" s="163"/>
      <c r="L11"/>
    </row>
    <row r="12" spans="2:31" ht="117" thickBot="1" x14ac:dyDescent="0.35">
      <c r="C12" s="161" t="s">
        <v>53</v>
      </c>
      <c r="D12" s="162" t="s">
        <v>1</v>
      </c>
      <c r="E12" s="162"/>
      <c r="F12" s="160"/>
      <c r="L12"/>
      <c r="V12" s="346" t="s">
        <v>73</v>
      </c>
      <c r="W12" s="325"/>
      <c r="X12" s="325"/>
      <c r="Y12" s="325"/>
      <c r="Z12" s="325"/>
      <c r="AA12" s="325"/>
      <c r="AB12" s="325"/>
      <c r="AC12" s="325"/>
      <c r="AD12" s="325"/>
      <c r="AE12" s="326"/>
    </row>
    <row r="13" spans="2:31" ht="69.599999999999994" customHeight="1" thickBot="1" x14ac:dyDescent="0.3">
      <c r="B13" s="324" t="s">
        <v>3</v>
      </c>
      <c r="C13" s="6" t="s">
        <v>5</v>
      </c>
      <c r="D13" s="6" t="s">
        <v>59</v>
      </c>
      <c r="E13" s="6" t="s">
        <v>439</v>
      </c>
      <c r="F13" s="6" t="s">
        <v>76</v>
      </c>
      <c r="G13" s="6" t="s">
        <v>4</v>
      </c>
      <c r="H13" s="6" t="s">
        <v>438</v>
      </c>
      <c r="I13" s="6" t="s">
        <v>6</v>
      </c>
      <c r="J13" s="6" t="s">
        <v>62</v>
      </c>
      <c r="K13" s="153" t="s">
        <v>68</v>
      </c>
      <c r="L13" s="153" t="s">
        <v>59</v>
      </c>
      <c r="M13" s="91"/>
      <c r="N13" s="133" t="s">
        <v>75</v>
      </c>
      <c r="O13" s="133" t="s">
        <v>69</v>
      </c>
      <c r="P13" s="6" t="s">
        <v>70</v>
      </c>
      <c r="Q13" s="138" t="s">
        <v>74</v>
      </c>
      <c r="R13" s="91"/>
      <c r="S13" s="133" t="s">
        <v>71</v>
      </c>
      <c r="T13" s="6" t="s">
        <v>72</v>
      </c>
      <c r="U13" s="91"/>
      <c r="V13" s="207" t="s">
        <v>63</v>
      </c>
      <c r="W13" s="154" t="s">
        <v>38</v>
      </c>
      <c r="X13" s="154" t="s">
        <v>58</v>
      </c>
      <c r="Y13" s="154" t="s">
        <v>10</v>
      </c>
      <c r="Z13" s="154" t="s">
        <v>65</v>
      </c>
      <c r="AA13" s="154" t="s">
        <v>11</v>
      </c>
      <c r="AB13" s="154" t="s">
        <v>14</v>
      </c>
      <c r="AC13" s="154" t="s">
        <v>475</v>
      </c>
      <c r="AD13" s="154" t="s">
        <v>80</v>
      </c>
      <c r="AE13" s="208" t="s">
        <v>46</v>
      </c>
    </row>
    <row r="14" spans="2:31" ht="18.75" x14ac:dyDescent="0.3">
      <c r="B14" s="70">
        <v>654</v>
      </c>
      <c r="C14" s="71" t="s">
        <v>23</v>
      </c>
      <c r="D14" s="74"/>
      <c r="E14" s="74"/>
      <c r="F14" s="74">
        <f>+I14/(V14*W14)</f>
        <v>0</v>
      </c>
      <c r="G14" s="111" t="s">
        <v>22</v>
      </c>
      <c r="H14" s="73">
        <v>0</v>
      </c>
      <c r="I14" s="72">
        <f t="shared" si="0"/>
        <v>0</v>
      </c>
      <c r="J14" s="72">
        <f>H14*AA14</f>
        <v>0</v>
      </c>
      <c r="K14" s="72">
        <f t="shared" si="2"/>
        <v>5</v>
      </c>
      <c r="L14" s="75">
        <f t="shared" si="3"/>
        <v>3600</v>
      </c>
      <c r="M14" s="92"/>
      <c r="N14" s="330"/>
      <c r="O14" s="87"/>
      <c r="P14" s="337"/>
      <c r="Q14" s="351"/>
      <c r="R14" s="92"/>
      <c r="S14" s="332"/>
      <c r="T14" s="351"/>
      <c r="U14" s="92"/>
      <c r="V14" s="131">
        <v>5</v>
      </c>
      <c r="W14" s="206">
        <f>+AA14*Y14</f>
        <v>15.479999999999999</v>
      </c>
      <c r="X14" s="137">
        <f t="shared" si="4"/>
        <v>3600</v>
      </c>
      <c r="Y14" s="245">
        <f t="shared" si="5"/>
        <v>2.1499999999999998E-2</v>
      </c>
      <c r="Z14" s="206">
        <v>21.5</v>
      </c>
      <c r="AA14" s="137">
        <v>720</v>
      </c>
      <c r="AB14" s="137">
        <f>IFERROR(VLOOKUP(B14,'Estadistica Madre CH 23-01'!A:C,3,0),+VLOOKUP(B14,'Estadistica Madre LK 23-01 '!A:C,3,0))</f>
        <v>912</v>
      </c>
      <c r="AC14" s="350">
        <f>3.5*AB14/AA14</f>
        <v>4.4333333333333336</v>
      </c>
      <c r="AD14" s="350"/>
      <c r="AE14" s="155" t="s">
        <v>53</v>
      </c>
    </row>
    <row r="15" spans="2:31" ht="18.75" x14ac:dyDescent="0.3">
      <c r="B15" s="76">
        <v>558</v>
      </c>
      <c r="C15" s="69" t="s">
        <v>25</v>
      </c>
      <c r="D15" s="68"/>
      <c r="E15" s="68"/>
      <c r="F15" s="68">
        <f>+I15/(V15*W15)</f>
        <v>0.30000000000000004</v>
      </c>
      <c r="G15" s="106" t="s">
        <v>24</v>
      </c>
      <c r="H15" s="66">
        <v>3</v>
      </c>
      <c r="I15" s="67">
        <f t="shared" si="0"/>
        <v>5.4</v>
      </c>
      <c r="J15" s="67">
        <f t="shared" ref="J15:J16" si="7">H15*AA15</f>
        <v>2160</v>
      </c>
      <c r="K15" s="67">
        <f t="shared" si="2"/>
        <v>7</v>
      </c>
      <c r="L15" s="77">
        <f t="shared" si="3"/>
        <v>5040</v>
      </c>
      <c r="M15" s="92"/>
      <c r="N15" s="134"/>
      <c r="O15" s="39"/>
      <c r="P15" s="121"/>
      <c r="Q15" s="129"/>
      <c r="R15" s="92"/>
      <c r="S15" s="96"/>
      <c r="T15" s="129"/>
      <c r="U15" s="92"/>
      <c r="V15" s="96">
        <v>10</v>
      </c>
      <c r="W15" s="121">
        <v>1.8</v>
      </c>
      <c r="X15" s="39">
        <f t="shared" si="4"/>
        <v>7200</v>
      </c>
      <c r="Y15" s="94">
        <f t="shared" si="5"/>
        <v>1.55E-2</v>
      </c>
      <c r="Z15" s="121">
        <v>15.5</v>
      </c>
      <c r="AA15" s="39">
        <v>720</v>
      </c>
      <c r="AB15" s="39">
        <f>IFERROR(VLOOKUP(B15,'Estadistica Madre CH 23-01'!A:C,3,0),+VLOOKUP(B15,'Estadistica Madre LK 23-01 '!A:C,3,0))</f>
        <v>2124</v>
      </c>
      <c r="AC15" s="123">
        <f>3*AB15/AA15</f>
        <v>8.85</v>
      </c>
      <c r="AD15" s="123"/>
      <c r="AE15" s="108" t="s">
        <v>53</v>
      </c>
    </row>
    <row r="16" spans="2:31" ht="21.2" customHeight="1" thickBot="1" x14ac:dyDescent="0.35">
      <c r="B16" s="78">
        <v>557</v>
      </c>
      <c r="C16" s="79" t="s">
        <v>27</v>
      </c>
      <c r="D16" s="329"/>
      <c r="E16" s="329"/>
      <c r="F16" s="329">
        <f>+I16/(V16*W16)</f>
        <v>0</v>
      </c>
      <c r="G16" s="112" t="s">
        <v>26</v>
      </c>
      <c r="H16" s="327">
        <v>0</v>
      </c>
      <c r="I16" s="117">
        <f t="shared" si="0"/>
        <v>0</v>
      </c>
      <c r="J16" s="117">
        <f t="shared" si="7"/>
        <v>0</v>
      </c>
      <c r="K16" s="117">
        <f t="shared" si="2"/>
        <v>1</v>
      </c>
      <c r="L16" s="328">
        <f t="shared" si="3"/>
        <v>720</v>
      </c>
      <c r="M16" s="92"/>
      <c r="N16" s="135"/>
      <c r="O16" s="119"/>
      <c r="P16" s="125"/>
      <c r="Q16" s="352"/>
      <c r="R16" s="92"/>
      <c r="S16" s="98"/>
      <c r="T16" s="352"/>
      <c r="U16" s="92"/>
      <c r="V16" s="98">
        <v>1</v>
      </c>
      <c r="W16" s="125">
        <v>1.8</v>
      </c>
      <c r="X16" s="119">
        <f t="shared" si="4"/>
        <v>720</v>
      </c>
      <c r="Y16" s="99">
        <f t="shared" si="5"/>
        <v>1.5900000000000001E-2</v>
      </c>
      <c r="Z16" s="125">
        <v>15.9</v>
      </c>
      <c r="AA16" s="119">
        <v>720</v>
      </c>
      <c r="AB16" s="119">
        <f>IFERROR(VLOOKUP(B16,'Estadistica Madre CH 23-01'!A:C,3,0),+VLOOKUP(B16,'Estadistica Madre LK 23-01 '!A:C,3,0))</f>
        <v>1400</v>
      </c>
      <c r="AC16" s="126">
        <f>3*AB16/AA16</f>
        <v>5.833333333333333</v>
      </c>
      <c r="AD16" s="126"/>
      <c r="AE16" s="109" t="s">
        <v>53</v>
      </c>
    </row>
    <row r="17" spans="1:31" ht="6" customHeight="1" x14ac:dyDescent="0.25"/>
    <row r="18" spans="1:31" ht="6" customHeight="1" x14ac:dyDescent="0.25"/>
    <row r="19" spans="1:31" ht="24" thickBot="1" x14ac:dyDescent="0.4">
      <c r="C19" s="166" t="s">
        <v>96</v>
      </c>
      <c r="D19" s="163"/>
      <c r="E19" s="163"/>
      <c r="F19" s="163"/>
    </row>
    <row r="20" spans="1:31" ht="117" thickBot="1" x14ac:dyDescent="0.35">
      <c r="C20" s="161" t="s">
        <v>86</v>
      </c>
      <c r="D20" s="162" t="s">
        <v>1</v>
      </c>
      <c r="E20" s="162"/>
      <c r="F20" s="160"/>
      <c r="V20" s="346" t="s">
        <v>73</v>
      </c>
      <c r="W20" s="325"/>
      <c r="X20" s="325"/>
      <c r="Y20" s="325"/>
      <c r="Z20" s="325"/>
      <c r="AA20" s="325"/>
      <c r="AB20" s="325"/>
      <c r="AC20" s="325"/>
      <c r="AD20" s="325"/>
      <c r="AE20" s="326"/>
    </row>
    <row r="21" spans="1:31" ht="71.650000000000006" customHeight="1" thickBot="1" x14ac:dyDescent="0.3">
      <c r="B21" s="15" t="s">
        <v>3</v>
      </c>
      <c r="C21" s="4" t="s">
        <v>5</v>
      </c>
      <c r="D21" s="4" t="s">
        <v>59</v>
      </c>
      <c r="E21" s="4" t="s">
        <v>440</v>
      </c>
      <c r="F21" s="4" t="s">
        <v>76</v>
      </c>
      <c r="G21" s="4" t="s">
        <v>4</v>
      </c>
      <c r="H21" s="4" t="s">
        <v>438</v>
      </c>
      <c r="I21" s="4" t="s">
        <v>6</v>
      </c>
      <c r="J21" s="4" t="s">
        <v>62</v>
      </c>
      <c r="K21" s="18" t="s">
        <v>68</v>
      </c>
      <c r="L21" s="18" t="s">
        <v>59</v>
      </c>
      <c r="M21" s="91"/>
      <c r="N21" s="80" t="s">
        <v>75</v>
      </c>
      <c r="O21" s="80" t="s">
        <v>69</v>
      </c>
      <c r="P21" s="4" t="s">
        <v>70</v>
      </c>
      <c r="Q21" s="5" t="s">
        <v>74</v>
      </c>
      <c r="R21" s="91"/>
      <c r="S21" s="80" t="s">
        <v>71</v>
      </c>
      <c r="T21" s="4" t="s">
        <v>72</v>
      </c>
      <c r="U21" s="91"/>
      <c r="V21" s="333" t="s">
        <v>63</v>
      </c>
      <c r="W21" s="334" t="s">
        <v>38</v>
      </c>
      <c r="X21" s="334" t="s">
        <v>58</v>
      </c>
      <c r="Y21" s="334" t="s">
        <v>10</v>
      </c>
      <c r="Z21" s="334" t="s">
        <v>65</v>
      </c>
      <c r="AA21" s="334" t="s">
        <v>11</v>
      </c>
      <c r="AB21" s="334" t="s">
        <v>14</v>
      </c>
      <c r="AC21" s="335" t="s">
        <v>453</v>
      </c>
      <c r="AD21" s="5" t="s">
        <v>80</v>
      </c>
      <c r="AE21" s="4" t="s">
        <v>46</v>
      </c>
    </row>
    <row r="22" spans="1:31" ht="18.75" x14ac:dyDescent="0.3">
      <c r="B22" s="70">
        <v>510</v>
      </c>
      <c r="C22" s="71" t="s">
        <v>31</v>
      </c>
      <c r="D22" s="74"/>
      <c r="E22" s="74"/>
      <c r="F22" s="74">
        <f>+I22/(V22*W22)</f>
        <v>0</v>
      </c>
      <c r="G22" s="111" t="s">
        <v>30</v>
      </c>
      <c r="H22" s="73">
        <v>0</v>
      </c>
      <c r="I22" s="72">
        <f t="shared" si="0"/>
        <v>0</v>
      </c>
      <c r="J22" s="72">
        <f t="shared" si="1"/>
        <v>0</v>
      </c>
      <c r="K22" s="72">
        <f t="shared" si="2"/>
        <v>4</v>
      </c>
      <c r="L22" s="75">
        <f t="shared" si="3"/>
        <v>5454.545454545455</v>
      </c>
      <c r="M22" s="92"/>
      <c r="N22" s="330"/>
      <c r="O22" s="87"/>
      <c r="P22" s="87"/>
      <c r="Q22" s="331"/>
      <c r="R22" s="92"/>
      <c r="S22" s="332"/>
      <c r="T22" s="331"/>
      <c r="U22" s="92"/>
      <c r="V22" s="398">
        <v>4</v>
      </c>
      <c r="W22" s="396">
        <v>30</v>
      </c>
      <c r="X22" s="87">
        <f t="shared" si="4"/>
        <v>5454.545454545455</v>
      </c>
      <c r="Y22" s="336">
        <f t="shared" si="5"/>
        <v>2.1999999999999999E-2</v>
      </c>
      <c r="Z22" s="337">
        <v>22</v>
      </c>
      <c r="AA22" s="87">
        <f t="shared" si="6"/>
        <v>1363.6363636363637</v>
      </c>
      <c r="AB22" s="87">
        <f>IFERROR(VLOOKUP(B22,'Estadistica Madre CH 23-01'!A:C,3,0),+VLOOKUP(B22,'Estadistica Madre LK 23-01 '!A:C,3,0))</f>
        <v>6456</v>
      </c>
      <c r="AC22" s="338">
        <f t="shared" ref="AC22:AC23" si="8">1.5*AB22/AA22</f>
        <v>7.1015999999999995</v>
      </c>
      <c r="AD22" s="338"/>
      <c r="AE22" s="107" t="s">
        <v>86</v>
      </c>
    </row>
    <row r="23" spans="1:31" ht="19.5" thickBot="1" x14ac:dyDescent="0.35">
      <c r="B23" s="76">
        <v>544</v>
      </c>
      <c r="C23" s="69" t="s">
        <v>474</v>
      </c>
      <c r="D23" s="68"/>
      <c r="E23" s="68"/>
      <c r="F23" s="68">
        <f>+I23/(V23*W23)</f>
        <v>0.57407407407407407</v>
      </c>
      <c r="G23" s="106" t="s">
        <v>702</v>
      </c>
      <c r="H23" s="66">
        <v>31</v>
      </c>
      <c r="I23" s="67">
        <f t="shared" si="0"/>
        <v>486.08</v>
      </c>
      <c r="J23" s="67">
        <f t="shared" si="1"/>
        <v>4960</v>
      </c>
      <c r="K23" s="67">
        <f t="shared" si="2"/>
        <v>23</v>
      </c>
      <c r="L23" s="77">
        <f t="shared" si="3"/>
        <v>3680</v>
      </c>
      <c r="M23" s="92"/>
      <c r="N23" s="134"/>
      <c r="O23" s="39"/>
      <c r="P23" s="39"/>
      <c r="Q23" s="128"/>
      <c r="R23" s="92"/>
      <c r="S23" s="96"/>
      <c r="T23" s="128"/>
      <c r="U23" s="92"/>
      <c r="V23" s="399">
        <v>54</v>
      </c>
      <c r="W23" s="397">
        <v>15.68</v>
      </c>
      <c r="X23" s="119">
        <f t="shared" si="4"/>
        <v>8640</v>
      </c>
      <c r="Y23" s="99">
        <f t="shared" si="5"/>
        <v>9.8000000000000004E-2</v>
      </c>
      <c r="Z23" s="125">
        <v>98</v>
      </c>
      <c r="AA23" s="119">
        <f t="shared" si="6"/>
        <v>160</v>
      </c>
      <c r="AB23" s="119">
        <f>IFERROR(VLOOKUP(B23,'Estadistica Madre CH 23-01'!A:C,3,0),+VLOOKUP(B23,'Estadistica Madre LK 23-01 '!A:C,3,0))</f>
        <v>7464</v>
      </c>
      <c r="AC23" s="126">
        <f t="shared" si="8"/>
        <v>69.974999999999994</v>
      </c>
      <c r="AD23" s="126"/>
      <c r="AE23" s="109"/>
    </row>
    <row r="24" spans="1:31" ht="21.2" customHeight="1" thickBot="1" x14ac:dyDescent="0.35">
      <c r="B24" s="78">
        <v>506</v>
      </c>
      <c r="C24" s="79" t="s">
        <v>29</v>
      </c>
      <c r="D24" s="329"/>
      <c r="E24" s="329"/>
      <c r="F24" s="329">
        <f>+I24/(V24*W24)</f>
        <v>0</v>
      </c>
      <c r="G24" s="112" t="s">
        <v>28</v>
      </c>
      <c r="H24" s="327">
        <v>0</v>
      </c>
      <c r="I24" s="117">
        <f>H24*W24</f>
        <v>0</v>
      </c>
      <c r="J24" s="117">
        <f>+I24/Y24</f>
        <v>0</v>
      </c>
      <c r="K24" s="117">
        <f>IF(V24-H24&lt;0,0,(V24-H24)*3/4)</f>
        <v>27</v>
      </c>
      <c r="L24" s="328">
        <f>+IF(X24-J24&lt;0,"",X24-J24)</f>
        <v>49202.733485193625</v>
      </c>
      <c r="M24" s="92"/>
      <c r="N24" s="135"/>
      <c r="O24" s="119"/>
      <c r="P24" s="119"/>
      <c r="Q24" s="130"/>
      <c r="R24" s="92"/>
      <c r="S24" s="98"/>
      <c r="T24" s="130"/>
      <c r="U24" s="92"/>
      <c r="V24" s="400">
        <v>36</v>
      </c>
      <c r="W24" s="397">
        <v>30</v>
      </c>
      <c r="X24" s="119">
        <f>+V24*AA24</f>
        <v>49202.733485193625</v>
      </c>
      <c r="Y24" s="99">
        <f>+Z24/1000</f>
        <v>2.1950000000000001E-2</v>
      </c>
      <c r="Z24" s="125">
        <v>21.95</v>
      </c>
      <c r="AA24" s="119">
        <f>+W24/Y24</f>
        <v>1366.7425968109339</v>
      </c>
      <c r="AB24" s="119">
        <f>IFERROR(VLOOKUP(B24,'Estadistica Madre CH 23-01'!A:C,3,0),+VLOOKUP(B24,'Estadistica Madre LK 23-01 '!A:C,3,0))</f>
        <v>18840</v>
      </c>
      <c r="AC24" s="127">
        <f>4.1*AB24/AA24</f>
        <v>56.516860000000001</v>
      </c>
      <c r="AD24" s="127"/>
      <c r="AE24" s="109" t="s">
        <v>47</v>
      </c>
    </row>
    <row r="25" spans="1:31" ht="6" customHeight="1" x14ac:dyDescent="0.25"/>
    <row r="26" spans="1:31" ht="24" thickBot="1" x14ac:dyDescent="0.4">
      <c r="C26" s="166" t="s">
        <v>96</v>
      </c>
      <c r="D26" s="163"/>
      <c r="E26" s="163"/>
      <c r="F26" s="163"/>
    </row>
    <row r="27" spans="1:31" ht="117" thickBot="1" x14ac:dyDescent="0.35">
      <c r="C27" s="216" t="s">
        <v>446</v>
      </c>
      <c r="D27" s="162" t="s">
        <v>1</v>
      </c>
      <c r="E27" s="319"/>
      <c r="F27" s="320"/>
      <c r="V27" s="346" t="s">
        <v>73</v>
      </c>
      <c r="W27" s="325"/>
      <c r="X27" s="325"/>
      <c r="Y27" s="325"/>
      <c r="Z27" s="325"/>
      <c r="AA27" s="325"/>
      <c r="AB27" s="325"/>
      <c r="AC27" s="325"/>
      <c r="AD27" s="325"/>
      <c r="AE27" s="326"/>
    </row>
    <row r="28" spans="1:31" ht="56.45" customHeight="1" thickBot="1" x14ac:dyDescent="0.3">
      <c r="A28" s="15" t="s">
        <v>458</v>
      </c>
      <c r="B28" s="15" t="s">
        <v>3</v>
      </c>
      <c r="C28" s="4" t="s">
        <v>5</v>
      </c>
      <c r="D28" s="4" t="s">
        <v>442</v>
      </c>
      <c r="E28" s="4" t="s">
        <v>443</v>
      </c>
      <c r="F28" s="4" t="s">
        <v>76</v>
      </c>
      <c r="G28" s="4" t="s">
        <v>4</v>
      </c>
      <c r="H28" s="4" t="s">
        <v>447</v>
      </c>
      <c r="I28" s="4" t="s">
        <v>6</v>
      </c>
      <c r="J28" s="18" t="s">
        <v>54</v>
      </c>
      <c r="K28" s="18" t="s">
        <v>443</v>
      </c>
      <c r="L28" s="153" t="s">
        <v>59</v>
      </c>
      <c r="M28" s="91"/>
      <c r="N28" s="133" t="s">
        <v>75</v>
      </c>
      <c r="O28" s="133" t="s">
        <v>69</v>
      </c>
      <c r="P28" s="6" t="s">
        <v>70</v>
      </c>
      <c r="Q28" s="138" t="s">
        <v>74</v>
      </c>
      <c r="R28" s="91"/>
      <c r="S28" s="133" t="s">
        <v>71</v>
      </c>
      <c r="T28" s="6" t="s">
        <v>72</v>
      </c>
      <c r="U28" s="91"/>
      <c r="V28" s="207" t="s">
        <v>448</v>
      </c>
      <c r="W28" s="154" t="s">
        <v>450</v>
      </c>
      <c r="X28" s="154" t="s">
        <v>449</v>
      </c>
      <c r="Y28" s="154" t="s">
        <v>451</v>
      </c>
      <c r="Z28" s="154" t="s">
        <v>452</v>
      </c>
      <c r="AA28" s="154" t="s">
        <v>14</v>
      </c>
      <c r="AB28" s="154" t="s">
        <v>455</v>
      </c>
      <c r="AC28" s="154" t="s">
        <v>456</v>
      </c>
      <c r="AD28" s="138"/>
      <c r="AE28" s="6" t="s">
        <v>454</v>
      </c>
    </row>
    <row r="29" spans="1:31" ht="19.5" thickBot="1" x14ac:dyDescent="0.35">
      <c r="A29" s="230">
        <v>1300500</v>
      </c>
      <c r="B29" s="231" t="s">
        <v>457</v>
      </c>
      <c r="C29" s="232" t="s">
        <v>445</v>
      </c>
      <c r="D29" s="233"/>
      <c r="E29" s="233"/>
      <c r="F29" s="233">
        <f>+I29/(X29*Z29)</f>
        <v>8.0417300586828926</v>
      </c>
      <c r="G29" s="231" t="s">
        <v>444</v>
      </c>
      <c r="H29" s="234">
        <v>5</v>
      </c>
      <c r="I29" s="235">
        <f>+H29*X29</f>
        <v>100</v>
      </c>
      <c r="J29" s="235">
        <f>IF(AB29-I29&lt;0,0,AB29-I29)</f>
        <v>0</v>
      </c>
      <c r="K29" s="236">
        <f>IF(AC29-H29&lt;0,0,AC29-H29)</f>
        <v>0</v>
      </c>
      <c r="M29" s="92"/>
      <c r="N29" s="244"/>
      <c r="O29" s="240"/>
      <c r="P29" s="240"/>
      <c r="Q29" s="243"/>
      <c r="R29" s="92"/>
      <c r="S29" s="237"/>
      <c r="T29" s="243"/>
      <c r="U29" s="92"/>
      <c r="V29" s="237"/>
      <c r="W29" s="235">
        <f>+V29*X29</f>
        <v>0</v>
      </c>
      <c r="X29" s="235">
        <v>20</v>
      </c>
      <c r="Y29" s="238">
        <f>+SUMIFS('Consumo '!F:F,'Consumo '!A:A,G29)</f>
        <v>12.435135135135138</v>
      </c>
      <c r="Z29" s="239">
        <f>+Y29/X29</f>
        <v>0.6217567567567569</v>
      </c>
      <c r="AA29" s="240">
        <f>+SUMIFS('Consumo '!E:E,'Consumo '!A:A,'Garage 11'!G29)</f>
        <v>9224</v>
      </c>
      <c r="AB29" s="240">
        <f>+Y29*1.5</f>
        <v>18.652702702702705</v>
      </c>
      <c r="AC29" s="241">
        <f>+Z29*1.5</f>
        <v>0.93263513513513541</v>
      </c>
      <c r="AD29" s="241"/>
      <c r="AE29" s="242" t="s">
        <v>446</v>
      </c>
    </row>
    <row r="30" spans="1:31" ht="23.25" x14ac:dyDescent="0.35">
      <c r="C30" s="215" t="s">
        <v>98</v>
      </c>
    </row>
    <row r="31" spans="1:31" ht="18.75" x14ac:dyDescent="0.3">
      <c r="B31" s="106" t="s">
        <v>20</v>
      </c>
      <c r="C31" s="69" t="s">
        <v>21</v>
      </c>
      <c r="D31" s="68"/>
      <c r="E31" s="68"/>
      <c r="F31" s="68">
        <f>+I31/(V31*W31)</f>
        <v>0</v>
      </c>
      <c r="G31" s="68"/>
      <c r="H31" s="66"/>
      <c r="I31" s="67">
        <f>H31*W31</f>
        <v>0</v>
      </c>
      <c r="J31" s="67">
        <f>+I31/Y31</f>
        <v>0</v>
      </c>
      <c r="K31" s="67">
        <f>IF(V31-H31&lt;0,0,V31-H31)</f>
        <v>5</v>
      </c>
      <c r="L31" s="67">
        <f>+IF(X31-J31&lt;0,"",X31-J31)</f>
        <v>6833.7129840546695</v>
      </c>
      <c r="M31" s="92"/>
      <c r="N31" s="134"/>
      <c r="O31" s="39"/>
      <c r="P31" s="39"/>
      <c r="Q31" s="128"/>
      <c r="R31" s="92"/>
      <c r="S31" s="96"/>
      <c r="T31" s="128"/>
      <c r="U31" s="92"/>
      <c r="V31" s="96">
        <v>5</v>
      </c>
      <c r="W31" s="39">
        <v>30</v>
      </c>
      <c r="X31" s="39">
        <f>+V31*AA31</f>
        <v>6833.7129840546695</v>
      </c>
      <c r="Y31" s="94">
        <f>+Z31/1000</f>
        <v>2.1950000000000001E-2</v>
      </c>
      <c r="Z31" s="121">
        <v>21.95</v>
      </c>
      <c r="AA31" s="39">
        <f>+W31/Y31</f>
        <v>1366.7425968109339</v>
      </c>
      <c r="AB31" s="39">
        <f>IFERROR(VLOOKUP(706,'Estadistica Madre CH 23-01'!A:C,3,0),+VLOOKUP(B31,'Estadistica Madre LK 23-01 '!A:C,3,0))</f>
        <v>2400</v>
      </c>
      <c r="AC31" s="122">
        <f>1.5*AB31/AA31</f>
        <v>2.6339999999999999</v>
      </c>
      <c r="AD31" s="122"/>
      <c r="AE31" s="108" t="s">
        <v>47</v>
      </c>
    </row>
  </sheetData>
  <printOptions horizontalCentered="1" verticalCentered="1"/>
  <pageMargins left="0.23622047244094491" right="0.23622047244094491" top="0.15748031496062992" bottom="7.874015748031496E-2" header="0" footer="0"/>
  <pageSetup paperSize="9" scale="12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121</vt:i4>
      </vt:variant>
      <vt:variant>
        <vt:lpstr>Rangos con nombre</vt:lpstr>
      </vt:variant>
      <vt:variant>
        <vt:i4>2</vt:i4>
      </vt:variant>
    </vt:vector>
  </HeadingPairs>
  <TitlesOfParts>
    <vt:vector size="123" baseType="lpstr">
      <vt:lpstr>Garage Vacio 2026</vt:lpstr>
      <vt:lpstr>Garage Vacio 20-03</vt:lpstr>
      <vt:lpstr>Garage Vacio 13-03</vt:lpstr>
      <vt:lpstr>Garage Vacio 06-03</vt:lpstr>
      <vt:lpstr>Garage Vacio 27-02</vt:lpstr>
      <vt:lpstr>Garage Vacio 20-02</vt:lpstr>
      <vt:lpstr>Garage 06-02</vt:lpstr>
      <vt:lpstr>Garage Vacio 27-01</vt:lpstr>
      <vt:lpstr>Garage 22-01-26</vt:lpstr>
      <vt:lpstr>Garage 9-1</vt:lpstr>
      <vt:lpstr>Garage 02-01</vt:lpstr>
      <vt:lpstr>Consumo </vt:lpstr>
      <vt:lpstr>Estadistica Madre LK 23-01 </vt:lpstr>
      <vt:lpstr>Estadistica Madre CH 23-01</vt:lpstr>
      <vt:lpstr>Garage 05-12-25</vt:lpstr>
      <vt:lpstr>Garage 28-11</vt:lpstr>
      <vt:lpstr>Garage Vacio </vt:lpstr>
      <vt:lpstr>Garage 20-11</vt:lpstr>
      <vt:lpstr>Garage 16-10-25</vt:lpstr>
      <vt:lpstr>Garage 09-10</vt:lpstr>
      <vt:lpstr>23-10-25</vt:lpstr>
      <vt:lpstr>Garage 30-10</vt:lpstr>
      <vt:lpstr>Garage 06-11</vt:lpstr>
      <vt:lpstr>Garage Vacio</vt:lpstr>
      <vt:lpstr>Garage 02-10</vt:lpstr>
      <vt:lpstr>Garage 25-9</vt:lpstr>
      <vt:lpstr>Garage 11 (2)</vt:lpstr>
      <vt:lpstr>Garage 10-07-25</vt:lpstr>
      <vt:lpstr>Garage 18-06-25</vt:lpstr>
      <vt:lpstr>Garage 29-05</vt:lpstr>
      <vt:lpstr>Garage 23-05</vt:lpstr>
      <vt:lpstr>Garage 15-05</vt:lpstr>
      <vt:lpstr>Garage 28-04</vt:lpstr>
      <vt:lpstr>Garage 14-04</vt:lpstr>
      <vt:lpstr>Garage 10-04</vt:lpstr>
      <vt:lpstr>Garage 31-03</vt:lpstr>
      <vt:lpstr>Garage 25-03</vt:lpstr>
      <vt:lpstr>Garage 17-03</vt:lpstr>
      <vt:lpstr>Garage 10-03</vt:lpstr>
      <vt:lpstr>Garage 27-02</vt:lpstr>
      <vt:lpstr>Garage  17-02</vt:lpstr>
      <vt:lpstr>Garage 10-02</vt:lpstr>
      <vt:lpstr>Garage 03-02</vt:lpstr>
      <vt:lpstr>Garage 27-01</vt:lpstr>
      <vt:lpstr>Garage 22-01</vt:lpstr>
      <vt:lpstr>Garage 13-01</vt:lpstr>
      <vt:lpstr>Garage 06-01</vt:lpstr>
      <vt:lpstr>Garage 11-12</vt:lpstr>
      <vt:lpstr>Garage 4-12</vt:lpstr>
      <vt:lpstr>Garage 27-11</vt:lpstr>
      <vt:lpstr>Garage 19-11</vt:lpstr>
      <vt:lpstr>Garage 13-11-24</vt:lpstr>
      <vt:lpstr>Garage 6-11</vt:lpstr>
      <vt:lpstr>Garage 23-10</vt:lpstr>
      <vt:lpstr>Garage 16-10</vt:lpstr>
      <vt:lpstr>Garage 9-10</vt:lpstr>
      <vt:lpstr>Garage 2-10</vt:lpstr>
      <vt:lpstr>Garage 26-9</vt:lpstr>
      <vt:lpstr>Garage Vacio 19-9</vt:lpstr>
      <vt:lpstr>Garage 11-9</vt:lpstr>
      <vt:lpstr>Garage 4-9</vt:lpstr>
      <vt:lpstr>Garage 28-8 (2)</vt:lpstr>
      <vt:lpstr>Garage 28-8</vt:lpstr>
      <vt:lpstr>Garage Pedido 23-8 </vt:lpstr>
      <vt:lpstr>Garage 23-8</vt:lpstr>
      <vt:lpstr>Garage 13-08</vt:lpstr>
      <vt:lpstr>Garage Pedido 07-08</vt:lpstr>
      <vt:lpstr>Garage Vacio 07-08</vt:lpstr>
      <vt:lpstr>Garage Pedido 31-07</vt:lpstr>
      <vt:lpstr>Garage 31-07</vt:lpstr>
      <vt:lpstr>Garage Pedido 24-7</vt:lpstr>
      <vt:lpstr>Garage 24-7</vt:lpstr>
      <vt:lpstr>Garage Pedido 17-7</vt:lpstr>
      <vt:lpstr>Garage 17-7</vt:lpstr>
      <vt:lpstr>Garage Pedido 11-7</vt:lpstr>
      <vt:lpstr>Garage 11-7</vt:lpstr>
      <vt:lpstr>Garage 03-07</vt:lpstr>
      <vt:lpstr>Garage 26-6</vt:lpstr>
      <vt:lpstr>Garage 14-06</vt:lpstr>
      <vt:lpstr>Garage 07-06</vt:lpstr>
      <vt:lpstr>Garage 31-05</vt:lpstr>
      <vt:lpstr>Garage 24-05</vt:lpstr>
      <vt:lpstr>Garage 17-05</vt:lpstr>
      <vt:lpstr>Garage Relev 13-05</vt:lpstr>
      <vt:lpstr>Garage Relev 03-05</vt:lpstr>
      <vt:lpstr>Garage 19-04</vt:lpstr>
      <vt:lpstr>Garage 12-04</vt:lpstr>
      <vt:lpstr>Garage 05-04</vt:lpstr>
      <vt:lpstr>Garage 21-03</vt:lpstr>
      <vt:lpstr>Garage 14-03</vt:lpstr>
      <vt:lpstr>Garage 7-3</vt:lpstr>
      <vt:lpstr>Garage 29-02</vt:lpstr>
      <vt:lpstr>Garage 22-02</vt:lpstr>
      <vt:lpstr>Garage 15-02</vt:lpstr>
      <vt:lpstr>Garage 09-02</vt:lpstr>
      <vt:lpstr>Garage 01-02</vt:lpstr>
      <vt:lpstr>Garage Vacio 25-01</vt:lpstr>
      <vt:lpstr>Garage Vacio 18-01</vt:lpstr>
      <vt:lpstr>Garage 11-01</vt:lpstr>
      <vt:lpstr>Garage 21-12</vt:lpstr>
      <vt:lpstr>Garage 14-12</vt:lpstr>
      <vt:lpstr>Garage 7-12</vt:lpstr>
      <vt:lpstr>Garage 23-11</vt:lpstr>
      <vt:lpstr>Garage 16-11</vt:lpstr>
      <vt:lpstr>Garage 10-11</vt:lpstr>
      <vt:lpstr>Garage 2-11</vt:lpstr>
      <vt:lpstr>Garage 26-10</vt:lpstr>
      <vt:lpstr>Garage 19-10</vt:lpstr>
      <vt:lpstr>Garage 12-10</vt:lpstr>
      <vt:lpstr>Garage 5-10</vt:lpstr>
      <vt:lpstr>Garage 28-9</vt:lpstr>
      <vt:lpstr>Garage 21-9</vt:lpstr>
      <vt:lpstr>Garage 15-06</vt:lpstr>
      <vt:lpstr>Garage 05-07</vt:lpstr>
      <vt:lpstr>Garage 17-07</vt:lpstr>
      <vt:lpstr>Garage 26-07</vt:lpstr>
      <vt:lpstr>Garage 16-08</vt:lpstr>
      <vt:lpstr>Garage 07-09</vt:lpstr>
      <vt:lpstr>Garage 14-8</vt:lpstr>
      <vt:lpstr>Garage Sep</vt:lpstr>
      <vt:lpstr>Garage 11</vt:lpstr>
      <vt:lpstr>'Garage Pedido 07-08'!_FilterDatabase</vt:lpstr>
      <vt:lpstr>'Garage Pedido 31-07'!_FilterDatabase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Logistica2</dc:creator>
  <cp:lastModifiedBy>Usuario</cp:lastModifiedBy>
  <cp:lastPrinted>2026-03-20T14:59:06Z</cp:lastPrinted>
  <dcterms:created xsi:type="dcterms:W3CDTF">2023-06-15T13:58:39Z</dcterms:created>
  <dcterms:modified xsi:type="dcterms:W3CDTF">2026-03-20T15:03:43Z</dcterms:modified>
</cp:coreProperties>
</file>