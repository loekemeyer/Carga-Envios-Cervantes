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LOEKE-SVR\Documentos Compartidos\AA  LOGISTICA\A4 Relevamiento INSUMOS Stock y OP\A1 Conteo INSUMOS y OC (Compra)\A6 Bombillas\A2 Conteo Bombillas VIGENTE\"/>
    </mc:Choice>
  </mc:AlternateContent>
  <bookViews>
    <workbookView xWindow="-120" yWindow="-120" windowWidth="29040" windowHeight="15840" firstSheet="11" activeTab="17"/>
  </bookViews>
  <sheets>
    <sheet name="O.C. Rueda" sheetId="54" r:id="rId1"/>
    <sheet name="O.C. Roosevelt" sheetId="53" r:id="rId2"/>
    <sheet name="O.C. Resortes Charcas" sheetId="52" r:id="rId3"/>
    <sheet name="O.C. Colodis Kufo" sheetId="51" r:id="rId4"/>
    <sheet name="O.C. Melinox" sheetId="50" r:id="rId5"/>
    <sheet name="O.C. Rueda y Cia" sheetId="49" r:id="rId6"/>
    <sheet name="O.C. Alambres Rumbo" sheetId="47" r:id="rId7"/>
    <sheet name="O.C. Casa Landau " sheetId="48" r:id="rId8"/>
    <sheet name="O.C. Bella Vista" sheetId="46" r:id="rId9"/>
    <sheet name="O.C. Giser" sheetId="45" r:id="rId10"/>
    <sheet name="Conteo 18-02-26" sheetId="25" r:id="rId11"/>
    <sheet name="Stock Prov. Serv." sheetId="29" r:id="rId12"/>
    <sheet name="Stock Taller" sheetId="30" r:id="rId13"/>
    <sheet name="Stock CD" sheetId="31" r:id="rId14"/>
    <sheet name="Stock ISIS LK" sheetId="32" r:id="rId15"/>
    <sheet name="Stock ISIS CH" sheetId="33" r:id="rId16"/>
    <sheet name="Consumo" sheetId="4" r:id="rId17"/>
    <sheet name="Est Madre LK 10-25" sheetId="16" r:id="rId18"/>
    <sheet name="Est Madre CH 10-25" sheetId="17" r:id="rId19"/>
  </sheets>
  <definedNames>
    <definedName name="_360EN">#REF!</definedName>
    <definedName name="_361EN">#REF!</definedName>
    <definedName name="_388EN">#REF!</definedName>
    <definedName name="_503EN">#REF!</definedName>
    <definedName name="_525EN">#REF!</definedName>
    <definedName name="_529EN">#REF!</definedName>
    <definedName name="_544EN">#REF!</definedName>
    <definedName name="_575D">#REF!</definedName>
    <definedName name="_577D">#REF!</definedName>
    <definedName name="_585EN">#REF!</definedName>
    <definedName name="_811EN">#REF!</definedName>
    <definedName name="_812EN">#REF!</definedName>
    <definedName name="_813EN">#REF!</definedName>
    <definedName name="_814EN">#REF!</definedName>
    <definedName name="_816EN">#REF!</definedName>
    <definedName name="_817EN">#REF!</definedName>
    <definedName name="_819EN">#REF!</definedName>
    <definedName name="_xlnm._FilterDatabase" localSheetId="16" hidden="1">Consumo!$E$1:$E$77</definedName>
    <definedName name="_xlnm._FilterDatabase" localSheetId="10" hidden="1">'Conteo 18-02-26'!$B$10:$C$37</definedName>
    <definedName name="_xlnm._FilterDatabase" localSheetId="18" hidden="1">'Est Madre CH 10-25'!$A$5:$C$119</definedName>
    <definedName name="_xlnm._FilterDatabase" localSheetId="17" hidden="1">'Est Madre LK 10-25'!$A$5:$C$211</definedName>
    <definedName name="_xlnm._FilterDatabase" localSheetId="13" hidden="1">'Stock CD'!$A$3:$XEX$41</definedName>
    <definedName name="_xlnm._FilterDatabase" localSheetId="11" hidden="1">'Stock Prov. Serv.'!$A$2:$F$19</definedName>
    <definedName name="_xlnm._FilterDatabase" localSheetId="12" hidden="1">'Stock Taller'!$B$2:$J$21</definedName>
    <definedName name="ALCOHOL">#REF!</definedName>
    <definedName name="ALQ_LARRAZABAL">#REF!</definedName>
    <definedName name="ANHILINA">#REF!</definedName>
    <definedName name="_xlnm.Print_Area">#REF!</definedName>
    <definedName name="Atriles10x15">#REF!</definedName>
    <definedName name="Atriles13x18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CAJAS">#REF!</definedName>
    <definedName name="CARTON">#REF!</definedName>
    <definedName name="CHAPA">#REF!</definedName>
    <definedName name="CHAPADUR">#REF!</definedName>
    <definedName name="COLA">#REF!</definedName>
    <definedName name="CONTADOR1">#REF!</definedName>
    <definedName name="CORCHO">#REF!</definedName>
    <definedName name="CORTE_LASER">#REF!</definedName>
    <definedName name="CRAYOVAC">#REF!</definedName>
    <definedName name="DIOXIDO">#REF!</definedName>
    <definedName name="DOLAR">#REF!</definedName>
    <definedName name="Dólar">#REF!</definedName>
    <definedName name="Estimado">#REF!</definedName>
    <definedName name="Gananc._Chef">#REF!</definedName>
    <definedName name="GOMALACA">#REF!</definedName>
    <definedName name="Griego10x15">#REF!</definedName>
    <definedName name="Griego13x18">#REF!</definedName>
    <definedName name="Griego15x21">#REF!</definedName>
    <definedName name="HORA">#REF!</definedName>
    <definedName name="IB_3">#REF!</definedName>
    <definedName name="IG_35">#REF!</definedName>
    <definedName name="LA_015">#REF!</definedName>
    <definedName name="LA_052">#REF!</definedName>
    <definedName name="LA_053">#REF!</definedName>
    <definedName name="LA_070">#REF!</definedName>
    <definedName name="LA_071">#REF!</definedName>
    <definedName name="LA_072">#REF!</definedName>
    <definedName name="LA_113">#REF!</definedName>
    <definedName name="LA_114">#REF!</definedName>
    <definedName name="LA_115">#REF!</definedName>
    <definedName name="LA_117">#REF!</definedName>
    <definedName name="LA_119">#REF!</definedName>
    <definedName name="LA_195">#REF!</definedName>
    <definedName name="LA_196">#REF!</definedName>
    <definedName name="LA_197">#REF!</definedName>
    <definedName name="LA_198">#REF!</definedName>
    <definedName name="LA_199">#REF!</definedName>
    <definedName name="LA_211">#REF!</definedName>
    <definedName name="LA_219">#REF!</definedName>
    <definedName name="LA_223">#REF!</definedName>
    <definedName name="LA_224">#REF!</definedName>
    <definedName name="LA_238">#REF!</definedName>
    <definedName name="LA_242">#REF!</definedName>
    <definedName name="LA_244">#REF!</definedName>
    <definedName name="LA_264">#REF!</definedName>
    <definedName name="LA_265">#REF!</definedName>
    <definedName name="LA_267">#REF!</definedName>
    <definedName name="LA_270">#REF!</definedName>
    <definedName name="LA_276">#REF!</definedName>
    <definedName name="LA_278">#REF!</definedName>
    <definedName name="LA_279">#REF!</definedName>
    <definedName name="LA_285">#REF!</definedName>
    <definedName name="LA_287">#REF!</definedName>
    <definedName name="LA_291">#REF!</definedName>
    <definedName name="LA_293">#REF!</definedName>
    <definedName name="LA_294">#REF!</definedName>
    <definedName name="LA_302">#REF!</definedName>
    <definedName name="LA_310">#REF!</definedName>
    <definedName name="LA_313">#REF!</definedName>
    <definedName name="LA_316">#REF!</definedName>
    <definedName name="LA_317">#REF!</definedName>
    <definedName name="LA_318">#REF!</definedName>
    <definedName name="LA_335">#REF!</definedName>
    <definedName name="LA_336">#REF!</definedName>
    <definedName name="LA_350">#REF!</definedName>
    <definedName name="LA_351">#REF!</definedName>
    <definedName name="LA_352">#REF!</definedName>
    <definedName name="LA_354">#REF!</definedName>
    <definedName name="LA_355">#REF!</definedName>
    <definedName name="LA_356">#REF!</definedName>
    <definedName name="LA_542">#REF!</definedName>
    <definedName name="LA_546">#REF!</definedName>
    <definedName name="LA_548">#REF!</definedName>
    <definedName name="LA_564">#REF!</definedName>
    <definedName name="LA_570">#REF!</definedName>
    <definedName name="LA_571">#REF!</definedName>
    <definedName name="LA_690">#REF!</definedName>
    <definedName name="LA_691">#REF!</definedName>
    <definedName name="LA_692">#REF!</definedName>
    <definedName name="LA_702">#REF!</definedName>
    <definedName name="LA_710">#REF!</definedName>
    <definedName name="LA_711">#REF!</definedName>
    <definedName name="LA_712">#REF!</definedName>
    <definedName name="LA_741">#REF!</definedName>
    <definedName name="LA_742">#REF!</definedName>
    <definedName name="LA_743">#REF!</definedName>
    <definedName name="LA_744">#REF!</definedName>
    <definedName name="LA_776">#REF!</definedName>
    <definedName name="LA_777">#REF!</definedName>
    <definedName name="LA_780">#REF!</definedName>
    <definedName name="LA_781">#REF!</definedName>
    <definedName name="LA_782">#REF!</definedName>
    <definedName name="LA_790">#REF!</definedName>
    <definedName name="LA_791">#REF!</definedName>
    <definedName name="LA_792">#REF!</definedName>
    <definedName name="LA_814">#REF!</definedName>
    <definedName name="LA_815">#REF!</definedName>
    <definedName name="LA_816">#REF!</definedName>
    <definedName name="LA_834">#REF!</definedName>
    <definedName name="LA_835">#REF!</definedName>
    <definedName name="LA_900">#REF!</definedName>
    <definedName name="LA_901">#REF!</definedName>
    <definedName name="LA_902">#REF!</definedName>
    <definedName name="LAMINAS">#REF!</definedName>
    <definedName name="LARRAZABAL">#REF!</definedName>
    <definedName name="lllll">#REF!</definedName>
    <definedName name="M03Blanco">#REF!</definedName>
    <definedName name="M03BlancoP">#REF!</definedName>
    <definedName name="M03Negro">#REF!</definedName>
    <definedName name="M237SOD_318">#REF!</definedName>
    <definedName name="MADERA">#REF!</definedName>
    <definedName name="MEDICINA">#REF!</definedName>
    <definedName name="MOLD_FORRADA">#REF!</definedName>
    <definedName name="Nacionaliz.">#REF!</definedName>
    <definedName name="NACIONALIZACION">#REF!</definedName>
    <definedName name="PANFLETOS">#REF!</definedName>
    <definedName name="PITON">#REF!</definedName>
    <definedName name="SEGUNDO">#REF!</definedName>
    <definedName name="SUBLIMACION">#REF!</definedName>
    <definedName name="SUELDO_ESNAOLA">#REF!</definedName>
    <definedName name="TIRADOR">#REF!</definedName>
    <definedName name="_xlnm.Print_Titles" localSheetId="13">'Stock CD'!$3:$3</definedName>
    <definedName name="VIDRIO">#REF!</definedName>
    <definedName name="wewerrwr">#REF!</definedName>
    <definedName name="WM_057">#REF!</definedName>
    <definedName name="WM_114">#REF!</definedName>
    <definedName name="WM_115">#REF!</definedName>
    <definedName name="WM_292">#REF!</definedName>
    <definedName name="WM_301">#REF!</definedName>
    <definedName name="WM_305">#REF!</definedName>
    <definedName name="WM_546">#REF!</definedName>
    <definedName name="WM_547">#REF!</definedName>
    <definedName name="WM_793">#REF!</definedName>
    <definedName name="WM_794">#REF!</definedName>
    <definedName name="WM_814">#REF!</definedName>
    <definedName name="WM_815">#REF!</definedName>
    <definedName name="WM_816">#REF!</definedName>
    <definedName name="WM_824">#REF!</definedName>
    <definedName name="WM_825">#REF!</definedName>
    <definedName name="WM_826">#REF!</definedName>
    <definedName name="WM_827">#REF!</definedName>
    <definedName name="WM_900">#REF!</definedName>
    <definedName name="WM_901">#REF!</definedName>
    <definedName name="WM_902">#REF!</definedName>
    <definedName name="WM_903">#REF!</definedName>
    <definedName name="WM_904">#REF!</definedName>
    <definedName name="WM_906">#REF!</definedName>
    <definedName name="WM_907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54" l="1" a="1"/>
  <c r="D42" i="54" s="1"/>
  <c r="C42" i="54" a="1"/>
  <c r="C42" i="54" s="1"/>
  <c r="A42" i="54" a="1"/>
  <c r="A42" i="54" s="1"/>
  <c r="D40" i="54" a="1"/>
  <c r="D40" i="54" s="1"/>
  <c r="C40" i="54" a="1"/>
  <c r="C40" i="54" s="1"/>
  <c r="A40" i="54" a="1"/>
  <c r="A40" i="54" s="1"/>
  <c r="D38" i="54" a="1"/>
  <c r="D38" i="54" s="1"/>
  <c r="C38" i="54" a="1"/>
  <c r="C38" i="54" s="1"/>
  <c r="A38" i="54" a="1"/>
  <c r="A38" i="54" s="1"/>
  <c r="D36" i="54" a="1"/>
  <c r="D36" i="54" s="1"/>
  <c r="C36" i="54" a="1"/>
  <c r="C36" i="54" s="1"/>
  <c r="A36" i="54" a="1"/>
  <c r="A36" i="54" s="1"/>
  <c r="D34" i="54" a="1"/>
  <c r="D34" i="54" s="1"/>
  <c r="C34" i="54" a="1"/>
  <c r="C34" i="54" s="1"/>
  <c r="A34" i="54" a="1"/>
  <c r="A34" i="54" s="1"/>
  <c r="D32" i="54" a="1"/>
  <c r="D32" i="54" s="1"/>
  <c r="C32" i="54" a="1"/>
  <c r="C32" i="54" s="1"/>
  <c r="A32" i="54" a="1"/>
  <c r="A32" i="54" s="1"/>
  <c r="D30" i="54" a="1"/>
  <c r="D30" i="54" s="1"/>
  <c r="C30" i="54" a="1"/>
  <c r="C30" i="54" s="1"/>
  <c r="A30" i="54" a="1"/>
  <c r="A30" i="54" s="1"/>
  <c r="D28" i="54" a="1"/>
  <c r="D28" i="54" s="1"/>
  <c r="C28" i="54" a="1"/>
  <c r="C28" i="54" s="1"/>
  <c r="A28" i="54" a="1"/>
  <c r="A28" i="54" s="1"/>
  <c r="D26" i="54" a="1"/>
  <c r="D26" i="54" s="1"/>
  <c r="C26" i="54" a="1"/>
  <c r="C26" i="54" s="1"/>
  <c r="A26" i="54" a="1"/>
  <c r="A26" i="54" s="1"/>
  <c r="D24" i="54" a="1"/>
  <c r="D24" i="54" s="1"/>
  <c r="C24" i="54" a="1"/>
  <c r="C24" i="54" s="1"/>
  <c r="A24" i="54" a="1"/>
  <c r="A24" i="54" s="1"/>
  <c r="D22" i="54" a="1"/>
  <c r="D22" i="54" s="1"/>
  <c r="C22" i="54" a="1"/>
  <c r="C22" i="54" s="1"/>
  <c r="A22" i="54" a="1"/>
  <c r="A22" i="54" s="1"/>
  <c r="D20" i="54" a="1"/>
  <c r="D20" i="54" s="1"/>
  <c r="C20" i="54" a="1"/>
  <c r="C20" i="54" s="1"/>
  <c r="A20" i="54" a="1"/>
  <c r="A20" i="54" s="1"/>
  <c r="D18" i="54" a="1"/>
  <c r="D18" i="54" s="1"/>
  <c r="C18" i="54" a="1"/>
  <c r="C18" i="54" s="1"/>
  <c r="A18" i="54" a="1"/>
  <c r="A18" i="54" s="1"/>
  <c r="D16" i="54" a="1"/>
  <c r="D16" i="54" s="1"/>
  <c r="C16" i="54" a="1"/>
  <c r="C16" i="54" s="1"/>
  <c r="A16" i="54" a="1"/>
  <c r="A16" i="54" s="1"/>
  <c r="D14" i="54" a="1"/>
  <c r="D14" i="54" s="1"/>
  <c r="E14" i="54" s="1"/>
  <c r="C14" i="54" a="1"/>
  <c r="C14" i="54" s="1"/>
  <c r="A14" i="54" a="1"/>
  <c r="A14" i="54" s="1"/>
  <c r="B16" i="54"/>
  <c r="B18" i="54" s="1"/>
  <c r="I6" i="54"/>
  <c r="D42" i="53" a="1"/>
  <c r="D42" i="53" s="1"/>
  <c r="C42" i="53" a="1"/>
  <c r="C42" i="53" s="1"/>
  <c r="A42" i="53" a="1"/>
  <c r="A42" i="53" s="1"/>
  <c r="D40" i="53" a="1"/>
  <c r="D40" i="53" s="1"/>
  <c r="C40" i="53" a="1"/>
  <c r="C40" i="53" s="1"/>
  <c r="A40" i="53" a="1"/>
  <c r="A40" i="53" s="1"/>
  <c r="D38" i="53" a="1"/>
  <c r="D38" i="53" s="1"/>
  <c r="C38" i="53" a="1"/>
  <c r="C38" i="53" s="1"/>
  <c r="A38" i="53" a="1"/>
  <c r="A38" i="53" s="1"/>
  <c r="D36" i="53" a="1"/>
  <c r="D36" i="53" s="1"/>
  <c r="C36" i="53" a="1"/>
  <c r="C36" i="53" s="1"/>
  <c r="A36" i="53" a="1"/>
  <c r="A36" i="53" s="1"/>
  <c r="D34" i="53" a="1"/>
  <c r="D34" i="53" s="1"/>
  <c r="C34" i="53" a="1"/>
  <c r="C34" i="53" s="1"/>
  <c r="A34" i="53" a="1"/>
  <c r="A34" i="53" s="1"/>
  <c r="D32" i="53" a="1"/>
  <c r="D32" i="53" s="1"/>
  <c r="C32" i="53" a="1"/>
  <c r="C32" i="53" s="1"/>
  <c r="A32" i="53" a="1"/>
  <c r="A32" i="53" s="1"/>
  <c r="D30" i="53" a="1"/>
  <c r="D30" i="53" s="1"/>
  <c r="C30" i="53" a="1"/>
  <c r="C30" i="53" s="1"/>
  <c r="A30" i="53" a="1"/>
  <c r="A30" i="53" s="1"/>
  <c r="D28" i="53" a="1"/>
  <c r="D28" i="53" s="1"/>
  <c r="C28" i="53" a="1"/>
  <c r="C28" i="53" s="1"/>
  <c r="A28" i="53" a="1"/>
  <c r="A28" i="53" s="1"/>
  <c r="D26" i="53" a="1"/>
  <c r="D26" i="53" s="1"/>
  <c r="C26" i="53" a="1"/>
  <c r="C26" i="53" s="1"/>
  <c r="A26" i="53" a="1"/>
  <c r="A26" i="53" s="1"/>
  <c r="D24" i="53" a="1"/>
  <c r="D24" i="53" s="1"/>
  <c r="C24" i="53" a="1"/>
  <c r="C24" i="53" s="1"/>
  <c r="A24" i="53" a="1"/>
  <c r="A24" i="53" s="1"/>
  <c r="D22" i="53" a="1"/>
  <c r="D22" i="53" s="1"/>
  <c r="C22" i="53" a="1"/>
  <c r="C22" i="53" s="1"/>
  <c r="A22" i="53" a="1"/>
  <c r="A22" i="53" s="1"/>
  <c r="D20" i="53" a="1"/>
  <c r="D20" i="53" s="1"/>
  <c r="C20" i="53" a="1"/>
  <c r="C20" i="53" s="1"/>
  <c r="A20" i="53" a="1"/>
  <c r="A20" i="53" s="1"/>
  <c r="D18" i="53" a="1"/>
  <c r="D18" i="53" s="1"/>
  <c r="C18" i="53" a="1"/>
  <c r="C18" i="53" s="1"/>
  <c r="A18" i="53" a="1"/>
  <c r="A18" i="53" s="1"/>
  <c r="D16" i="53" a="1"/>
  <c r="D16" i="53" s="1"/>
  <c r="C16" i="53" a="1"/>
  <c r="C16" i="53" s="1"/>
  <c r="A16" i="53" a="1"/>
  <c r="A16" i="53" s="1"/>
  <c r="D14" i="53" a="1"/>
  <c r="D14" i="53" s="1"/>
  <c r="E14" i="53" s="1"/>
  <c r="C14" i="53" a="1"/>
  <c r="C14" i="53" s="1"/>
  <c r="A14" i="53" a="1"/>
  <c r="A14" i="53" s="1"/>
  <c r="B18" i="53"/>
  <c r="B16" i="53"/>
  <c r="I6" i="53"/>
  <c r="D42" i="52" a="1"/>
  <c r="D42" i="52" s="1"/>
  <c r="C42" i="52" a="1"/>
  <c r="C42" i="52" s="1"/>
  <c r="A42" i="52" a="1"/>
  <c r="A42" i="52" s="1"/>
  <c r="D40" i="52" a="1"/>
  <c r="D40" i="52" s="1"/>
  <c r="C40" i="52" a="1"/>
  <c r="C40" i="52" s="1"/>
  <c r="A40" i="52" a="1"/>
  <c r="A40" i="52" s="1"/>
  <c r="D38" i="52" a="1"/>
  <c r="D38" i="52" s="1"/>
  <c r="C38" i="52" a="1"/>
  <c r="C38" i="52" s="1"/>
  <c r="A38" i="52" a="1"/>
  <c r="A38" i="52" s="1"/>
  <c r="D36" i="52" a="1"/>
  <c r="D36" i="52" s="1"/>
  <c r="C36" i="52" a="1"/>
  <c r="C36" i="52" s="1"/>
  <c r="A36" i="52" a="1"/>
  <c r="A36" i="52" s="1"/>
  <c r="D34" i="52" a="1"/>
  <c r="D34" i="52" s="1"/>
  <c r="C34" i="52" a="1"/>
  <c r="C34" i="52" s="1"/>
  <c r="A34" i="52" a="1"/>
  <c r="A34" i="52" s="1"/>
  <c r="D32" i="52" a="1"/>
  <c r="D32" i="52" s="1"/>
  <c r="C32" i="52" a="1"/>
  <c r="C32" i="52" s="1"/>
  <c r="A32" i="52" a="1"/>
  <c r="A32" i="52" s="1"/>
  <c r="D30" i="52" a="1"/>
  <c r="D30" i="52" s="1"/>
  <c r="C30" i="52" a="1"/>
  <c r="C30" i="52" s="1"/>
  <c r="A30" i="52" a="1"/>
  <c r="A30" i="52" s="1"/>
  <c r="D28" i="52" a="1"/>
  <c r="D28" i="52" s="1"/>
  <c r="C28" i="52" a="1"/>
  <c r="C28" i="52" s="1"/>
  <c r="A28" i="52" a="1"/>
  <c r="A28" i="52" s="1"/>
  <c r="D26" i="52" a="1"/>
  <c r="D26" i="52" s="1"/>
  <c r="C26" i="52" a="1"/>
  <c r="C26" i="52" s="1"/>
  <c r="A26" i="52" a="1"/>
  <c r="A26" i="52" s="1"/>
  <c r="D24" i="52" a="1"/>
  <c r="D24" i="52" s="1"/>
  <c r="C24" i="52" a="1"/>
  <c r="C24" i="52" s="1"/>
  <c r="A24" i="52" a="1"/>
  <c r="A24" i="52" s="1"/>
  <c r="D22" i="52" a="1"/>
  <c r="D22" i="52" s="1"/>
  <c r="C22" i="52" a="1"/>
  <c r="C22" i="52" s="1"/>
  <c r="A22" i="52" a="1"/>
  <c r="A22" i="52" s="1"/>
  <c r="D20" i="52" a="1"/>
  <c r="D20" i="52" s="1"/>
  <c r="C20" i="52" a="1"/>
  <c r="C20" i="52" s="1"/>
  <c r="A20" i="52" a="1"/>
  <c r="A20" i="52" s="1"/>
  <c r="D18" i="52" a="1"/>
  <c r="D18" i="52" s="1"/>
  <c r="C18" i="52" a="1"/>
  <c r="C18" i="52" s="1"/>
  <c r="A18" i="52" a="1"/>
  <c r="A18" i="52" s="1"/>
  <c r="D16" i="52" a="1"/>
  <c r="D16" i="52" s="1"/>
  <c r="C16" i="52" a="1"/>
  <c r="C16" i="52" s="1"/>
  <c r="A16" i="52" a="1"/>
  <c r="A16" i="52" s="1"/>
  <c r="D14" i="52" a="1"/>
  <c r="D14" i="52" s="1"/>
  <c r="E14" i="52" s="1"/>
  <c r="C14" i="52" a="1"/>
  <c r="C14" i="52" s="1"/>
  <c r="A14" i="52" a="1"/>
  <c r="A14" i="52" s="1"/>
  <c r="B16" i="52"/>
  <c r="B18" i="52" s="1"/>
  <c r="I6" i="52"/>
  <c r="D42" i="51" a="1"/>
  <c r="D42" i="51" s="1"/>
  <c r="C42" i="51" a="1"/>
  <c r="C42" i="51" s="1"/>
  <c r="A42" i="51" a="1"/>
  <c r="A42" i="51" s="1"/>
  <c r="D40" i="51" a="1"/>
  <c r="D40" i="51" s="1"/>
  <c r="C40" i="51" a="1"/>
  <c r="C40" i="51" s="1"/>
  <c r="A40" i="51" a="1"/>
  <c r="A40" i="51" s="1"/>
  <c r="D38" i="51" a="1"/>
  <c r="D38" i="51" s="1"/>
  <c r="C38" i="51" a="1"/>
  <c r="C38" i="51" s="1"/>
  <c r="A38" i="51" a="1"/>
  <c r="A38" i="51" s="1"/>
  <c r="D36" i="51" a="1"/>
  <c r="D36" i="51" s="1"/>
  <c r="C36" i="51" a="1"/>
  <c r="C36" i="51" s="1"/>
  <c r="A36" i="51" a="1"/>
  <c r="A36" i="51" s="1"/>
  <c r="D34" i="51" a="1"/>
  <c r="D34" i="51" s="1"/>
  <c r="C34" i="51" a="1"/>
  <c r="C34" i="51" s="1"/>
  <c r="A34" i="51" a="1"/>
  <c r="A34" i="51" s="1"/>
  <c r="D32" i="51" a="1"/>
  <c r="D32" i="51" s="1"/>
  <c r="C32" i="51" a="1"/>
  <c r="C32" i="51" s="1"/>
  <c r="A32" i="51" a="1"/>
  <c r="A32" i="51" s="1"/>
  <c r="D30" i="51" a="1"/>
  <c r="D30" i="51" s="1"/>
  <c r="C30" i="51" a="1"/>
  <c r="C30" i="51" s="1"/>
  <c r="A30" i="51" a="1"/>
  <c r="A30" i="51" s="1"/>
  <c r="D28" i="51" a="1"/>
  <c r="D28" i="51" s="1"/>
  <c r="C28" i="51" a="1"/>
  <c r="C28" i="51" s="1"/>
  <c r="A28" i="51" a="1"/>
  <c r="A28" i="51" s="1"/>
  <c r="D26" i="51" a="1"/>
  <c r="D26" i="51" s="1"/>
  <c r="C26" i="51" a="1"/>
  <c r="C26" i="51" s="1"/>
  <c r="A26" i="51" a="1"/>
  <c r="A26" i="51" s="1"/>
  <c r="D24" i="51" a="1"/>
  <c r="D24" i="51" s="1"/>
  <c r="C24" i="51" a="1"/>
  <c r="C24" i="51" s="1"/>
  <c r="A24" i="51" a="1"/>
  <c r="A24" i="51" s="1"/>
  <c r="D22" i="51" a="1"/>
  <c r="D22" i="51" s="1"/>
  <c r="C22" i="51" a="1"/>
  <c r="C22" i="51" s="1"/>
  <c r="A22" i="51" a="1"/>
  <c r="A22" i="51" s="1"/>
  <c r="D20" i="51" a="1"/>
  <c r="D20" i="51" s="1"/>
  <c r="C20" i="51" a="1"/>
  <c r="C20" i="51" s="1"/>
  <c r="A20" i="51" a="1"/>
  <c r="A20" i="51" s="1"/>
  <c r="D18" i="51" a="1"/>
  <c r="D18" i="51" s="1"/>
  <c r="C18" i="51" a="1"/>
  <c r="C18" i="51" s="1"/>
  <c r="A18" i="51" a="1"/>
  <c r="A18" i="51" s="1"/>
  <c r="D16" i="51" a="1"/>
  <c r="D16" i="51" s="1"/>
  <c r="C16" i="51" a="1"/>
  <c r="C16" i="51" s="1"/>
  <c r="A16" i="51" a="1"/>
  <c r="A16" i="51" s="1"/>
  <c r="D14" i="51" a="1"/>
  <c r="D14" i="51" s="1"/>
  <c r="E14" i="51" s="1"/>
  <c r="C14" i="51" a="1"/>
  <c r="C14" i="51" s="1"/>
  <c r="A14" i="51" a="1"/>
  <c r="A14" i="51" s="1"/>
  <c r="B16" i="51"/>
  <c r="B18" i="51" s="1"/>
  <c r="I6" i="51"/>
  <c r="D42" i="50" a="1"/>
  <c r="D42" i="50" s="1"/>
  <c r="C42" i="50" a="1"/>
  <c r="C42" i="50" s="1"/>
  <c r="D40" i="50" a="1"/>
  <c r="D40" i="50" s="1"/>
  <c r="C40" i="50" a="1"/>
  <c r="C40" i="50" s="1"/>
  <c r="D38" i="50" a="1"/>
  <c r="D38" i="50" s="1"/>
  <c r="C38" i="50" a="1"/>
  <c r="C38" i="50" s="1"/>
  <c r="D36" i="50" a="1"/>
  <c r="D36" i="50" s="1"/>
  <c r="C36" i="50" a="1"/>
  <c r="C36" i="50" s="1"/>
  <c r="D34" i="50" a="1"/>
  <c r="D34" i="50" s="1"/>
  <c r="C34" i="50" a="1"/>
  <c r="C34" i="50" s="1"/>
  <c r="D32" i="50" a="1"/>
  <c r="D32" i="50" s="1"/>
  <c r="C32" i="50" a="1"/>
  <c r="C32" i="50" s="1"/>
  <c r="D30" i="50" a="1"/>
  <c r="D30" i="50" s="1"/>
  <c r="C30" i="50" a="1"/>
  <c r="C30" i="50" s="1"/>
  <c r="D28" i="50" a="1"/>
  <c r="D28" i="50" s="1"/>
  <c r="C28" i="50" a="1"/>
  <c r="C28" i="50" s="1"/>
  <c r="D26" i="50" a="1"/>
  <c r="D26" i="50" s="1"/>
  <c r="C26" i="50" a="1"/>
  <c r="C26" i="50" s="1"/>
  <c r="D24" i="50" a="1"/>
  <c r="D24" i="50" s="1"/>
  <c r="C24" i="50" a="1"/>
  <c r="C24" i="50" s="1"/>
  <c r="D22" i="50" a="1"/>
  <c r="D22" i="50" s="1"/>
  <c r="C22" i="50" a="1"/>
  <c r="C22" i="50" s="1"/>
  <c r="D20" i="50" a="1"/>
  <c r="D20" i="50" s="1"/>
  <c r="C20" i="50" a="1"/>
  <c r="C20" i="50" s="1"/>
  <c r="D18" i="50" a="1"/>
  <c r="D18" i="50" s="1"/>
  <c r="C18" i="50" a="1"/>
  <c r="C18" i="50" s="1"/>
  <c r="D16" i="50" a="1"/>
  <c r="D16" i="50" s="1"/>
  <c r="C16" i="50" a="1"/>
  <c r="C16" i="50" s="1"/>
  <c r="D14" i="50" a="1"/>
  <c r="D14" i="50" s="1"/>
  <c r="E14" i="50" s="1"/>
  <c r="C14" i="50" a="1"/>
  <c r="C14" i="50" s="1"/>
  <c r="A42" i="50" a="1"/>
  <c r="A42" i="50" s="1"/>
  <c r="A40" i="50" a="1"/>
  <c r="A40" i="50" s="1"/>
  <c r="A38" i="50" a="1"/>
  <c r="A38" i="50" s="1"/>
  <c r="A36" i="50" a="1"/>
  <c r="A36" i="50" s="1"/>
  <c r="A34" i="50" a="1"/>
  <c r="A34" i="50" s="1"/>
  <c r="A32" i="50" a="1"/>
  <c r="A32" i="50" s="1"/>
  <c r="A30" i="50" a="1"/>
  <c r="A30" i="50" s="1"/>
  <c r="A28" i="50" a="1"/>
  <c r="A28" i="50" s="1"/>
  <c r="A26" i="50" a="1"/>
  <c r="A26" i="50" s="1"/>
  <c r="A24" i="50" a="1"/>
  <c r="A24" i="50" s="1"/>
  <c r="A22" i="50" a="1"/>
  <c r="A22" i="50" s="1"/>
  <c r="A20" i="50" a="1"/>
  <c r="A20" i="50" s="1"/>
  <c r="A18" i="50" a="1"/>
  <c r="A18" i="50" s="1"/>
  <c r="A16" i="50" a="1"/>
  <c r="A16" i="50" s="1"/>
  <c r="A14" i="50" a="1"/>
  <c r="A14" i="50" s="1"/>
  <c r="B16" i="50"/>
  <c r="I6" i="50"/>
  <c r="D42" i="49" a="1"/>
  <c r="D42" i="49" s="1"/>
  <c r="C42" i="49" a="1"/>
  <c r="C42" i="49" s="1"/>
  <c r="A42" i="49" a="1"/>
  <c r="A42" i="49" s="1"/>
  <c r="D40" i="49" a="1"/>
  <c r="D40" i="49" s="1"/>
  <c r="C40" i="49" a="1"/>
  <c r="C40" i="49" s="1"/>
  <c r="A40" i="49" a="1"/>
  <c r="A40" i="49" s="1"/>
  <c r="D38" i="49" a="1"/>
  <c r="D38" i="49" s="1"/>
  <c r="C38" i="49" a="1"/>
  <c r="C38" i="49" s="1"/>
  <c r="A38" i="49" a="1"/>
  <c r="A38" i="49" s="1"/>
  <c r="D36" i="49" a="1"/>
  <c r="D36" i="49" s="1"/>
  <c r="C36" i="49" a="1"/>
  <c r="C36" i="49" s="1"/>
  <c r="A36" i="49" a="1"/>
  <c r="A36" i="49" s="1"/>
  <c r="D34" i="49" a="1"/>
  <c r="D34" i="49" s="1"/>
  <c r="C34" i="49" a="1"/>
  <c r="C34" i="49" s="1"/>
  <c r="A34" i="49" a="1"/>
  <c r="A34" i="49" s="1"/>
  <c r="D32" i="49" a="1"/>
  <c r="D32" i="49" s="1"/>
  <c r="C32" i="49" a="1"/>
  <c r="C32" i="49" s="1"/>
  <c r="A32" i="49" a="1"/>
  <c r="A32" i="49" s="1"/>
  <c r="D30" i="49" a="1"/>
  <c r="D30" i="49" s="1"/>
  <c r="C30" i="49" a="1"/>
  <c r="C30" i="49" s="1"/>
  <c r="A30" i="49" a="1"/>
  <c r="A30" i="49" s="1"/>
  <c r="D28" i="49" a="1"/>
  <c r="D28" i="49" s="1"/>
  <c r="C28" i="49" a="1"/>
  <c r="C28" i="49" s="1"/>
  <c r="A28" i="49" a="1"/>
  <c r="A28" i="49" s="1"/>
  <c r="D26" i="49" a="1"/>
  <c r="D26" i="49" s="1"/>
  <c r="C26" i="49" a="1"/>
  <c r="C26" i="49" s="1"/>
  <c r="A26" i="49" a="1"/>
  <c r="A26" i="49" s="1"/>
  <c r="D24" i="49" a="1"/>
  <c r="D24" i="49" s="1"/>
  <c r="C24" i="49" a="1"/>
  <c r="C24" i="49" s="1"/>
  <c r="A24" i="49" a="1"/>
  <c r="A24" i="49" s="1"/>
  <c r="D22" i="49" a="1"/>
  <c r="D22" i="49" s="1"/>
  <c r="C22" i="49" a="1"/>
  <c r="C22" i="49" s="1"/>
  <c r="A22" i="49" a="1"/>
  <c r="A22" i="49" s="1"/>
  <c r="D20" i="49" a="1"/>
  <c r="D20" i="49" s="1"/>
  <c r="C20" i="49" a="1"/>
  <c r="C20" i="49" s="1"/>
  <c r="A20" i="49" a="1"/>
  <c r="A20" i="49" s="1"/>
  <c r="D18" i="49" a="1"/>
  <c r="D18" i="49" s="1"/>
  <c r="C18" i="49" a="1"/>
  <c r="C18" i="49" s="1"/>
  <c r="A18" i="49" a="1"/>
  <c r="A18" i="49" s="1"/>
  <c r="D16" i="49" a="1"/>
  <c r="D16" i="49" s="1"/>
  <c r="C16" i="49" a="1"/>
  <c r="C16" i="49" s="1"/>
  <c r="A16" i="49" a="1"/>
  <c r="A16" i="49" s="1"/>
  <c r="D14" i="49" a="1"/>
  <c r="D14" i="49" s="1"/>
  <c r="E14" i="49" s="1"/>
  <c r="C14" i="49" a="1"/>
  <c r="C14" i="49" s="1"/>
  <c r="A14" i="49" a="1"/>
  <c r="A14" i="49" s="1"/>
  <c r="B20" i="49"/>
  <c r="B18" i="49"/>
  <c r="B16" i="49"/>
  <c r="I6" i="49"/>
  <c r="D42" i="47" a="1"/>
  <c r="D42" i="47" s="1"/>
  <c r="C42" i="47" a="1"/>
  <c r="C42" i="47" s="1"/>
  <c r="A42" i="47" a="1"/>
  <c r="A42" i="47" s="1"/>
  <c r="D40" i="47" a="1"/>
  <c r="D40" i="47" s="1"/>
  <c r="C40" i="47" a="1"/>
  <c r="C40" i="47" s="1"/>
  <c r="A40" i="47" a="1"/>
  <c r="A40" i="47" s="1"/>
  <c r="D38" i="47" a="1"/>
  <c r="D38" i="47" s="1"/>
  <c r="C38" i="47" a="1"/>
  <c r="C38" i="47" s="1"/>
  <c r="A38" i="47" a="1"/>
  <c r="A38" i="47" s="1"/>
  <c r="D36" i="47" a="1"/>
  <c r="D36" i="47" s="1"/>
  <c r="C36" i="47" a="1"/>
  <c r="C36" i="47" s="1"/>
  <c r="A36" i="47" a="1"/>
  <c r="A36" i="47" s="1"/>
  <c r="D34" i="47" a="1"/>
  <c r="D34" i="47" s="1"/>
  <c r="C34" i="47" a="1"/>
  <c r="C34" i="47" s="1"/>
  <c r="A34" i="47" a="1"/>
  <c r="A34" i="47" s="1"/>
  <c r="D32" i="47" a="1"/>
  <c r="D32" i="47" s="1"/>
  <c r="C32" i="47" a="1"/>
  <c r="C32" i="47" s="1"/>
  <c r="A32" i="47" a="1"/>
  <c r="A32" i="47" s="1"/>
  <c r="D30" i="47" a="1"/>
  <c r="D30" i="47" s="1"/>
  <c r="C30" i="47" a="1"/>
  <c r="C30" i="47" s="1"/>
  <c r="A30" i="47" a="1"/>
  <c r="A30" i="47" s="1"/>
  <c r="D28" i="47" a="1"/>
  <c r="D28" i="47" s="1"/>
  <c r="C28" i="47" a="1"/>
  <c r="C28" i="47" s="1"/>
  <c r="A28" i="47" a="1"/>
  <c r="A28" i="47" s="1"/>
  <c r="D26" i="47" a="1"/>
  <c r="D26" i="47" s="1"/>
  <c r="C26" i="47" a="1"/>
  <c r="C26" i="47" s="1"/>
  <c r="A26" i="47" a="1"/>
  <c r="A26" i="47" s="1"/>
  <c r="D24" i="47" a="1"/>
  <c r="D24" i="47" s="1"/>
  <c r="C24" i="47" a="1"/>
  <c r="C24" i="47" s="1"/>
  <c r="A24" i="47" a="1"/>
  <c r="A24" i="47" s="1"/>
  <c r="D22" i="47" a="1"/>
  <c r="D22" i="47" s="1"/>
  <c r="C22" i="47" a="1"/>
  <c r="C22" i="47" s="1"/>
  <c r="A22" i="47" a="1"/>
  <c r="A22" i="47" s="1"/>
  <c r="D20" i="47" a="1"/>
  <c r="D20" i="47" s="1"/>
  <c r="C20" i="47" a="1"/>
  <c r="C20" i="47" s="1"/>
  <c r="A20" i="47" a="1"/>
  <c r="A20" i="47" s="1"/>
  <c r="D18" i="47" a="1"/>
  <c r="D18" i="47" s="1"/>
  <c r="C18" i="47" a="1"/>
  <c r="C18" i="47" s="1"/>
  <c r="A18" i="47" a="1"/>
  <c r="A18" i="47" s="1"/>
  <c r="D16" i="47" a="1"/>
  <c r="D16" i="47" s="1"/>
  <c r="C16" i="47" a="1"/>
  <c r="C16" i="47" s="1"/>
  <c r="A16" i="47" a="1"/>
  <c r="A16" i="47" s="1"/>
  <c r="D14" i="47" a="1"/>
  <c r="D14" i="47" s="1"/>
  <c r="E14" i="47" s="1"/>
  <c r="C14" i="47" a="1"/>
  <c r="C14" i="47" s="1"/>
  <c r="A14" i="47" a="1"/>
  <c r="A14" i="47" s="1"/>
  <c r="D16" i="48" a="1"/>
  <c r="D16" i="48" s="1"/>
  <c r="B16" i="48"/>
  <c r="C16" i="48" s="1" a="1"/>
  <c r="C16" i="48" s="1"/>
  <c r="A16" i="48" a="1"/>
  <c r="A16" i="48" s="1"/>
  <c r="D14" i="48" a="1"/>
  <c r="D14" i="48" s="1"/>
  <c r="E14" i="48" s="1"/>
  <c r="C14" i="48" a="1"/>
  <c r="C14" i="48" s="1"/>
  <c r="A14" i="48" a="1"/>
  <c r="A14" i="48" s="1"/>
  <c r="I6" i="48"/>
  <c r="B16" i="47"/>
  <c r="B18" i="47" s="1"/>
  <c r="I6" i="47"/>
  <c r="D42" i="46" a="1"/>
  <c r="D42" i="46" s="1"/>
  <c r="C42" i="46" a="1"/>
  <c r="C42" i="46" s="1"/>
  <c r="A42" i="46" a="1"/>
  <c r="A42" i="46" s="1"/>
  <c r="D40" i="46" a="1"/>
  <c r="D40" i="46" s="1"/>
  <c r="C40" i="46" a="1"/>
  <c r="C40" i="46" s="1"/>
  <c r="A40" i="46" a="1"/>
  <c r="A40" i="46" s="1"/>
  <c r="D38" i="46" a="1"/>
  <c r="D38" i="46" s="1"/>
  <c r="C38" i="46" a="1"/>
  <c r="C38" i="46" s="1"/>
  <c r="A38" i="46" a="1"/>
  <c r="A38" i="46" s="1"/>
  <c r="D36" i="46" a="1"/>
  <c r="D36" i="46" s="1"/>
  <c r="C36" i="46" a="1"/>
  <c r="C36" i="46" s="1"/>
  <c r="A36" i="46" a="1"/>
  <c r="A36" i="46" s="1"/>
  <c r="D34" i="46" a="1"/>
  <c r="D34" i="46" s="1"/>
  <c r="C34" i="46" a="1"/>
  <c r="C34" i="46" s="1"/>
  <c r="A34" i="46" a="1"/>
  <c r="A34" i="46" s="1"/>
  <c r="D32" i="46" a="1"/>
  <c r="D32" i="46" s="1"/>
  <c r="C32" i="46" a="1"/>
  <c r="C32" i="46" s="1"/>
  <c r="A32" i="46" a="1"/>
  <c r="A32" i="46" s="1"/>
  <c r="D30" i="46" a="1"/>
  <c r="D30" i="46" s="1"/>
  <c r="C30" i="46" a="1"/>
  <c r="C30" i="46" s="1"/>
  <c r="A30" i="46" a="1"/>
  <c r="A30" i="46" s="1"/>
  <c r="D28" i="46" a="1"/>
  <c r="D28" i="46" s="1"/>
  <c r="C28" i="46" a="1"/>
  <c r="C28" i="46" s="1"/>
  <c r="A28" i="46" a="1"/>
  <c r="A28" i="46" s="1"/>
  <c r="D26" i="46" a="1"/>
  <c r="D26" i="46" s="1"/>
  <c r="C26" i="46" a="1"/>
  <c r="C26" i="46" s="1"/>
  <c r="A26" i="46" a="1"/>
  <c r="A26" i="46" s="1"/>
  <c r="D24" i="46" a="1"/>
  <c r="D24" i="46" s="1"/>
  <c r="C24" i="46" a="1"/>
  <c r="C24" i="46" s="1"/>
  <c r="A24" i="46" a="1"/>
  <c r="A24" i="46" s="1"/>
  <c r="D22" i="46" a="1"/>
  <c r="D22" i="46" s="1"/>
  <c r="C22" i="46" a="1"/>
  <c r="C22" i="46" s="1"/>
  <c r="A22" i="46" a="1"/>
  <c r="A22" i="46" s="1"/>
  <c r="D20" i="46" a="1"/>
  <c r="D20" i="46" s="1"/>
  <c r="C20" i="46" a="1"/>
  <c r="C20" i="46" s="1"/>
  <c r="A20" i="46" a="1"/>
  <c r="A20" i="46" s="1"/>
  <c r="D18" i="46" a="1"/>
  <c r="D18" i="46" s="1"/>
  <c r="C18" i="46" a="1"/>
  <c r="C18" i="46" s="1"/>
  <c r="A18" i="46" a="1"/>
  <c r="A18" i="46" s="1"/>
  <c r="D16" i="46" a="1"/>
  <c r="D16" i="46" s="1"/>
  <c r="C16" i="46" a="1"/>
  <c r="C16" i="46" s="1"/>
  <c r="A16" i="46" a="1"/>
  <c r="A16" i="46" s="1"/>
  <c r="D14" i="46" a="1"/>
  <c r="D14" i="46" s="1"/>
  <c r="E14" i="46" s="1"/>
  <c r="C14" i="46" a="1"/>
  <c r="C14" i="46" s="1"/>
  <c r="A14" i="46" a="1"/>
  <c r="A14" i="46" s="1"/>
  <c r="B18" i="46"/>
  <c r="B16" i="46"/>
  <c r="I6" i="46"/>
  <c r="D42" i="45" a="1"/>
  <c r="D42" i="45" s="1"/>
  <c r="C42" i="45" a="1"/>
  <c r="C42" i="45" s="1"/>
  <c r="D40" i="45" a="1"/>
  <c r="D40" i="45" s="1"/>
  <c r="C40" i="45" a="1"/>
  <c r="C40" i="45" s="1"/>
  <c r="D38" i="45" a="1"/>
  <c r="D38" i="45" s="1"/>
  <c r="C38" i="45" a="1"/>
  <c r="C38" i="45" s="1"/>
  <c r="D36" i="45" a="1"/>
  <c r="D36" i="45" s="1"/>
  <c r="C36" i="45" a="1"/>
  <c r="C36" i="45" s="1"/>
  <c r="D34" i="45" a="1"/>
  <c r="D34" i="45" s="1"/>
  <c r="C34" i="45" a="1"/>
  <c r="C34" i="45" s="1"/>
  <c r="D32" i="45" a="1"/>
  <c r="D32" i="45" s="1"/>
  <c r="C32" i="45" a="1"/>
  <c r="C32" i="45" s="1"/>
  <c r="D30" i="45" a="1"/>
  <c r="D30" i="45" s="1"/>
  <c r="C30" i="45" a="1"/>
  <c r="C30" i="45" s="1"/>
  <c r="D28" i="45" a="1"/>
  <c r="D28" i="45" s="1"/>
  <c r="C28" i="45" a="1"/>
  <c r="C28" i="45" s="1"/>
  <c r="D26" i="45" a="1"/>
  <c r="D26" i="45" s="1"/>
  <c r="C26" i="45" a="1"/>
  <c r="C26" i="45" s="1"/>
  <c r="D24" i="45" a="1"/>
  <c r="D24" i="45" s="1"/>
  <c r="C24" i="45" a="1"/>
  <c r="C24" i="45" s="1"/>
  <c r="D22" i="45" a="1"/>
  <c r="D22" i="45" s="1"/>
  <c r="C22" i="45" a="1"/>
  <c r="C22" i="45" s="1"/>
  <c r="D20" i="45" a="1"/>
  <c r="D20" i="45" s="1"/>
  <c r="C20" i="45" a="1"/>
  <c r="C20" i="45" s="1"/>
  <c r="D18" i="45" a="1"/>
  <c r="D18" i="45" s="1"/>
  <c r="C18" i="45" a="1"/>
  <c r="C18" i="45" s="1"/>
  <c r="D16" i="45" a="1"/>
  <c r="D16" i="45" s="1"/>
  <c r="C16" i="45" a="1"/>
  <c r="C16" i="45" s="1"/>
  <c r="D14" i="45" a="1"/>
  <c r="D14" i="45" s="1"/>
  <c r="E14" i="45" s="1"/>
  <c r="F14" i="45" s="1"/>
  <c r="C14" i="45" a="1"/>
  <c r="C14" i="45" s="1"/>
  <c r="A42" i="45" a="1"/>
  <c r="A42" i="45" s="1"/>
  <c r="A40" i="45" a="1"/>
  <c r="A40" i="45" s="1"/>
  <c r="A38" i="45" a="1"/>
  <c r="A38" i="45" s="1"/>
  <c r="A36" i="45" a="1"/>
  <c r="A36" i="45" s="1"/>
  <c r="A34" i="45" a="1"/>
  <c r="A34" i="45" s="1"/>
  <c r="A32" i="45" a="1"/>
  <c r="A32" i="45" s="1"/>
  <c r="A30" i="45" a="1"/>
  <c r="A30" i="45" s="1"/>
  <c r="A28" i="45" a="1"/>
  <c r="A28" i="45" s="1"/>
  <c r="A26" i="45" a="1"/>
  <c r="A26" i="45" s="1"/>
  <c r="A24" i="45" a="1"/>
  <c r="A24" i="45" s="1"/>
  <c r="A22" i="45" a="1"/>
  <c r="A22" i="45" s="1"/>
  <c r="A20" i="45" a="1"/>
  <c r="A20" i="45" s="1"/>
  <c r="A18" i="45" a="1"/>
  <c r="A18" i="45" s="1"/>
  <c r="A16" i="45" a="1"/>
  <c r="A16" i="45" s="1"/>
  <c r="A14" i="45" a="1"/>
  <c r="A14" i="45" s="1"/>
  <c r="B16" i="45"/>
  <c r="I6" i="45"/>
  <c r="D3" i="25"/>
  <c r="K71" i="25"/>
  <c r="T71" i="25"/>
  <c r="S71" i="25"/>
  <c r="P71" i="25"/>
  <c r="O71" i="25"/>
  <c r="N71" i="25"/>
  <c r="F14" i="54" l="1"/>
  <c r="E15" i="54"/>
  <c r="B20" i="54"/>
  <c r="F14" i="53"/>
  <c r="E15" i="53"/>
  <c r="B20" i="53"/>
  <c r="B20" i="52"/>
  <c r="F14" i="52"/>
  <c r="E15" i="52"/>
  <c r="F14" i="51"/>
  <c r="E15" i="51"/>
  <c r="B20" i="51"/>
  <c r="F14" i="50"/>
  <c r="E15" i="50"/>
  <c r="B18" i="50"/>
  <c r="F14" i="49"/>
  <c r="E15" i="49"/>
  <c r="B22" i="49"/>
  <c r="F14" i="48"/>
  <c r="E15" i="48"/>
  <c r="B18" i="48"/>
  <c r="B20" i="47"/>
  <c r="F14" i="47"/>
  <c r="E15" i="47"/>
  <c r="F14" i="46"/>
  <c r="E15" i="46"/>
  <c r="B20" i="46"/>
  <c r="E15" i="45"/>
  <c r="F15" i="45" s="1"/>
  <c r="B18" i="45"/>
  <c r="Q71" i="25"/>
  <c r="B22" i="54" l="1"/>
  <c r="F15" i="54"/>
  <c r="E16" i="54"/>
  <c r="B22" i="53"/>
  <c r="E16" i="53"/>
  <c r="F15" i="53"/>
  <c r="B22" i="52"/>
  <c r="E16" i="52"/>
  <c r="F15" i="52"/>
  <c r="B22" i="51"/>
  <c r="E16" i="51"/>
  <c r="F15" i="51"/>
  <c r="B20" i="50"/>
  <c r="E16" i="50"/>
  <c r="F15" i="50"/>
  <c r="B24" i="49"/>
  <c r="E16" i="49"/>
  <c r="F15" i="49"/>
  <c r="E16" i="48"/>
  <c r="F15" i="48"/>
  <c r="C18" i="48" a="1"/>
  <c r="C18" i="48" s="1"/>
  <c r="B20" i="48"/>
  <c r="A18" i="48" a="1"/>
  <c r="A18" i="48" s="1"/>
  <c r="D18" i="48" a="1"/>
  <c r="D18" i="48" s="1"/>
  <c r="F15" i="47"/>
  <c r="E16" i="47"/>
  <c r="B22" i="47"/>
  <c r="F15" i="46"/>
  <c r="E16" i="46"/>
  <c r="B22" i="46"/>
  <c r="B20" i="45"/>
  <c r="E16" i="45"/>
  <c r="F16" i="45" s="1"/>
  <c r="K66" i="25"/>
  <c r="E17" i="54" l="1"/>
  <c r="F16" i="54"/>
  <c r="B24" i="54"/>
  <c r="B24" i="53"/>
  <c r="E17" i="53"/>
  <c r="F16" i="53"/>
  <c r="E17" i="52"/>
  <c r="F16" i="52"/>
  <c r="B24" i="52"/>
  <c r="E17" i="51"/>
  <c r="F16" i="51"/>
  <c r="B24" i="51"/>
  <c r="E17" i="50"/>
  <c r="F16" i="50"/>
  <c r="B22" i="50"/>
  <c r="E17" i="49"/>
  <c r="F16" i="49"/>
  <c r="B26" i="49"/>
  <c r="E17" i="48"/>
  <c r="F16" i="48"/>
  <c r="D20" i="48" a="1"/>
  <c r="D20" i="48" s="1"/>
  <c r="C20" i="48" a="1"/>
  <c r="C20" i="48" s="1"/>
  <c r="B22" i="48"/>
  <c r="A20" i="48" a="1"/>
  <c r="A20" i="48" s="1"/>
  <c r="B24" i="47"/>
  <c r="E17" i="47"/>
  <c r="F16" i="47"/>
  <c r="B24" i="46"/>
  <c r="E17" i="46"/>
  <c r="F16" i="46"/>
  <c r="E17" i="45"/>
  <c r="F17" i="45" s="1"/>
  <c r="B22" i="45"/>
  <c r="F78" i="4"/>
  <c r="AA55" i="25" s="1"/>
  <c r="AG55" i="25"/>
  <c r="AF55" i="25"/>
  <c r="K55" i="25"/>
  <c r="N55" i="25"/>
  <c r="O55" i="25"/>
  <c r="P55" i="25"/>
  <c r="S55" i="25"/>
  <c r="T55" i="25"/>
  <c r="B26" i="54" l="1"/>
  <c r="E18" i="54"/>
  <c r="F17" i="54"/>
  <c r="F17" i="53"/>
  <c r="E18" i="53"/>
  <c r="B26" i="53"/>
  <c r="B26" i="52"/>
  <c r="E18" i="52"/>
  <c r="F17" i="52"/>
  <c r="B26" i="51"/>
  <c r="E18" i="51"/>
  <c r="F17" i="51"/>
  <c r="B24" i="50"/>
  <c r="E18" i="50"/>
  <c r="F17" i="50"/>
  <c r="B28" i="49"/>
  <c r="E18" i="49"/>
  <c r="F17" i="49"/>
  <c r="A22" i="48" a="1"/>
  <c r="A22" i="48" s="1"/>
  <c r="D22" i="48" a="1"/>
  <c r="D22" i="48" s="1"/>
  <c r="C22" i="48" a="1"/>
  <c r="C22" i="48" s="1"/>
  <c r="B24" i="48"/>
  <c r="E18" i="48"/>
  <c r="F17" i="48"/>
  <c r="E18" i="47"/>
  <c r="F17" i="47"/>
  <c r="B26" i="47"/>
  <c r="E18" i="46"/>
  <c r="F17" i="46"/>
  <c r="B26" i="46"/>
  <c r="B24" i="45"/>
  <c r="E18" i="45"/>
  <c r="F18" i="45" s="1"/>
  <c r="AB55" i="25"/>
  <c r="J55" i="25"/>
  <c r="L55" i="25" s="1"/>
  <c r="Q55" i="25"/>
  <c r="B28" i="54" l="1"/>
  <c r="E19" i="54"/>
  <c r="F18" i="54"/>
  <c r="B28" i="53"/>
  <c r="E19" i="53"/>
  <c r="F18" i="53"/>
  <c r="B28" i="52"/>
  <c r="E19" i="52"/>
  <c r="F18" i="52"/>
  <c r="E19" i="51"/>
  <c r="F18" i="51"/>
  <c r="B28" i="51"/>
  <c r="E19" i="50"/>
  <c r="F18" i="50"/>
  <c r="B26" i="50"/>
  <c r="B30" i="49"/>
  <c r="E19" i="49"/>
  <c r="F18" i="49"/>
  <c r="E19" i="48"/>
  <c r="F18" i="48"/>
  <c r="B26" i="48"/>
  <c r="A24" i="48" a="1"/>
  <c r="A24" i="48" s="1"/>
  <c r="D24" i="48" a="1"/>
  <c r="D24" i="48" s="1"/>
  <c r="C24" i="48" a="1"/>
  <c r="C24" i="48" s="1"/>
  <c r="B28" i="47"/>
  <c r="E19" i="47"/>
  <c r="F18" i="47"/>
  <c r="E19" i="46"/>
  <c r="F18" i="46"/>
  <c r="B28" i="46"/>
  <c r="E19" i="45"/>
  <c r="F19" i="45" s="1"/>
  <c r="B26" i="45"/>
  <c r="U55" i="25"/>
  <c r="H55" i="25" s="1"/>
  <c r="G55" i="25"/>
  <c r="F19" i="54" l="1"/>
  <c r="E20" i="54"/>
  <c r="B30" i="54"/>
  <c r="F19" i="53"/>
  <c r="E20" i="53"/>
  <c r="B30" i="53"/>
  <c r="F19" i="52"/>
  <c r="E20" i="52"/>
  <c r="B30" i="52"/>
  <c r="B30" i="51"/>
  <c r="F19" i="51"/>
  <c r="E20" i="51"/>
  <c r="B28" i="50"/>
  <c r="F19" i="50"/>
  <c r="E20" i="50"/>
  <c r="F19" i="49"/>
  <c r="E20" i="49"/>
  <c r="B32" i="49"/>
  <c r="B28" i="48"/>
  <c r="A26" i="48" a="1"/>
  <c r="A26" i="48" s="1"/>
  <c r="D26" i="48" a="1"/>
  <c r="D26" i="48" s="1"/>
  <c r="C26" i="48" a="1"/>
  <c r="C26" i="48" s="1"/>
  <c r="F19" i="48"/>
  <c r="E20" i="48"/>
  <c r="F19" i="47"/>
  <c r="E20" i="47"/>
  <c r="B30" i="47"/>
  <c r="B30" i="46"/>
  <c r="F19" i="46"/>
  <c r="E20" i="46"/>
  <c r="B28" i="45"/>
  <c r="E20" i="45"/>
  <c r="F20" i="45" s="1"/>
  <c r="AE14" i="25"/>
  <c r="K15" i="25"/>
  <c r="K14" i="25"/>
  <c r="B32" i="54" l="1"/>
  <c r="E21" i="54"/>
  <c r="F20" i="54"/>
  <c r="B32" i="53"/>
  <c r="E21" i="53"/>
  <c r="F20" i="53"/>
  <c r="B32" i="52"/>
  <c r="E21" i="52"/>
  <c r="F20" i="52"/>
  <c r="E21" i="51"/>
  <c r="F20" i="51"/>
  <c r="B32" i="51"/>
  <c r="E21" i="50"/>
  <c r="F20" i="50"/>
  <c r="B30" i="50"/>
  <c r="B34" i="49"/>
  <c r="F20" i="49"/>
  <c r="E21" i="49"/>
  <c r="E21" i="48"/>
  <c r="F20" i="48"/>
  <c r="C28" i="48" a="1"/>
  <c r="C28" i="48" s="1"/>
  <c r="B30" i="48"/>
  <c r="A28" i="48" a="1"/>
  <c r="A28" i="48" s="1"/>
  <c r="D28" i="48" a="1"/>
  <c r="D28" i="48" s="1"/>
  <c r="B32" i="47"/>
  <c r="E21" i="47"/>
  <c r="F20" i="47"/>
  <c r="E21" i="46"/>
  <c r="F20" i="46"/>
  <c r="B32" i="46"/>
  <c r="E21" i="45"/>
  <c r="F21" i="45" s="1"/>
  <c r="B30" i="45"/>
  <c r="K81" i="25"/>
  <c r="F21" i="54" l="1"/>
  <c r="E22" i="54"/>
  <c r="B34" i="54"/>
  <c r="F21" i="53"/>
  <c r="E22" i="53"/>
  <c r="B34" i="53"/>
  <c r="F21" i="52"/>
  <c r="E22" i="52"/>
  <c r="B34" i="52"/>
  <c r="F21" i="51"/>
  <c r="E22" i="51"/>
  <c r="B34" i="51"/>
  <c r="B32" i="50"/>
  <c r="F21" i="50"/>
  <c r="E22" i="50"/>
  <c r="F21" i="49"/>
  <c r="E22" i="49"/>
  <c r="B36" i="49"/>
  <c r="C30" i="48" a="1"/>
  <c r="C30" i="48" s="1"/>
  <c r="B32" i="48"/>
  <c r="A30" i="48" a="1"/>
  <c r="A30" i="48" s="1"/>
  <c r="D30" i="48" a="1"/>
  <c r="D30" i="48" s="1"/>
  <c r="F21" i="48"/>
  <c r="E22" i="48"/>
  <c r="F21" i="47"/>
  <c r="E22" i="47"/>
  <c r="B34" i="47"/>
  <c r="F21" i="46"/>
  <c r="E22" i="46"/>
  <c r="B34" i="46"/>
  <c r="B32" i="45"/>
  <c r="E22" i="45"/>
  <c r="F22" i="45" s="1"/>
  <c r="G18" i="30"/>
  <c r="E23" i="54" l="1"/>
  <c r="F22" i="54"/>
  <c r="B36" i="54"/>
  <c r="B36" i="53"/>
  <c r="E23" i="53"/>
  <c r="F22" i="53"/>
  <c r="B36" i="52"/>
  <c r="E23" i="52"/>
  <c r="F22" i="52"/>
  <c r="B36" i="51"/>
  <c r="E23" i="51"/>
  <c r="F22" i="51"/>
  <c r="B34" i="50"/>
  <c r="E23" i="50"/>
  <c r="F22" i="50"/>
  <c r="E23" i="49"/>
  <c r="F22" i="49"/>
  <c r="B38" i="49"/>
  <c r="E23" i="48"/>
  <c r="F22" i="48"/>
  <c r="D32" i="48" a="1"/>
  <c r="D32" i="48" s="1"/>
  <c r="C32" i="48" a="1"/>
  <c r="C32" i="48" s="1"/>
  <c r="B34" i="48"/>
  <c r="A32" i="48" a="1"/>
  <c r="A32" i="48" s="1"/>
  <c r="B36" i="47"/>
  <c r="E23" i="47"/>
  <c r="F22" i="47"/>
  <c r="B36" i="46"/>
  <c r="E23" i="46"/>
  <c r="F22" i="46"/>
  <c r="E23" i="45"/>
  <c r="F23" i="45" s="1"/>
  <c r="B34" i="45"/>
  <c r="K48" i="31"/>
  <c r="L48" i="31" s="1"/>
  <c r="K49" i="31"/>
  <c r="L49" i="31" s="1"/>
  <c r="D49" i="31"/>
  <c r="D48" i="31"/>
  <c r="M48" i="31"/>
  <c r="M49" i="31"/>
  <c r="B38" i="54" l="1"/>
  <c r="E24" i="54"/>
  <c r="F23" i="54"/>
  <c r="E24" i="53"/>
  <c r="F23" i="53"/>
  <c r="B38" i="53"/>
  <c r="B38" i="52"/>
  <c r="E24" i="52"/>
  <c r="F23" i="52"/>
  <c r="E24" i="51"/>
  <c r="F23" i="51"/>
  <c r="B38" i="51"/>
  <c r="E24" i="50"/>
  <c r="F23" i="50"/>
  <c r="B36" i="50"/>
  <c r="B40" i="49"/>
  <c r="E24" i="49"/>
  <c r="F23" i="49"/>
  <c r="A34" i="48" a="1"/>
  <c r="A34" i="48" s="1"/>
  <c r="D34" i="48" a="1"/>
  <c r="D34" i="48" s="1"/>
  <c r="C34" i="48" a="1"/>
  <c r="C34" i="48" s="1"/>
  <c r="B36" i="48"/>
  <c r="E24" i="48"/>
  <c r="F23" i="48"/>
  <c r="B38" i="47"/>
  <c r="E24" i="47"/>
  <c r="F23" i="47"/>
  <c r="E24" i="46"/>
  <c r="F23" i="46"/>
  <c r="B38" i="46"/>
  <c r="E24" i="45"/>
  <c r="F24" i="45" s="1"/>
  <c r="B36" i="45"/>
  <c r="E48" i="31"/>
  <c r="E49" i="31"/>
  <c r="AG42" i="25"/>
  <c r="AF42" i="25"/>
  <c r="E25" i="54" l="1"/>
  <c r="F24" i="54"/>
  <c r="B40" i="54"/>
  <c r="B40" i="53"/>
  <c r="E25" i="53"/>
  <c r="F24" i="53"/>
  <c r="B40" i="52"/>
  <c r="E25" i="52"/>
  <c r="F24" i="52"/>
  <c r="B40" i="51"/>
  <c r="E25" i="51"/>
  <c r="F24" i="51"/>
  <c r="B38" i="50"/>
  <c r="E25" i="50"/>
  <c r="F24" i="50"/>
  <c r="E25" i="49"/>
  <c r="F24" i="49"/>
  <c r="B42" i="49"/>
  <c r="E25" i="48"/>
  <c r="F24" i="48"/>
  <c r="B38" i="48"/>
  <c r="A36" i="48" a="1"/>
  <c r="A36" i="48" s="1"/>
  <c r="D36" i="48" a="1"/>
  <c r="D36" i="48" s="1"/>
  <c r="C36" i="48" a="1"/>
  <c r="C36" i="48" s="1"/>
  <c r="E25" i="47"/>
  <c r="F24" i="47"/>
  <c r="B40" i="47"/>
  <c r="B40" i="46"/>
  <c r="E25" i="46"/>
  <c r="F24" i="46"/>
  <c r="B38" i="45"/>
  <c r="E25" i="45"/>
  <c r="F25" i="45" s="1"/>
  <c r="F76" i="4"/>
  <c r="F77" i="4"/>
  <c r="B42" i="54" l="1"/>
  <c r="E26" i="54"/>
  <c r="F25" i="54"/>
  <c r="E26" i="53"/>
  <c r="F25" i="53"/>
  <c r="B42" i="53"/>
  <c r="B42" i="52"/>
  <c r="E26" i="52"/>
  <c r="F25" i="52"/>
  <c r="B42" i="51"/>
  <c r="E26" i="51"/>
  <c r="F25" i="51"/>
  <c r="E26" i="50"/>
  <c r="F25" i="50"/>
  <c r="B40" i="50"/>
  <c r="E26" i="49"/>
  <c r="F25" i="49"/>
  <c r="B40" i="48"/>
  <c r="A38" i="48" a="1"/>
  <c r="A38" i="48" s="1"/>
  <c r="D38" i="48" a="1"/>
  <c r="D38" i="48" s="1"/>
  <c r="C38" i="48" a="1"/>
  <c r="C38" i="48" s="1"/>
  <c r="E26" i="48"/>
  <c r="F25" i="48"/>
  <c r="B42" i="47"/>
  <c r="E26" i="47"/>
  <c r="F25" i="47"/>
  <c r="E26" i="46"/>
  <c r="F25" i="46"/>
  <c r="B42" i="46"/>
  <c r="E26" i="45"/>
  <c r="F26" i="45" s="1"/>
  <c r="B40" i="45"/>
  <c r="AA42" i="25"/>
  <c r="T42" i="25"/>
  <c r="S42" i="25"/>
  <c r="P42" i="25"/>
  <c r="O42" i="25"/>
  <c r="K42" i="25"/>
  <c r="F26" i="54" l="1"/>
  <c r="E27" i="54"/>
  <c r="F26" i="53"/>
  <c r="E27" i="53"/>
  <c r="F26" i="52"/>
  <c r="E27" i="52"/>
  <c r="F26" i="51"/>
  <c r="E27" i="51"/>
  <c r="B42" i="50"/>
  <c r="F26" i="50"/>
  <c r="E27" i="50"/>
  <c r="F26" i="49"/>
  <c r="E27" i="49"/>
  <c r="F26" i="48"/>
  <c r="E27" i="48"/>
  <c r="C40" i="48" a="1"/>
  <c r="C40" i="48" s="1"/>
  <c r="B42" i="48"/>
  <c r="A40" i="48" a="1"/>
  <c r="A40" i="48" s="1"/>
  <c r="D40" i="48" a="1"/>
  <c r="D40" i="48" s="1"/>
  <c r="F26" i="47"/>
  <c r="E27" i="47"/>
  <c r="F26" i="46"/>
  <c r="E27" i="46"/>
  <c r="B42" i="45"/>
  <c r="E27" i="45"/>
  <c r="F27" i="45" s="1"/>
  <c r="AB42" i="25"/>
  <c r="J42" i="25"/>
  <c r="L42" i="25" s="1"/>
  <c r="G14" i="29"/>
  <c r="D4" i="29"/>
  <c r="H3" i="29"/>
  <c r="D3" i="29" s="1"/>
  <c r="F74" i="4"/>
  <c r="F75" i="4"/>
  <c r="AH47" i="25"/>
  <c r="E28" i="54" l="1"/>
  <c r="F27" i="54"/>
  <c r="E28" i="53"/>
  <c r="F27" i="53"/>
  <c r="E28" i="52"/>
  <c r="F27" i="52"/>
  <c r="E28" i="51"/>
  <c r="F27" i="51"/>
  <c r="E28" i="50"/>
  <c r="F27" i="50"/>
  <c r="E28" i="49"/>
  <c r="F27" i="49"/>
  <c r="C42" i="48" a="1"/>
  <c r="C42" i="48" s="1"/>
  <c r="A42" i="48" a="1"/>
  <c r="A42" i="48" s="1"/>
  <c r="D42" i="48" a="1"/>
  <c r="D42" i="48" s="1"/>
  <c r="E28" i="48"/>
  <c r="F27" i="48"/>
  <c r="E28" i="47"/>
  <c r="F27" i="47"/>
  <c r="E28" i="46"/>
  <c r="F27" i="46"/>
  <c r="E28" i="45"/>
  <c r="F28" i="45" s="1"/>
  <c r="G42" i="25"/>
  <c r="U42" i="25"/>
  <c r="D14" i="29"/>
  <c r="AD47" i="25"/>
  <c r="E29" i="54" l="1"/>
  <c r="F28" i="54"/>
  <c r="E29" i="53"/>
  <c r="F28" i="53"/>
  <c r="E29" i="52"/>
  <c r="F28" i="52"/>
  <c r="E29" i="51"/>
  <c r="F28" i="51"/>
  <c r="E29" i="50"/>
  <c r="F28" i="50"/>
  <c r="E29" i="49"/>
  <c r="F28" i="49"/>
  <c r="E29" i="48"/>
  <c r="F28" i="48"/>
  <c r="E29" i="47"/>
  <c r="F28" i="47"/>
  <c r="E29" i="46"/>
  <c r="F28" i="46"/>
  <c r="E29" i="45"/>
  <c r="F29" i="45" s="1"/>
  <c r="D47" i="31"/>
  <c r="D46" i="31"/>
  <c r="E30" i="54" l="1"/>
  <c r="F29" i="54"/>
  <c r="E30" i="53"/>
  <c r="F29" i="53"/>
  <c r="E30" i="52"/>
  <c r="F29" i="52"/>
  <c r="E30" i="51"/>
  <c r="F29" i="51"/>
  <c r="E30" i="50"/>
  <c r="F29" i="50"/>
  <c r="E30" i="49"/>
  <c r="F29" i="49"/>
  <c r="E30" i="48"/>
  <c r="F29" i="48"/>
  <c r="E30" i="47"/>
  <c r="F29" i="47"/>
  <c r="E30" i="46"/>
  <c r="F29" i="46"/>
  <c r="E30" i="45"/>
  <c r="F30" i="45" s="1"/>
  <c r="M46" i="31"/>
  <c r="M47" i="31"/>
  <c r="K46" i="31"/>
  <c r="L46" i="31" s="1"/>
  <c r="K47" i="31"/>
  <c r="L47" i="31" s="1"/>
  <c r="E31" i="54" l="1"/>
  <c r="F30" i="54"/>
  <c r="E31" i="53"/>
  <c r="F30" i="53"/>
  <c r="E31" i="52"/>
  <c r="F30" i="52"/>
  <c r="E31" i="51"/>
  <c r="F30" i="51"/>
  <c r="E31" i="50"/>
  <c r="F30" i="50"/>
  <c r="E31" i="49"/>
  <c r="F30" i="49"/>
  <c r="E31" i="48"/>
  <c r="F30" i="48"/>
  <c r="E31" i="47"/>
  <c r="F30" i="47"/>
  <c r="E31" i="46"/>
  <c r="F30" i="46"/>
  <c r="E31" i="45"/>
  <c r="F31" i="45" s="1"/>
  <c r="E47" i="31"/>
  <c r="E46" i="31"/>
  <c r="AG21" i="25"/>
  <c r="F31" i="54" l="1"/>
  <c r="E32" i="54"/>
  <c r="F31" i="53"/>
  <c r="E32" i="53"/>
  <c r="F31" i="52"/>
  <c r="E32" i="52"/>
  <c r="F31" i="51"/>
  <c r="E32" i="51"/>
  <c r="F31" i="50"/>
  <c r="E32" i="50"/>
  <c r="F31" i="49"/>
  <c r="E32" i="49"/>
  <c r="F31" i="48"/>
  <c r="E32" i="48"/>
  <c r="F31" i="47"/>
  <c r="E32" i="47"/>
  <c r="F31" i="46"/>
  <c r="E32" i="46"/>
  <c r="E32" i="45"/>
  <c r="F32" i="45" s="1"/>
  <c r="AH26" i="25"/>
  <c r="AA47" i="25"/>
  <c r="J47" i="25" s="1"/>
  <c r="AF47" i="25"/>
  <c r="AG47" i="25"/>
  <c r="T47" i="25"/>
  <c r="S47" i="25"/>
  <c r="P47" i="25"/>
  <c r="O47" i="25"/>
  <c r="N47" i="25"/>
  <c r="K47" i="25"/>
  <c r="E33" i="54" l="1"/>
  <c r="F32" i="54"/>
  <c r="E33" i="53"/>
  <c r="F32" i="53"/>
  <c r="E33" i="52"/>
  <c r="F32" i="52"/>
  <c r="E33" i="51"/>
  <c r="F32" i="51"/>
  <c r="E33" i="50"/>
  <c r="F32" i="50"/>
  <c r="E33" i="49"/>
  <c r="F32" i="49"/>
  <c r="E33" i="48"/>
  <c r="F32" i="48"/>
  <c r="E33" i="47"/>
  <c r="F32" i="47"/>
  <c r="E33" i="46"/>
  <c r="F32" i="46"/>
  <c r="E33" i="45"/>
  <c r="F33" i="45" s="1"/>
  <c r="L47" i="25"/>
  <c r="AC26" i="25"/>
  <c r="AF26" i="25"/>
  <c r="AG26" i="25"/>
  <c r="AB47" i="25"/>
  <c r="Q47" i="25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F33" i="54" l="1"/>
  <c r="E34" i="54"/>
  <c r="F33" i="53"/>
  <c r="E34" i="53"/>
  <c r="F33" i="52"/>
  <c r="E34" i="52"/>
  <c r="F33" i="51"/>
  <c r="E34" i="51"/>
  <c r="F33" i="50"/>
  <c r="E34" i="50"/>
  <c r="F33" i="49"/>
  <c r="E34" i="49"/>
  <c r="F33" i="48"/>
  <c r="E34" i="48"/>
  <c r="F33" i="47"/>
  <c r="E34" i="47"/>
  <c r="F33" i="46"/>
  <c r="E34" i="46"/>
  <c r="E34" i="45"/>
  <c r="F34" i="45" s="1"/>
  <c r="U47" i="25"/>
  <c r="H47" i="25" s="1"/>
  <c r="G47" i="25"/>
  <c r="E35" i="54" l="1"/>
  <c r="F34" i="54"/>
  <c r="E35" i="53"/>
  <c r="F34" i="53"/>
  <c r="E35" i="52"/>
  <c r="F34" i="52"/>
  <c r="E35" i="51"/>
  <c r="F34" i="51"/>
  <c r="E35" i="50"/>
  <c r="F34" i="50"/>
  <c r="E35" i="49"/>
  <c r="F34" i="49"/>
  <c r="E35" i="48"/>
  <c r="F34" i="48"/>
  <c r="E35" i="47"/>
  <c r="F34" i="47"/>
  <c r="E35" i="46"/>
  <c r="F34" i="46"/>
  <c r="E35" i="45"/>
  <c r="F35" i="45" s="1"/>
  <c r="S52" i="25"/>
  <c r="S11" i="25"/>
  <c r="G5" i="30"/>
  <c r="T53" i="25"/>
  <c r="T11" i="25"/>
  <c r="E36" i="54" l="1"/>
  <c r="F35" i="54"/>
  <c r="E36" i="53"/>
  <c r="F35" i="53"/>
  <c r="E36" i="52"/>
  <c r="F35" i="52"/>
  <c r="E36" i="51"/>
  <c r="F35" i="51"/>
  <c r="E36" i="50"/>
  <c r="F35" i="50"/>
  <c r="E36" i="49"/>
  <c r="F35" i="49"/>
  <c r="E36" i="48"/>
  <c r="F35" i="48"/>
  <c r="E36" i="47"/>
  <c r="F35" i="47"/>
  <c r="E36" i="46"/>
  <c r="F35" i="46"/>
  <c r="E36" i="45"/>
  <c r="F36" i="45" s="1"/>
  <c r="M45" i="31"/>
  <c r="M44" i="31"/>
  <c r="M43" i="31"/>
  <c r="M42" i="31"/>
  <c r="M41" i="31"/>
  <c r="M40" i="31"/>
  <c r="M39" i="31"/>
  <c r="M38" i="31"/>
  <c r="M37" i="31"/>
  <c r="M36" i="31"/>
  <c r="M35" i="31"/>
  <c r="M34" i="31"/>
  <c r="M33" i="31"/>
  <c r="M32" i="31"/>
  <c r="M31" i="31"/>
  <c r="M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8" i="31"/>
  <c r="M7" i="31"/>
  <c r="M6" i="31"/>
  <c r="M5" i="31"/>
  <c r="M4" i="31"/>
  <c r="AG11" i="25"/>
  <c r="E37" i="54" l="1"/>
  <c r="F36" i="54"/>
  <c r="E37" i="53"/>
  <c r="F36" i="53"/>
  <c r="E37" i="52"/>
  <c r="F36" i="52"/>
  <c r="E37" i="51"/>
  <c r="F36" i="51"/>
  <c r="E37" i="50"/>
  <c r="F36" i="50"/>
  <c r="E37" i="49"/>
  <c r="F36" i="49"/>
  <c r="E37" i="48"/>
  <c r="F36" i="48"/>
  <c r="E37" i="47"/>
  <c r="F36" i="47"/>
  <c r="E37" i="46"/>
  <c r="F36" i="46"/>
  <c r="E37" i="45"/>
  <c r="F37" i="45" s="1"/>
  <c r="P53" i="25"/>
  <c r="P11" i="25"/>
  <c r="K35" i="31"/>
  <c r="T66" i="25" s="1"/>
  <c r="E36" i="31"/>
  <c r="K37" i="31"/>
  <c r="L37" i="31" s="1"/>
  <c r="K38" i="31"/>
  <c r="E39" i="31"/>
  <c r="E40" i="31"/>
  <c r="K41" i="31"/>
  <c r="L41" i="31" s="1"/>
  <c r="K42" i="31"/>
  <c r="E43" i="31"/>
  <c r="K44" i="31"/>
  <c r="L44" i="31" s="1"/>
  <c r="K45" i="31"/>
  <c r="T27" i="25" s="1"/>
  <c r="K31" i="31"/>
  <c r="K32" i="31"/>
  <c r="L32" i="31" s="1"/>
  <c r="K33" i="31"/>
  <c r="K34" i="31"/>
  <c r="L34" i="31" s="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8" i="54" l="1"/>
  <c r="F37" i="54"/>
  <c r="E38" i="53"/>
  <c r="F37" i="53"/>
  <c r="E38" i="52"/>
  <c r="F37" i="52"/>
  <c r="E38" i="51"/>
  <c r="F37" i="51"/>
  <c r="E38" i="50"/>
  <c r="F37" i="50"/>
  <c r="E38" i="49"/>
  <c r="F37" i="49"/>
  <c r="E38" i="48"/>
  <c r="F37" i="48"/>
  <c r="E38" i="47"/>
  <c r="F37" i="47"/>
  <c r="E38" i="46"/>
  <c r="F37" i="46"/>
  <c r="E38" i="45"/>
  <c r="F38" i="45" s="1"/>
  <c r="P52" i="25"/>
  <c r="P20" i="25"/>
  <c r="K40" i="31"/>
  <c r="T37" i="25" s="1"/>
  <c r="E33" i="31"/>
  <c r="E34" i="31"/>
  <c r="T56" i="25"/>
  <c r="K36" i="31"/>
  <c r="T32" i="25" s="1"/>
  <c r="P13" i="25"/>
  <c r="T54" i="25"/>
  <c r="P15" i="25"/>
  <c r="P61" i="25"/>
  <c r="P21" i="25"/>
  <c r="P12" i="25"/>
  <c r="P14" i="25"/>
  <c r="L33" i="31"/>
  <c r="L42" i="31"/>
  <c r="L38" i="31"/>
  <c r="L31" i="31"/>
  <c r="L35" i="31"/>
  <c r="E31" i="31"/>
  <c r="E37" i="31"/>
  <c r="P32" i="25" s="1"/>
  <c r="E41" i="31"/>
  <c r="P37" i="25" s="1"/>
  <c r="K43" i="31"/>
  <c r="L43" i="31" s="1"/>
  <c r="K39" i="31"/>
  <c r="L39" i="31" s="1"/>
  <c r="E44" i="31"/>
  <c r="E32" i="31"/>
  <c r="E38" i="31"/>
  <c r="P80" i="25" s="1"/>
  <c r="E42" i="31"/>
  <c r="L45" i="31"/>
  <c r="E35" i="31"/>
  <c r="P66" i="25" s="1"/>
  <c r="E45" i="31"/>
  <c r="P27" i="25" s="1"/>
  <c r="K8" i="31"/>
  <c r="L8" i="31" s="1"/>
  <c r="K26" i="31"/>
  <c r="L26" i="31" s="1"/>
  <c r="K14" i="31"/>
  <c r="K12" i="31"/>
  <c r="K20" i="31"/>
  <c r="K18" i="31"/>
  <c r="L18" i="31" s="1"/>
  <c r="K6" i="31"/>
  <c r="K24" i="31"/>
  <c r="L24" i="31" s="1"/>
  <c r="K13" i="31"/>
  <c r="K25" i="31"/>
  <c r="L25" i="31" s="1"/>
  <c r="K7" i="31"/>
  <c r="K19" i="31"/>
  <c r="K4" i="31"/>
  <c r="K5" i="31"/>
  <c r="K15" i="31"/>
  <c r="K16" i="31"/>
  <c r="L16" i="31" s="1"/>
  <c r="K17" i="31"/>
  <c r="K27" i="31"/>
  <c r="L27" i="31" s="1"/>
  <c r="K28" i="31"/>
  <c r="L28" i="31" s="1"/>
  <c r="K29" i="31"/>
  <c r="K30" i="31"/>
  <c r="L30" i="31" s="1"/>
  <c r="K9" i="31"/>
  <c r="K10" i="31"/>
  <c r="K11" i="31"/>
  <c r="L11" i="31" s="1"/>
  <c r="K21" i="31"/>
  <c r="K22" i="31"/>
  <c r="L22" i="31" s="1"/>
  <c r="K23" i="31"/>
  <c r="F38" i="54" l="1"/>
  <c r="E39" i="54"/>
  <c r="F38" i="53"/>
  <c r="E39" i="53"/>
  <c r="F38" i="52"/>
  <c r="E39" i="52"/>
  <c r="F38" i="51"/>
  <c r="E39" i="51"/>
  <c r="F38" i="50"/>
  <c r="E39" i="50"/>
  <c r="F38" i="49"/>
  <c r="E39" i="49"/>
  <c r="F38" i="48"/>
  <c r="E39" i="48"/>
  <c r="F38" i="47"/>
  <c r="E39" i="47"/>
  <c r="F38" i="46"/>
  <c r="E39" i="46"/>
  <c r="E39" i="45"/>
  <c r="F39" i="45" s="1"/>
  <c r="T12" i="25"/>
  <c r="P26" i="25"/>
  <c r="L40" i="31"/>
  <c r="P56" i="25"/>
  <c r="T13" i="25"/>
  <c r="T21" i="25"/>
  <c r="T15" i="25"/>
  <c r="L36" i="31"/>
  <c r="T80" i="25"/>
  <c r="T52" i="25"/>
  <c r="T61" i="25"/>
  <c r="P54" i="25"/>
  <c r="T20" i="25"/>
  <c r="T14" i="25"/>
  <c r="T26" i="25"/>
  <c r="L21" i="31"/>
  <c r="L4" i="31"/>
  <c r="L19" i="31"/>
  <c r="L10" i="31"/>
  <c r="L23" i="31"/>
  <c r="L17" i="31"/>
  <c r="L15" i="31"/>
  <c r="L20" i="31"/>
  <c r="L14" i="31"/>
  <c r="L5" i="31"/>
  <c r="L13" i="31"/>
  <c r="L29" i="31"/>
  <c r="L6" i="31"/>
  <c r="L12" i="31"/>
  <c r="L7" i="31"/>
  <c r="L9" i="31"/>
  <c r="E40" i="54" l="1"/>
  <c r="F39" i="54"/>
  <c r="E40" i="53"/>
  <c r="F39" i="53"/>
  <c r="E40" i="52"/>
  <c r="F39" i="52"/>
  <c r="E40" i="51"/>
  <c r="F39" i="51"/>
  <c r="E40" i="50"/>
  <c r="F39" i="50"/>
  <c r="E40" i="49"/>
  <c r="F39" i="49"/>
  <c r="E40" i="48"/>
  <c r="F39" i="48"/>
  <c r="E40" i="47"/>
  <c r="F39" i="47"/>
  <c r="E40" i="46"/>
  <c r="F39" i="46"/>
  <c r="E40" i="45"/>
  <c r="F40" i="45" s="1"/>
  <c r="O80" i="25"/>
  <c r="O32" i="25"/>
  <c r="O37" i="25"/>
  <c r="O27" i="25"/>
  <c r="O26" i="25"/>
  <c r="O21" i="25"/>
  <c r="O20" i="25"/>
  <c r="O66" i="25"/>
  <c r="O61" i="25"/>
  <c r="O53" i="25"/>
  <c r="O56" i="25"/>
  <c r="O54" i="25"/>
  <c r="O52" i="25"/>
  <c r="O15" i="25"/>
  <c r="O14" i="25"/>
  <c r="O13" i="25"/>
  <c r="O12" i="25"/>
  <c r="O11" i="25"/>
  <c r="N80" i="25"/>
  <c r="N32" i="25"/>
  <c r="N27" i="25"/>
  <c r="N26" i="25"/>
  <c r="N66" i="25"/>
  <c r="N56" i="25"/>
  <c r="N11" i="25"/>
  <c r="D19" i="29"/>
  <c r="N15" i="25" s="1"/>
  <c r="D18" i="29"/>
  <c r="N14" i="25" s="1"/>
  <c r="D17" i="29"/>
  <c r="N21" i="25" s="1"/>
  <c r="D16" i="29"/>
  <c r="N54" i="25" s="1"/>
  <c r="D15" i="29"/>
  <c r="N20" i="25" s="1"/>
  <c r="D13" i="29"/>
  <c r="N61" i="25" s="1"/>
  <c r="D12" i="29"/>
  <c r="N53" i="25" s="1"/>
  <c r="D11" i="29"/>
  <c r="N13" i="25" s="1"/>
  <c r="D10" i="29"/>
  <c r="N12" i="25" s="1"/>
  <c r="D9" i="29"/>
  <c r="N52" i="25" s="1"/>
  <c r="D8" i="29"/>
  <c r="D7" i="29"/>
  <c r="D6" i="29"/>
  <c r="N42" i="25" s="1"/>
  <c r="Q42" i="25" s="1"/>
  <c r="H42" i="25" s="1"/>
  <c r="D5" i="29"/>
  <c r="N37" i="25" s="1"/>
  <c r="J21" i="30"/>
  <c r="G21" i="30" s="1"/>
  <c r="S56" i="25" s="1"/>
  <c r="H6" i="30"/>
  <c r="G6" i="30" s="1"/>
  <c r="H20" i="30"/>
  <c r="G20" i="30" s="1"/>
  <c r="S80" i="25" s="1"/>
  <c r="H17" i="30"/>
  <c r="G17" i="30" s="1"/>
  <c r="S26" i="25" s="1"/>
  <c r="H16" i="30"/>
  <c r="G16" i="30" s="1"/>
  <c r="S66" i="25" s="1"/>
  <c r="H15" i="30"/>
  <c r="G15" i="30" s="1"/>
  <c r="S61" i="25" s="1"/>
  <c r="H14" i="30"/>
  <c r="G14" i="30" s="1"/>
  <c r="S53" i="25" s="1"/>
  <c r="H13" i="30"/>
  <c r="G13" i="30" s="1"/>
  <c r="S15" i="25" s="1"/>
  <c r="H12" i="30"/>
  <c r="G12" i="30" s="1"/>
  <c r="S14" i="25" s="1"/>
  <c r="H11" i="30"/>
  <c r="G11" i="30" s="1"/>
  <c r="S21" i="25" s="1"/>
  <c r="H10" i="30"/>
  <c r="G10" i="30" s="1"/>
  <c r="S54" i="25" s="1"/>
  <c r="H9" i="30"/>
  <c r="G9" i="30" s="1"/>
  <c r="S20" i="25" s="1"/>
  <c r="H8" i="30"/>
  <c r="G8" i="30" s="1"/>
  <c r="S13" i="25" s="1"/>
  <c r="H7" i="30"/>
  <c r="I4" i="30"/>
  <c r="J4" i="30"/>
  <c r="G4" i="30" s="1"/>
  <c r="S37" i="25" s="1"/>
  <c r="E41" i="54" l="1"/>
  <c r="F40" i="54"/>
  <c r="E41" i="53"/>
  <c r="F40" i="53"/>
  <c r="E41" i="52"/>
  <c r="F40" i="52"/>
  <c r="E41" i="51"/>
  <c r="F40" i="51"/>
  <c r="E41" i="50"/>
  <c r="F40" i="50"/>
  <c r="E41" i="49"/>
  <c r="F40" i="49"/>
  <c r="E41" i="48"/>
  <c r="F40" i="48"/>
  <c r="E41" i="47"/>
  <c r="F40" i="47"/>
  <c r="E41" i="46"/>
  <c r="F40" i="46"/>
  <c r="E41" i="45"/>
  <c r="F41" i="45" s="1"/>
  <c r="J7" i="30"/>
  <c r="G7" i="30" s="1"/>
  <c r="S12" i="25" s="1"/>
  <c r="J3" i="30"/>
  <c r="G3" i="30" s="1"/>
  <c r="S32" i="25" s="1"/>
  <c r="E42" i="54" l="1"/>
  <c r="F41" i="54"/>
  <c r="E42" i="53"/>
  <c r="F41" i="53"/>
  <c r="E42" i="52"/>
  <c r="F41" i="52"/>
  <c r="E42" i="51"/>
  <c r="F41" i="51"/>
  <c r="E42" i="50"/>
  <c r="F41" i="50"/>
  <c r="E42" i="49"/>
  <c r="F41" i="49"/>
  <c r="E42" i="48"/>
  <c r="F41" i="48"/>
  <c r="E42" i="47"/>
  <c r="F41" i="47"/>
  <c r="E42" i="46"/>
  <c r="F41" i="46"/>
  <c r="E42" i="45"/>
  <c r="F42" i="45" s="1"/>
  <c r="I6" i="29"/>
  <c r="I4" i="29"/>
  <c r="E43" i="54" l="1"/>
  <c r="F43" i="54" s="1"/>
  <c r="F42" i="54"/>
  <c r="E43" i="53"/>
  <c r="F43" i="53" s="1"/>
  <c r="F42" i="53"/>
  <c r="E43" i="52"/>
  <c r="F43" i="52" s="1"/>
  <c r="F42" i="52"/>
  <c r="E43" i="51"/>
  <c r="F43" i="51" s="1"/>
  <c r="F42" i="51"/>
  <c r="E43" i="50"/>
  <c r="F43" i="50" s="1"/>
  <c r="F42" i="50"/>
  <c r="E43" i="49"/>
  <c r="F43" i="49" s="1"/>
  <c r="F42" i="49"/>
  <c r="E43" i="48"/>
  <c r="F43" i="48" s="1"/>
  <c r="F42" i="48"/>
  <c r="E43" i="47"/>
  <c r="F43" i="47" s="1"/>
  <c r="F42" i="47"/>
  <c r="E43" i="46"/>
  <c r="F43" i="46" s="1"/>
  <c r="F42" i="46"/>
  <c r="E43" i="45"/>
  <c r="F43" i="45" s="1"/>
  <c r="F73" i="4"/>
  <c r="AA66" i="25" s="1"/>
  <c r="F72" i="4"/>
  <c r="F71" i="4"/>
  <c r="F70" i="4"/>
  <c r="Q66" i="25" l="1"/>
  <c r="Y80" i="25"/>
  <c r="K26" i="25"/>
  <c r="K21" i="25"/>
  <c r="K20" i="25"/>
  <c r="K61" i="25"/>
  <c r="K53" i="25"/>
  <c r="K56" i="25"/>
  <c r="K54" i="25"/>
  <c r="K52" i="25"/>
  <c r="K13" i="25"/>
  <c r="K12" i="25"/>
  <c r="K11" i="25"/>
  <c r="AH27" i="25"/>
  <c r="AB66" i="25" l="1"/>
  <c r="J66" i="25"/>
  <c r="AF27" i="25"/>
  <c r="AG27" i="25"/>
  <c r="AC27" i="25"/>
  <c r="K27" i="25" s="1"/>
  <c r="Q27" i="25" s="1"/>
  <c r="H19" i="30"/>
  <c r="G19" i="30" s="1"/>
  <c r="S27" i="25" s="1"/>
  <c r="Q11" i="25"/>
  <c r="AA26" i="25"/>
  <c r="AA27" i="25"/>
  <c r="Q26" i="25"/>
  <c r="U66" i="25" l="1"/>
  <c r="H66" i="25" s="1"/>
  <c r="L66" i="25"/>
  <c r="AB27" i="25"/>
  <c r="J27" i="25"/>
  <c r="L27" i="25" s="1"/>
  <c r="AB26" i="25"/>
  <c r="J26" i="25"/>
  <c r="L26" i="25" s="1"/>
  <c r="G66" i="25"/>
  <c r="U27" i="25" l="1"/>
  <c r="H27" i="25" s="1"/>
  <c r="U26" i="25"/>
  <c r="H26" i="25" s="1"/>
  <c r="G26" i="25"/>
  <c r="G27" i="25"/>
  <c r="AE37" i="25"/>
  <c r="AC37" i="25"/>
  <c r="AD37" i="25"/>
  <c r="Y84" i="25"/>
  <c r="Y83" i="25"/>
  <c r="Y82" i="25"/>
  <c r="Y81" i="25"/>
  <c r="AF80" i="25"/>
  <c r="AG80" i="25"/>
  <c r="Q80" i="25"/>
  <c r="AE32" i="25"/>
  <c r="AD32" i="25"/>
  <c r="AC32" i="25"/>
  <c r="AF71" i="25"/>
  <c r="AG71" i="25"/>
  <c r="AF21" i="25"/>
  <c r="Q21" i="25"/>
  <c r="AF20" i="25"/>
  <c r="AG20" i="25"/>
  <c r="Q20" i="25"/>
  <c r="AE61" i="25"/>
  <c r="AF61" i="25"/>
  <c r="Q61" i="25"/>
  <c r="AF53" i="25"/>
  <c r="AG53" i="25"/>
  <c r="Q53" i="25"/>
  <c r="AF56" i="25"/>
  <c r="AG56" i="25"/>
  <c r="Q56" i="25"/>
  <c r="AF54" i="25"/>
  <c r="Q54" i="25"/>
  <c r="AF52" i="25"/>
  <c r="Q52" i="25"/>
  <c r="AE15" i="25"/>
  <c r="AD15" i="25"/>
  <c r="AD14" i="25"/>
  <c r="AF13" i="25"/>
  <c r="AG13" i="25"/>
  <c r="Q13" i="25"/>
  <c r="AF12" i="25"/>
  <c r="AG12" i="25"/>
  <c r="Q12" i="25"/>
  <c r="AF11" i="25"/>
  <c r="AA11" i="25"/>
  <c r="AB11" i="25" l="1"/>
  <c r="J11" i="25"/>
  <c r="G11" i="25" s="1"/>
  <c r="K32" i="25"/>
  <c r="K37" i="25"/>
  <c r="AG54" i="25"/>
  <c r="AG52" i="25"/>
  <c r="L11" i="25" l="1"/>
  <c r="Q37" i="25"/>
  <c r="Q32" i="25"/>
  <c r="U11" i="25"/>
  <c r="H11" i="25" s="1"/>
  <c r="F68" i="4" l="1"/>
  <c r="F69" i="4"/>
  <c r="AA80" i="25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AA61" i="25" l="1"/>
  <c r="J61" i="25" s="1"/>
  <c r="L61" i="25" s="1"/>
  <c r="AA71" i="25"/>
  <c r="J71" i="25" s="1"/>
  <c r="AA12" i="25"/>
  <c r="J12" i="25" s="1"/>
  <c r="AA84" i="25"/>
  <c r="J84" i="25" s="1"/>
  <c r="AA15" i="25"/>
  <c r="AA32" i="25"/>
  <c r="J32" i="25" s="1"/>
  <c r="L32" i="25" s="1"/>
  <c r="AA81" i="25"/>
  <c r="J81" i="25" s="1"/>
  <c r="AA52" i="25"/>
  <c r="J52" i="25" s="1"/>
  <c r="L52" i="25" s="1"/>
  <c r="AA83" i="25"/>
  <c r="J83" i="25" s="1"/>
  <c r="AB80" i="25"/>
  <c r="J80" i="25"/>
  <c r="G80" i="25" s="1"/>
  <c r="K80" i="25" s="1"/>
  <c r="AA54" i="25"/>
  <c r="J54" i="25" s="1"/>
  <c r="L54" i="25" s="1"/>
  <c r="AA82" i="25"/>
  <c r="J82" i="25" s="1"/>
  <c r="AA14" i="25"/>
  <c r="AA13" i="25"/>
  <c r="J13" i="25" s="1"/>
  <c r="AA21" i="25"/>
  <c r="AA56" i="25"/>
  <c r="J56" i="25" s="1"/>
  <c r="L56" i="25" s="1"/>
  <c r="AA37" i="25"/>
  <c r="AA20" i="25"/>
  <c r="J20" i="25" s="1"/>
  <c r="G71" i="25" l="1"/>
  <c r="L71" i="25"/>
  <c r="U71" i="25"/>
  <c r="H71" i="25" s="1"/>
  <c r="AB37" i="25"/>
  <c r="J37" i="25"/>
  <c r="L37" i="25" s="1"/>
  <c r="L12" i="25"/>
  <c r="U80" i="25"/>
  <c r="H80" i="25" s="1"/>
  <c r="AB20" i="25"/>
  <c r="AB13" i="25"/>
  <c r="L13" i="25"/>
  <c r="G82" i="25"/>
  <c r="K82" i="25" s="1"/>
  <c r="AB54" i="25"/>
  <c r="G83" i="25"/>
  <c r="K83" i="25" s="1"/>
  <c r="AB61" i="25"/>
  <c r="AB15" i="25"/>
  <c r="J15" i="25" s="1"/>
  <c r="L15" i="25" s="1"/>
  <c r="AB12" i="25"/>
  <c r="AB56" i="25"/>
  <c r="AB21" i="25"/>
  <c r="J21" i="25" s="1"/>
  <c r="L21" i="25" s="1"/>
  <c r="AB14" i="25"/>
  <c r="J14" i="25" s="1"/>
  <c r="L14" i="25" s="1"/>
  <c r="AB52" i="25"/>
  <c r="AB32" i="25"/>
  <c r="G84" i="25"/>
  <c r="K84" i="25" s="1"/>
  <c r="L20" i="25" l="1"/>
  <c r="G32" i="25"/>
  <c r="G56" i="25"/>
  <c r="G12" i="25"/>
  <c r="G54" i="25"/>
  <c r="G13" i="25"/>
  <c r="G37" i="25"/>
  <c r="G52" i="25"/>
  <c r="G21" i="25"/>
  <c r="G61" i="25"/>
  <c r="U20" i="25"/>
  <c r="H20" i="25" s="1"/>
  <c r="G20" i="25"/>
  <c r="U32" i="25"/>
  <c r="H32" i="25" s="1"/>
  <c r="U12" i="25"/>
  <c r="H12" i="25" s="1"/>
  <c r="U15" i="25"/>
  <c r="U37" i="25"/>
  <c r="H37" i="25" s="1"/>
  <c r="U21" i="25"/>
  <c r="H21" i="25" s="1"/>
  <c r="U14" i="25"/>
  <c r="U56" i="25"/>
  <c r="H56" i="25" s="1"/>
  <c r="U54" i="25"/>
  <c r="H54" i="25" s="1"/>
  <c r="U13" i="25"/>
  <c r="H13" i="25" s="1"/>
  <c r="U52" i="25"/>
  <c r="H52" i="25" s="1"/>
  <c r="U61" i="25"/>
  <c r="H61" i="25" s="1"/>
  <c r="F2" i="4"/>
  <c r="AA53" i="25" l="1"/>
  <c r="J53" i="25" s="1"/>
  <c r="L53" i="25" s="1"/>
  <c r="AB53" i="25" l="1"/>
  <c r="G53" i="25" l="1"/>
  <c r="U53" i="25"/>
  <c r="H53" i="25" s="1"/>
  <c r="AE11" i="25" l="1"/>
  <c r="G14" i="25"/>
  <c r="Q14" i="25"/>
  <c r="H14" i="25" s="1"/>
  <c r="G15" i="25"/>
  <c r="Q15" i="25"/>
  <c r="H15" i="25" s="1"/>
  <c r="AB71" i="25" l="1"/>
</calcChain>
</file>

<file path=xl/comments1.xml><?xml version="1.0" encoding="utf-8"?>
<comments xmlns="http://schemas.openxmlformats.org/spreadsheetml/2006/main">
  <authors>
    <author>Logistica1</author>
    <author>Pablo Martos</author>
    <author>Pagos</author>
  </authors>
  <commentList>
    <comment ref="AF1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Corresponde a 1 caja
</t>
        </r>
      </text>
    </comment>
    <comment ref="AD47" authorId="1" shapeId="0">
      <text>
        <r>
          <rPr>
            <b/>
            <sz val="9"/>
            <color indexed="81"/>
            <rFont val="Tahoma"/>
            <family val="2"/>
          </rPr>
          <t>Pablo Martos:</t>
        </r>
        <r>
          <rPr>
            <sz val="9"/>
            <color indexed="81"/>
            <rFont val="Tahoma"/>
            <family val="2"/>
          </rPr>
          <t xml:space="preserve">
Pedido minimo equivalente a $600.000
</t>
        </r>
      </text>
    </comment>
    <comment ref="AC66" authorId="2" shapeId="0">
      <text>
        <r>
          <rPr>
            <b/>
            <sz val="9"/>
            <color indexed="81"/>
            <rFont val="Tahoma"/>
            <family val="2"/>
          </rPr>
          <t>Pagos:</t>
        </r>
        <r>
          <rPr>
            <sz val="9"/>
            <color indexed="81"/>
            <rFont val="Tahoma"/>
            <family val="2"/>
          </rPr>
          <t xml:space="preserve">
Cantidad de unidades que salen en un rollo
</t>
        </r>
      </text>
    </comment>
  </commentList>
</comments>
</file>

<file path=xl/comments2.xml><?xml version="1.0" encoding="utf-8"?>
<comments xmlns="http://schemas.openxmlformats.org/spreadsheetml/2006/main">
  <authors>
    <author>Recepción</author>
    <author>Logistica2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B115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B151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56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66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se importa mas este art se fabrica nacional</t>
        </r>
      </text>
    </comment>
    <comment ref="B170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Se usa el 544 nacional
</t>
        </r>
      </text>
    </comment>
  </commentList>
</comments>
</file>

<file path=xl/comments3.xml><?xml version="1.0" encoding="utf-8"?>
<comments xmlns="http://schemas.openxmlformats.org/spreadsheetml/2006/main">
  <authors>
    <author>Logistica2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90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1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<sst xmlns="http://schemas.openxmlformats.org/spreadsheetml/2006/main" count="1795" uniqueCount="575">
  <si>
    <t>Sector</t>
  </si>
  <si>
    <t>Prov</t>
  </si>
  <si>
    <t>Descripcion</t>
  </si>
  <si>
    <t>Cons x Mes</t>
  </si>
  <si>
    <t>Uni Sueltas</t>
  </si>
  <si>
    <t>Stock Total</t>
  </si>
  <si>
    <t>BOM2</t>
  </si>
  <si>
    <t>Giser</t>
  </si>
  <si>
    <t>BOM3</t>
  </si>
  <si>
    <t>Aluher</t>
  </si>
  <si>
    <t>Caño Alum Bombilla p/ Anodizar</t>
  </si>
  <si>
    <t>BOM4</t>
  </si>
  <si>
    <t>Resorte Charcas</t>
  </si>
  <si>
    <t>Resorte p/ Bombilla Autolimp.</t>
  </si>
  <si>
    <t>BOM5</t>
  </si>
  <si>
    <t>Buje Bombilla Bronce</t>
  </si>
  <si>
    <t>BOM6</t>
  </si>
  <si>
    <t>Adorno Bombilla Bronce</t>
  </si>
  <si>
    <t>BOM7</t>
  </si>
  <si>
    <t>Resorte p/ Bombilla Crudo</t>
  </si>
  <si>
    <t>BOM8</t>
  </si>
  <si>
    <t>Roosvelt</t>
  </si>
  <si>
    <t>Resorte p/ Bombilla Niq</t>
  </si>
  <si>
    <t>BOM9</t>
  </si>
  <si>
    <t>Cañito Pincel  Pastelero</t>
  </si>
  <si>
    <t>BOM11</t>
  </si>
  <si>
    <t>Tapita Aluminio</t>
  </si>
  <si>
    <t>BOM12</t>
  </si>
  <si>
    <t>Caño Inox 140 mm</t>
  </si>
  <si>
    <t>BOM14</t>
  </si>
  <si>
    <t>Caño Inox 170 mm</t>
  </si>
  <si>
    <t>Raspa y Cia</t>
  </si>
  <si>
    <t>Cerda P/Pincel Pastelero</t>
  </si>
  <si>
    <t>Metalurg Eclipse</t>
  </si>
  <si>
    <t>Enrulador Largo</t>
  </si>
  <si>
    <t>Enrulador Corto</t>
  </si>
  <si>
    <t>BOM10</t>
  </si>
  <si>
    <t>Resortes Charcas</t>
  </si>
  <si>
    <t>Resorte Biconico</t>
  </si>
  <si>
    <t>Resorte Batidor Pera</t>
  </si>
  <si>
    <t>Resorte Conico Cuchara Helado</t>
  </si>
  <si>
    <t>Vastago Pisapapa</t>
  </si>
  <si>
    <t xml:space="preserve">Pelador Mgo Plastico     </t>
  </si>
  <si>
    <t xml:space="preserve">Pelador Mgo Metalico     </t>
  </si>
  <si>
    <t xml:space="preserve">Abrelatas Uña            </t>
  </si>
  <si>
    <t xml:space="preserve">Pelapapas Mgo Ergonomico </t>
  </si>
  <si>
    <t xml:space="preserve">Filtro De Cafe           </t>
  </si>
  <si>
    <t xml:space="preserve">Afila Cuchillos          </t>
  </si>
  <si>
    <t xml:space="preserve">Abrelatas A Manija       </t>
  </si>
  <si>
    <t>435E</t>
  </si>
  <si>
    <t xml:space="preserve">Colador Acero Inox 10 Cm </t>
  </si>
  <si>
    <t xml:space="preserve">Corta Queso              </t>
  </si>
  <si>
    <t xml:space="preserve">Rallador Cilindrico      </t>
  </si>
  <si>
    <t xml:space="preserve">Colador N°8              </t>
  </si>
  <si>
    <t xml:space="preserve">Batidor Pera Alambre     </t>
  </si>
  <si>
    <t xml:space="preserve">Abrelatas A Mariposa     </t>
  </si>
  <si>
    <t xml:space="preserve">Colador N°10             </t>
  </si>
  <si>
    <t xml:space="preserve">Espatula Repostera Plast </t>
  </si>
  <si>
    <t>Sacacorcho Tipo Mozo Color</t>
  </si>
  <si>
    <t xml:space="preserve">Pisa Papas Acero Inox    </t>
  </si>
  <si>
    <t>Pelapapas Cuchilla Corte Laser</t>
  </si>
  <si>
    <t>Abrelata Uña Cromado</t>
  </si>
  <si>
    <t xml:space="preserve">Sacacorcho Doble Aleta   </t>
  </si>
  <si>
    <t>502E</t>
  </si>
  <si>
    <t xml:space="preserve">Abrelata Mariposa        </t>
  </si>
  <si>
    <t xml:space="preserve">Abrelata Uña Pie Color   </t>
  </si>
  <si>
    <t>Filtro De Cafe Gastronomi</t>
  </si>
  <si>
    <t>Sacacorcho Combinado Crom</t>
  </si>
  <si>
    <t>Sacacorcho Tipo Mozo Crom</t>
  </si>
  <si>
    <t>529E</t>
  </si>
  <si>
    <t xml:space="preserve">Sacacorcho Doble Impulso </t>
  </si>
  <si>
    <t>Sacacorcho Cabo Madera</t>
  </si>
  <si>
    <t>478E</t>
  </si>
  <si>
    <t>Tapon De Vino/Cerv X1  Negro</t>
  </si>
  <si>
    <t>Sacacorcho Combinado Color</t>
  </si>
  <si>
    <t>Sacacorcho Cabo De Madera</t>
  </si>
  <si>
    <t>Cuchara Madera 35 Cm X 12</t>
  </si>
  <si>
    <t>Bombilla Resorte Tradicio</t>
  </si>
  <si>
    <t xml:space="preserve">Bombilla Resorte Chata   </t>
  </si>
  <si>
    <t>Destapa Corona X1 Cromado</t>
  </si>
  <si>
    <t>Tapon De Vino/Cerveza Premium</t>
  </si>
  <si>
    <t xml:space="preserve">Cepillo Limpia Bombilla  </t>
  </si>
  <si>
    <t xml:space="preserve">Corta Ravioles           </t>
  </si>
  <si>
    <t xml:space="preserve">Rompenueces              </t>
  </si>
  <si>
    <t>Cuchara De Cocina 33 Cm X 12</t>
  </si>
  <si>
    <t>Bombilla Autolimpiante In</t>
  </si>
  <si>
    <t>Manga Repostera + 4 Boqui</t>
  </si>
  <si>
    <t xml:space="preserve">Ñoquera Madera           </t>
  </si>
  <si>
    <t xml:space="preserve">Destapador Pie Color     </t>
  </si>
  <si>
    <t xml:space="preserve">Destapacorona Suelto     </t>
  </si>
  <si>
    <t>Abrelata Mariposa Plastic</t>
  </si>
  <si>
    <t>Cepillo Limpia Vaso Mamad</t>
  </si>
  <si>
    <t>Tapon De Vino/Cerv X 1 Color</t>
  </si>
  <si>
    <t xml:space="preserve">Filtro Para Bombillas    </t>
  </si>
  <si>
    <t>Destapador Pie Cromado</t>
  </si>
  <si>
    <t xml:space="preserve">Sacafuente Gastronomico  </t>
  </si>
  <si>
    <t xml:space="preserve">Bate Bife Madera         </t>
  </si>
  <si>
    <t xml:space="preserve">Pinza De Hielo           </t>
  </si>
  <si>
    <t>Cuchara Madera 30 Cm X 12</t>
  </si>
  <si>
    <t xml:space="preserve">Ahueca Papas             </t>
  </si>
  <si>
    <t xml:space="preserve">Cucharon Nylon 1 Pza     </t>
  </si>
  <si>
    <t>Descorazonador De Manzana</t>
  </si>
  <si>
    <t>Corta Pizza Mgo 6cm</t>
  </si>
  <si>
    <t xml:space="preserve">Pinza Chica              </t>
  </si>
  <si>
    <t>Pinza De Fideos Mgo Plast X 12</t>
  </si>
  <si>
    <t>Sacacorcho Cabo Plastico</t>
  </si>
  <si>
    <t xml:space="preserve">Ahueca Frutas            </t>
  </si>
  <si>
    <t xml:space="preserve">Cuchara De Helado        </t>
  </si>
  <si>
    <t>811E</t>
  </si>
  <si>
    <t>Corta Pizza C/Mgo Ergonom</t>
  </si>
  <si>
    <t>574E</t>
  </si>
  <si>
    <t xml:space="preserve">Corta Queso De Alambre   </t>
  </si>
  <si>
    <t>Espatula Calada Nylon 1 P</t>
  </si>
  <si>
    <t xml:space="preserve">3 En 1                   </t>
  </si>
  <si>
    <t xml:space="preserve">Corta Pizza Gastronomico </t>
  </si>
  <si>
    <t>Pisa Papas Nylon Mgo Plas</t>
  </si>
  <si>
    <t xml:space="preserve">Espumadera Ac.Inox.      </t>
  </si>
  <si>
    <t>503E</t>
  </si>
  <si>
    <t>Abrelatas Doble Engranaje</t>
  </si>
  <si>
    <t xml:space="preserve">Sacafuentes Articulado   </t>
  </si>
  <si>
    <t>Cuchillito De Untar Plast</t>
  </si>
  <si>
    <t xml:space="preserve">Cierra Bolsa X2          </t>
  </si>
  <si>
    <t>Rallador Cilindrico Chico</t>
  </si>
  <si>
    <t>819E</t>
  </si>
  <si>
    <t xml:space="preserve">Sacacorcho "Fish" Grande </t>
  </si>
  <si>
    <t>Espatula Lisa Nylon 1 Pza</t>
  </si>
  <si>
    <t>Cuchara Madera 40 Cm X 12</t>
  </si>
  <si>
    <t>580E</t>
  </si>
  <si>
    <t>Batidor Mini</t>
  </si>
  <si>
    <t>Cuchillo De Untar X 2 mad</t>
  </si>
  <si>
    <t xml:space="preserve">Cuchillo De Untar Suelto </t>
  </si>
  <si>
    <t xml:space="preserve">Cucharon Ac.Inox.        </t>
  </si>
  <si>
    <t>361E</t>
  </si>
  <si>
    <t>Rallador 4 Lados Ac Inox(</t>
  </si>
  <si>
    <t xml:space="preserve">Exprimidor De Citricos   </t>
  </si>
  <si>
    <t>809E</t>
  </si>
  <si>
    <t>Corta Pizza Familiar</t>
  </si>
  <si>
    <t>Pinza De Fiambre Mgo Plas X 12</t>
  </si>
  <si>
    <t>Bombilla Colores Metaliza</t>
  </si>
  <si>
    <t>Cuchara Madera 45 Cm X 12</t>
  </si>
  <si>
    <t>810E</t>
  </si>
  <si>
    <t>Corta Queso Semiduros A/I</t>
  </si>
  <si>
    <t xml:space="preserve">Espatula Acero Inox.     </t>
  </si>
  <si>
    <t>328E</t>
  </si>
  <si>
    <t xml:space="preserve">Rallador Plano 3 Usos Ac </t>
  </si>
  <si>
    <t>363E</t>
  </si>
  <si>
    <t>Rallador Gurmet Grano Fin</t>
  </si>
  <si>
    <t xml:space="preserve">Rallador 4 Lados A/I Mgo </t>
  </si>
  <si>
    <t xml:space="preserve">Pincel Pastelero         </t>
  </si>
  <si>
    <t xml:space="preserve">Pala De Canelones        </t>
  </si>
  <si>
    <t>Cuchara Pulpo Nylon 1 Pza</t>
  </si>
  <si>
    <t xml:space="preserve">Cuchara Salsera Inox     </t>
  </si>
  <si>
    <t xml:space="preserve">Batidor Resorte          </t>
  </si>
  <si>
    <t xml:space="preserve">Pala De Torta Acero Inox </t>
  </si>
  <si>
    <t xml:space="preserve">Espatula Lisa Ac.Inox.   </t>
  </si>
  <si>
    <t xml:space="preserve">Espatula Plastica 3 Usos </t>
  </si>
  <si>
    <t>812E</t>
  </si>
  <si>
    <t xml:space="preserve">Corta Huevo              </t>
  </si>
  <si>
    <t>Cuchara Madera 25 Cm X 12</t>
  </si>
  <si>
    <t>Cuchara Calada Nylon 1 Pz</t>
  </si>
  <si>
    <t xml:space="preserve">Tostador Enlozado        </t>
  </si>
  <si>
    <t xml:space="preserve">Cucharita Matera         </t>
  </si>
  <si>
    <t>Muñeco Silicona Antiderra</t>
  </si>
  <si>
    <t xml:space="preserve">Pelanaranjas X 1 Display </t>
  </si>
  <si>
    <t xml:space="preserve">Tostador                 </t>
  </si>
  <si>
    <t>Bombilla Eco Plastica</t>
  </si>
  <si>
    <t>Espumadera Nylon c/ Mgo</t>
  </si>
  <si>
    <t>817E</t>
  </si>
  <si>
    <t>Rallador C/Mgo Ergonomico</t>
  </si>
  <si>
    <t>Pinza De Ensalada Mgo Pla X 12</t>
  </si>
  <si>
    <t xml:space="preserve">Prensa Matambre          </t>
  </si>
  <si>
    <t>364E</t>
  </si>
  <si>
    <t>Rallador Gourmet Grano Me</t>
  </si>
  <si>
    <t xml:space="preserve">Paleta Batidora          </t>
  </si>
  <si>
    <t xml:space="preserve">Enrulador De Manteca     </t>
  </si>
  <si>
    <t>Ñoquera Mad. Mgo Redondo</t>
  </si>
  <si>
    <t xml:space="preserve">Cuchara Calada Ac.Inox.  </t>
  </si>
  <si>
    <t>Tenedor Ac Inox</t>
  </si>
  <si>
    <t>Cepillo Lava Vajilla</t>
  </si>
  <si>
    <t>Sacayerba</t>
  </si>
  <si>
    <t xml:space="preserve">Cucharita 13cm Azucarera </t>
  </si>
  <si>
    <t xml:space="preserve">Cuchara Spaghetti Ac Inox. </t>
  </si>
  <si>
    <t xml:space="preserve">Corta Torta              </t>
  </si>
  <si>
    <t>366E</t>
  </si>
  <si>
    <t>Rallador Conico A/I X 12</t>
  </si>
  <si>
    <t>Cod.Art.</t>
  </si>
  <si>
    <t xml:space="preserve">Tres En Uno              </t>
  </si>
  <si>
    <t xml:space="preserve">Lavavajilla C/Mgo.Arte   </t>
  </si>
  <si>
    <t>Pinza De Fiambre*Arte* X 12</t>
  </si>
  <si>
    <t>Pinza De Ensaladas*Arte* X 12</t>
  </si>
  <si>
    <t xml:space="preserve">Pinza De Fideos*Arte*  </t>
  </si>
  <si>
    <t>Pinza Chica Detalles Bco Azul</t>
  </si>
  <si>
    <t>Afila Cuchillo Con Base V</t>
  </si>
  <si>
    <t>Pelapapas Mgo Plast Verde</t>
  </si>
  <si>
    <t xml:space="preserve">Limpia Mamadera A/I      </t>
  </si>
  <si>
    <t>Cuchara Fideos Nylon C/Mgo</t>
  </si>
  <si>
    <t xml:space="preserve">Cucharon Nylon C/Mgo   </t>
  </si>
  <si>
    <t>Espatula Calada Nylon C/Mgo</t>
  </si>
  <si>
    <t>Espatula Lisa Nylon C/Mgo</t>
  </si>
  <si>
    <t xml:space="preserve">Pisa Papas               </t>
  </si>
  <si>
    <t>Cuchara Calada 1 Pieza Ac. Inox</t>
  </si>
  <si>
    <t>Pinza Del Chef</t>
  </si>
  <si>
    <t>Espat. Repost. Goma Gastr</t>
  </si>
  <si>
    <t>Espatula Repost. Goma Com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</si>
  <si>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</si>
  <si>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</si>
  <si>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</si>
  <si>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</si>
  <si>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</si>
  <si>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</si>
  <si>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</si>
  <si>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Cuchara Spaghetti Ac. Inox</t>
  </si>
  <si>
    <t xml:space="preserve">Destapaca Corona Pint. X </t>
  </si>
  <si>
    <t xml:space="preserve">Abrelatas Mariposa       </t>
  </si>
  <si>
    <t>702E</t>
  </si>
  <si>
    <t xml:space="preserve">Abrelatas Uñas           </t>
  </si>
  <si>
    <t>Enrulador Manteca</t>
  </si>
  <si>
    <t>712E</t>
  </si>
  <si>
    <t>Pelador Mgo Plastico Econ</t>
  </si>
  <si>
    <t xml:space="preserve">Pelapapas Metalico       </t>
  </si>
  <si>
    <t xml:space="preserve">Cierra Bolsa X 4         </t>
  </si>
  <si>
    <t>Cuchillo de Untar Acrilico Transp.</t>
  </si>
  <si>
    <t xml:space="preserve">Cuch. Untar Blanco X 4   </t>
  </si>
  <si>
    <t>Cuch Untar Mgo Madera X2</t>
  </si>
  <si>
    <t xml:space="preserve">Ahueca Papa              </t>
  </si>
  <si>
    <t>Espumante</t>
  </si>
  <si>
    <t>Sacacorcho Tipo Mozo Colo</t>
  </si>
  <si>
    <t>Sacacocrcho Combinado Col</t>
  </si>
  <si>
    <t xml:space="preserve">Cuchara Helado           </t>
  </si>
  <si>
    <t>Bombilla Coco Hexagonal</t>
  </si>
  <si>
    <t xml:space="preserve">Bombilla Coco Bolita </t>
  </si>
  <si>
    <t>Bomb. Resorte Color Metal</t>
  </si>
  <si>
    <t xml:space="preserve">Filtro Para Bombilla     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</si>
  <si>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</si>
  <si>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</si>
  <si>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</si>
  <si>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</si>
  <si>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>Corta Queso Blandos Mango Alambre</t>
  </si>
  <si>
    <t xml:space="preserve">Tapon Gaseosa            </t>
  </si>
  <si>
    <t>Tapon De Gaseosa X 2 Negr</t>
  </si>
  <si>
    <t>Corta Torta Plast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</si>
  <si>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</si>
  <si>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</si>
  <si>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</si>
  <si>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</si>
  <si>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Espatula Lisa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</si>
  <si>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</si>
  <si>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</si>
  <si>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</si>
  <si>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</si>
  <si>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</si>
  <si>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Pinza Hielo Display      </t>
  </si>
  <si>
    <t xml:space="preserve">Pala Torta               </t>
  </si>
  <si>
    <t>Cuchillo De Torta</t>
  </si>
  <si>
    <t xml:space="preserve">Tenedor Copetin X 6      </t>
  </si>
  <si>
    <t xml:space="preserve">Corta Pizza Mgo Chef 6cm              </t>
  </si>
  <si>
    <t xml:space="preserve">Corta Pizza Grande       </t>
  </si>
  <si>
    <t xml:space="preserve">Cuchillitos De Untar Mgo </t>
  </si>
  <si>
    <t>Set X 3 Espatulas Plastic</t>
  </si>
  <si>
    <t>Cuchara De Cocina 33Cm X 12</t>
  </si>
  <si>
    <t>Tenedor Madera 35cm</t>
  </si>
  <si>
    <t xml:space="preserve">Afila Cuchillo           </t>
  </si>
  <si>
    <t>128K</t>
  </si>
  <si>
    <t xml:space="preserve">Batidor Pera             </t>
  </si>
  <si>
    <t>692E</t>
  </si>
  <si>
    <t xml:space="preserve">Pelador "V" Horizontal   </t>
  </si>
  <si>
    <t>727E</t>
  </si>
  <si>
    <t>729E</t>
  </si>
  <si>
    <t>Sac Doble Aleta Fund Eco</t>
  </si>
  <si>
    <t>733E</t>
  </si>
  <si>
    <t xml:space="preserve">Batidor Pera Display     </t>
  </si>
  <si>
    <t>865E</t>
  </si>
  <si>
    <t>Rallador Plano A/I 3 Usos</t>
  </si>
  <si>
    <t>Filtro De Tela Gastronomi</t>
  </si>
  <si>
    <t>868E</t>
  </si>
  <si>
    <t>877E</t>
  </si>
  <si>
    <t>Corta Pizza Con Mgo Chino</t>
  </si>
  <si>
    <t xml:space="preserve">Prensa Matambre Display  </t>
  </si>
  <si>
    <t>Cuchara Madera 35 Display X 12</t>
  </si>
  <si>
    <t>Cuchara Madera 45 Display X 12</t>
  </si>
  <si>
    <t xml:space="preserve">Ñoquera Display          </t>
  </si>
  <si>
    <t>Bate Bife Display</t>
  </si>
  <si>
    <t>Cuchara Madera 30 Display X 12</t>
  </si>
  <si>
    <t>Cuchara Madera 40 Display X 12</t>
  </si>
  <si>
    <t>Cuchara Madera 25 Display X 12</t>
  </si>
  <si>
    <t>Emp</t>
  </si>
  <si>
    <t>Cod</t>
  </si>
  <si>
    <t>Vta</t>
  </si>
  <si>
    <t>Loeke</t>
  </si>
  <si>
    <t>Chef</t>
  </si>
  <si>
    <t>502T</t>
  </si>
  <si>
    <t>510T</t>
  </si>
  <si>
    <t>520T</t>
  </si>
  <si>
    <t>581T</t>
  </si>
  <si>
    <t>587T</t>
  </si>
  <si>
    <t xml:space="preserve">Colador N°16             </t>
  </si>
  <si>
    <t xml:space="preserve">Colador N°20             </t>
  </si>
  <si>
    <t>KG x Uni</t>
  </si>
  <si>
    <t>Bella Vista</t>
  </si>
  <si>
    <t>Z31A</t>
  </si>
  <si>
    <t>Z31B</t>
  </si>
  <si>
    <t>BOM10B</t>
  </si>
  <si>
    <t>M1A</t>
  </si>
  <si>
    <t>M1B</t>
  </si>
  <si>
    <t>Z32</t>
  </si>
  <si>
    <t>Descorazonador Manzana</t>
  </si>
  <si>
    <t>Cremallera D/Aleta</t>
  </si>
  <si>
    <t>Z:\AA  LOGISTICA Relevamiento y Pedidos\A3 Relevamiento Stock y Pedidos Insumos\Relevamiento\A Relevamientos INSUMOS y Pedido\A Bombillas</t>
  </si>
  <si>
    <t>Caño Alum Bombilla p/Anodizar</t>
  </si>
  <si>
    <t>Resorte p/Bombilla Autolim.</t>
  </si>
  <si>
    <t>Caño p/Sorbete Inox</t>
  </si>
  <si>
    <t>Cód ISIS</t>
  </si>
  <si>
    <t>Cod Nuevo Isis</t>
  </si>
  <si>
    <t xml:space="preserve">Cuchillo Torta Acero Inox </t>
  </si>
  <si>
    <t xml:space="preserve">Pinza Hamburguesa       </t>
  </si>
  <si>
    <t>Pinza Reforzada</t>
  </si>
  <si>
    <t>Descarozador De Aceitunas</t>
  </si>
  <si>
    <t>Bombilla Autolimpiante Ni</t>
  </si>
  <si>
    <t>Bombilla Basica Larga Rec</t>
  </si>
  <si>
    <t>Bombilla Basica Larga Cur</t>
  </si>
  <si>
    <t>030E</t>
  </si>
  <si>
    <t>Colador 20 Cm Acero Inox</t>
  </si>
  <si>
    <t>Abrelata Super Mariposa</t>
  </si>
  <si>
    <t>360E</t>
  </si>
  <si>
    <t>362E</t>
  </si>
  <si>
    <t>365E</t>
  </si>
  <si>
    <t>Rallador Gourmet Grano Gr</t>
  </si>
  <si>
    <t>367E</t>
  </si>
  <si>
    <t>Rallador Hexagonal Ac Ino</t>
  </si>
  <si>
    <t>388E</t>
  </si>
  <si>
    <t xml:space="preserve">Maquina Corta Papa       </t>
  </si>
  <si>
    <t>436E</t>
  </si>
  <si>
    <t xml:space="preserve">Colador Acero Inox 14 Cm </t>
  </si>
  <si>
    <t>437E</t>
  </si>
  <si>
    <t xml:space="preserve">Colador Acero Inox 16 Cm </t>
  </si>
  <si>
    <t>438E</t>
  </si>
  <si>
    <t xml:space="preserve">Colador Acero Inox 20 Cm </t>
  </si>
  <si>
    <t>439E</t>
  </si>
  <si>
    <t>Colapasta Metal Perforado</t>
  </si>
  <si>
    <t>440E</t>
  </si>
  <si>
    <t>Colador Extensib. A/I 34X</t>
  </si>
  <si>
    <t>Abrelata Mariposa Tira Imp.</t>
  </si>
  <si>
    <t>Abrelata Uña Crom Tira Imp</t>
  </si>
  <si>
    <t>512E</t>
  </si>
  <si>
    <t>Sac. Tipo Mozo Cromado Tira Imp.</t>
  </si>
  <si>
    <t>525E</t>
  </si>
  <si>
    <t>544E</t>
  </si>
  <si>
    <t>Sac. Cabo Nylon Tira Imp</t>
  </si>
  <si>
    <t>585E</t>
  </si>
  <si>
    <t>Sac.Doble Aleta Fundicion</t>
  </si>
  <si>
    <t>Pelador Cuchilla Laser Tira Imp</t>
  </si>
  <si>
    <t>813E</t>
  </si>
  <si>
    <t>814E</t>
  </si>
  <si>
    <t>Mariposa Manopla Magnetic</t>
  </si>
  <si>
    <t>815E</t>
  </si>
  <si>
    <t>Batidor Pera Con Mgo Ergo</t>
  </si>
  <si>
    <t>816E</t>
  </si>
  <si>
    <t>818E</t>
  </si>
  <si>
    <t>Corta Pizza Manual</t>
  </si>
  <si>
    <t>Prom Uni</t>
  </si>
  <si>
    <t>725E</t>
  </si>
  <si>
    <t>Sacafuentes Articulado</t>
  </si>
  <si>
    <t>R</t>
  </si>
  <si>
    <t>Cuchillo Untar Mgo Plast Inox</t>
  </si>
  <si>
    <t>Bombilla Bolita</t>
  </si>
  <si>
    <t>Rallador Hexagonal A/I Con Bas 25cm</t>
  </si>
  <si>
    <t>Rallador 4 Lados A/I Mgo C/Bas 25cm</t>
  </si>
  <si>
    <t>Mini Batidor Pera x1</t>
  </si>
  <si>
    <t>% Ocup</t>
  </si>
  <si>
    <t>Alambre Corta Queso</t>
  </si>
  <si>
    <t>Z19A</t>
  </si>
  <si>
    <t>Corta Queso</t>
  </si>
  <si>
    <t>Arandelas Corta Queso</t>
  </si>
  <si>
    <t>Industria Skotnica</t>
  </si>
  <si>
    <t>Tornillos Corta Queso</t>
  </si>
  <si>
    <t>T1</t>
  </si>
  <si>
    <t>A1</t>
  </si>
  <si>
    <t>Stock Bolsa / Caj / Rollo</t>
  </si>
  <si>
    <t>Eclipse</t>
  </si>
  <si>
    <t>Prec x Uni</t>
  </si>
  <si>
    <t>Alambres Rumbo</t>
  </si>
  <si>
    <t>Prec x Kg</t>
  </si>
  <si>
    <t>DISCONTINUOS</t>
  </si>
  <si>
    <t>Cons x Mes Uni</t>
  </si>
  <si>
    <t>Cons x Mes Kg</t>
  </si>
  <si>
    <t>Uni x B/C</t>
  </si>
  <si>
    <t>Min Uni Compra</t>
  </si>
  <si>
    <t>Min Kg Compra</t>
  </si>
  <si>
    <t>Pedi Uni</t>
  </si>
  <si>
    <t>Unidad de Medida Pedido</t>
  </si>
  <si>
    <t>Kilos</t>
  </si>
  <si>
    <t>Unidad</t>
  </si>
  <si>
    <t>INFORMACION</t>
  </si>
  <si>
    <t>Max 3 Mes Uni</t>
  </si>
  <si>
    <t xml:space="preserve">Stock Uni </t>
  </si>
  <si>
    <t>$               0</t>
  </si>
  <si>
    <t>% Ocup Relev</t>
  </si>
  <si>
    <t>% Ocup Total</t>
  </si>
  <si>
    <t>Stock Taller Uni</t>
  </si>
  <si>
    <t>Stock Prov Serv Uni</t>
  </si>
  <si>
    <t>Stock CD Uni</t>
  </si>
  <si>
    <t>Stock Total Uni</t>
  </si>
  <si>
    <t>Max Taller Uni</t>
  </si>
  <si>
    <t>Max CD Uni</t>
  </si>
  <si>
    <t>Max Total Uni</t>
  </si>
  <si>
    <t>Z2S</t>
  </si>
  <si>
    <t>Argolla p/Llavero Chica</t>
  </si>
  <si>
    <t>Z2SB</t>
  </si>
  <si>
    <t>Casa Landau</t>
  </si>
  <si>
    <t>Aro p/Llavero Grande</t>
  </si>
  <si>
    <t>Tela Manga Repostera</t>
  </si>
  <si>
    <t>BOM8B</t>
  </si>
  <si>
    <t xml:space="preserve">Rueda </t>
  </si>
  <si>
    <t>Llavero Pata</t>
  </si>
  <si>
    <t>Destapacorona</t>
  </si>
  <si>
    <t>Aro Para Llavero Grande</t>
  </si>
  <si>
    <t>Rollo</t>
  </si>
  <si>
    <t>Descripción Parte</t>
  </si>
  <si>
    <t>Kg x Uni</t>
  </si>
  <si>
    <t>Uni x Cajon</t>
  </si>
  <si>
    <t>KG x Cajon</t>
  </si>
  <si>
    <t>Llavero Pie</t>
  </si>
  <si>
    <t>Alambre
Corta Queso</t>
  </si>
  <si>
    <t>Z19B</t>
  </si>
  <si>
    <t>Cerda p/
Pincel</t>
  </si>
  <si>
    <t>Z22</t>
  </si>
  <si>
    <t>BOM18</t>
  </si>
  <si>
    <t>Caño p/ Sorbete Inox</t>
  </si>
  <si>
    <t>Resortes p/ 
bomb. Autoli.</t>
  </si>
  <si>
    <t>Resorte p/ Bombilla 557/558</t>
  </si>
  <si>
    <t>Sector Proceso</t>
  </si>
  <si>
    <t>Stock Cajon</t>
  </si>
  <si>
    <t>Stock Uni</t>
  </si>
  <si>
    <t>STOCK PROV SERV BOMBILLA</t>
  </si>
  <si>
    <t>Max Prov Serv Cajon</t>
  </si>
  <si>
    <t>Cañito Pincel Pastelero</t>
  </si>
  <si>
    <t>Batidor Pera</t>
  </si>
  <si>
    <t>Conteo Uni</t>
  </si>
  <si>
    <t>Conteo Cajon</t>
  </si>
  <si>
    <t>Max Taller Cajon</t>
  </si>
  <si>
    <t>STOCK TALLERISTA BOMBILLA</t>
  </si>
  <si>
    <t>Descripción de Partes</t>
  </si>
  <si>
    <t>Sector Proce</t>
  </si>
  <si>
    <t>Cod Art</t>
  </si>
  <si>
    <t>Parte x Uni</t>
  </si>
  <si>
    <t>KG            x Uni</t>
  </si>
  <si>
    <t>Uni x Caja</t>
  </si>
  <si>
    <t>Max Cajas CD</t>
  </si>
  <si>
    <t>Max Uni CD</t>
  </si>
  <si>
    <t>Max KG CD</t>
  </si>
  <si>
    <t>Stock Uni CD</t>
  </si>
  <si>
    <t>Stock Cajas CD</t>
  </si>
  <si>
    <t>Estad Madre Uni</t>
  </si>
  <si>
    <t>STOCK VIRGILIO BOMBILLA</t>
  </si>
  <si>
    <t>Ralladores Cilindrico 14cm</t>
  </si>
  <si>
    <t>Colodis Kufo</t>
  </si>
  <si>
    <t>AA6/ AE10</t>
  </si>
  <si>
    <t>FECHA:</t>
  </si>
  <si>
    <t>Pala de Torta</t>
  </si>
  <si>
    <t>Melinox</t>
  </si>
  <si>
    <t>Pedido Damian</t>
  </si>
  <si>
    <t>Este pedido anula cualquier pedido anterior</t>
  </si>
  <si>
    <t xml:space="preserve">Fecha: </t>
  </si>
  <si>
    <t>Rueda y Cia</t>
  </si>
  <si>
    <t>Rueda</t>
  </si>
  <si>
    <t>Stock Bolsa/ Caj/ Rollo</t>
  </si>
  <si>
    <t>CONTEO BOMBILLA</t>
  </si>
  <si>
    <t>Orden Prioridad</t>
  </si>
  <si>
    <t>LLF8</t>
  </si>
  <si>
    <t>Max Mes</t>
  </si>
  <si>
    <t>Uni Suelta</t>
  </si>
  <si>
    <t>Giser/Ruffo</t>
  </si>
  <si>
    <t>EP10</t>
  </si>
  <si>
    <t>Resorte Mini Batidor</t>
  </si>
  <si>
    <t>Batidor Pera Mini</t>
  </si>
  <si>
    <r>
      <t xml:space="preserve">Caño Inox 170 mm x 0.4mm x 7 </t>
    </r>
    <r>
      <rPr>
        <sz val="14"/>
        <rFont val="Calibri"/>
        <family val="2"/>
      </rPr>
      <t>Ø</t>
    </r>
  </si>
  <si>
    <t>Cons x Mes Rollo</t>
  </si>
  <si>
    <t>Max 3 Mes Rollo</t>
  </si>
  <si>
    <t>Pedido Rollo</t>
  </si>
  <si>
    <t>Stock Prov Serv Rollo</t>
  </si>
  <si>
    <t>Stock Taller Rollo</t>
  </si>
  <si>
    <t>Stock CD Rollo</t>
  </si>
  <si>
    <t>Stock Total Rollo</t>
  </si>
  <si>
    <t>Max Taller Rollo</t>
  </si>
  <si>
    <t>Max CD Rollo</t>
  </si>
  <si>
    <t>Max Total Rollo</t>
  </si>
  <si>
    <t>USAR Sugerencia Uni x Mes</t>
  </si>
  <si>
    <t xml:space="preserve">Rallador Cilindrico  </t>
  </si>
  <si>
    <t>Tabla Pino 22*40</t>
  </si>
  <si>
    <t>Cuchara de Fideos Nylon Mgo GE</t>
  </si>
  <si>
    <t xml:space="preserve">Pinza Grande Proximamente          </t>
  </si>
  <si>
    <t xml:space="preserve">Colador N°13 Discontinuo        </t>
  </si>
  <si>
    <t xml:space="preserve">Mate Forrado             </t>
  </si>
  <si>
    <t xml:space="preserve">Mate Calabaza C/Virola   </t>
  </si>
  <si>
    <t xml:space="preserve">Mate Calabaza S/Virola   </t>
  </si>
  <si>
    <t>Palo Amasar 30cm</t>
  </si>
  <si>
    <t>Palo Amasar 50cm</t>
  </si>
  <si>
    <t>Palo Amasar 40cm</t>
  </si>
  <si>
    <t>Tenedor De Copetin X 6 Un</t>
  </si>
  <si>
    <t>Pinza Articulada Gastro Proximamente</t>
  </si>
  <si>
    <t>558D</t>
  </si>
  <si>
    <t xml:space="preserve">Pinza Grande             </t>
  </si>
  <si>
    <t>Pinche De Choclo X 4 Unid</t>
  </si>
  <si>
    <t xml:space="preserve">Sacacorcho De Espumantes </t>
  </si>
  <si>
    <t>Plato De Picada P.P 21 Cm</t>
  </si>
  <si>
    <t>Sacacorcho Doble Aleta Lu</t>
  </si>
  <si>
    <t>368E</t>
  </si>
  <si>
    <t>369E</t>
  </si>
  <si>
    <t>Colador N°7 Discontinuo</t>
  </si>
  <si>
    <t xml:space="preserve">Sacaf Alamb Proximamente    </t>
  </si>
  <si>
    <t>Sacacorchos Tipo Mozo Suelto</t>
  </si>
  <si>
    <t>Articulos  Discontinuos</t>
  </si>
  <si>
    <t xml:space="preserve">Articulos Proximamente </t>
  </si>
  <si>
    <t>Pizzera 35 cm</t>
  </si>
  <si>
    <t>Espatula Calada Nylon Mgo GE</t>
  </si>
  <si>
    <t>Cucharon Nylon Mgo GE</t>
  </si>
  <si>
    <t>Abrelata Mariposa Mgo GE</t>
  </si>
  <si>
    <t>No tocar (Solo para estadistica)</t>
  </si>
  <si>
    <t>Pela y Pica ajo</t>
  </si>
  <si>
    <t>Abr Manija Loke</t>
  </si>
  <si>
    <t>Abr Mariposa Loke</t>
  </si>
  <si>
    <t>Sac Doble Impluso Loke</t>
  </si>
  <si>
    <t>Pel Mgo Met Loke</t>
  </si>
  <si>
    <t>Colador N° 8 Loke</t>
  </si>
  <si>
    <t>Colador  N°10  Loke</t>
  </si>
  <si>
    <t>Afila  Cuch  Loke</t>
  </si>
  <si>
    <t>Batidor Pera Loke</t>
  </si>
  <si>
    <t>Pelador Plastico  Loke</t>
  </si>
  <si>
    <t>Stock Rollo</t>
  </si>
  <si>
    <t>Max 4 Mes Uni</t>
  </si>
  <si>
    <t>Max 3 Mes Uni/ KG</t>
  </si>
  <si>
    <t>Stock Uni/ KG</t>
  </si>
  <si>
    <t>Pedi Uni/ KG</t>
  </si>
  <si>
    <t>N° Ord</t>
  </si>
  <si>
    <t>Loekemeyer Hnos. S.R.L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</si>
  <si>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</si>
  <si>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</si>
  <si>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</si>
  <si>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</si>
  <si>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</si>
  <si>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</si>
  <si>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</si>
  <si>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</si>
  <si>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RAZON SOCIAL:</t>
  </si>
  <si>
    <t>COD PROV:</t>
  </si>
  <si>
    <t>ENTREGA EN:</t>
  </si>
  <si>
    <t>Fecha:</t>
  </si>
  <si>
    <t>$             0</t>
  </si>
  <si>
    <t>Chef SRL</t>
  </si>
  <si>
    <t>30-68575625-7</t>
  </si>
  <si>
    <t>Virgilio 2788</t>
  </si>
  <si>
    <t>Villa Real, CABA</t>
  </si>
  <si>
    <t>FACTURAR   Loekemeyer 70% Chef 30%</t>
  </si>
  <si>
    <t>ESTE PEDIDO ANULA CUALQUIER PEDIDO ANTERIOR</t>
  </si>
  <si>
    <t>Descripcion Material</t>
  </si>
  <si>
    <t>Pedido KG</t>
  </si>
  <si>
    <t>KG a FC</t>
  </si>
  <si>
    <t>Fecha Pos Ent</t>
  </si>
  <si>
    <t>Fecha Ent</t>
  </si>
  <si>
    <t>Kg Ent</t>
  </si>
  <si>
    <t>Rumbo</t>
  </si>
  <si>
    <t>Kufo</t>
  </si>
  <si>
    <t>Charcas</t>
  </si>
  <si>
    <t>METALURGICA GISER</t>
  </si>
  <si>
    <t>LK</t>
  </si>
  <si>
    <t>CH</t>
  </si>
  <si>
    <t>METALURGICA BELLA VISTA</t>
  </si>
  <si>
    <t>CASA LANDAU</t>
  </si>
  <si>
    <t>ALAMBRES RUMBO</t>
  </si>
  <si>
    <t>RUEDA Y CIA</t>
  </si>
  <si>
    <t>ADOLFO GONZALEZ</t>
  </si>
  <si>
    <t>ALIMENTOS Y BEBIDAS CONGRESO</t>
  </si>
  <si>
    <t>BARDONESCHI HERNAN</t>
  </si>
  <si>
    <t>TALLERES ROOSEVELT</t>
  </si>
  <si>
    <t>RUEDA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</si>
</sst>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000"/>
    <numFmt numFmtId="166" formatCode="_-&quot;$&quot;\ * #,##0_-;\-&quot;$&quot;\ * #,##0_-;_-&quot;$&quot;\ * &quot;-&quot;??_-;_-@_-"/>
    <numFmt numFmtId="167" formatCode="0.00000"/>
    <numFmt numFmtId="168" formatCode="0.000"/>
    <numFmt numFmtId="169" formatCode="0.0"/>
    <numFmt numFmtId="170" formatCode="_ * #,##0.0_ ;_ * \-#,##0.0_ ;_ * &quot;-&quot;??_ ;_ @_ "/>
    <numFmt numFmtId="171" formatCode="_ * #,##0.00_ ;_ * \-#,##0.00_ ;_ * &quot;-&quot;??_ ;_ @_ "/>
    <numFmt numFmtId="172" formatCode="_ * #,##0_ ;_ * \-#,##0_ ;_ * &quot;-&quot;??_ ;_ @_ "/>
    <numFmt numFmtId="173" formatCode="_ * #,##0.000_ ;_ * \-#,##0.000_ ;_ * &quot;-&quot;??_ ;_ @_ "/>
    <numFmt numFmtId="174" formatCode="hh\:mm\:ss\ "/>
    <numFmt numFmtId="175" formatCode="#,##0.000"/>
    <numFmt numFmtId="176" formatCode="_-* #,##0.0_-;\-* #,##0.0_-;_-* &quot;-&quot;??_-;_-@_-"/>
    <numFmt numFmtId="177" formatCode="dd/mm/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2"/>
      <name val="Arial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4"/>
      <color theme="1"/>
      <name val="Arial"/>
      <family val="2"/>
    </font>
    <font>
      <b/>
      <sz val="36"/>
      <name val="Arial"/>
      <family val="2"/>
    </font>
    <font>
      <b/>
      <u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4"/>
      <color indexed="8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name val="Calibri"/>
      <family val="2"/>
    </font>
    <font>
      <b/>
      <sz val="18"/>
      <color rgb="FF00B05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3" tint="0.3999755851924192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4" fillId="0" borderId="0"/>
    <xf numFmtId="0" fontId="4" fillId="0" borderId="0"/>
  </cellStyleXfs>
  <cellXfs count="5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7" xfId="0" applyFont="1" applyBorder="1"/>
    <xf numFmtId="0" fontId="0" fillId="0" borderId="13" xfId="0" applyBorder="1"/>
    <xf numFmtId="0" fontId="4" fillId="0" borderId="13" xfId="0" applyFont="1" applyBorder="1"/>
    <xf numFmtId="0" fontId="12" fillId="0" borderId="0" xfId="0" applyFont="1"/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5" fillId="0" borderId="8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5" fillId="0" borderId="8" xfId="0" applyFont="1" applyBorder="1"/>
    <xf numFmtId="0" fontId="7" fillId="0" borderId="7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12" fillId="0" borderId="13" xfId="0" applyFont="1" applyBorder="1"/>
    <xf numFmtId="0" fontId="7" fillId="5" borderId="7" xfId="0" applyFont="1" applyFill="1" applyBorder="1"/>
    <xf numFmtId="0" fontId="5" fillId="3" borderId="8" xfId="0" applyFont="1" applyFill="1" applyBorder="1" applyAlignment="1">
      <alignment horizontal="left" vertical="center"/>
    </xf>
    <xf numFmtId="0" fontId="8" fillId="2" borderId="7" xfId="0" applyFont="1" applyFill="1" applyBorder="1"/>
    <xf numFmtId="0" fontId="18" fillId="0" borderId="7" xfId="0" applyFont="1" applyBorder="1"/>
    <xf numFmtId="0" fontId="5" fillId="3" borderId="15" xfId="0" applyFont="1" applyFill="1" applyBorder="1" applyAlignment="1">
      <alignment horizontal="left" vertical="center"/>
    </xf>
    <xf numFmtId="0" fontId="8" fillId="2" borderId="16" xfId="0" applyFont="1" applyFill="1" applyBorder="1"/>
    <xf numFmtId="0" fontId="5" fillId="3" borderId="10" xfId="0" applyFont="1" applyFill="1" applyBorder="1" applyAlignment="1">
      <alignment horizontal="left" vertical="center"/>
    </xf>
    <xf numFmtId="0" fontId="8" fillId="2" borderId="9" xfId="0" applyFont="1" applyFill="1" applyBorder="1"/>
    <xf numFmtId="0" fontId="3" fillId="0" borderId="2" xfId="0" applyFont="1" applyBorder="1" applyAlignment="1">
      <alignment horizontal="center" vertical="center" wrapText="1"/>
    </xf>
    <xf numFmtId="0" fontId="19" fillId="0" borderId="0" xfId="0" applyFont="1"/>
    <xf numFmtId="0" fontId="11" fillId="0" borderId="0" xfId="0" applyFont="1"/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left" vertical="center" wrapText="1"/>
    </xf>
    <xf numFmtId="164" fontId="3" fillId="4" borderId="13" xfId="1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left" vertical="center" wrapText="1"/>
    </xf>
    <xf numFmtId="164" fontId="3" fillId="4" borderId="24" xfId="1" applyNumberFormat="1" applyFont="1" applyFill="1" applyBorder="1" applyAlignment="1">
      <alignment horizontal="center" vertical="center"/>
    </xf>
    <xf numFmtId="164" fontId="3" fillId="4" borderId="21" xfId="1" applyNumberFormat="1" applyFont="1" applyFill="1" applyBorder="1" applyAlignment="1">
      <alignment horizontal="center" vertical="center"/>
    </xf>
    <xf numFmtId="164" fontId="3" fillId="4" borderId="23" xfId="1" applyNumberFormat="1" applyFont="1" applyFill="1" applyBorder="1" applyAlignment="1">
      <alignment horizontal="center" vertical="center"/>
    </xf>
    <xf numFmtId="164" fontId="3" fillId="4" borderId="22" xfId="1" applyNumberFormat="1" applyFont="1" applyFill="1" applyBorder="1" applyAlignment="1">
      <alignment horizontal="center" vertical="center"/>
    </xf>
    <xf numFmtId="164" fontId="3" fillId="4" borderId="25" xfId="1" applyNumberFormat="1" applyFont="1" applyFill="1" applyBorder="1" applyAlignment="1">
      <alignment horizontal="center" vertical="center"/>
    </xf>
    <xf numFmtId="164" fontId="3" fillId="4" borderId="17" xfId="1" applyNumberFormat="1" applyFont="1" applyFill="1" applyBorder="1" applyAlignment="1">
      <alignment horizontal="center" vertical="center"/>
    </xf>
    <xf numFmtId="0" fontId="0" fillId="4" borderId="26" xfId="0" applyFill="1" applyBorder="1"/>
    <xf numFmtId="164" fontId="3" fillId="4" borderId="27" xfId="1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24" xfId="0" applyBorder="1"/>
    <xf numFmtId="164" fontId="16" fillId="0" borderId="19" xfId="1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164" fontId="16" fillId="0" borderId="13" xfId="1" applyNumberFormat="1" applyFont="1" applyBorder="1" applyAlignment="1">
      <alignment horizontal="center" vertical="center"/>
    </xf>
    <xf numFmtId="164" fontId="16" fillId="0" borderId="13" xfId="1" applyNumberFormat="1" applyFont="1" applyFill="1" applyBorder="1" applyAlignment="1">
      <alignment horizontal="center" vertical="center"/>
    </xf>
    <xf numFmtId="43" fontId="16" fillId="0" borderId="13" xfId="1" applyFont="1" applyFill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 wrapText="1"/>
    </xf>
    <xf numFmtId="164" fontId="16" fillId="0" borderId="24" xfId="1" applyNumberFormat="1" applyFont="1" applyBorder="1" applyAlignment="1">
      <alignment horizontal="center" vertical="center"/>
    </xf>
    <xf numFmtId="164" fontId="16" fillId="0" borderId="24" xfId="1" applyNumberFormat="1" applyFont="1" applyFill="1" applyBorder="1" applyAlignment="1">
      <alignment horizontal="center" vertical="center"/>
    </xf>
    <xf numFmtId="43" fontId="16" fillId="0" borderId="24" xfId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3" fontId="16" fillId="0" borderId="19" xfId="1" applyFont="1" applyFill="1" applyBorder="1" applyAlignment="1">
      <alignment horizontal="center" vertical="center"/>
    </xf>
    <xf numFmtId="44" fontId="16" fillId="0" borderId="19" xfId="3" applyFont="1" applyFill="1" applyBorder="1" applyAlignment="1">
      <alignment horizontal="center" vertical="center"/>
    </xf>
    <xf numFmtId="165" fontId="16" fillId="0" borderId="19" xfId="1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44" fontId="16" fillId="0" borderId="13" xfId="3" applyFont="1" applyFill="1" applyBorder="1" applyAlignment="1">
      <alignment horizontal="center" vertical="center"/>
    </xf>
    <xf numFmtId="165" fontId="16" fillId="0" borderId="13" xfId="1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44" fontId="16" fillId="0" borderId="13" xfId="1" applyNumberFormat="1" applyFont="1" applyFill="1" applyBorder="1" applyAlignment="1">
      <alignment horizontal="center" vertical="center"/>
    </xf>
    <xf numFmtId="44" fontId="16" fillId="0" borderId="24" xfId="3" applyFont="1" applyFill="1" applyBorder="1" applyAlignment="1">
      <alignment horizontal="center" vertical="center"/>
    </xf>
    <xf numFmtId="165" fontId="16" fillId="0" borderId="24" xfId="1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4" fontId="12" fillId="0" borderId="20" xfId="0" applyNumberFormat="1" applyFont="1" applyBorder="1" applyAlignment="1">
      <alignment vertical="center"/>
    </xf>
    <xf numFmtId="166" fontId="16" fillId="0" borderId="13" xfId="3" applyNumberFormat="1" applyFont="1" applyFill="1" applyBorder="1" applyAlignment="1">
      <alignment horizontal="center" vertical="center"/>
    </xf>
    <xf numFmtId="166" fontId="16" fillId="0" borderId="24" xfId="3" applyNumberFormat="1" applyFont="1" applyFill="1" applyBorder="1" applyAlignment="1">
      <alignment horizontal="center" vertical="center"/>
    </xf>
    <xf numFmtId="0" fontId="22" fillId="0" borderId="0" xfId="0" applyFont="1"/>
    <xf numFmtId="0" fontId="25" fillId="0" borderId="0" xfId="0" applyFont="1"/>
    <xf numFmtId="167" fontId="12" fillId="0" borderId="0" xfId="0" applyNumberFormat="1" applyFont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5" fillId="0" borderId="24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" fontId="12" fillId="0" borderId="21" xfId="0" applyNumberFormat="1" applyFont="1" applyBorder="1" applyAlignment="1">
      <alignment horizontal="center"/>
    </xf>
    <xf numFmtId="168" fontId="12" fillId="0" borderId="13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1" fontId="12" fillId="0" borderId="22" xfId="0" applyNumberFormat="1" applyFont="1" applyBorder="1" applyAlignment="1">
      <alignment horizontal="center"/>
    </xf>
    <xf numFmtId="167" fontId="12" fillId="0" borderId="13" xfId="0" applyNumberFormat="1" applyFont="1" applyBorder="1" applyAlignment="1">
      <alignment horizontal="center"/>
    </xf>
    <xf numFmtId="1" fontId="12" fillId="0" borderId="23" xfId="0" applyNumberFormat="1" applyFont="1" applyBorder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0" fontId="26" fillId="0" borderId="11" xfId="0" applyFont="1" applyBorder="1" applyAlignment="1">
      <alignment horizontal="center" vertical="center" wrapText="1"/>
    </xf>
    <xf numFmtId="1" fontId="5" fillId="0" borderId="19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169" fontId="12" fillId="0" borderId="18" xfId="0" applyNumberFormat="1" applyFont="1" applyBorder="1" applyAlignment="1">
      <alignment horizontal="center"/>
    </xf>
    <xf numFmtId="168" fontId="12" fillId="0" borderId="19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169" fontId="12" fillId="0" borderId="21" xfId="0" applyNumberFormat="1" applyFont="1" applyBorder="1" applyAlignment="1">
      <alignment horizontal="center"/>
    </xf>
    <xf numFmtId="0" fontId="0" fillId="0" borderId="22" xfId="0" applyBorder="1"/>
    <xf numFmtId="0" fontId="0" fillId="0" borderId="25" xfId="0" applyBorder="1"/>
    <xf numFmtId="0" fontId="5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168" fontId="12" fillId="0" borderId="24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30" fillId="0" borderId="0" xfId="0" applyFont="1" applyAlignment="1">
      <alignment wrapText="1"/>
    </xf>
    <xf numFmtId="168" fontId="6" fillId="3" borderId="5" xfId="1" applyNumberFormat="1" applyFont="1" applyFill="1" applyBorder="1" applyAlignment="1">
      <alignment horizontal="center" vertical="center" wrapText="1"/>
    </xf>
    <xf numFmtId="172" fontId="6" fillId="3" borderId="29" xfId="4" applyNumberFormat="1" applyFont="1" applyFill="1" applyBorder="1" applyAlignment="1">
      <alignment horizontal="center" vertical="center" wrapText="1"/>
    </xf>
    <xf numFmtId="170" fontId="6" fillId="0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68" fontId="6" fillId="3" borderId="29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172" fontId="6" fillId="3" borderId="0" xfId="4" applyNumberFormat="1" applyFont="1" applyFill="1" applyBorder="1" applyAlignment="1">
      <alignment horizontal="center" vertical="center" wrapText="1"/>
    </xf>
    <xf numFmtId="173" fontId="5" fillId="3" borderId="0" xfId="1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173" fontId="12" fillId="3" borderId="22" xfId="1" applyNumberFormat="1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173" fontId="12" fillId="3" borderId="20" xfId="1" applyNumberFormat="1" applyFont="1" applyFill="1" applyBorder="1" applyAlignment="1">
      <alignment horizontal="center" vertical="center"/>
    </xf>
    <xf numFmtId="168" fontId="6" fillId="3" borderId="11" xfId="1" applyNumberFormat="1" applyFont="1" applyFill="1" applyBorder="1" applyAlignment="1">
      <alignment horizontal="center" vertical="center" wrapText="1"/>
    </xf>
    <xf numFmtId="0" fontId="16" fillId="0" borderId="18" xfId="1" applyNumberFormat="1" applyFont="1" applyFill="1" applyBorder="1" applyAlignment="1">
      <alignment horizontal="center" vertical="center"/>
    </xf>
    <xf numFmtId="0" fontId="16" fillId="0" borderId="21" xfId="1" applyNumberFormat="1" applyFont="1" applyFill="1" applyBorder="1" applyAlignment="1">
      <alignment horizontal="center" vertical="center"/>
    </xf>
    <xf numFmtId="0" fontId="16" fillId="0" borderId="23" xfId="1" applyNumberFormat="1" applyFont="1" applyFill="1" applyBorder="1" applyAlignment="1">
      <alignment horizontal="center" vertical="center"/>
    </xf>
    <xf numFmtId="1" fontId="16" fillId="0" borderId="19" xfId="1" applyNumberFormat="1" applyFont="1" applyFill="1" applyBorder="1" applyAlignment="1">
      <alignment horizontal="center" vertical="center"/>
    </xf>
    <xf numFmtId="1" fontId="16" fillId="0" borderId="13" xfId="1" applyNumberFormat="1" applyFont="1" applyFill="1" applyBorder="1" applyAlignment="1">
      <alignment horizontal="center" vertical="center"/>
    </xf>
    <xf numFmtId="1" fontId="16" fillId="0" borderId="24" xfId="1" applyNumberFormat="1" applyFont="1" applyFill="1" applyBorder="1" applyAlignment="1">
      <alignment horizontal="center" vertical="center"/>
    </xf>
    <xf numFmtId="1" fontId="12" fillId="3" borderId="18" xfId="0" applyNumberFormat="1" applyFont="1" applyFill="1" applyBorder="1" applyAlignment="1">
      <alignment horizontal="center" vertical="center"/>
    </xf>
    <xf numFmtId="1" fontId="12" fillId="3" borderId="21" xfId="0" applyNumberFormat="1" applyFont="1" applyFill="1" applyBorder="1" applyAlignment="1">
      <alignment horizontal="center" vertical="center"/>
    </xf>
    <xf numFmtId="1" fontId="12" fillId="3" borderId="20" xfId="0" applyNumberFormat="1" applyFont="1" applyFill="1" applyBorder="1" applyAlignment="1">
      <alignment horizontal="center" vertical="center"/>
    </xf>
    <xf numFmtId="1" fontId="12" fillId="3" borderId="22" xfId="0" applyNumberFormat="1" applyFont="1" applyFill="1" applyBorder="1" applyAlignment="1">
      <alignment horizontal="center" vertical="center"/>
    </xf>
    <xf numFmtId="1" fontId="12" fillId="3" borderId="19" xfId="0" applyNumberFormat="1" applyFont="1" applyFill="1" applyBorder="1" applyAlignment="1">
      <alignment horizontal="center" vertical="center"/>
    </xf>
    <xf numFmtId="1" fontId="12" fillId="3" borderId="13" xfId="0" applyNumberFormat="1" applyFont="1" applyFill="1" applyBorder="1" applyAlignment="1">
      <alignment horizontal="center" vertical="center"/>
    </xf>
    <xf numFmtId="1" fontId="12" fillId="3" borderId="24" xfId="0" applyNumberFormat="1" applyFont="1" applyFill="1" applyBorder="1" applyAlignment="1">
      <alignment horizontal="center" vertical="center"/>
    </xf>
    <xf numFmtId="1" fontId="12" fillId="0" borderId="35" xfId="0" applyNumberFormat="1" applyFont="1" applyBorder="1" applyAlignment="1">
      <alignment horizontal="center"/>
    </xf>
    <xf numFmtId="1" fontId="12" fillId="0" borderId="34" xfId="0" applyNumberFormat="1" applyFont="1" applyBorder="1" applyAlignment="1">
      <alignment horizontal="center"/>
    </xf>
    <xf numFmtId="1" fontId="12" fillId="0" borderId="36" xfId="0" applyNumberFormat="1" applyFont="1" applyBorder="1" applyAlignment="1">
      <alignment horizontal="center"/>
    </xf>
    <xf numFmtId="1" fontId="12" fillId="0" borderId="21" xfId="0" applyNumberFormat="1" applyFont="1" applyBorder="1" applyAlignment="1">
      <alignment horizontal="center" vertical="center"/>
    </xf>
    <xf numFmtId="0" fontId="32" fillId="0" borderId="0" xfId="0" applyFont="1" applyAlignment="1">
      <alignment vertical="top"/>
    </xf>
    <xf numFmtId="0" fontId="0" fillId="0" borderId="0" xfId="0" applyAlignment="1">
      <alignment vertical="top"/>
    </xf>
    <xf numFmtId="4" fontId="32" fillId="0" borderId="0" xfId="0" applyNumberFormat="1" applyFont="1" applyAlignment="1">
      <alignment vertical="top"/>
    </xf>
    <xf numFmtId="14" fontId="32" fillId="0" borderId="0" xfId="0" applyNumberFormat="1" applyFont="1" applyAlignment="1">
      <alignment vertical="top"/>
    </xf>
    <xf numFmtId="174" fontId="32" fillId="0" borderId="0" xfId="0" applyNumberFormat="1" applyFont="1" applyAlignment="1">
      <alignment vertical="top"/>
    </xf>
    <xf numFmtId="3" fontId="32" fillId="0" borderId="0" xfId="0" applyNumberFormat="1" applyFont="1" applyAlignment="1">
      <alignment vertical="top"/>
    </xf>
    <xf numFmtId="1" fontId="32" fillId="0" borderId="0" xfId="0" applyNumberFormat="1" applyFont="1" applyAlignment="1">
      <alignment vertical="top"/>
    </xf>
    <xf numFmtId="175" fontId="32" fillId="0" borderId="0" xfId="0" applyNumberFormat="1" applyFont="1" applyAlignment="1">
      <alignment vertical="top"/>
    </xf>
    <xf numFmtId="0" fontId="16" fillId="0" borderId="0" xfId="0" applyFont="1" applyAlignment="1">
      <alignment horizontal="left" vertical="center" wrapText="1"/>
    </xf>
    <xf numFmtId="0" fontId="2" fillId="0" borderId="0" xfId="0" applyFont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1" fontId="16" fillId="4" borderId="21" xfId="0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left" vertical="center" wrapText="1"/>
    </xf>
    <xf numFmtId="164" fontId="16" fillId="4" borderId="13" xfId="1" applyNumberFormat="1" applyFont="1" applyFill="1" applyBorder="1" applyAlignment="1">
      <alignment horizontal="center" vertical="center"/>
    </xf>
    <xf numFmtId="43" fontId="16" fillId="4" borderId="13" xfId="1" applyFont="1" applyFill="1" applyBorder="1" applyAlignment="1">
      <alignment horizontal="center" vertical="center"/>
    </xf>
    <xf numFmtId="9" fontId="16" fillId="4" borderId="13" xfId="2" applyFont="1" applyFill="1" applyBorder="1" applyAlignment="1">
      <alignment horizontal="center" vertical="center"/>
    </xf>
    <xf numFmtId="0" fontId="0" fillId="4" borderId="0" xfId="0" applyFill="1"/>
    <xf numFmtId="9" fontId="12" fillId="4" borderId="21" xfId="2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6" fillId="4" borderId="21" xfId="1" applyNumberFormat="1" applyFont="1" applyFill="1" applyBorder="1" applyAlignment="1">
      <alignment horizontal="center" vertical="center"/>
    </xf>
    <xf numFmtId="1" fontId="16" fillId="4" borderId="13" xfId="1" applyNumberFormat="1" applyFont="1" applyFill="1" applyBorder="1" applyAlignment="1">
      <alignment horizontal="center" vertical="center"/>
    </xf>
    <xf numFmtId="44" fontId="16" fillId="4" borderId="13" xfId="3" applyFont="1" applyFill="1" applyBorder="1" applyAlignment="1">
      <alignment horizontal="center" vertical="center"/>
    </xf>
    <xf numFmtId="166" fontId="16" fillId="4" borderId="13" xfId="3" applyNumberFormat="1" applyFont="1" applyFill="1" applyBorder="1" applyAlignment="1">
      <alignment horizontal="center" vertical="center"/>
    </xf>
    <xf numFmtId="165" fontId="16" fillId="4" borderId="13" xfId="1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1" fontId="12" fillId="0" borderId="18" xfId="0" applyNumberFormat="1" applyFont="1" applyBorder="1" applyAlignment="1">
      <alignment horizontal="center" vertical="center"/>
    </xf>
    <xf numFmtId="1" fontId="12" fillId="0" borderId="23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 wrapText="1"/>
    </xf>
    <xf numFmtId="164" fontId="16" fillId="0" borderId="19" xfId="1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" fontId="12" fillId="3" borderId="2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1" fontId="12" fillId="3" borderId="21" xfId="0" applyNumberFormat="1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8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26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164" fontId="16" fillId="0" borderId="38" xfId="1" applyNumberFormat="1" applyFont="1" applyBorder="1" applyAlignment="1">
      <alignment horizontal="center" vertical="center"/>
    </xf>
    <xf numFmtId="1" fontId="16" fillId="0" borderId="38" xfId="1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8" fontId="12" fillId="3" borderId="22" xfId="1" applyNumberFormat="1" applyFont="1" applyFill="1" applyBorder="1" applyAlignment="1">
      <alignment horizontal="center" vertical="center"/>
    </xf>
    <xf numFmtId="168" fontId="12" fillId="3" borderId="25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16" fontId="23" fillId="0" borderId="1" xfId="0" applyNumberFormat="1" applyFont="1" applyBorder="1"/>
    <xf numFmtId="0" fontId="35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34" fillId="0" borderId="0" xfId="0" applyFont="1"/>
    <xf numFmtId="0" fontId="24" fillId="0" borderId="0" xfId="0" applyFont="1" applyAlignment="1">
      <alignment vertical="center"/>
    </xf>
    <xf numFmtId="16" fontId="23" fillId="0" borderId="0" xfId="0" applyNumberFormat="1" applyFont="1"/>
    <xf numFmtId="1" fontId="16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 wrapText="1"/>
    </xf>
    <xf numFmtId="164" fontId="16" fillId="0" borderId="41" xfId="1" applyNumberFormat="1" applyFont="1" applyBorder="1" applyAlignment="1">
      <alignment horizontal="center" vertical="center"/>
    </xf>
    <xf numFmtId="164" fontId="16" fillId="0" borderId="41" xfId="1" applyNumberFormat="1" applyFont="1" applyFill="1" applyBorder="1" applyAlignment="1">
      <alignment horizontal="center" vertical="center"/>
    </xf>
    <xf numFmtId="43" fontId="16" fillId="0" borderId="41" xfId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76" fontId="16" fillId="0" borderId="19" xfId="1" applyNumberFormat="1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16" fontId="23" fillId="0" borderId="0" xfId="0" applyNumberFormat="1" applyFont="1" applyAlignment="1">
      <alignment horizontal="center" vertical="center"/>
    </xf>
    <xf numFmtId="16" fontId="23" fillId="0" borderId="0" xfId="0" applyNumberFormat="1" applyFont="1" applyAlignment="1">
      <alignment horizontal="center"/>
    </xf>
    <xf numFmtId="0" fontId="23" fillId="0" borderId="0" xfId="0" applyFont="1"/>
    <xf numFmtId="0" fontId="37" fillId="0" borderId="0" xfId="0" applyFont="1"/>
    <xf numFmtId="0" fontId="36" fillId="0" borderId="0" xfId="0" applyFont="1"/>
    <xf numFmtId="0" fontId="5" fillId="0" borderId="0" xfId="0" applyFont="1"/>
    <xf numFmtId="0" fontId="16" fillId="0" borderId="20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42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16" fillId="0" borderId="18" xfId="2" applyFont="1" applyFill="1" applyBorder="1" applyAlignment="1">
      <alignment horizontal="center" vertical="center"/>
    </xf>
    <xf numFmtId="9" fontId="12" fillId="0" borderId="20" xfId="2" applyFont="1" applyBorder="1" applyAlignment="1">
      <alignment horizontal="center" vertical="center"/>
    </xf>
    <xf numFmtId="9" fontId="16" fillId="0" borderId="21" xfId="2" applyFont="1" applyFill="1" applyBorder="1" applyAlignment="1">
      <alignment horizontal="center" vertical="center"/>
    </xf>
    <xf numFmtId="9" fontId="12" fillId="0" borderId="22" xfId="2" applyFont="1" applyBorder="1" applyAlignment="1">
      <alignment horizontal="center" vertical="center"/>
    </xf>
    <xf numFmtId="9" fontId="16" fillId="0" borderId="23" xfId="2" applyFont="1" applyFill="1" applyBorder="1" applyAlignment="1">
      <alignment horizontal="center" vertical="center"/>
    </xf>
    <xf numFmtId="9" fontId="12" fillId="0" borderId="25" xfId="2" applyFont="1" applyBorder="1" applyAlignment="1">
      <alignment horizontal="center" vertical="center"/>
    </xf>
    <xf numFmtId="164" fontId="16" fillId="0" borderId="18" xfId="1" applyNumberFormat="1" applyFont="1" applyFill="1" applyBorder="1" applyAlignment="1">
      <alignment horizontal="center" vertical="center"/>
    </xf>
    <xf numFmtId="164" fontId="16" fillId="0" borderId="20" xfId="1" applyNumberFormat="1" applyFont="1" applyBorder="1" applyAlignment="1">
      <alignment horizontal="center" vertical="center"/>
    </xf>
    <xf numFmtId="164" fontId="16" fillId="0" borderId="21" xfId="1" applyNumberFormat="1" applyFont="1" applyFill="1" applyBorder="1" applyAlignment="1">
      <alignment horizontal="center" vertical="center"/>
    </xf>
    <xf numFmtId="164" fontId="16" fillId="0" borderId="22" xfId="1" applyNumberFormat="1" applyFont="1" applyBorder="1" applyAlignment="1">
      <alignment horizontal="center" vertical="center"/>
    </xf>
    <xf numFmtId="164" fontId="16" fillId="0" borderId="23" xfId="1" applyNumberFormat="1" applyFont="1" applyFill="1" applyBorder="1" applyAlignment="1">
      <alignment horizontal="center" vertical="center"/>
    </xf>
    <xf numFmtId="164" fontId="16" fillId="0" borderId="25" xfId="1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166" fontId="16" fillId="0" borderId="19" xfId="3" applyNumberFormat="1" applyFont="1" applyFill="1" applyBorder="1" applyAlignment="1">
      <alignment horizontal="center" vertical="center"/>
    </xf>
    <xf numFmtId="0" fontId="16" fillId="0" borderId="40" xfId="1" applyNumberFormat="1" applyFont="1" applyFill="1" applyBorder="1" applyAlignment="1">
      <alignment horizontal="center" vertical="center"/>
    </xf>
    <xf numFmtId="1" fontId="16" fillId="0" borderId="41" xfId="1" applyNumberFormat="1" applyFont="1" applyFill="1" applyBorder="1" applyAlignment="1">
      <alignment horizontal="center" vertical="center"/>
    </xf>
    <xf numFmtId="44" fontId="16" fillId="0" borderId="41" xfId="3" applyFont="1" applyFill="1" applyBorder="1" applyAlignment="1">
      <alignment horizontal="center" vertical="center"/>
    </xf>
    <xf numFmtId="166" fontId="16" fillId="0" borderId="41" xfId="3" applyNumberFormat="1" applyFont="1" applyFill="1" applyBorder="1" applyAlignment="1">
      <alignment horizontal="center" vertical="center"/>
    </xf>
    <xf numFmtId="165" fontId="16" fillId="0" borderId="41" xfId="1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/>
    </xf>
    <xf numFmtId="164" fontId="16" fillId="0" borderId="42" xfId="1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44" fontId="16" fillId="0" borderId="24" xfId="1" applyNumberFormat="1" applyFont="1" applyFill="1" applyBorder="1" applyAlignment="1">
      <alignment horizontal="center" vertical="center"/>
    </xf>
    <xf numFmtId="9" fontId="16" fillId="0" borderId="40" xfId="2" applyFont="1" applyFill="1" applyBorder="1" applyAlignment="1">
      <alignment horizontal="center" vertical="center"/>
    </xf>
    <xf numFmtId="9" fontId="12" fillId="0" borderId="42" xfId="2" applyFont="1" applyBorder="1" applyAlignment="1">
      <alignment horizontal="center" vertical="center"/>
    </xf>
    <xf numFmtId="164" fontId="16" fillId="0" borderId="40" xfId="1" applyNumberFormat="1" applyFont="1" applyFill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1" fontId="12" fillId="0" borderId="40" xfId="0" applyNumberFormat="1" applyFont="1" applyBorder="1" applyAlignment="1">
      <alignment horizontal="center" vertical="center"/>
    </xf>
    <xf numFmtId="164" fontId="12" fillId="0" borderId="42" xfId="0" applyNumberFormat="1" applyFont="1" applyBorder="1" applyAlignment="1">
      <alignment horizontal="center" vertical="center"/>
    </xf>
    <xf numFmtId="176" fontId="16" fillId="0" borderId="23" xfId="1" applyNumberFormat="1" applyFont="1" applyFill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/>
    </xf>
    <xf numFmtId="0" fontId="16" fillId="0" borderId="39" xfId="0" applyFont="1" applyBorder="1" applyAlignment="1">
      <alignment horizontal="left" vertical="center" wrapText="1"/>
    </xf>
    <xf numFmtId="164" fontId="16" fillId="0" borderId="39" xfId="1" applyNumberFormat="1" applyFont="1" applyBorder="1" applyAlignment="1">
      <alignment horizontal="center" vertical="center"/>
    </xf>
    <xf numFmtId="44" fontId="16" fillId="0" borderId="38" xfId="1" applyNumberFormat="1" applyFont="1" applyFill="1" applyBorder="1" applyAlignment="1">
      <alignment horizontal="center" vertical="center"/>
    </xf>
    <xf numFmtId="165" fontId="16" fillId="0" borderId="38" xfId="1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0" fillId="0" borderId="8" xfId="0" applyBorder="1"/>
    <xf numFmtId="2" fontId="16" fillId="0" borderId="40" xfId="1" applyNumberFormat="1" applyFont="1" applyFill="1" applyBorder="1" applyAlignment="1">
      <alignment horizontal="center" vertical="center"/>
    </xf>
    <xf numFmtId="1" fontId="12" fillId="0" borderId="41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6" borderId="14" xfId="0" applyFont="1" applyFill="1" applyBorder="1" applyAlignment="1">
      <alignment horizontal="center" vertical="center"/>
    </xf>
    <xf numFmtId="164" fontId="39" fillId="0" borderId="12" xfId="1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/>
    </xf>
    <xf numFmtId="164" fontId="40" fillId="0" borderId="12" xfId="1" applyNumberFormat="1" applyFont="1" applyFill="1" applyBorder="1" applyAlignment="1">
      <alignment horizontal="center" vertical="center"/>
    </xf>
    <xf numFmtId="164" fontId="41" fillId="0" borderId="12" xfId="1" applyNumberFormat="1" applyFont="1" applyFill="1" applyBorder="1" applyAlignment="1">
      <alignment horizontal="center" vertical="center"/>
    </xf>
    <xf numFmtId="164" fontId="41" fillId="7" borderId="12" xfId="1" applyNumberFormat="1" applyFont="1" applyFill="1" applyBorder="1" applyAlignment="1">
      <alignment horizontal="center" vertical="center"/>
    </xf>
    <xf numFmtId="164" fontId="40" fillId="7" borderId="12" xfId="1" applyNumberFormat="1" applyFont="1" applyFill="1" applyBorder="1" applyAlignment="1">
      <alignment horizontal="center" vertical="center"/>
    </xf>
    <xf numFmtId="0" fontId="14" fillId="6" borderId="43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/>
    </xf>
    <xf numFmtId="164" fontId="35" fillId="0" borderId="12" xfId="1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164" fontId="35" fillId="7" borderId="12" xfId="1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164" fontId="40" fillId="3" borderId="12" xfId="1" applyNumberFormat="1" applyFont="1" applyFill="1" applyBorder="1" applyAlignment="1">
      <alignment horizontal="center" vertical="center"/>
    </xf>
    <xf numFmtId="0" fontId="14" fillId="6" borderId="14" xfId="0" quotePrefix="1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164" fontId="35" fillId="3" borderId="12" xfId="1" applyNumberFormat="1" applyFont="1" applyFill="1" applyBorder="1" applyAlignment="1">
      <alignment horizontal="center" vertical="center"/>
    </xf>
    <xf numFmtId="0" fontId="14" fillId="6" borderId="4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4" fontId="35" fillId="0" borderId="0" xfId="1" applyNumberFormat="1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15" fillId="0" borderId="7" xfId="0" applyFont="1" applyBorder="1"/>
    <xf numFmtId="0" fontId="36" fillId="0" borderId="14" xfId="0" applyFont="1" applyBorder="1" applyAlignment="1">
      <alignment horizontal="center" vertical="center"/>
    </xf>
    <xf numFmtId="164" fontId="13" fillId="0" borderId="12" xfId="1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6" fillId="8" borderId="7" xfId="0" applyFont="1" applyFill="1" applyBorder="1" applyAlignment="1">
      <alignment horizontal="left"/>
    </xf>
    <xf numFmtId="0" fontId="15" fillId="8" borderId="7" xfId="0" applyFont="1" applyFill="1" applyBorder="1"/>
    <xf numFmtId="0" fontId="6" fillId="0" borderId="0" xfId="0" applyFont="1" applyAlignment="1">
      <alignment horizontal="center" vertical="center"/>
    </xf>
    <xf numFmtId="0" fontId="7" fillId="8" borderId="0" xfId="0" applyFont="1" applyFill="1" applyAlignment="1">
      <alignment horizontal="left"/>
    </xf>
    <xf numFmtId="164" fontId="35" fillId="3" borderId="0" xfId="1" applyNumberFormat="1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7" fillId="8" borderId="13" xfId="0" applyFont="1" applyFill="1" applyBorder="1" applyAlignment="1">
      <alignment horizontal="left"/>
    </xf>
    <xf numFmtId="164" fontId="35" fillId="3" borderId="13" xfId="1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2" fillId="8" borderId="13" xfId="0" applyFont="1" applyFill="1" applyBorder="1" applyAlignment="1">
      <alignment horizontal="left"/>
    </xf>
    <xf numFmtId="0" fontId="12" fillId="8" borderId="8" xfId="0" applyFont="1" applyFill="1" applyBorder="1" applyAlignment="1">
      <alignment horizontal="left"/>
    </xf>
    <xf numFmtId="164" fontId="35" fillId="4" borderId="12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8" borderId="8" xfId="0" applyFont="1" applyFill="1" applyBorder="1" applyAlignment="1">
      <alignment horizontal="left"/>
    </xf>
    <xf numFmtId="0" fontId="8" fillId="8" borderId="7" xfId="0" applyFont="1" applyFill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2" fillId="8" borderId="12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0" fontId="6" fillId="0" borderId="27" xfId="0" applyFont="1" applyBorder="1" applyAlignment="1">
      <alignment horizontal="center" vertical="center"/>
    </xf>
    <xf numFmtId="0" fontId="12" fillId="8" borderId="17" xfId="0" applyFont="1" applyFill="1" applyBorder="1" applyAlignment="1">
      <alignment horizontal="left"/>
    </xf>
    <xf numFmtId="164" fontId="35" fillId="3" borderId="17" xfId="1" applyNumberFormat="1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8" fillId="8" borderId="6" xfId="0" applyFont="1" applyFill="1" applyBorder="1" applyAlignment="1">
      <alignment horizontal="left"/>
    </xf>
    <xf numFmtId="164" fontId="35" fillId="7" borderId="6" xfId="1" applyNumberFormat="1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14" fillId="0" borderId="14" xfId="0" quotePrefix="1" applyFont="1" applyBorder="1" applyAlignment="1">
      <alignment horizontal="center" vertical="center"/>
    </xf>
    <xf numFmtId="0" fontId="7" fillId="8" borderId="7" xfId="0" applyFont="1" applyFill="1" applyBorder="1" applyAlignment="1">
      <alignment horizontal="left"/>
    </xf>
    <xf numFmtId="0" fontId="16" fillId="8" borderId="8" xfId="0" applyFont="1" applyFill="1" applyBorder="1" applyAlignment="1">
      <alignment horizontal="left"/>
    </xf>
    <xf numFmtId="0" fontId="14" fillId="0" borderId="21" xfId="0" quotePrefix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7" fillId="8" borderId="16" xfId="0" applyFont="1" applyFill="1" applyBorder="1" applyAlignment="1">
      <alignment horizontal="left"/>
    </xf>
    <xf numFmtId="164" fontId="35" fillId="3" borderId="47" xfId="1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/>
    </xf>
    <xf numFmtId="0" fontId="12" fillId="0" borderId="14" xfId="0" applyFont="1" applyBorder="1" applyAlignment="1">
      <alignment horizontal="center" vertical="center"/>
    </xf>
    <xf numFmtId="0" fontId="12" fillId="8" borderId="7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0" fontId="0" fillId="0" borderId="21" xfId="0" applyBorder="1" applyAlignment="1">
      <alignment horizontal="center" vertical="center"/>
    </xf>
    <xf numFmtId="164" fontId="35" fillId="0" borderId="8" xfId="1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18" fillId="0" borderId="0" xfId="0" applyFont="1"/>
    <xf numFmtId="0" fontId="28" fillId="0" borderId="0" xfId="0" applyFont="1" applyAlignment="1">
      <alignment horizontal="center" vertical="center"/>
    </xf>
    <xf numFmtId="0" fontId="15" fillId="8" borderId="12" xfId="0" applyFont="1" applyFill="1" applyBorder="1" applyAlignment="1">
      <alignment horizontal="left"/>
    </xf>
    <xf numFmtId="0" fontId="15" fillId="8" borderId="8" xfId="0" applyFont="1" applyFill="1" applyBorder="1"/>
    <xf numFmtId="0" fontId="15" fillId="8" borderId="8" xfId="0" applyFont="1" applyFill="1" applyBorder="1" applyAlignment="1">
      <alignment horizontal="left"/>
    </xf>
    <xf numFmtId="164" fontId="14" fillId="0" borderId="12" xfId="1" applyNumberFormat="1" applyFont="1" applyFill="1" applyBorder="1" applyAlignment="1">
      <alignment horizontal="center" vertical="center"/>
    </xf>
    <xf numFmtId="164" fontId="35" fillId="9" borderId="12" xfId="1" applyNumberFormat="1" applyFont="1" applyFill="1" applyBorder="1" applyAlignment="1">
      <alignment horizontal="center" vertical="center"/>
    </xf>
    <xf numFmtId="0" fontId="37" fillId="0" borderId="14" xfId="0" applyFont="1" applyBorder="1" applyAlignment="1">
      <alignment vertical="center"/>
    </xf>
    <xf numFmtId="0" fontId="18" fillId="0" borderId="8" xfId="0" applyFont="1" applyBorder="1"/>
    <xf numFmtId="0" fontId="37" fillId="0" borderId="8" xfId="0" applyFont="1" applyBorder="1"/>
    <xf numFmtId="164" fontId="37" fillId="0" borderId="12" xfId="1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176" fontId="16" fillId="0" borderId="13" xfId="1" applyNumberFormat="1" applyFont="1" applyFill="1" applyBorder="1" applyAlignment="1">
      <alignment horizontal="center" vertical="center"/>
    </xf>
    <xf numFmtId="176" fontId="16" fillId="0" borderId="21" xfId="1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1" fontId="16" fillId="0" borderId="40" xfId="1" applyNumberFormat="1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16" fontId="23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4" fillId="0" borderId="0" xfId="5"/>
    <xf numFmtId="0" fontId="44" fillId="0" borderId="48" xfId="5" applyFont="1" applyBorder="1" applyAlignment="1">
      <alignment horizontal="center"/>
    </xf>
    <xf numFmtId="0" fontId="12" fillId="0" borderId="33" xfId="5" applyFont="1" applyBorder="1" applyAlignment="1">
      <alignment horizontal="center"/>
    </xf>
    <xf numFmtId="0" fontId="6" fillId="0" borderId="0" xfId="5" applyFont="1" applyAlignment="1">
      <alignment horizontal="center"/>
    </xf>
    <xf numFmtId="0" fontId="44" fillId="0" borderId="1" xfId="5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0" fontId="44" fillId="0" borderId="4" xfId="5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 wrapText="1"/>
    </xf>
    <xf numFmtId="0" fontId="13" fillId="0" borderId="5" xfId="5" applyFont="1" applyBorder="1" applyAlignment="1">
      <alignment horizontal="center" vertical="center" wrapText="1"/>
    </xf>
    <xf numFmtId="0" fontId="48" fillId="0" borderId="5" xfId="5" applyFont="1" applyBorder="1" applyAlignment="1">
      <alignment horizontal="center" vertical="center" wrapText="1"/>
    </xf>
    <xf numFmtId="0" fontId="13" fillId="0" borderId="46" xfId="5" applyFont="1" applyBorder="1" applyAlignment="1">
      <alignment horizontal="center" vertical="center" wrapText="1"/>
    </xf>
    <xf numFmtId="0" fontId="13" fillId="0" borderId="11" xfId="5" applyFont="1" applyBorder="1" applyAlignment="1">
      <alignment horizontal="center" vertical="center" wrapText="1"/>
    </xf>
    <xf numFmtId="0" fontId="13" fillId="0" borderId="13" xfId="5" applyFont="1" applyBorder="1" applyAlignment="1">
      <alignment horizontal="center" vertical="center"/>
    </xf>
    <xf numFmtId="16" fontId="49" fillId="0" borderId="19" xfId="5" applyNumberFormat="1" applyFont="1" applyBorder="1"/>
    <xf numFmtId="0" fontId="49" fillId="0" borderId="19" xfId="5" applyFont="1" applyBorder="1"/>
    <xf numFmtId="0" fontId="49" fillId="0" borderId="20" xfId="5" applyFont="1" applyBorder="1"/>
    <xf numFmtId="168" fontId="4" fillId="0" borderId="0" xfId="5" applyNumberFormat="1"/>
    <xf numFmtId="0" fontId="13" fillId="0" borderId="17" xfId="5" applyFont="1" applyBorder="1" applyAlignment="1">
      <alignment horizontal="center" vertical="center"/>
    </xf>
    <xf numFmtId="16" fontId="49" fillId="0" borderId="13" xfId="5" applyNumberFormat="1" applyFont="1" applyBorder="1"/>
    <xf numFmtId="0" fontId="49" fillId="0" borderId="13" xfId="5" applyFont="1" applyBorder="1"/>
    <xf numFmtId="0" fontId="49" fillId="0" borderId="22" xfId="5" applyFont="1" applyBorder="1"/>
    <xf numFmtId="0" fontId="49" fillId="0" borderId="24" xfId="5" applyFont="1" applyBorder="1"/>
    <xf numFmtId="0" fontId="49" fillId="0" borderId="25" xfId="5" applyFont="1" applyBorder="1"/>
    <xf numFmtId="0" fontId="49" fillId="0" borderId="17" xfId="5" applyFont="1" applyBorder="1"/>
    <xf numFmtId="0" fontId="12" fillId="0" borderId="18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" xfId="5" applyFont="1" applyBorder="1" applyAlignment="1">
      <alignment horizontal="center" vertical="center" wrapText="1"/>
    </xf>
    <xf numFmtId="0" fontId="18" fillId="0" borderId="1" xfId="5" applyFont="1" applyBorder="1" applyAlignment="1">
      <alignment horizontal="center" vertical="center" wrapText="1"/>
    </xf>
    <xf numFmtId="164" fontId="0" fillId="0" borderId="0" xfId="0" applyNumberFormat="1"/>
    <xf numFmtId="0" fontId="6" fillId="0" borderId="28" xfId="5" applyFont="1" applyBorder="1" applyAlignment="1">
      <alignment horizontal="center"/>
    </xf>
    <xf numFmtId="0" fontId="6" fillId="0" borderId="0" xfId="5" applyFont="1" applyAlignment="1">
      <alignment horizontal="center"/>
    </xf>
    <xf numFmtId="0" fontId="44" fillId="0" borderId="0" xfId="5" applyFont="1" applyAlignment="1">
      <alignment horizontal="center"/>
    </xf>
    <xf numFmtId="0" fontId="44" fillId="0" borderId="48" xfId="5" applyFont="1" applyBorder="1" applyAlignment="1">
      <alignment horizontal="center"/>
    </xf>
    <xf numFmtId="0" fontId="42" fillId="0" borderId="11" xfId="5" applyFont="1" applyBorder="1" applyAlignment="1">
      <alignment horizontal="center"/>
    </xf>
    <xf numFmtId="0" fontId="42" fillId="0" borderId="30" xfId="5" applyFont="1" applyBorder="1" applyAlignment="1">
      <alignment horizontal="center"/>
    </xf>
    <xf numFmtId="0" fontId="42" fillId="0" borderId="29" xfId="5" applyFont="1" applyBorder="1" applyAlignment="1">
      <alignment horizontal="center"/>
    </xf>
    <xf numFmtId="0" fontId="45" fillId="0" borderId="11" xfId="5" applyFont="1" applyBorder="1" applyAlignment="1">
      <alignment horizontal="center"/>
    </xf>
    <xf numFmtId="0" fontId="45" fillId="0" borderId="30" xfId="5" applyFont="1" applyBorder="1" applyAlignment="1">
      <alignment horizontal="center"/>
    </xf>
    <xf numFmtId="0" fontId="45" fillId="0" borderId="29" xfId="5" applyFont="1" applyBorder="1" applyAlignment="1">
      <alignment horizontal="center"/>
    </xf>
    <xf numFmtId="0" fontId="6" fillId="0" borderId="31" xfId="5" applyFont="1" applyBorder="1" applyAlignment="1">
      <alignment horizontal="center"/>
    </xf>
    <xf numFmtId="0" fontId="6" fillId="0" borderId="32" xfId="5" applyFont="1" applyBorder="1" applyAlignment="1">
      <alignment horizontal="center"/>
    </xf>
    <xf numFmtId="0" fontId="44" fillId="0" borderId="32" xfId="5" applyFont="1" applyBorder="1" applyAlignment="1">
      <alignment horizontal="center"/>
    </xf>
    <xf numFmtId="0" fontId="44" fillId="0" borderId="33" xfId="5" applyFont="1" applyBorder="1" applyAlignment="1">
      <alignment horizontal="center"/>
    </xf>
    <xf numFmtId="0" fontId="43" fillId="0" borderId="1" xfId="5" applyFont="1" applyBorder="1" applyAlignment="1">
      <alignment horizontal="center" vertical="center"/>
    </xf>
    <xf numFmtId="0" fontId="43" fillId="0" borderId="2" xfId="5" applyFont="1" applyBorder="1" applyAlignment="1">
      <alignment horizontal="center" vertical="center"/>
    </xf>
    <xf numFmtId="0" fontId="43" fillId="0" borderId="3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3" xfId="5" applyFont="1" applyBorder="1" applyAlignment="1">
      <alignment horizontal="center" vertical="center"/>
    </xf>
    <xf numFmtId="14" fontId="44" fillId="0" borderId="1" xfId="5" applyNumberFormat="1" applyFont="1" applyBorder="1" applyAlignment="1">
      <alignment horizontal="center" vertical="center"/>
    </xf>
    <xf numFmtId="14" fontId="44" fillId="0" borderId="2" xfId="5" applyNumberFormat="1" applyFont="1" applyBorder="1" applyAlignment="1">
      <alignment horizontal="center" vertical="center"/>
    </xf>
    <xf numFmtId="14" fontId="44" fillId="0" borderId="3" xfId="5" applyNumberFormat="1" applyFont="1" applyBorder="1" applyAlignment="1">
      <alignment horizontal="center" vertical="center"/>
    </xf>
    <xf numFmtId="0" fontId="16" fillId="0" borderId="18" xfId="5" applyFont="1" applyBorder="1" applyAlignment="1">
      <alignment horizontal="center" vertical="center" wrapText="1"/>
    </xf>
    <xf numFmtId="0" fontId="16" fillId="0" borderId="21" xfId="5" applyFont="1" applyBorder="1" applyAlignment="1">
      <alignment horizontal="center" vertical="center" wrapText="1"/>
    </xf>
    <xf numFmtId="0" fontId="13" fillId="0" borderId="19" xfId="5" applyFont="1" applyBorder="1" applyAlignment="1">
      <alignment horizontal="center" vertical="center"/>
    </xf>
    <xf numFmtId="0" fontId="13" fillId="0" borderId="13" xfId="5" applyFont="1" applyBorder="1" applyAlignment="1">
      <alignment horizontal="center" vertical="center"/>
    </xf>
    <xf numFmtId="0" fontId="16" fillId="0" borderId="19" xfId="5" applyFont="1" applyBorder="1" applyAlignment="1">
      <alignment horizontal="center" vertical="center" wrapText="1"/>
    </xf>
    <xf numFmtId="0" fontId="16" fillId="0" borderId="13" xfId="5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0" fontId="6" fillId="0" borderId="3" xfId="5" applyFont="1" applyBorder="1" applyAlignment="1">
      <alignment horizontal="center" vertical="center" wrapText="1"/>
    </xf>
    <xf numFmtId="0" fontId="6" fillId="0" borderId="2" xfId="5" applyFont="1" applyBorder="1" applyAlignment="1">
      <alignment horizontal="center" vertical="center" wrapText="1"/>
    </xf>
    <xf numFmtId="0" fontId="46" fillId="0" borderId="1" xfId="5" applyFont="1" applyBorder="1" applyAlignment="1">
      <alignment horizontal="center" vertical="center"/>
    </xf>
    <xf numFmtId="0" fontId="46" fillId="0" borderId="2" xfId="5" applyFont="1" applyBorder="1" applyAlignment="1">
      <alignment horizontal="center" vertical="center"/>
    </xf>
    <xf numFmtId="0" fontId="46" fillId="0" borderId="3" xfId="5" applyFont="1" applyBorder="1" applyAlignment="1">
      <alignment horizontal="center" vertical="center"/>
    </xf>
    <xf numFmtId="177" fontId="47" fillId="0" borderId="1" xfId="5" applyNumberFormat="1" applyFont="1" applyBorder="1" applyAlignment="1">
      <alignment horizontal="center" vertical="center"/>
    </xf>
    <xf numFmtId="177" fontId="47" fillId="0" borderId="2" xfId="5" applyNumberFormat="1" applyFont="1" applyBorder="1" applyAlignment="1">
      <alignment horizontal="center" vertical="center"/>
    </xf>
    <xf numFmtId="177" fontId="47" fillId="0" borderId="3" xfId="5" applyNumberFormat="1" applyFont="1" applyBorder="1" applyAlignment="1">
      <alignment horizontal="center" vertical="center"/>
    </xf>
    <xf numFmtId="177" fontId="42" fillId="0" borderId="1" xfId="5" applyNumberFormat="1" applyFont="1" applyBorder="1" applyAlignment="1">
      <alignment horizontal="center" vertical="center"/>
    </xf>
    <xf numFmtId="177" fontId="42" fillId="0" borderId="2" xfId="5" applyNumberFormat="1" applyFont="1" applyBorder="1" applyAlignment="1">
      <alignment horizontal="center" vertical="center"/>
    </xf>
    <xf numFmtId="177" fontId="42" fillId="0" borderId="3" xfId="5" applyNumberFormat="1" applyFont="1" applyBorder="1" applyAlignment="1">
      <alignment horizontal="center" vertical="center"/>
    </xf>
    <xf numFmtId="0" fontId="16" fillId="0" borderId="21" xfId="5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3" fillId="0" borderId="24" xfId="5" applyFont="1" applyBorder="1" applyAlignment="1">
      <alignment horizontal="center" vertical="center"/>
    </xf>
    <xf numFmtId="0" fontId="16" fillId="0" borderId="24" xfId="5" applyFont="1" applyBorder="1" applyAlignment="1">
      <alignment horizontal="center" vertical="center" wrapText="1"/>
    </xf>
    <xf numFmtId="0" fontId="16" fillId="0" borderId="13" xfId="5" applyFont="1" applyBorder="1" applyAlignment="1">
      <alignment horizontal="center" vertical="center"/>
    </xf>
    <xf numFmtId="0" fontId="16" fillId="0" borderId="17" xfId="5" applyFont="1" applyBorder="1" applyAlignment="1">
      <alignment horizontal="center" vertical="center"/>
    </xf>
    <xf numFmtId="0" fontId="13" fillId="0" borderId="17" xfId="5" applyFont="1" applyBorder="1" applyAlignment="1">
      <alignment horizontal="center" vertical="center"/>
    </xf>
    <xf numFmtId="0" fontId="16" fillId="0" borderId="17" xfId="5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30" xfId="0" applyFont="1" applyFill="1" applyBorder="1" applyAlignment="1">
      <alignment horizontal="center" vertical="center"/>
    </xf>
    <xf numFmtId="0" fontId="28" fillId="3" borderId="29" xfId="0" applyFont="1" applyFill="1" applyBorder="1" applyAlignment="1">
      <alignment horizontal="center" vertical="center"/>
    </xf>
    <xf numFmtId="0" fontId="28" fillId="3" borderId="31" xfId="0" applyFont="1" applyFill="1" applyBorder="1" applyAlignment="1">
      <alignment horizontal="center" vertical="center"/>
    </xf>
    <xf numFmtId="0" fontId="28" fillId="3" borderId="32" xfId="0" applyFont="1" applyFill="1" applyBorder="1" applyAlignment="1">
      <alignment horizontal="center" vertical="center"/>
    </xf>
    <xf numFmtId="0" fontId="28" fillId="3" borderId="33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</cellXfs>
  <cellStyles count="7">
    <cellStyle name="Millares" xfId="1" builtinId="3"/>
    <cellStyle name="Millares 2" xfId="4"/>
    <cellStyle name="Moneda" xfId="3" builtinId="4"/>
    <cellStyle name="Normal" xfId="0" builtinId="0"/>
    <cellStyle name="Normal 4" xfId="5"/>
    <cellStyle name="Normal 4 2" xfId="6"/>
    <cellStyle name="Porcentaje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8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415" customWidth="1"/>
    <col min="2" max="2" width="6.140625" style="415" customWidth="1"/>
    <col min="3" max="3" width="21.7109375" style="415" customWidth="1"/>
    <col min="4" max="4" width="9.28515625" style="415" customWidth="1"/>
    <col min="5" max="5" width="8.28515625" style="415" customWidth="1"/>
    <col min="6" max="6" width="7.7109375" style="415" customWidth="1"/>
    <col min="7" max="7" width="9.7109375" style="415" customWidth="1"/>
    <col min="8" max="8" width="7.28515625" style="415" customWidth="1"/>
    <col min="9" max="9" width="7.5703125" style="415" customWidth="1"/>
    <col min="10" max="10" width="7.7109375" style="415" customWidth="1"/>
    <col min="11" max="11" width="7" style="415" customWidth="1"/>
    <col min="12" max="12" width="7.7109375" style="415" customWidth="1"/>
    <col min="13" max="13" width="7" style="415" customWidth="1"/>
    <col min="14" max="256" width="11.5703125" style="415"/>
    <col min="257" max="257" width="11.42578125" style="415" customWidth="1"/>
    <col min="258" max="258" width="6.140625" style="415" customWidth="1"/>
    <col min="259" max="259" width="21.7109375" style="415" customWidth="1"/>
    <col min="260" max="260" width="9.28515625" style="415" customWidth="1"/>
    <col min="261" max="261" width="8.28515625" style="415" customWidth="1"/>
    <col min="262" max="262" width="7.7109375" style="415" customWidth="1"/>
    <col min="263" max="263" width="9.7109375" style="415" customWidth="1"/>
    <col min="264" max="264" width="7.28515625" style="415" customWidth="1"/>
    <col min="265" max="265" width="7.5703125" style="415" customWidth="1"/>
    <col min="266" max="266" width="7.7109375" style="415" customWidth="1"/>
    <col min="267" max="267" width="7" style="415" customWidth="1"/>
    <col min="268" max="268" width="7.7109375" style="415" customWidth="1"/>
    <col min="269" max="269" width="7" style="415" customWidth="1"/>
    <col min="270" max="512" width="11.5703125" style="415"/>
    <col min="513" max="513" width="11.42578125" style="415" customWidth="1"/>
    <col min="514" max="514" width="6.140625" style="415" customWidth="1"/>
    <col min="515" max="515" width="21.7109375" style="415" customWidth="1"/>
    <col min="516" max="516" width="9.28515625" style="415" customWidth="1"/>
    <col min="517" max="517" width="8.28515625" style="415" customWidth="1"/>
    <col min="518" max="518" width="7.7109375" style="415" customWidth="1"/>
    <col min="519" max="519" width="9.7109375" style="415" customWidth="1"/>
    <col min="520" max="520" width="7.28515625" style="415" customWidth="1"/>
    <col min="521" max="521" width="7.5703125" style="415" customWidth="1"/>
    <col min="522" max="522" width="7.7109375" style="415" customWidth="1"/>
    <col min="523" max="523" width="7" style="415" customWidth="1"/>
    <col min="524" max="524" width="7.7109375" style="415" customWidth="1"/>
    <col min="525" max="525" width="7" style="415" customWidth="1"/>
    <col min="526" max="768" width="11.5703125" style="415"/>
    <col min="769" max="769" width="11.42578125" style="415" customWidth="1"/>
    <col min="770" max="770" width="6.140625" style="415" customWidth="1"/>
    <col min="771" max="771" width="21.7109375" style="415" customWidth="1"/>
    <col min="772" max="772" width="9.28515625" style="415" customWidth="1"/>
    <col min="773" max="773" width="8.28515625" style="415" customWidth="1"/>
    <col min="774" max="774" width="7.7109375" style="415" customWidth="1"/>
    <col min="775" max="775" width="9.7109375" style="415" customWidth="1"/>
    <col min="776" max="776" width="7.28515625" style="415" customWidth="1"/>
    <col min="777" max="777" width="7.5703125" style="415" customWidth="1"/>
    <col min="778" max="778" width="7.7109375" style="415" customWidth="1"/>
    <col min="779" max="779" width="7" style="415" customWidth="1"/>
    <col min="780" max="780" width="7.7109375" style="415" customWidth="1"/>
    <col min="781" max="781" width="7" style="415" customWidth="1"/>
    <col min="782" max="1024" width="11.5703125" style="415"/>
    <col min="1025" max="1025" width="11.42578125" style="415" customWidth="1"/>
    <col min="1026" max="1026" width="6.140625" style="415" customWidth="1"/>
    <col min="1027" max="1027" width="21.7109375" style="415" customWidth="1"/>
    <col min="1028" max="1028" width="9.28515625" style="415" customWidth="1"/>
    <col min="1029" max="1029" width="8.28515625" style="415" customWidth="1"/>
    <col min="1030" max="1030" width="7.7109375" style="415" customWidth="1"/>
    <col min="1031" max="1031" width="9.7109375" style="415" customWidth="1"/>
    <col min="1032" max="1032" width="7.28515625" style="415" customWidth="1"/>
    <col min="1033" max="1033" width="7.5703125" style="415" customWidth="1"/>
    <col min="1034" max="1034" width="7.7109375" style="415" customWidth="1"/>
    <col min="1035" max="1035" width="7" style="415" customWidth="1"/>
    <col min="1036" max="1036" width="7.7109375" style="415" customWidth="1"/>
    <col min="1037" max="1037" width="7" style="415" customWidth="1"/>
    <col min="1038" max="1280" width="11.5703125" style="415"/>
    <col min="1281" max="1281" width="11.42578125" style="415" customWidth="1"/>
    <col min="1282" max="1282" width="6.140625" style="415" customWidth="1"/>
    <col min="1283" max="1283" width="21.7109375" style="415" customWidth="1"/>
    <col min="1284" max="1284" width="9.28515625" style="415" customWidth="1"/>
    <col min="1285" max="1285" width="8.28515625" style="415" customWidth="1"/>
    <col min="1286" max="1286" width="7.7109375" style="415" customWidth="1"/>
    <col min="1287" max="1287" width="9.7109375" style="415" customWidth="1"/>
    <col min="1288" max="1288" width="7.28515625" style="415" customWidth="1"/>
    <col min="1289" max="1289" width="7.5703125" style="415" customWidth="1"/>
    <col min="1290" max="1290" width="7.7109375" style="415" customWidth="1"/>
    <col min="1291" max="1291" width="7" style="415" customWidth="1"/>
    <col min="1292" max="1292" width="7.7109375" style="415" customWidth="1"/>
    <col min="1293" max="1293" width="7" style="415" customWidth="1"/>
    <col min="1294" max="1536" width="11.5703125" style="415"/>
    <col min="1537" max="1537" width="11.42578125" style="415" customWidth="1"/>
    <col min="1538" max="1538" width="6.140625" style="415" customWidth="1"/>
    <col min="1539" max="1539" width="21.7109375" style="415" customWidth="1"/>
    <col min="1540" max="1540" width="9.28515625" style="415" customWidth="1"/>
    <col min="1541" max="1541" width="8.28515625" style="415" customWidth="1"/>
    <col min="1542" max="1542" width="7.7109375" style="415" customWidth="1"/>
    <col min="1543" max="1543" width="9.7109375" style="415" customWidth="1"/>
    <col min="1544" max="1544" width="7.28515625" style="415" customWidth="1"/>
    <col min="1545" max="1545" width="7.5703125" style="415" customWidth="1"/>
    <col min="1546" max="1546" width="7.7109375" style="415" customWidth="1"/>
    <col min="1547" max="1547" width="7" style="415" customWidth="1"/>
    <col min="1548" max="1548" width="7.7109375" style="415" customWidth="1"/>
    <col min="1549" max="1549" width="7" style="415" customWidth="1"/>
    <col min="1550" max="1792" width="11.5703125" style="415"/>
    <col min="1793" max="1793" width="11.42578125" style="415" customWidth="1"/>
    <col min="1794" max="1794" width="6.140625" style="415" customWidth="1"/>
    <col min="1795" max="1795" width="21.7109375" style="415" customWidth="1"/>
    <col min="1796" max="1796" width="9.28515625" style="415" customWidth="1"/>
    <col min="1797" max="1797" width="8.28515625" style="415" customWidth="1"/>
    <col min="1798" max="1798" width="7.7109375" style="415" customWidth="1"/>
    <col min="1799" max="1799" width="9.7109375" style="415" customWidth="1"/>
    <col min="1800" max="1800" width="7.28515625" style="415" customWidth="1"/>
    <col min="1801" max="1801" width="7.5703125" style="415" customWidth="1"/>
    <col min="1802" max="1802" width="7.7109375" style="415" customWidth="1"/>
    <col min="1803" max="1803" width="7" style="415" customWidth="1"/>
    <col min="1804" max="1804" width="7.7109375" style="415" customWidth="1"/>
    <col min="1805" max="1805" width="7" style="415" customWidth="1"/>
    <col min="1806" max="2048" width="11.5703125" style="415"/>
    <col min="2049" max="2049" width="11.42578125" style="415" customWidth="1"/>
    <col min="2050" max="2050" width="6.140625" style="415" customWidth="1"/>
    <col min="2051" max="2051" width="21.7109375" style="415" customWidth="1"/>
    <col min="2052" max="2052" width="9.28515625" style="415" customWidth="1"/>
    <col min="2053" max="2053" width="8.28515625" style="415" customWidth="1"/>
    <col min="2054" max="2054" width="7.7109375" style="415" customWidth="1"/>
    <col min="2055" max="2055" width="9.7109375" style="415" customWidth="1"/>
    <col min="2056" max="2056" width="7.28515625" style="415" customWidth="1"/>
    <col min="2057" max="2057" width="7.5703125" style="415" customWidth="1"/>
    <col min="2058" max="2058" width="7.7109375" style="415" customWidth="1"/>
    <col min="2059" max="2059" width="7" style="415" customWidth="1"/>
    <col min="2060" max="2060" width="7.7109375" style="415" customWidth="1"/>
    <col min="2061" max="2061" width="7" style="415" customWidth="1"/>
    <col min="2062" max="2304" width="11.5703125" style="415"/>
    <col min="2305" max="2305" width="11.42578125" style="415" customWidth="1"/>
    <col min="2306" max="2306" width="6.140625" style="415" customWidth="1"/>
    <col min="2307" max="2307" width="21.7109375" style="415" customWidth="1"/>
    <col min="2308" max="2308" width="9.28515625" style="415" customWidth="1"/>
    <col min="2309" max="2309" width="8.28515625" style="415" customWidth="1"/>
    <col min="2310" max="2310" width="7.7109375" style="415" customWidth="1"/>
    <col min="2311" max="2311" width="9.7109375" style="415" customWidth="1"/>
    <col min="2312" max="2312" width="7.28515625" style="415" customWidth="1"/>
    <col min="2313" max="2313" width="7.5703125" style="415" customWidth="1"/>
    <col min="2314" max="2314" width="7.7109375" style="415" customWidth="1"/>
    <col min="2315" max="2315" width="7" style="415" customWidth="1"/>
    <col min="2316" max="2316" width="7.7109375" style="415" customWidth="1"/>
    <col min="2317" max="2317" width="7" style="415" customWidth="1"/>
    <col min="2318" max="2560" width="11.5703125" style="415"/>
    <col min="2561" max="2561" width="11.42578125" style="415" customWidth="1"/>
    <col min="2562" max="2562" width="6.140625" style="415" customWidth="1"/>
    <col min="2563" max="2563" width="21.7109375" style="415" customWidth="1"/>
    <col min="2564" max="2564" width="9.28515625" style="415" customWidth="1"/>
    <col min="2565" max="2565" width="8.28515625" style="415" customWidth="1"/>
    <col min="2566" max="2566" width="7.7109375" style="415" customWidth="1"/>
    <col min="2567" max="2567" width="9.7109375" style="415" customWidth="1"/>
    <col min="2568" max="2568" width="7.28515625" style="415" customWidth="1"/>
    <col min="2569" max="2569" width="7.5703125" style="415" customWidth="1"/>
    <col min="2570" max="2570" width="7.7109375" style="415" customWidth="1"/>
    <col min="2571" max="2571" width="7" style="415" customWidth="1"/>
    <col min="2572" max="2572" width="7.7109375" style="415" customWidth="1"/>
    <col min="2573" max="2573" width="7" style="415" customWidth="1"/>
    <col min="2574" max="2816" width="11.5703125" style="415"/>
    <col min="2817" max="2817" width="11.42578125" style="415" customWidth="1"/>
    <col min="2818" max="2818" width="6.140625" style="415" customWidth="1"/>
    <col min="2819" max="2819" width="21.7109375" style="415" customWidth="1"/>
    <col min="2820" max="2820" width="9.28515625" style="415" customWidth="1"/>
    <col min="2821" max="2821" width="8.28515625" style="415" customWidth="1"/>
    <col min="2822" max="2822" width="7.7109375" style="415" customWidth="1"/>
    <col min="2823" max="2823" width="9.7109375" style="415" customWidth="1"/>
    <col min="2824" max="2824" width="7.28515625" style="415" customWidth="1"/>
    <col min="2825" max="2825" width="7.5703125" style="415" customWidth="1"/>
    <col min="2826" max="2826" width="7.7109375" style="415" customWidth="1"/>
    <col min="2827" max="2827" width="7" style="415" customWidth="1"/>
    <col min="2828" max="2828" width="7.7109375" style="415" customWidth="1"/>
    <col min="2829" max="2829" width="7" style="415" customWidth="1"/>
    <col min="2830" max="3072" width="11.5703125" style="415"/>
    <col min="3073" max="3073" width="11.42578125" style="415" customWidth="1"/>
    <col min="3074" max="3074" width="6.140625" style="415" customWidth="1"/>
    <col min="3075" max="3075" width="21.7109375" style="415" customWidth="1"/>
    <col min="3076" max="3076" width="9.28515625" style="415" customWidth="1"/>
    <col min="3077" max="3077" width="8.28515625" style="415" customWidth="1"/>
    <col min="3078" max="3078" width="7.7109375" style="415" customWidth="1"/>
    <col min="3079" max="3079" width="9.7109375" style="415" customWidth="1"/>
    <col min="3080" max="3080" width="7.28515625" style="415" customWidth="1"/>
    <col min="3081" max="3081" width="7.5703125" style="415" customWidth="1"/>
    <col min="3082" max="3082" width="7.7109375" style="415" customWidth="1"/>
    <col min="3083" max="3083" width="7" style="415" customWidth="1"/>
    <col min="3084" max="3084" width="7.7109375" style="415" customWidth="1"/>
    <col min="3085" max="3085" width="7" style="415" customWidth="1"/>
    <col min="3086" max="3328" width="11.5703125" style="415"/>
    <col min="3329" max="3329" width="11.42578125" style="415" customWidth="1"/>
    <col min="3330" max="3330" width="6.140625" style="415" customWidth="1"/>
    <col min="3331" max="3331" width="21.7109375" style="415" customWidth="1"/>
    <col min="3332" max="3332" width="9.28515625" style="415" customWidth="1"/>
    <col min="3333" max="3333" width="8.28515625" style="415" customWidth="1"/>
    <col min="3334" max="3334" width="7.7109375" style="415" customWidth="1"/>
    <col min="3335" max="3335" width="9.7109375" style="415" customWidth="1"/>
    <col min="3336" max="3336" width="7.28515625" style="415" customWidth="1"/>
    <col min="3337" max="3337" width="7.5703125" style="415" customWidth="1"/>
    <col min="3338" max="3338" width="7.7109375" style="415" customWidth="1"/>
    <col min="3339" max="3339" width="7" style="415" customWidth="1"/>
    <col min="3340" max="3340" width="7.7109375" style="415" customWidth="1"/>
    <col min="3341" max="3341" width="7" style="415" customWidth="1"/>
    <col min="3342" max="3584" width="11.5703125" style="415"/>
    <col min="3585" max="3585" width="11.42578125" style="415" customWidth="1"/>
    <col min="3586" max="3586" width="6.140625" style="415" customWidth="1"/>
    <col min="3587" max="3587" width="21.7109375" style="415" customWidth="1"/>
    <col min="3588" max="3588" width="9.28515625" style="415" customWidth="1"/>
    <col min="3589" max="3589" width="8.28515625" style="415" customWidth="1"/>
    <col min="3590" max="3590" width="7.7109375" style="415" customWidth="1"/>
    <col min="3591" max="3591" width="9.7109375" style="415" customWidth="1"/>
    <col min="3592" max="3592" width="7.28515625" style="415" customWidth="1"/>
    <col min="3593" max="3593" width="7.5703125" style="415" customWidth="1"/>
    <col min="3594" max="3594" width="7.7109375" style="415" customWidth="1"/>
    <col min="3595" max="3595" width="7" style="415" customWidth="1"/>
    <col min="3596" max="3596" width="7.7109375" style="415" customWidth="1"/>
    <col min="3597" max="3597" width="7" style="415" customWidth="1"/>
    <col min="3598" max="3840" width="11.5703125" style="415"/>
    <col min="3841" max="3841" width="11.42578125" style="415" customWidth="1"/>
    <col min="3842" max="3842" width="6.140625" style="415" customWidth="1"/>
    <col min="3843" max="3843" width="21.7109375" style="415" customWidth="1"/>
    <col min="3844" max="3844" width="9.28515625" style="415" customWidth="1"/>
    <col min="3845" max="3845" width="8.28515625" style="415" customWidth="1"/>
    <col min="3846" max="3846" width="7.7109375" style="415" customWidth="1"/>
    <col min="3847" max="3847" width="9.7109375" style="415" customWidth="1"/>
    <col min="3848" max="3848" width="7.28515625" style="415" customWidth="1"/>
    <col min="3849" max="3849" width="7.5703125" style="415" customWidth="1"/>
    <col min="3850" max="3850" width="7.7109375" style="415" customWidth="1"/>
    <col min="3851" max="3851" width="7" style="415" customWidth="1"/>
    <col min="3852" max="3852" width="7.7109375" style="415" customWidth="1"/>
    <col min="3853" max="3853" width="7" style="415" customWidth="1"/>
    <col min="3854" max="4096" width="11.5703125" style="415"/>
    <col min="4097" max="4097" width="11.42578125" style="415" customWidth="1"/>
    <col min="4098" max="4098" width="6.140625" style="415" customWidth="1"/>
    <col min="4099" max="4099" width="21.7109375" style="415" customWidth="1"/>
    <col min="4100" max="4100" width="9.28515625" style="415" customWidth="1"/>
    <col min="4101" max="4101" width="8.28515625" style="415" customWidth="1"/>
    <col min="4102" max="4102" width="7.7109375" style="415" customWidth="1"/>
    <col min="4103" max="4103" width="9.7109375" style="415" customWidth="1"/>
    <col min="4104" max="4104" width="7.28515625" style="415" customWidth="1"/>
    <col min="4105" max="4105" width="7.5703125" style="415" customWidth="1"/>
    <col min="4106" max="4106" width="7.7109375" style="415" customWidth="1"/>
    <col min="4107" max="4107" width="7" style="415" customWidth="1"/>
    <col min="4108" max="4108" width="7.7109375" style="415" customWidth="1"/>
    <col min="4109" max="4109" width="7" style="415" customWidth="1"/>
    <col min="4110" max="4352" width="11.5703125" style="415"/>
    <col min="4353" max="4353" width="11.42578125" style="415" customWidth="1"/>
    <col min="4354" max="4354" width="6.140625" style="415" customWidth="1"/>
    <col min="4355" max="4355" width="21.7109375" style="415" customWidth="1"/>
    <col min="4356" max="4356" width="9.28515625" style="415" customWidth="1"/>
    <col min="4357" max="4357" width="8.28515625" style="415" customWidth="1"/>
    <col min="4358" max="4358" width="7.7109375" style="415" customWidth="1"/>
    <col min="4359" max="4359" width="9.7109375" style="415" customWidth="1"/>
    <col min="4360" max="4360" width="7.28515625" style="415" customWidth="1"/>
    <col min="4361" max="4361" width="7.5703125" style="415" customWidth="1"/>
    <col min="4362" max="4362" width="7.7109375" style="415" customWidth="1"/>
    <col min="4363" max="4363" width="7" style="415" customWidth="1"/>
    <col min="4364" max="4364" width="7.7109375" style="415" customWidth="1"/>
    <col min="4365" max="4365" width="7" style="415" customWidth="1"/>
    <col min="4366" max="4608" width="11.5703125" style="415"/>
    <col min="4609" max="4609" width="11.42578125" style="415" customWidth="1"/>
    <col min="4610" max="4610" width="6.140625" style="415" customWidth="1"/>
    <col min="4611" max="4611" width="21.7109375" style="415" customWidth="1"/>
    <col min="4612" max="4612" width="9.28515625" style="415" customWidth="1"/>
    <col min="4613" max="4613" width="8.28515625" style="415" customWidth="1"/>
    <col min="4614" max="4614" width="7.7109375" style="415" customWidth="1"/>
    <col min="4615" max="4615" width="9.7109375" style="415" customWidth="1"/>
    <col min="4616" max="4616" width="7.28515625" style="415" customWidth="1"/>
    <col min="4617" max="4617" width="7.5703125" style="415" customWidth="1"/>
    <col min="4618" max="4618" width="7.7109375" style="415" customWidth="1"/>
    <col min="4619" max="4619" width="7" style="415" customWidth="1"/>
    <col min="4620" max="4620" width="7.7109375" style="415" customWidth="1"/>
    <col min="4621" max="4621" width="7" style="415" customWidth="1"/>
    <col min="4622" max="4864" width="11.5703125" style="415"/>
    <col min="4865" max="4865" width="11.42578125" style="415" customWidth="1"/>
    <col min="4866" max="4866" width="6.140625" style="415" customWidth="1"/>
    <col min="4867" max="4867" width="21.7109375" style="415" customWidth="1"/>
    <col min="4868" max="4868" width="9.28515625" style="415" customWidth="1"/>
    <col min="4869" max="4869" width="8.28515625" style="415" customWidth="1"/>
    <col min="4870" max="4870" width="7.7109375" style="415" customWidth="1"/>
    <col min="4871" max="4871" width="9.7109375" style="415" customWidth="1"/>
    <col min="4872" max="4872" width="7.28515625" style="415" customWidth="1"/>
    <col min="4873" max="4873" width="7.5703125" style="415" customWidth="1"/>
    <col min="4874" max="4874" width="7.7109375" style="415" customWidth="1"/>
    <col min="4875" max="4875" width="7" style="415" customWidth="1"/>
    <col min="4876" max="4876" width="7.7109375" style="415" customWidth="1"/>
    <col min="4877" max="4877" width="7" style="415" customWidth="1"/>
    <col min="4878" max="5120" width="11.5703125" style="415"/>
    <col min="5121" max="5121" width="11.42578125" style="415" customWidth="1"/>
    <col min="5122" max="5122" width="6.140625" style="415" customWidth="1"/>
    <col min="5123" max="5123" width="21.7109375" style="415" customWidth="1"/>
    <col min="5124" max="5124" width="9.28515625" style="415" customWidth="1"/>
    <col min="5125" max="5125" width="8.28515625" style="415" customWidth="1"/>
    <col min="5126" max="5126" width="7.7109375" style="415" customWidth="1"/>
    <col min="5127" max="5127" width="9.7109375" style="415" customWidth="1"/>
    <col min="5128" max="5128" width="7.28515625" style="415" customWidth="1"/>
    <col min="5129" max="5129" width="7.5703125" style="415" customWidth="1"/>
    <col min="5130" max="5130" width="7.7109375" style="415" customWidth="1"/>
    <col min="5131" max="5131" width="7" style="415" customWidth="1"/>
    <col min="5132" max="5132" width="7.7109375" style="415" customWidth="1"/>
    <col min="5133" max="5133" width="7" style="415" customWidth="1"/>
    <col min="5134" max="5376" width="11.5703125" style="415"/>
    <col min="5377" max="5377" width="11.42578125" style="415" customWidth="1"/>
    <col min="5378" max="5378" width="6.140625" style="415" customWidth="1"/>
    <col min="5379" max="5379" width="21.7109375" style="415" customWidth="1"/>
    <col min="5380" max="5380" width="9.28515625" style="415" customWidth="1"/>
    <col min="5381" max="5381" width="8.28515625" style="415" customWidth="1"/>
    <col min="5382" max="5382" width="7.7109375" style="415" customWidth="1"/>
    <col min="5383" max="5383" width="9.7109375" style="415" customWidth="1"/>
    <col min="5384" max="5384" width="7.28515625" style="415" customWidth="1"/>
    <col min="5385" max="5385" width="7.5703125" style="415" customWidth="1"/>
    <col min="5386" max="5386" width="7.7109375" style="415" customWidth="1"/>
    <col min="5387" max="5387" width="7" style="415" customWidth="1"/>
    <col min="5388" max="5388" width="7.7109375" style="415" customWidth="1"/>
    <col min="5389" max="5389" width="7" style="415" customWidth="1"/>
    <col min="5390" max="5632" width="11.5703125" style="415"/>
    <col min="5633" max="5633" width="11.42578125" style="415" customWidth="1"/>
    <col min="5634" max="5634" width="6.140625" style="415" customWidth="1"/>
    <col min="5635" max="5635" width="21.7109375" style="415" customWidth="1"/>
    <col min="5636" max="5636" width="9.28515625" style="415" customWidth="1"/>
    <col min="5637" max="5637" width="8.28515625" style="415" customWidth="1"/>
    <col min="5638" max="5638" width="7.7109375" style="415" customWidth="1"/>
    <col min="5639" max="5639" width="9.7109375" style="415" customWidth="1"/>
    <col min="5640" max="5640" width="7.28515625" style="415" customWidth="1"/>
    <col min="5641" max="5641" width="7.5703125" style="415" customWidth="1"/>
    <col min="5642" max="5642" width="7.7109375" style="415" customWidth="1"/>
    <col min="5643" max="5643" width="7" style="415" customWidth="1"/>
    <col min="5644" max="5644" width="7.7109375" style="415" customWidth="1"/>
    <col min="5645" max="5645" width="7" style="415" customWidth="1"/>
    <col min="5646" max="5888" width="11.5703125" style="415"/>
    <col min="5889" max="5889" width="11.42578125" style="415" customWidth="1"/>
    <col min="5890" max="5890" width="6.140625" style="415" customWidth="1"/>
    <col min="5891" max="5891" width="21.7109375" style="415" customWidth="1"/>
    <col min="5892" max="5892" width="9.28515625" style="415" customWidth="1"/>
    <col min="5893" max="5893" width="8.28515625" style="415" customWidth="1"/>
    <col min="5894" max="5894" width="7.7109375" style="415" customWidth="1"/>
    <col min="5895" max="5895" width="9.7109375" style="415" customWidth="1"/>
    <col min="5896" max="5896" width="7.28515625" style="415" customWidth="1"/>
    <col min="5897" max="5897" width="7.5703125" style="415" customWidth="1"/>
    <col min="5898" max="5898" width="7.7109375" style="415" customWidth="1"/>
    <col min="5899" max="5899" width="7" style="415" customWidth="1"/>
    <col min="5900" max="5900" width="7.7109375" style="415" customWidth="1"/>
    <col min="5901" max="5901" width="7" style="415" customWidth="1"/>
    <col min="5902" max="6144" width="11.5703125" style="415"/>
    <col min="6145" max="6145" width="11.42578125" style="415" customWidth="1"/>
    <col min="6146" max="6146" width="6.140625" style="415" customWidth="1"/>
    <col min="6147" max="6147" width="21.7109375" style="415" customWidth="1"/>
    <col min="6148" max="6148" width="9.28515625" style="415" customWidth="1"/>
    <col min="6149" max="6149" width="8.28515625" style="415" customWidth="1"/>
    <col min="6150" max="6150" width="7.7109375" style="415" customWidth="1"/>
    <col min="6151" max="6151" width="9.7109375" style="415" customWidth="1"/>
    <col min="6152" max="6152" width="7.28515625" style="415" customWidth="1"/>
    <col min="6153" max="6153" width="7.5703125" style="415" customWidth="1"/>
    <col min="6154" max="6154" width="7.7109375" style="415" customWidth="1"/>
    <col min="6155" max="6155" width="7" style="415" customWidth="1"/>
    <col min="6156" max="6156" width="7.7109375" style="415" customWidth="1"/>
    <col min="6157" max="6157" width="7" style="415" customWidth="1"/>
    <col min="6158" max="6400" width="11.5703125" style="415"/>
    <col min="6401" max="6401" width="11.42578125" style="415" customWidth="1"/>
    <col min="6402" max="6402" width="6.140625" style="415" customWidth="1"/>
    <col min="6403" max="6403" width="21.7109375" style="415" customWidth="1"/>
    <col min="6404" max="6404" width="9.28515625" style="415" customWidth="1"/>
    <col min="6405" max="6405" width="8.28515625" style="415" customWidth="1"/>
    <col min="6406" max="6406" width="7.7109375" style="415" customWidth="1"/>
    <col min="6407" max="6407" width="9.7109375" style="415" customWidth="1"/>
    <col min="6408" max="6408" width="7.28515625" style="415" customWidth="1"/>
    <col min="6409" max="6409" width="7.5703125" style="415" customWidth="1"/>
    <col min="6410" max="6410" width="7.7109375" style="415" customWidth="1"/>
    <col min="6411" max="6411" width="7" style="415" customWidth="1"/>
    <col min="6412" max="6412" width="7.7109375" style="415" customWidth="1"/>
    <col min="6413" max="6413" width="7" style="415" customWidth="1"/>
    <col min="6414" max="6656" width="11.5703125" style="415"/>
    <col min="6657" max="6657" width="11.42578125" style="415" customWidth="1"/>
    <col min="6658" max="6658" width="6.140625" style="415" customWidth="1"/>
    <col min="6659" max="6659" width="21.7109375" style="415" customWidth="1"/>
    <col min="6660" max="6660" width="9.28515625" style="415" customWidth="1"/>
    <col min="6661" max="6661" width="8.28515625" style="415" customWidth="1"/>
    <col min="6662" max="6662" width="7.7109375" style="415" customWidth="1"/>
    <col min="6663" max="6663" width="9.7109375" style="415" customWidth="1"/>
    <col min="6664" max="6664" width="7.28515625" style="415" customWidth="1"/>
    <col min="6665" max="6665" width="7.5703125" style="415" customWidth="1"/>
    <col min="6666" max="6666" width="7.7109375" style="415" customWidth="1"/>
    <col min="6667" max="6667" width="7" style="415" customWidth="1"/>
    <col min="6668" max="6668" width="7.7109375" style="415" customWidth="1"/>
    <col min="6669" max="6669" width="7" style="415" customWidth="1"/>
    <col min="6670" max="6912" width="11.5703125" style="415"/>
    <col min="6913" max="6913" width="11.42578125" style="415" customWidth="1"/>
    <col min="6914" max="6914" width="6.140625" style="415" customWidth="1"/>
    <col min="6915" max="6915" width="21.7109375" style="415" customWidth="1"/>
    <col min="6916" max="6916" width="9.28515625" style="415" customWidth="1"/>
    <col min="6917" max="6917" width="8.28515625" style="415" customWidth="1"/>
    <col min="6918" max="6918" width="7.7109375" style="415" customWidth="1"/>
    <col min="6919" max="6919" width="9.7109375" style="415" customWidth="1"/>
    <col min="6920" max="6920" width="7.28515625" style="415" customWidth="1"/>
    <col min="6921" max="6921" width="7.5703125" style="415" customWidth="1"/>
    <col min="6922" max="6922" width="7.7109375" style="415" customWidth="1"/>
    <col min="6923" max="6923" width="7" style="415" customWidth="1"/>
    <col min="6924" max="6924" width="7.7109375" style="415" customWidth="1"/>
    <col min="6925" max="6925" width="7" style="415" customWidth="1"/>
    <col min="6926" max="7168" width="11.5703125" style="415"/>
    <col min="7169" max="7169" width="11.42578125" style="415" customWidth="1"/>
    <col min="7170" max="7170" width="6.140625" style="415" customWidth="1"/>
    <col min="7171" max="7171" width="21.7109375" style="415" customWidth="1"/>
    <col min="7172" max="7172" width="9.28515625" style="415" customWidth="1"/>
    <col min="7173" max="7173" width="8.28515625" style="415" customWidth="1"/>
    <col min="7174" max="7174" width="7.7109375" style="415" customWidth="1"/>
    <col min="7175" max="7175" width="9.7109375" style="415" customWidth="1"/>
    <col min="7176" max="7176" width="7.28515625" style="415" customWidth="1"/>
    <col min="7177" max="7177" width="7.5703125" style="415" customWidth="1"/>
    <col min="7178" max="7178" width="7.7109375" style="415" customWidth="1"/>
    <col min="7179" max="7179" width="7" style="415" customWidth="1"/>
    <col min="7180" max="7180" width="7.7109375" style="415" customWidth="1"/>
    <col min="7181" max="7181" width="7" style="415" customWidth="1"/>
    <col min="7182" max="7424" width="11.5703125" style="415"/>
    <col min="7425" max="7425" width="11.42578125" style="415" customWidth="1"/>
    <col min="7426" max="7426" width="6.140625" style="415" customWidth="1"/>
    <col min="7427" max="7427" width="21.7109375" style="415" customWidth="1"/>
    <col min="7428" max="7428" width="9.28515625" style="415" customWidth="1"/>
    <col min="7429" max="7429" width="8.28515625" style="415" customWidth="1"/>
    <col min="7430" max="7430" width="7.7109375" style="415" customWidth="1"/>
    <col min="7431" max="7431" width="9.7109375" style="415" customWidth="1"/>
    <col min="7432" max="7432" width="7.28515625" style="415" customWidth="1"/>
    <col min="7433" max="7433" width="7.5703125" style="415" customWidth="1"/>
    <col min="7434" max="7434" width="7.7109375" style="415" customWidth="1"/>
    <col min="7435" max="7435" width="7" style="415" customWidth="1"/>
    <col min="7436" max="7436" width="7.7109375" style="415" customWidth="1"/>
    <col min="7437" max="7437" width="7" style="415" customWidth="1"/>
    <col min="7438" max="7680" width="11.5703125" style="415"/>
    <col min="7681" max="7681" width="11.42578125" style="415" customWidth="1"/>
    <col min="7682" max="7682" width="6.140625" style="415" customWidth="1"/>
    <col min="7683" max="7683" width="21.7109375" style="415" customWidth="1"/>
    <col min="7684" max="7684" width="9.28515625" style="415" customWidth="1"/>
    <col min="7685" max="7685" width="8.28515625" style="415" customWidth="1"/>
    <col min="7686" max="7686" width="7.7109375" style="415" customWidth="1"/>
    <col min="7687" max="7687" width="9.7109375" style="415" customWidth="1"/>
    <col min="7688" max="7688" width="7.28515625" style="415" customWidth="1"/>
    <col min="7689" max="7689" width="7.5703125" style="415" customWidth="1"/>
    <col min="7690" max="7690" width="7.7109375" style="415" customWidth="1"/>
    <col min="7691" max="7691" width="7" style="415" customWidth="1"/>
    <col min="7692" max="7692" width="7.7109375" style="415" customWidth="1"/>
    <col min="7693" max="7693" width="7" style="415" customWidth="1"/>
    <col min="7694" max="7936" width="11.5703125" style="415"/>
    <col min="7937" max="7937" width="11.42578125" style="415" customWidth="1"/>
    <col min="7938" max="7938" width="6.140625" style="415" customWidth="1"/>
    <col min="7939" max="7939" width="21.7109375" style="415" customWidth="1"/>
    <col min="7940" max="7940" width="9.28515625" style="415" customWidth="1"/>
    <col min="7941" max="7941" width="8.28515625" style="415" customWidth="1"/>
    <col min="7942" max="7942" width="7.7109375" style="415" customWidth="1"/>
    <col min="7943" max="7943" width="9.7109375" style="415" customWidth="1"/>
    <col min="7944" max="7944" width="7.28515625" style="415" customWidth="1"/>
    <col min="7945" max="7945" width="7.5703125" style="415" customWidth="1"/>
    <col min="7946" max="7946" width="7.7109375" style="415" customWidth="1"/>
    <col min="7947" max="7947" width="7" style="415" customWidth="1"/>
    <col min="7948" max="7948" width="7.7109375" style="415" customWidth="1"/>
    <col min="7949" max="7949" width="7" style="415" customWidth="1"/>
    <col min="7950" max="8192" width="11.5703125" style="415"/>
    <col min="8193" max="8193" width="11.42578125" style="415" customWidth="1"/>
    <col min="8194" max="8194" width="6.140625" style="415" customWidth="1"/>
    <col min="8195" max="8195" width="21.7109375" style="415" customWidth="1"/>
    <col min="8196" max="8196" width="9.28515625" style="415" customWidth="1"/>
    <col min="8197" max="8197" width="8.28515625" style="415" customWidth="1"/>
    <col min="8198" max="8198" width="7.7109375" style="415" customWidth="1"/>
    <col min="8199" max="8199" width="9.7109375" style="415" customWidth="1"/>
    <col min="8200" max="8200" width="7.28515625" style="415" customWidth="1"/>
    <col min="8201" max="8201" width="7.5703125" style="415" customWidth="1"/>
    <col min="8202" max="8202" width="7.7109375" style="415" customWidth="1"/>
    <col min="8203" max="8203" width="7" style="415" customWidth="1"/>
    <col min="8204" max="8204" width="7.7109375" style="415" customWidth="1"/>
    <col min="8205" max="8205" width="7" style="415" customWidth="1"/>
    <col min="8206" max="8448" width="11.5703125" style="415"/>
    <col min="8449" max="8449" width="11.42578125" style="415" customWidth="1"/>
    <col min="8450" max="8450" width="6.140625" style="415" customWidth="1"/>
    <col min="8451" max="8451" width="21.7109375" style="415" customWidth="1"/>
    <col min="8452" max="8452" width="9.28515625" style="415" customWidth="1"/>
    <col min="8453" max="8453" width="8.28515625" style="415" customWidth="1"/>
    <col min="8454" max="8454" width="7.7109375" style="415" customWidth="1"/>
    <col min="8455" max="8455" width="9.7109375" style="415" customWidth="1"/>
    <col min="8456" max="8456" width="7.28515625" style="415" customWidth="1"/>
    <col min="8457" max="8457" width="7.5703125" style="415" customWidth="1"/>
    <col min="8458" max="8458" width="7.7109375" style="415" customWidth="1"/>
    <col min="8459" max="8459" width="7" style="415" customWidth="1"/>
    <col min="8460" max="8460" width="7.7109375" style="415" customWidth="1"/>
    <col min="8461" max="8461" width="7" style="415" customWidth="1"/>
    <col min="8462" max="8704" width="11.5703125" style="415"/>
    <col min="8705" max="8705" width="11.42578125" style="415" customWidth="1"/>
    <col min="8706" max="8706" width="6.140625" style="415" customWidth="1"/>
    <col min="8707" max="8707" width="21.7109375" style="415" customWidth="1"/>
    <col min="8708" max="8708" width="9.28515625" style="415" customWidth="1"/>
    <col min="8709" max="8709" width="8.28515625" style="415" customWidth="1"/>
    <col min="8710" max="8710" width="7.7109375" style="415" customWidth="1"/>
    <col min="8711" max="8711" width="9.7109375" style="415" customWidth="1"/>
    <col min="8712" max="8712" width="7.28515625" style="415" customWidth="1"/>
    <col min="8713" max="8713" width="7.5703125" style="415" customWidth="1"/>
    <col min="8714" max="8714" width="7.7109375" style="415" customWidth="1"/>
    <col min="8715" max="8715" width="7" style="415" customWidth="1"/>
    <col min="8716" max="8716" width="7.7109375" style="415" customWidth="1"/>
    <col min="8717" max="8717" width="7" style="415" customWidth="1"/>
    <col min="8718" max="8960" width="11.5703125" style="415"/>
    <col min="8961" max="8961" width="11.42578125" style="415" customWidth="1"/>
    <col min="8962" max="8962" width="6.140625" style="415" customWidth="1"/>
    <col min="8963" max="8963" width="21.7109375" style="415" customWidth="1"/>
    <col min="8964" max="8964" width="9.28515625" style="415" customWidth="1"/>
    <col min="8965" max="8965" width="8.28515625" style="415" customWidth="1"/>
    <col min="8966" max="8966" width="7.7109375" style="415" customWidth="1"/>
    <col min="8967" max="8967" width="9.7109375" style="415" customWidth="1"/>
    <col min="8968" max="8968" width="7.28515625" style="415" customWidth="1"/>
    <col min="8969" max="8969" width="7.5703125" style="415" customWidth="1"/>
    <col min="8970" max="8970" width="7.7109375" style="415" customWidth="1"/>
    <col min="8971" max="8971" width="7" style="415" customWidth="1"/>
    <col min="8972" max="8972" width="7.7109375" style="415" customWidth="1"/>
    <col min="8973" max="8973" width="7" style="415" customWidth="1"/>
    <col min="8974" max="9216" width="11.5703125" style="415"/>
    <col min="9217" max="9217" width="11.42578125" style="415" customWidth="1"/>
    <col min="9218" max="9218" width="6.140625" style="415" customWidth="1"/>
    <col min="9219" max="9219" width="21.7109375" style="415" customWidth="1"/>
    <col min="9220" max="9220" width="9.28515625" style="415" customWidth="1"/>
    <col min="9221" max="9221" width="8.28515625" style="415" customWidth="1"/>
    <col min="9222" max="9222" width="7.7109375" style="415" customWidth="1"/>
    <col min="9223" max="9223" width="9.7109375" style="415" customWidth="1"/>
    <col min="9224" max="9224" width="7.28515625" style="415" customWidth="1"/>
    <col min="9225" max="9225" width="7.5703125" style="415" customWidth="1"/>
    <col min="9226" max="9226" width="7.7109375" style="415" customWidth="1"/>
    <col min="9227" max="9227" width="7" style="415" customWidth="1"/>
    <col min="9228" max="9228" width="7.7109375" style="415" customWidth="1"/>
    <col min="9229" max="9229" width="7" style="415" customWidth="1"/>
    <col min="9230" max="9472" width="11.5703125" style="415"/>
    <col min="9473" max="9473" width="11.42578125" style="415" customWidth="1"/>
    <col min="9474" max="9474" width="6.140625" style="415" customWidth="1"/>
    <col min="9475" max="9475" width="21.7109375" style="415" customWidth="1"/>
    <col min="9476" max="9476" width="9.28515625" style="415" customWidth="1"/>
    <col min="9477" max="9477" width="8.28515625" style="415" customWidth="1"/>
    <col min="9478" max="9478" width="7.7109375" style="415" customWidth="1"/>
    <col min="9479" max="9479" width="9.7109375" style="415" customWidth="1"/>
    <col min="9480" max="9480" width="7.28515625" style="415" customWidth="1"/>
    <col min="9481" max="9481" width="7.5703125" style="415" customWidth="1"/>
    <col min="9482" max="9482" width="7.7109375" style="415" customWidth="1"/>
    <col min="9483" max="9483" width="7" style="415" customWidth="1"/>
    <col min="9484" max="9484" width="7.7109375" style="415" customWidth="1"/>
    <col min="9485" max="9485" width="7" style="415" customWidth="1"/>
    <col min="9486" max="9728" width="11.5703125" style="415"/>
    <col min="9729" max="9729" width="11.42578125" style="415" customWidth="1"/>
    <col min="9730" max="9730" width="6.140625" style="415" customWidth="1"/>
    <col min="9731" max="9731" width="21.7109375" style="415" customWidth="1"/>
    <col min="9732" max="9732" width="9.28515625" style="415" customWidth="1"/>
    <col min="9733" max="9733" width="8.28515625" style="415" customWidth="1"/>
    <col min="9734" max="9734" width="7.7109375" style="415" customWidth="1"/>
    <col min="9735" max="9735" width="9.7109375" style="415" customWidth="1"/>
    <col min="9736" max="9736" width="7.28515625" style="415" customWidth="1"/>
    <col min="9737" max="9737" width="7.5703125" style="415" customWidth="1"/>
    <col min="9738" max="9738" width="7.7109375" style="415" customWidth="1"/>
    <col min="9739" max="9739" width="7" style="415" customWidth="1"/>
    <col min="9740" max="9740" width="7.7109375" style="415" customWidth="1"/>
    <col min="9741" max="9741" width="7" style="415" customWidth="1"/>
    <col min="9742" max="9984" width="11.5703125" style="415"/>
    <col min="9985" max="9985" width="11.42578125" style="415" customWidth="1"/>
    <col min="9986" max="9986" width="6.140625" style="415" customWidth="1"/>
    <col min="9987" max="9987" width="21.7109375" style="415" customWidth="1"/>
    <col min="9988" max="9988" width="9.28515625" style="415" customWidth="1"/>
    <col min="9989" max="9989" width="8.28515625" style="415" customWidth="1"/>
    <col min="9990" max="9990" width="7.7109375" style="415" customWidth="1"/>
    <col min="9991" max="9991" width="9.7109375" style="415" customWidth="1"/>
    <col min="9992" max="9992" width="7.28515625" style="415" customWidth="1"/>
    <col min="9993" max="9993" width="7.5703125" style="415" customWidth="1"/>
    <col min="9994" max="9994" width="7.7109375" style="415" customWidth="1"/>
    <col min="9995" max="9995" width="7" style="415" customWidth="1"/>
    <col min="9996" max="9996" width="7.7109375" style="415" customWidth="1"/>
    <col min="9997" max="9997" width="7" style="415" customWidth="1"/>
    <col min="9998" max="10240" width="11.5703125" style="415"/>
    <col min="10241" max="10241" width="11.42578125" style="415" customWidth="1"/>
    <col min="10242" max="10242" width="6.140625" style="415" customWidth="1"/>
    <col min="10243" max="10243" width="21.7109375" style="415" customWidth="1"/>
    <col min="10244" max="10244" width="9.28515625" style="415" customWidth="1"/>
    <col min="10245" max="10245" width="8.28515625" style="415" customWidth="1"/>
    <col min="10246" max="10246" width="7.7109375" style="415" customWidth="1"/>
    <col min="10247" max="10247" width="9.7109375" style="415" customWidth="1"/>
    <col min="10248" max="10248" width="7.28515625" style="415" customWidth="1"/>
    <col min="10249" max="10249" width="7.5703125" style="415" customWidth="1"/>
    <col min="10250" max="10250" width="7.7109375" style="415" customWidth="1"/>
    <col min="10251" max="10251" width="7" style="415" customWidth="1"/>
    <col min="10252" max="10252" width="7.7109375" style="415" customWidth="1"/>
    <col min="10253" max="10253" width="7" style="415" customWidth="1"/>
    <col min="10254" max="10496" width="11.5703125" style="415"/>
    <col min="10497" max="10497" width="11.42578125" style="415" customWidth="1"/>
    <col min="10498" max="10498" width="6.140625" style="415" customWidth="1"/>
    <col min="10499" max="10499" width="21.7109375" style="415" customWidth="1"/>
    <col min="10500" max="10500" width="9.28515625" style="415" customWidth="1"/>
    <col min="10501" max="10501" width="8.28515625" style="415" customWidth="1"/>
    <col min="10502" max="10502" width="7.7109375" style="415" customWidth="1"/>
    <col min="10503" max="10503" width="9.7109375" style="415" customWidth="1"/>
    <col min="10504" max="10504" width="7.28515625" style="415" customWidth="1"/>
    <col min="10505" max="10505" width="7.5703125" style="415" customWidth="1"/>
    <col min="10506" max="10506" width="7.7109375" style="415" customWidth="1"/>
    <col min="10507" max="10507" width="7" style="415" customWidth="1"/>
    <col min="10508" max="10508" width="7.7109375" style="415" customWidth="1"/>
    <col min="10509" max="10509" width="7" style="415" customWidth="1"/>
    <col min="10510" max="10752" width="11.5703125" style="415"/>
    <col min="10753" max="10753" width="11.42578125" style="415" customWidth="1"/>
    <col min="10754" max="10754" width="6.140625" style="415" customWidth="1"/>
    <col min="10755" max="10755" width="21.7109375" style="415" customWidth="1"/>
    <col min="10756" max="10756" width="9.28515625" style="415" customWidth="1"/>
    <col min="10757" max="10757" width="8.28515625" style="415" customWidth="1"/>
    <col min="10758" max="10758" width="7.7109375" style="415" customWidth="1"/>
    <col min="10759" max="10759" width="9.7109375" style="415" customWidth="1"/>
    <col min="10760" max="10760" width="7.28515625" style="415" customWidth="1"/>
    <col min="10761" max="10761" width="7.5703125" style="415" customWidth="1"/>
    <col min="10762" max="10762" width="7.7109375" style="415" customWidth="1"/>
    <col min="10763" max="10763" width="7" style="415" customWidth="1"/>
    <col min="10764" max="10764" width="7.7109375" style="415" customWidth="1"/>
    <col min="10765" max="10765" width="7" style="415" customWidth="1"/>
    <col min="10766" max="11008" width="11.5703125" style="415"/>
    <col min="11009" max="11009" width="11.42578125" style="415" customWidth="1"/>
    <col min="11010" max="11010" width="6.140625" style="415" customWidth="1"/>
    <col min="11011" max="11011" width="21.7109375" style="415" customWidth="1"/>
    <col min="11012" max="11012" width="9.28515625" style="415" customWidth="1"/>
    <col min="11013" max="11013" width="8.28515625" style="415" customWidth="1"/>
    <col min="11014" max="11014" width="7.7109375" style="415" customWidth="1"/>
    <col min="11015" max="11015" width="9.7109375" style="415" customWidth="1"/>
    <col min="11016" max="11016" width="7.28515625" style="415" customWidth="1"/>
    <col min="11017" max="11017" width="7.5703125" style="415" customWidth="1"/>
    <col min="11018" max="11018" width="7.7109375" style="415" customWidth="1"/>
    <col min="11019" max="11019" width="7" style="415" customWidth="1"/>
    <col min="11020" max="11020" width="7.7109375" style="415" customWidth="1"/>
    <col min="11021" max="11021" width="7" style="415" customWidth="1"/>
    <col min="11022" max="11264" width="11.5703125" style="415"/>
    <col min="11265" max="11265" width="11.42578125" style="415" customWidth="1"/>
    <col min="11266" max="11266" width="6.140625" style="415" customWidth="1"/>
    <col min="11267" max="11267" width="21.7109375" style="415" customWidth="1"/>
    <col min="11268" max="11268" width="9.28515625" style="415" customWidth="1"/>
    <col min="11269" max="11269" width="8.28515625" style="415" customWidth="1"/>
    <col min="11270" max="11270" width="7.7109375" style="415" customWidth="1"/>
    <col min="11271" max="11271" width="9.7109375" style="415" customWidth="1"/>
    <col min="11272" max="11272" width="7.28515625" style="415" customWidth="1"/>
    <col min="11273" max="11273" width="7.5703125" style="415" customWidth="1"/>
    <col min="11274" max="11274" width="7.7109375" style="415" customWidth="1"/>
    <col min="11275" max="11275" width="7" style="415" customWidth="1"/>
    <col min="11276" max="11276" width="7.7109375" style="415" customWidth="1"/>
    <col min="11277" max="11277" width="7" style="415" customWidth="1"/>
    <col min="11278" max="11520" width="11.5703125" style="415"/>
    <col min="11521" max="11521" width="11.42578125" style="415" customWidth="1"/>
    <col min="11522" max="11522" width="6.140625" style="415" customWidth="1"/>
    <col min="11523" max="11523" width="21.7109375" style="415" customWidth="1"/>
    <col min="11524" max="11524" width="9.28515625" style="415" customWidth="1"/>
    <col min="11525" max="11525" width="8.28515625" style="415" customWidth="1"/>
    <col min="11526" max="11526" width="7.7109375" style="415" customWidth="1"/>
    <col min="11527" max="11527" width="9.7109375" style="415" customWidth="1"/>
    <col min="11528" max="11528" width="7.28515625" style="415" customWidth="1"/>
    <col min="11529" max="11529" width="7.5703125" style="415" customWidth="1"/>
    <col min="11530" max="11530" width="7.7109375" style="415" customWidth="1"/>
    <col min="11531" max="11531" width="7" style="415" customWidth="1"/>
    <col min="11532" max="11532" width="7.7109375" style="415" customWidth="1"/>
    <col min="11533" max="11533" width="7" style="415" customWidth="1"/>
    <col min="11534" max="11776" width="11.5703125" style="415"/>
    <col min="11777" max="11777" width="11.42578125" style="415" customWidth="1"/>
    <col min="11778" max="11778" width="6.140625" style="415" customWidth="1"/>
    <col min="11779" max="11779" width="21.7109375" style="415" customWidth="1"/>
    <col min="11780" max="11780" width="9.28515625" style="415" customWidth="1"/>
    <col min="11781" max="11781" width="8.28515625" style="415" customWidth="1"/>
    <col min="11782" max="11782" width="7.7109375" style="415" customWidth="1"/>
    <col min="11783" max="11783" width="9.7109375" style="415" customWidth="1"/>
    <col min="11784" max="11784" width="7.28515625" style="415" customWidth="1"/>
    <col min="11785" max="11785" width="7.5703125" style="415" customWidth="1"/>
    <col min="11786" max="11786" width="7.7109375" style="415" customWidth="1"/>
    <col min="11787" max="11787" width="7" style="415" customWidth="1"/>
    <col min="11788" max="11788" width="7.7109375" style="415" customWidth="1"/>
    <col min="11789" max="11789" width="7" style="415" customWidth="1"/>
    <col min="11790" max="12032" width="11.5703125" style="415"/>
    <col min="12033" max="12033" width="11.42578125" style="415" customWidth="1"/>
    <col min="12034" max="12034" width="6.140625" style="415" customWidth="1"/>
    <col min="12035" max="12035" width="21.7109375" style="415" customWidth="1"/>
    <col min="12036" max="12036" width="9.28515625" style="415" customWidth="1"/>
    <col min="12037" max="12037" width="8.28515625" style="415" customWidth="1"/>
    <col min="12038" max="12038" width="7.7109375" style="415" customWidth="1"/>
    <col min="12039" max="12039" width="9.7109375" style="415" customWidth="1"/>
    <col min="12040" max="12040" width="7.28515625" style="415" customWidth="1"/>
    <col min="12041" max="12041" width="7.5703125" style="415" customWidth="1"/>
    <col min="12042" max="12042" width="7.7109375" style="415" customWidth="1"/>
    <col min="12043" max="12043" width="7" style="415" customWidth="1"/>
    <col min="12044" max="12044" width="7.7109375" style="415" customWidth="1"/>
    <col min="12045" max="12045" width="7" style="415" customWidth="1"/>
    <col min="12046" max="12288" width="11.5703125" style="415"/>
    <col min="12289" max="12289" width="11.42578125" style="415" customWidth="1"/>
    <col min="12290" max="12290" width="6.140625" style="415" customWidth="1"/>
    <col min="12291" max="12291" width="21.7109375" style="415" customWidth="1"/>
    <col min="12292" max="12292" width="9.28515625" style="415" customWidth="1"/>
    <col min="12293" max="12293" width="8.28515625" style="415" customWidth="1"/>
    <col min="12294" max="12294" width="7.7109375" style="415" customWidth="1"/>
    <col min="12295" max="12295" width="9.7109375" style="415" customWidth="1"/>
    <col min="12296" max="12296" width="7.28515625" style="415" customWidth="1"/>
    <col min="12297" max="12297" width="7.5703125" style="415" customWidth="1"/>
    <col min="12298" max="12298" width="7.7109375" style="415" customWidth="1"/>
    <col min="12299" max="12299" width="7" style="415" customWidth="1"/>
    <col min="12300" max="12300" width="7.7109375" style="415" customWidth="1"/>
    <col min="12301" max="12301" width="7" style="415" customWidth="1"/>
    <col min="12302" max="12544" width="11.5703125" style="415"/>
    <col min="12545" max="12545" width="11.42578125" style="415" customWidth="1"/>
    <col min="12546" max="12546" width="6.140625" style="415" customWidth="1"/>
    <col min="12547" max="12547" width="21.7109375" style="415" customWidth="1"/>
    <col min="12548" max="12548" width="9.28515625" style="415" customWidth="1"/>
    <col min="12549" max="12549" width="8.28515625" style="415" customWidth="1"/>
    <col min="12550" max="12550" width="7.7109375" style="415" customWidth="1"/>
    <col min="12551" max="12551" width="9.7109375" style="415" customWidth="1"/>
    <col min="12552" max="12552" width="7.28515625" style="415" customWidth="1"/>
    <col min="12553" max="12553" width="7.5703125" style="415" customWidth="1"/>
    <col min="12554" max="12554" width="7.7109375" style="415" customWidth="1"/>
    <col min="12555" max="12555" width="7" style="415" customWidth="1"/>
    <col min="12556" max="12556" width="7.7109375" style="415" customWidth="1"/>
    <col min="12557" max="12557" width="7" style="415" customWidth="1"/>
    <col min="12558" max="12800" width="11.5703125" style="415"/>
    <col min="12801" max="12801" width="11.42578125" style="415" customWidth="1"/>
    <col min="12802" max="12802" width="6.140625" style="415" customWidth="1"/>
    <col min="12803" max="12803" width="21.7109375" style="415" customWidth="1"/>
    <col min="12804" max="12804" width="9.28515625" style="415" customWidth="1"/>
    <col min="12805" max="12805" width="8.28515625" style="415" customWidth="1"/>
    <col min="12806" max="12806" width="7.7109375" style="415" customWidth="1"/>
    <col min="12807" max="12807" width="9.7109375" style="415" customWidth="1"/>
    <col min="12808" max="12808" width="7.28515625" style="415" customWidth="1"/>
    <col min="12809" max="12809" width="7.5703125" style="415" customWidth="1"/>
    <col min="12810" max="12810" width="7.7109375" style="415" customWidth="1"/>
    <col min="12811" max="12811" width="7" style="415" customWidth="1"/>
    <col min="12812" max="12812" width="7.7109375" style="415" customWidth="1"/>
    <col min="12813" max="12813" width="7" style="415" customWidth="1"/>
    <col min="12814" max="13056" width="11.5703125" style="415"/>
    <col min="13057" max="13057" width="11.42578125" style="415" customWidth="1"/>
    <col min="13058" max="13058" width="6.140625" style="415" customWidth="1"/>
    <col min="13059" max="13059" width="21.7109375" style="415" customWidth="1"/>
    <col min="13060" max="13060" width="9.28515625" style="415" customWidth="1"/>
    <col min="13061" max="13061" width="8.28515625" style="415" customWidth="1"/>
    <col min="13062" max="13062" width="7.7109375" style="415" customWidth="1"/>
    <col min="13063" max="13063" width="9.7109375" style="415" customWidth="1"/>
    <col min="13064" max="13064" width="7.28515625" style="415" customWidth="1"/>
    <col min="13065" max="13065" width="7.5703125" style="415" customWidth="1"/>
    <col min="13066" max="13066" width="7.7109375" style="415" customWidth="1"/>
    <col min="13067" max="13067" width="7" style="415" customWidth="1"/>
    <col min="13068" max="13068" width="7.7109375" style="415" customWidth="1"/>
    <col min="13069" max="13069" width="7" style="415" customWidth="1"/>
    <col min="13070" max="13312" width="11.5703125" style="415"/>
    <col min="13313" max="13313" width="11.42578125" style="415" customWidth="1"/>
    <col min="13314" max="13314" width="6.140625" style="415" customWidth="1"/>
    <col min="13315" max="13315" width="21.7109375" style="415" customWidth="1"/>
    <col min="13316" max="13316" width="9.28515625" style="415" customWidth="1"/>
    <col min="13317" max="13317" width="8.28515625" style="415" customWidth="1"/>
    <col min="13318" max="13318" width="7.7109375" style="415" customWidth="1"/>
    <col min="13319" max="13319" width="9.7109375" style="415" customWidth="1"/>
    <col min="13320" max="13320" width="7.28515625" style="415" customWidth="1"/>
    <col min="13321" max="13321" width="7.5703125" style="415" customWidth="1"/>
    <col min="13322" max="13322" width="7.7109375" style="415" customWidth="1"/>
    <col min="13323" max="13323" width="7" style="415" customWidth="1"/>
    <col min="13324" max="13324" width="7.7109375" style="415" customWidth="1"/>
    <col min="13325" max="13325" width="7" style="415" customWidth="1"/>
    <col min="13326" max="13568" width="11.5703125" style="415"/>
    <col min="13569" max="13569" width="11.42578125" style="415" customWidth="1"/>
    <col min="13570" max="13570" width="6.140625" style="415" customWidth="1"/>
    <col min="13571" max="13571" width="21.7109375" style="415" customWidth="1"/>
    <col min="13572" max="13572" width="9.28515625" style="415" customWidth="1"/>
    <col min="13573" max="13573" width="8.28515625" style="415" customWidth="1"/>
    <col min="13574" max="13574" width="7.7109375" style="415" customWidth="1"/>
    <col min="13575" max="13575" width="9.7109375" style="415" customWidth="1"/>
    <col min="13576" max="13576" width="7.28515625" style="415" customWidth="1"/>
    <col min="13577" max="13577" width="7.5703125" style="415" customWidth="1"/>
    <col min="13578" max="13578" width="7.7109375" style="415" customWidth="1"/>
    <col min="13579" max="13579" width="7" style="415" customWidth="1"/>
    <col min="13580" max="13580" width="7.7109375" style="415" customWidth="1"/>
    <col min="13581" max="13581" width="7" style="415" customWidth="1"/>
    <col min="13582" max="13824" width="11.5703125" style="415"/>
    <col min="13825" max="13825" width="11.42578125" style="415" customWidth="1"/>
    <col min="13826" max="13826" width="6.140625" style="415" customWidth="1"/>
    <col min="13827" max="13827" width="21.7109375" style="415" customWidth="1"/>
    <col min="13828" max="13828" width="9.28515625" style="415" customWidth="1"/>
    <col min="13829" max="13829" width="8.28515625" style="415" customWidth="1"/>
    <col min="13830" max="13830" width="7.7109375" style="415" customWidth="1"/>
    <col min="13831" max="13831" width="9.7109375" style="415" customWidth="1"/>
    <col min="13832" max="13832" width="7.28515625" style="415" customWidth="1"/>
    <col min="13833" max="13833" width="7.5703125" style="415" customWidth="1"/>
    <col min="13834" max="13834" width="7.7109375" style="415" customWidth="1"/>
    <col min="13835" max="13835" width="7" style="415" customWidth="1"/>
    <col min="13836" max="13836" width="7.7109375" style="415" customWidth="1"/>
    <col min="13837" max="13837" width="7" style="415" customWidth="1"/>
    <col min="13838" max="14080" width="11.5703125" style="415"/>
    <col min="14081" max="14081" width="11.42578125" style="415" customWidth="1"/>
    <col min="14082" max="14082" width="6.140625" style="415" customWidth="1"/>
    <col min="14083" max="14083" width="21.7109375" style="415" customWidth="1"/>
    <col min="14084" max="14084" width="9.28515625" style="415" customWidth="1"/>
    <col min="14085" max="14085" width="8.28515625" style="415" customWidth="1"/>
    <col min="14086" max="14086" width="7.7109375" style="415" customWidth="1"/>
    <col min="14087" max="14087" width="9.7109375" style="415" customWidth="1"/>
    <col min="14088" max="14088" width="7.28515625" style="415" customWidth="1"/>
    <col min="14089" max="14089" width="7.5703125" style="415" customWidth="1"/>
    <col min="14090" max="14090" width="7.7109375" style="415" customWidth="1"/>
    <col min="14091" max="14091" width="7" style="415" customWidth="1"/>
    <col min="14092" max="14092" width="7.7109375" style="415" customWidth="1"/>
    <col min="14093" max="14093" width="7" style="415" customWidth="1"/>
    <col min="14094" max="14336" width="11.5703125" style="415"/>
    <col min="14337" max="14337" width="11.42578125" style="415" customWidth="1"/>
    <col min="14338" max="14338" width="6.140625" style="415" customWidth="1"/>
    <col min="14339" max="14339" width="21.7109375" style="415" customWidth="1"/>
    <col min="14340" max="14340" width="9.28515625" style="415" customWidth="1"/>
    <col min="14341" max="14341" width="8.28515625" style="415" customWidth="1"/>
    <col min="14342" max="14342" width="7.7109375" style="415" customWidth="1"/>
    <col min="14343" max="14343" width="9.7109375" style="415" customWidth="1"/>
    <col min="14344" max="14344" width="7.28515625" style="415" customWidth="1"/>
    <col min="14345" max="14345" width="7.5703125" style="415" customWidth="1"/>
    <col min="14346" max="14346" width="7.7109375" style="415" customWidth="1"/>
    <col min="14347" max="14347" width="7" style="415" customWidth="1"/>
    <col min="14348" max="14348" width="7.7109375" style="415" customWidth="1"/>
    <col min="14349" max="14349" width="7" style="415" customWidth="1"/>
    <col min="14350" max="14592" width="11.5703125" style="415"/>
    <col min="14593" max="14593" width="11.42578125" style="415" customWidth="1"/>
    <col min="14594" max="14594" width="6.140625" style="415" customWidth="1"/>
    <col min="14595" max="14595" width="21.7109375" style="415" customWidth="1"/>
    <col min="14596" max="14596" width="9.28515625" style="415" customWidth="1"/>
    <col min="14597" max="14597" width="8.28515625" style="415" customWidth="1"/>
    <col min="14598" max="14598" width="7.7109375" style="415" customWidth="1"/>
    <col min="14599" max="14599" width="9.7109375" style="415" customWidth="1"/>
    <col min="14600" max="14600" width="7.28515625" style="415" customWidth="1"/>
    <col min="14601" max="14601" width="7.5703125" style="415" customWidth="1"/>
    <col min="14602" max="14602" width="7.7109375" style="415" customWidth="1"/>
    <col min="14603" max="14603" width="7" style="415" customWidth="1"/>
    <col min="14604" max="14604" width="7.7109375" style="415" customWidth="1"/>
    <col min="14605" max="14605" width="7" style="415" customWidth="1"/>
    <col min="14606" max="14848" width="11.5703125" style="415"/>
    <col min="14849" max="14849" width="11.42578125" style="415" customWidth="1"/>
    <col min="14850" max="14850" width="6.140625" style="415" customWidth="1"/>
    <col min="14851" max="14851" width="21.7109375" style="415" customWidth="1"/>
    <col min="14852" max="14852" width="9.28515625" style="415" customWidth="1"/>
    <col min="14853" max="14853" width="8.28515625" style="415" customWidth="1"/>
    <col min="14854" max="14854" width="7.7109375" style="415" customWidth="1"/>
    <col min="14855" max="14855" width="9.7109375" style="415" customWidth="1"/>
    <col min="14856" max="14856" width="7.28515625" style="415" customWidth="1"/>
    <col min="14857" max="14857" width="7.5703125" style="415" customWidth="1"/>
    <col min="14858" max="14858" width="7.7109375" style="415" customWidth="1"/>
    <col min="14859" max="14859" width="7" style="415" customWidth="1"/>
    <col min="14860" max="14860" width="7.7109375" style="415" customWidth="1"/>
    <col min="14861" max="14861" width="7" style="415" customWidth="1"/>
    <col min="14862" max="15104" width="11.5703125" style="415"/>
    <col min="15105" max="15105" width="11.42578125" style="415" customWidth="1"/>
    <col min="15106" max="15106" width="6.140625" style="415" customWidth="1"/>
    <col min="15107" max="15107" width="21.7109375" style="415" customWidth="1"/>
    <col min="15108" max="15108" width="9.28515625" style="415" customWidth="1"/>
    <col min="15109" max="15109" width="8.28515625" style="415" customWidth="1"/>
    <col min="15110" max="15110" width="7.7109375" style="415" customWidth="1"/>
    <col min="15111" max="15111" width="9.7109375" style="415" customWidth="1"/>
    <col min="15112" max="15112" width="7.28515625" style="415" customWidth="1"/>
    <col min="15113" max="15113" width="7.5703125" style="415" customWidth="1"/>
    <col min="15114" max="15114" width="7.7109375" style="415" customWidth="1"/>
    <col min="15115" max="15115" width="7" style="415" customWidth="1"/>
    <col min="15116" max="15116" width="7.7109375" style="415" customWidth="1"/>
    <col min="15117" max="15117" width="7" style="415" customWidth="1"/>
    <col min="15118" max="15360" width="11.5703125" style="415"/>
    <col min="15361" max="15361" width="11.42578125" style="415" customWidth="1"/>
    <col min="15362" max="15362" width="6.140625" style="415" customWidth="1"/>
    <col min="15363" max="15363" width="21.7109375" style="415" customWidth="1"/>
    <col min="15364" max="15364" width="9.28515625" style="415" customWidth="1"/>
    <col min="15365" max="15365" width="8.28515625" style="415" customWidth="1"/>
    <col min="15366" max="15366" width="7.7109375" style="415" customWidth="1"/>
    <col min="15367" max="15367" width="9.7109375" style="415" customWidth="1"/>
    <col min="15368" max="15368" width="7.28515625" style="415" customWidth="1"/>
    <col min="15369" max="15369" width="7.5703125" style="415" customWidth="1"/>
    <col min="15370" max="15370" width="7.7109375" style="415" customWidth="1"/>
    <col min="15371" max="15371" width="7" style="415" customWidth="1"/>
    <col min="15372" max="15372" width="7.7109375" style="415" customWidth="1"/>
    <col min="15373" max="15373" width="7" style="415" customWidth="1"/>
    <col min="15374" max="15616" width="11.5703125" style="415"/>
    <col min="15617" max="15617" width="11.42578125" style="415" customWidth="1"/>
    <col min="15618" max="15618" width="6.140625" style="415" customWidth="1"/>
    <col min="15619" max="15619" width="21.7109375" style="415" customWidth="1"/>
    <col min="15620" max="15620" width="9.28515625" style="415" customWidth="1"/>
    <col min="15621" max="15621" width="8.28515625" style="415" customWidth="1"/>
    <col min="15622" max="15622" width="7.7109375" style="415" customWidth="1"/>
    <col min="15623" max="15623" width="9.7109375" style="415" customWidth="1"/>
    <col min="15624" max="15624" width="7.28515625" style="415" customWidth="1"/>
    <col min="15625" max="15625" width="7.5703125" style="415" customWidth="1"/>
    <col min="15626" max="15626" width="7.7109375" style="415" customWidth="1"/>
    <col min="15627" max="15627" width="7" style="415" customWidth="1"/>
    <col min="15628" max="15628" width="7.7109375" style="415" customWidth="1"/>
    <col min="15629" max="15629" width="7" style="415" customWidth="1"/>
    <col min="15630" max="15872" width="11.5703125" style="415"/>
    <col min="15873" max="15873" width="11.42578125" style="415" customWidth="1"/>
    <col min="15874" max="15874" width="6.140625" style="415" customWidth="1"/>
    <col min="15875" max="15875" width="21.7109375" style="415" customWidth="1"/>
    <col min="15876" max="15876" width="9.28515625" style="415" customWidth="1"/>
    <col min="15877" max="15877" width="8.28515625" style="415" customWidth="1"/>
    <col min="15878" max="15878" width="7.7109375" style="415" customWidth="1"/>
    <col min="15879" max="15879" width="9.7109375" style="415" customWidth="1"/>
    <col min="15880" max="15880" width="7.28515625" style="415" customWidth="1"/>
    <col min="15881" max="15881" width="7.5703125" style="415" customWidth="1"/>
    <col min="15882" max="15882" width="7.7109375" style="415" customWidth="1"/>
    <col min="15883" max="15883" width="7" style="415" customWidth="1"/>
    <col min="15884" max="15884" width="7.7109375" style="415" customWidth="1"/>
    <col min="15885" max="15885" width="7" style="415" customWidth="1"/>
    <col min="15886" max="16128" width="11.5703125" style="415"/>
    <col min="16129" max="16129" width="11.42578125" style="415" customWidth="1"/>
    <col min="16130" max="16130" width="6.140625" style="415" customWidth="1"/>
    <col min="16131" max="16131" width="21.7109375" style="415" customWidth="1"/>
    <col min="16132" max="16132" width="9.28515625" style="415" customWidth="1"/>
    <col min="16133" max="16133" width="8.28515625" style="415" customWidth="1"/>
    <col min="16134" max="16134" width="7.7109375" style="415" customWidth="1"/>
    <col min="16135" max="16135" width="9.7109375" style="415" customWidth="1"/>
    <col min="16136" max="16136" width="7.28515625" style="415" customWidth="1"/>
    <col min="16137" max="16137" width="7.5703125" style="415" customWidth="1"/>
    <col min="16138" max="16138" width="7.7109375" style="415" customWidth="1"/>
    <col min="16139" max="16139" width="7" style="415" customWidth="1"/>
    <col min="16140" max="16140" width="7.7109375" style="415" customWidth="1"/>
    <col min="16141" max="16141" width="7" style="415" customWidth="1"/>
    <col min="16142" max="16384" width="11.5703125" style="415"/>
  </cols>
  <sheetData>
    <row r="1" spans="1:15" ht="26.25" customHeight="1" x14ac:dyDescent="0.4">
      <c r="A1" s="448" t="s">
        <v>534</v>
      </c>
      <c r="B1" s="449"/>
      <c r="C1" s="450"/>
      <c r="F1" s="451" t="s">
        <v>548</v>
      </c>
      <c r="G1" s="452"/>
      <c r="H1" s="452"/>
      <c r="I1" s="452"/>
      <c r="J1" s="452"/>
      <c r="K1" s="452"/>
      <c r="L1" s="453"/>
    </row>
    <row r="2" spans="1:15" ht="21" customHeight="1" x14ac:dyDescent="0.35">
      <c r="A2" s="444" t="s">
        <v>536</v>
      </c>
      <c r="B2" s="445"/>
      <c r="C2" s="416" t="s">
        <v>537</v>
      </c>
      <c r="F2" s="444" t="s">
        <v>536</v>
      </c>
      <c r="G2" s="445"/>
      <c r="H2" s="446" t="s">
        <v>549</v>
      </c>
      <c r="I2" s="446"/>
      <c r="J2" s="446"/>
      <c r="K2" s="446"/>
      <c r="L2" s="447"/>
    </row>
    <row r="3" spans="1:15" ht="21.75" customHeight="1" x14ac:dyDescent="0.35">
      <c r="A3" s="444" t="s">
        <v>538</v>
      </c>
      <c r="B3" s="445"/>
      <c r="C3" s="416" t="s">
        <v>539</v>
      </c>
      <c r="F3" s="444" t="s">
        <v>538</v>
      </c>
      <c r="G3" s="445"/>
      <c r="H3" s="446" t="s">
        <v>550</v>
      </c>
      <c r="I3" s="446"/>
      <c r="J3" s="446"/>
      <c r="K3" s="446"/>
      <c r="L3" s="447"/>
    </row>
    <row r="4" spans="1:15" ht="21.75" thickBot="1" x14ac:dyDescent="0.4">
      <c r="A4" s="454" t="s">
        <v>540</v>
      </c>
      <c r="B4" s="455"/>
      <c r="C4" s="417" t="s">
        <v>541</v>
      </c>
      <c r="F4" s="454" t="s">
        <v>540</v>
      </c>
      <c r="G4" s="455"/>
      <c r="H4" s="456" t="s">
        <v>551</v>
      </c>
      <c r="I4" s="456"/>
      <c r="J4" s="456"/>
      <c r="K4" s="456"/>
      <c r="L4" s="457"/>
    </row>
    <row r="5" spans="1:15" ht="7.5" customHeight="1" thickBot="1" x14ac:dyDescent="0.4">
      <c r="A5" s="418"/>
      <c r="C5" s="418"/>
    </row>
    <row r="6" spans="1:15" ht="35.450000000000003" customHeight="1" thickBot="1" x14ac:dyDescent="0.25">
      <c r="A6" s="458" t="s">
        <v>535</v>
      </c>
      <c r="B6" s="459"/>
      <c r="C6" s="460"/>
      <c r="F6" s="461" t="s">
        <v>542</v>
      </c>
      <c r="G6" s="462"/>
      <c r="H6" s="463"/>
      <c r="I6" s="464">
        <f ca="1">+TODAY()</f>
        <v>46099</v>
      </c>
      <c r="J6" s="465"/>
      <c r="K6" s="465"/>
      <c r="L6" s="465"/>
      <c r="M6" s="466"/>
    </row>
    <row r="7" spans="1:15" ht="3" customHeight="1" thickBot="1" x14ac:dyDescent="0.25"/>
    <row r="8" spans="1:15" ht="42.75" customHeight="1" thickBot="1" x14ac:dyDescent="0.25">
      <c r="A8" s="473" t="s">
        <v>543</v>
      </c>
      <c r="B8" s="474"/>
      <c r="C8" s="441" t="s">
        <v>574</v>
      </c>
      <c r="D8" s="420" t="s">
        <v>544</v>
      </c>
      <c r="E8" s="421">
        <v>3372</v>
      </c>
      <c r="F8" s="473" t="s">
        <v>545</v>
      </c>
      <c r="G8" s="475"/>
      <c r="H8" s="474"/>
      <c r="I8" s="476" t="s">
        <v>539</v>
      </c>
      <c r="J8" s="477"/>
      <c r="K8" s="477"/>
      <c r="L8" s="477"/>
      <c r="M8" s="478"/>
    </row>
    <row r="9" spans="1:15" ht="7.5" customHeight="1" thickBot="1" x14ac:dyDescent="0.4">
      <c r="A9" s="418"/>
      <c r="C9" s="418"/>
    </row>
    <row r="10" spans="1:15" ht="39.6" customHeight="1" thickBot="1" x14ac:dyDescent="0.25">
      <c r="A10" s="479" t="s">
        <v>552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1"/>
    </row>
    <row r="11" spans="1:15" ht="6" customHeight="1" thickBot="1" x14ac:dyDescent="0.4">
      <c r="A11" s="418"/>
      <c r="C11" s="418"/>
    </row>
    <row r="12" spans="1:15" ht="27" thickBot="1" x14ac:dyDescent="0.25">
      <c r="A12" s="482" t="s">
        <v>553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</row>
    <row r="13" spans="1:15" ht="38.25" thickBot="1" x14ac:dyDescent="0.25">
      <c r="A13" s="422" t="s">
        <v>311</v>
      </c>
      <c r="B13" s="423" t="s">
        <v>533</v>
      </c>
      <c r="C13" s="424" t="s">
        <v>554</v>
      </c>
      <c r="D13" s="425" t="s">
        <v>555</v>
      </c>
      <c r="E13" s="426" t="s">
        <v>285</v>
      </c>
      <c r="F13" s="426" t="s">
        <v>556</v>
      </c>
      <c r="G13" s="423" t="s">
        <v>557</v>
      </c>
      <c r="H13" s="423" t="s">
        <v>558</v>
      </c>
      <c r="I13" s="423" t="s">
        <v>559</v>
      </c>
      <c r="J13" s="423" t="s">
        <v>558</v>
      </c>
      <c r="K13" s="423" t="s">
        <v>559</v>
      </c>
      <c r="L13" s="423" t="s">
        <v>558</v>
      </c>
      <c r="M13" s="423" t="s">
        <v>559</v>
      </c>
    </row>
    <row r="14" spans="1:15" ht="33.6" customHeight="1" x14ac:dyDescent="0.2">
      <c r="A14" s="467" t="str" cm="1">
        <f t="array" ref="A14">+IFERROR(INDEX('Conteo 18-02-26'!$B:$B,MATCH(1,('Conteo 18-02-26'!$E:$E=$B14)*('Conteo 18-02-26'!$A:$A="Rueda"),0)),"")</f>
        <v/>
      </c>
      <c r="B14" s="469">
        <v>1</v>
      </c>
      <c r="C14" s="471" t="str" cm="1">
        <f t="array" ref="C14">+IFERROR(INDEX('Conteo 18-02-26'!$C:$C,MATCH(1,('Conteo 18-02-26'!$E:$E=$B14)*('Conteo 18-02-26'!$A:$A="Rueda"),0)),"")</f>
        <v/>
      </c>
      <c r="D14" s="471" t="str" cm="1">
        <f t="array" ref="D14">+IFERROR(INDEX('Conteo 18-02-26'!$D:$D,MATCH(1,('Conteo 18-02-26'!$E:$E=$B14)*('Conteo 18-02-26'!A:A:'Conteo 18-02-26'!$A:$A="Rueda"),0)),"")</f>
        <v/>
      </c>
      <c r="E14" s="427" t="str">
        <f>+IF(E13="LK","CH",IF(D14="","",IF(D14&gt;0,"LK","CH")))</f>
        <v/>
      </c>
      <c r="F14" s="427" t="str">
        <f>+IF(OR(E14="LK"),ROUNDUP(D14*(VLOOKUP(B14,'Conteo 18-02-26'!$E:$AN,35,0))/100,0),IF(E14="CH",D13-F13,""))</f>
        <v/>
      </c>
      <c r="G14" s="469"/>
      <c r="H14" s="428"/>
      <c r="I14" s="429"/>
      <c r="J14" s="428"/>
      <c r="K14" s="429"/>
      <c r="L14" s="428"/>
      <c r="M14" s="430"/>
      <c r="O14" s="431"/>
    </row>
    <row r="15" spans="1:15" ht="33.6" customHeight="1" x14ac:dyDescent="0.2">
      <c r="A15" s="468"/>
      <c r="B15" s="470"/>
      <c r="C15" s="472"/>
      <c r="D15" s="472"/>
      <c r="E15" s="427" t="str">
        <f t="shared" ref="E15:E43" si="0">+IF(E14="LK","CH",IF(D15="","",IF(D15&gt;0,"LK","CH")))</f>
        <v/>
      </c>
      <c r="F15" s="432" t="str">
        <f>+IF(OR(E15="LK"),ROUNDUP(D15*(VLOOKUP(B15,'Conteo 18-02-26'!$E:$AN,35,0))/100,0),IF(E15="CH",D14-F14,""))</f>
        <v/>
      </c>
      <c r="G15" s="470"/>
      <c r="H15" s="433"/>
      <c r="I15" s="434"/>
      <c r="J15" s="433"/>
      <c r="K15" s="434"/>
      <c r="L15" s="433"/>
      <c r="M15" s="435"/>
    </row>
    <row r="16" spans="1:15" ht="33.6" customHeight="1" x14ac:dyDescent="0.2">
      <c r="A16" s="485" t="str" cm="1">
        <f t="array" ref="A16">+IFERROR(INDEX('Conteo 18-02-26'!$B:$B,MATCH(1,('Conteo 18-02-26'!$E:$E=$B16)*('Conteo 18-02-26'!$A:$A="Rueda"),0)),"")</f>
        <v/>
      </c>
      <c r="B16" s="470">
        <f>+B14+1</f>
        <v>2</v>
      </c>
      <c r="C16" s="472" t="str" cm="1">
        <f t="array" ref="C16">+IFERROR(INDEX('Conteo 18-02-26'!$C:$C,MATCH(1,('Conteo 18-02-26'!$E:$E=$B16)*('Conteo 18-02-26'!$A:$A="Rueda"),0)),"")</f>
        <v/>
      </c>
      <c r="D16" s="470" t="str" cm="1">
        <f t="array" ref="D16">+IFERROR(INDEX('Conteo 18-02-26'!$D:$D,MATCH(1,('Conteo 18-02-26'!$E:$E=$B16)*('Conteo 18-02-26'!A:A:'Conteo 18-02-26'!$A:$A="Rueda"),0)),"")</f>
        <v/>
      </c>
      <c r="E16" s="427" t="str">
        <f t="shared" si="0"/>
        <v/>
      </c>
      <c r="F16" s="432" t="str">
        <f>+IF(OR(E16="LK"),ROUNDUP(D16*(VLOOKUP(B16,'Conteo 18-02-26'!$E:$AN,35,0))/100,0),IF(E16="CH",D15-F15,""))</f>
        <v/>
      </c>
      <c r="G16" s="470"/>
      <c r="H16" s="434"/>
      <c r="I16" s="434"/>
      <c r="J16" s="434"/>
      <c r="K16" s="434"/>
      <c r="L16" s="434"/>
      <c r="M16" s="435"/>
    </row>
    <row r="17" spans="1:13" ht="33.6" customHeight="1" x14ac:dyDescent="0.2">
      <c r="A17" s="485"/>
      <c r="B17" s="470"/>
      <c r="C17" s="472"/>
      <c r="D17" s="470"/>
      <c r="E17" s="427" t="str">
        <f t="shared" si="0"/>
        <v/>
      </c>
      <c r="F17" s="432" t="str">
        <f>+IF(OR(E17="LK"),ROUNDUP(D17*(VLOOKUP(B17,'Conteo 18-02-26'!$E:$AN,35,0))/100,0),IF(E17="CH",D16-F16,""))</f>
        <v/>
      </c>
      <c r="G17" s="470"/>
      <c r="H17" s="434"/>
      <c r="I17" s="434"/>
      <c r="J17" s="434"/>
      <c r="K17" s="434"/>
      <c r="L17" s="434"/>
      <c r="M17" s="435"/>
    </row>
    <row r="18" spans="1:13" ht="33.6" customHeight="1" x14ac:dyDescent="0.2">
      <c r="A18" s="485" t="str" cm="1">
        <f t="array" ref="A18">+IFERROR(INDEX('Conteo 18-02-26'!$B:$B,MATCH(1,('Conteo 18-02-26'!$E:$E=$B18)*('Conteo 18-02-26'!$A:$A="Rueda"),0)),"")</f>
        <v/>
      </c>
      <c r="B18" s="470">
        <f>+B16+1</f>
        <v>3</v>
      </c>
      <c r="C18" s="472" t="str" cm="1">
        <f t="array" ref="C18">+IFERROR(INDEX('Conteo 18-02-26'!$C:$C,MATCH(1,('Conteo 18-02-26'!$E:$E=$B18)*('Conteo 18-02-26'!$A:$A="Rueda"),0)),"")</f>
        <v/>
      </c>
      <c r="D18" s="470" t="str" cm="1">
        <f t="array" ref="D18">+IFERROR(INDEX('Conteo 18-02-26'!$D:$D,MATCH(1,('Conteo 18-02-26'!$E:$E=$B18)*('Conteo 18-02-26'!A:A:'Conteo 18-02-26'!$A:$A="Rueda"),0)),"")</f>
        <v/>
      </c>
      <c r="E18" s="427" t="str">
        <f t="shared" si="0"/>
        <v/>
      </c>
      <c r="F18" s="432" t="str">
        <f>+IF(OR(E18="LK"),ROUNDUP(D18*(VLOOKUP(B18,'Conteo 18-02-26'!$E:$AN,35,0))/100,0),IF(E18="CH",D17-F17,""))</f>
        <v/>
      </c>
      <c r="G18" s="470"/>
      <c r="H18" s="434"/>
      <c r="I18" s="434"/>
      <c r="J18" s="434"/>
      <c r="K18" s="434"/>
      <c r="L18" s="434"/>
      <c r="M18" s="435"/>
    </row>
    <row r="19" spans="1:13" ht="33.6" customHeight="1" x14ac:dyDescent="0.2">
      <c r="A19" s="485"/>
      <c r="B19" s="470"/>
      <c r="C19" s="472"/>
      <c r="D19" s="470"/>
      <c r="E19" s="427" t="str">
        <f t="shared" si="0"/>
        <v/>
      </c>
      <c r="F19" s="432" t="str">
        <f>+IF(OR(E19="LK"),ROUNDUP(D19*(VLOOKUP(B19,'Conteo 18-02-26'!$E:$AN,35,0))/100,0),IF(E19="CH",D18-F18,""))</f>
        <v/>
      </c>
      <c r="G19" s="470"/>
      <c r="H19" s="434"/>
      <c r="I19" s="434"/>
      <c r="J19" s="434"/>
      <c r="K19" s="434"/>
      <c r="L19" s="434"/>
      <c r="M19" s="435"/>
    </row>
    <row r="20" spans="1:13" ht="33.6" customHeight="1" x14ac:dyDescent="0.2">
      <c r="A20" s="485" t="str" cm="1">
        <f t="array" ref="A20">+IFERROR(INDEX('Conteo 18-02-26'!$B:$B,MATCH(1,('Conteo 18-02-26'!$E:$E=$B20)*('Conteo 18-02-26'!$A:$A="Rueda"),0)),"")</f>
        <v/>
      </c>
      <c r="B20" s="470">
        <f>+B18+1</f>
        <v>4</v>
      </c>
      <c r="C20" s="472" t="str" cm="1">
        <f t="array" ref="C20">+IFERROR(INDEX('Conteo 18-02-26'!$C:$C,MATCH(1,('Conteo 18-02-26'!$E:$E=$B20)*('Conteo 18-02-26'!$A:$A="Rueda"),0)),"")</f>
        <v/>
      </c>
      <c r="D20" s="470" t="str" cm="1">
        <f t="array" ref="D20">+IFERROR(INDEX('Conteo 18-02-26'!$D:$D,MATCH(1,('Conteo 18-02-26'!$E:$E=$B20)*('Conteo 18-02-26'!A:A:'Conteo 18-02-26'!$A:$A="Rueda"),0)),"")</f>
        <v/>
      </c>
      <c r="E20" s="427" t="str">
        <f t="shared" si="0"/>
        <v/>
      </c>
      <c r="F20" s="432" t="str">
        <f>+IF(OR(E20="LK"),ROUNDUP(D20*(VLOOKUP(B20,'Conteo 18-02-26'!$E:$AN,35,0))/100,0),IF(E20="CH",D19-F19,""))</f>
        <v/>
      </c>
      <c r="G20" s="470"/>
      <c r="H20" s="434"/>
      <c r="I20" s="434"/>
      <c r="J20" s="434"/>
      <c r="K20" s="434"/>
      <c r="L20" s="434"/>
      <c r="M20" s="435"/>
    </row>
    <row r="21" spans="1:13" ht="33.6" customHeight="1" x14ac:dyDescent="0.2">
      <c r="A21" s="485"/>
      <c r="B21" s="470"/>
      <c r="C21" s="472"/>
      <c r="D21" s="470"/>
      <c r="E21" s="427" t="str">
        <f t="shared" si="0"/>
        <v/>
      </c>
      <c r="F21" s="432" t="str">
        <f>+IF(OR(E21="LK"),ROUNDUP(D21*(VLOOKUP(B21,'Conteo 18-02-26'!$E:$AN,35,0))/100,0),IF(E21="CH",D20-F20,""))</f>
        <v/>
      </c>
      <c r="G21" s="470"/>
      <c r="H21" s="434"/>
      <c r="I21" s="434"/>
      <c r="J21" s="434"/>
      <c r="K21" s="434"/>
      <c r="L21" s="434"/>
      <c r="M21" s="435"/>
    </row>
    <row r="22" spans="1:13" ht="33.6" customHeight="1" x14ac:dyDescent="0.2">
      <c r="A22" s="485" t="str" cm="1">
        <f t="array" ref="A22">+IFERROR(INDEX('Conteo 18-02-26'!$B:$B,MATCH(1,('Conteo 18-02-26'!$E:$E=$B22)*('Conteo 18-02-26'!$A:$A="Rueda"),0)),"")</f>
        <v/>
      </c>
      <c r="B22" s="470">
        <f>+B20+1</f>
        <v>5</v>
      </c>
      <c r="C22" s="472" t="str" cm="1">
        <f t="array" ref="C22">+IFERROR(INDEX('Conteo 18-02-26'!$C:$C,MATCH(1,('Conteo 18-02-26'!$E:$E=$B22)*('Conteo 18-02-26'!$A:$A="Rueda"),0)),"")</f>
        <v/>
      </c>
      <c r="D22" s="470" t="str" cm="1">
        <f t="array" ref="D22">+IFERROR(INDEX('Conteo 18-02-26'!$D:$D,MATCH(1,('Conteo 18-02-26'!$E:$E=$B22)*('Conteo 18-02-26'!A:A:'Conteo 18-02-26'!$A:$A="Rueda"),0)),"")</f>
        <v/>
      </c>
      <c r="E22" s="427" t="str">
        <f t="shared" si="0"/>
        <v/>
      </c>
      <c r="F22" s="432" t="str">
        <f>+IF(OR(E22="LK"),ROUNDUP(D22*(VLOOKUP(B22,'Conteo 18-02-26'!$E:$AN,35,0))/100,0),IF(E22="CH",D21-F21,""))</f>
        <v/>
      </c>
      <c r="G22" s="470"/>
      <c r="H22" s="434"/>
      <c r="I22" s="434"/>
      <c r="J22" s="434"/>
      <c r="K22" s="434"/>
      <c r="L22" s="434"/>
      <c r="M22" s="435"/>
    </row>
    <row r="23" spans="1:13" ht="33.6" customHeight="1" x14ac:dyDescent="0.2">
      <c r="A23" s="485"/>
      <c r="B23" s="470"/>
      <c r="C23" s="472"/>
      <c r="D23" s="470"/>
      <c r="E23" s="427" t="str">
        <f t="shared" si="0"/>
        <v/>
      </c>
      <c r="F23" s="432" t="str">
        <f>+IF(OR(E23="LK"),ROUNDUP(D23*(VLOOKUP(B23,'Conteo 18-02-26'!$E:$AN,35,0))/100,0),IF(E23="CH",D22-F22,""))</f>
        <v/>
      </c>
      <c r="G23" s="470"/>
      <c r="H23" s="434"/>
      <c r="I23" s="434"/>
      <c r="J23" s="434"/>
      <c r="K23" s="434"/>
      <c r="L23" s="434"/>
      <c r="M23" s="435"/>
    </row>
    <row r="24" spans="1:13" ht="33.6" customHeight="1" x14ac:dyDescent="0.2">
      <c r="A24" s="485" t="str" cm="1">
        <f t="array" ref="A24">+IFERROR(INDEX('Conteo 18-02-26'!$B:$B,MATCH(1,('Conteo 18-02-26'!$E:$E=$B24)*('Conteo 18-02-26'!$A:$A="Rueda"),0)),"")</f>
        <v/>
      </c>
      <c r="B24" s="470">
        <f>+B22+1</f>
        <v>6</v>
      </c>
      <c r="C24" s="472" t="str" cm="1">
        <f t="array" ref="C24">+IFERROR(INDEX('Conteo 18-02-26'!$C:$C,MATCH(1,('Conteo 18-02-26'!$E:$E=$B24)*('Conteo 18-02-26'!$A:$A="Rueda"),0)),"")</f>
        <v/>
      </c>
      <c r="D24" s="470" t="str" cm="1">
        <f t="array" ref="D24">+IFERROR(INDEX('Conteo 18-02-26'!$D:$D,MATCH(1,('Conteo 18-02-26'!$E:$E=$B24)*('Conteo 18-02-26'!A:A:'Conteo 18-02-26'!$A:$A="Rueda"),0)),"")</f>
        <v/>
      </c>
      <c r="E24" s="427" t="str">
        <f t="shared" si="0"/>
        <v/>
      </c>
      <c r="F24" s="432" t="str">
        <f>+IF(OR(E24="LK"),ROUNDUP(D24*(VLOOKUP(B24,'Conteo 18-02-26'!$E:$AN,35,0))/100,0),IF(E24="CH",D23-F23,""))</f>
        <v/>
      </c>
      <c r="G24" s="470"/>
      <c r="H24" s="434"/>
      <c r="I24" s="434"/>
      <c r="J24" s="434"/>
      <c r="K24" s="434"/>
      <c r="L24" s="434"/>
      <c r="M24" s="435"/>
    </row>
    <row r="25" spans="1:13" ht="33.6" customHeight="1" x14ac:dyDescent="0.2">
      <c r="A25" s="485"/>
      <c r="B25" s="470"/>
      <c r="C25" s="472"/>
      <c r="D25" s="470"/>
      <c r="E25" s="427" t="str">
        <f t="shared" si="0"/>
        <v/>
      </c>
      <c r="F25" s="432" t="str">
        <f>+IF(OR(E25="LK"),ROUNDUP(D25*(VLOOKUP(B25,'Conteo 18-02-26'!$E:$AN,35,0))/100,0),IF(E25="CH",D24-F24,""))</f>
        <v/>
      </c>
      <c r="G25" s="470"/>
      <c r="H25" s="434"/>
      <c r="I25" s="434"/>
      <c r="J25" s="434"/>
      <c r="K25" s="434"/>
      <c r="L25" s="434"/>
      <c r="M25" s="435"/>
    </row>
    <row r="26" spans="1:13" ht="33.6" customHeight="1" x14ac:dyDescent="0.2">
      <c r="A26" s="485" t="str" cm="1">
        <f t="array" ref="A26">+IFERROR(INDEX('Conteo 18-02-26'!$B:$B,MATCH(1,('Conteo 18-02-26'!$E:$E=$B26)*('Conteo 18-02-26'!$A:$A="Rueda"),0)),"")</f>
        <v/>
      </c>
      <c r="B26" s="470">
        <f>+B24+1</f>
        <v>7</v>
      </c>
      <c r="C26" s="472" t="str" cm="1">
        <f t="array" ref="C26">+IFERROR(INDEX('Conteo 18-02-26'!$C:$C,MATCH(1,('Conteo 18-02-26'!$E:$E=$B26)*('Conteo 18-02-26'!$A:$A="Rueda"),0)),"")</f>
        <v/>
      </c>
      <c r="D26" s="470" t="str" cm="1">
        <f t="array" ref="D26">+IFERROR(INDEX('Conteo 18-02-26'!$D:$D,MATCH(1,('Conteo 18-02-26'!$E:$E=$B26)*('Conteo 18-02-26'!A:A:'Conteo 18-02-26'!$A:$A="Rueda"),0)),"")</f>
        <v/>
      </c>
      <c r="E26" s="427" t="str">
        <f t="shared" si="0"/>
        <v/>
      </c>
      <c r="F26" s="432" t="str">
        <f>+IF(OR(E26="LK"),ROUNDUP(D26*(VLOOKUP(B26,'Conteo 18-02-26'!$E:$AN,35,0))/100,0),IF(E26="CH",D25-F25,""))</f>
        <v/>
      </c>
      <c r="G26" s="470"/>
      <c r="H26" s="434"/>
      <c r="I26" s="434"/>
      <c r="J26" s="434"/>
      <c r="K26" s="434"/>
      <c r="L26" s="434"/>
      <c r="M26" s="435"/>
    </row>
    <row r="27" spans="1:13" ht="33.6" customHeight="1" x14ac:dyDescent="0.2">
      <c r="A27" s="485"/>
      <c r="B27" s="470"/>
      <c r="C27" s="472"/>
      <c r="D27" s="470"/>
      <c r="E27" s="427" t="str">
        <f t="shared" si="0"/>
        <v/>
      </c>
      <c r="F27" s="432" t="str">
        <f>+IF(OR(E27="LK"),ROUNDUP(D27*(VLOOKUP(B27,'Conteo 18-02-26'!$E:$AN,35,0))/100,0),IF(E27="CH",D26-F26,""))</f>
        <v/>
      </c>
      <c r="G27" s="470"/>
      <c r="H27" s="434"/>
      <c r="I27" s="434"/>
      <c r="J27" s="434"/>
      <c r="K27" s="434"/>
      <c r="L27" s="434"/>
      <c r="M27" s="435"/>
    </row>
    <row r="28" spans="1:13" ht="33.6" customHeight="1" x14ac:dyDescent="0.2">
      <c r="A28" s="485" t="str" cm="1">
        <f t="array" ref="A28">+IFERROR(INDEX('Conteo 18-02-26'!$B:$B,MATCH(1,('Conteo 18-02-26'!$E:$E=$B28)*('Conteo 18-02-26'!$A:$A="Rueda"),0)),"")</f>
        <v/>
      </c>
      <c r="B28" s="470">
        <f>+B26+1</f>
        <v>8</v>
      </c>
      <c r="C28" s="472" t="str" cm="1">
        <f t="array" ref="C28">+IFERROR(INDEX('Conteo 18-02-26'!$C:$C,MATCH(1,('Conteo 18-02-26'!$E:$E=$B28)*('Conteo 18-02-26'!$A:$A="Rueda"),0)),"")</f>
        <v/>
      </c>
      <c r="D28" s="470" t="str" cm="1">
        <f t="array" ref="D28">+IFERROR(INDEX('Conteo 18-02-26'!$D:$D,MATCH(1,('Conteo 18-02-26'!$E:$E=$B28)*('Conteo 18-02-26'!A:A:'Conteo 18-02-26'!$A:$A="Rueda"),0)),"")</f>
        <v/>
      </c>
      <c r="E28" s="427" t="str">
        <f t="shared" si="0"/>
        <v/>
      </c>
      <c r="F28" s="432" t="str">
        <f>+IF(OR(E28="LK"),ROUNDUP(D28*(VLOOKUP(B28,'Conteo 18-02-26'!$E:$AN,35,0))/100,0),IF(E28="CH",D27-F27,""))</f>
        <v/>
      </c>
      <c r="G28" s="470"/>
      <c r="H28" s="434"/>
      <c r="I28" s="434"/>
      <c r="J28" s="434"/>
      <c r="K28" s="434"/>
      <c r="L28" s="434"/>
      <c r="M28" s="435"/>
    </row>
    <row r="29" spans="1:13" ht="33.6" customHeight="1" x14ac:dyDescent="0.2">
      <c r="A29" s="485"/>
      <c r="B29" s="470"/>
      <c r="C29" s="472"/>
      <c r="D29" s="470"/>
      <c r="E29" s="427" t="str">
        <f t="shared" si="0"/>
        <v/>
      </c>
      <c r="F29" s="432" t="str">
        <f>+IF(OR(E29="LK"),ROUNDUP(D29*(VLOOKUP(B29,'Conteo 18-02-26'!$E:$AN,35,0))/100,0),IF(E29="CH",D28-F28,""))</f>
        <v/>
      </c>
      <c r="G29" s="470"/>
      <c r="H29" s="434"/>
      <c r="I29" s="434"/>
      <c r="J29" s="434"/>
      <c r="K29" s="434"/>
      <c r="L29" s="434"/>
      <c r="M29" s="435"/>
    </row>
    <row r="30" spans="1:13" ht="33.6" customHeight="1" x14ac:dyDescent="0.2">
      <c r="A30" s="485" t="str" cm="1">
        <f t="array" ref="A30">+IFERROR(INDEX('Conteo 18-02-26'!$B:$B,MATCH(1,('Conteo 18-02-26'!$E:$E=$B30)*('Conteo 18-02-26'!$A:$A="Rueda"),0)),"")</f>
        <v/>
      </c>
      <c r="B30" s="470">
        <f>+B28+1</f>
        <v>9</v>
      </c>
      <c r="C30" s="472" t="str" cm="1">
        <f t="array" ref="C30">+IFERROR(INDEX('Conteo 18-02-26'!$C:$C,MATCH(1,('Conteo 18-02-26'!$E:$E=$B30)*('Conteo 18-02-26'!$A:$A="Rueda"),0)),"")</f>
        <v/>
      </c>
      <c r="D30" s="470" t="str" cm="1">
        <f t="array" ref="D30">+IFERROR(INDEX('Conteo 18-02-26'!$D:$D,MATCH(1,('Conteo 18-02-26'!$E:$E=$B30)*('Conteo 18-02-26'!A:A:'Conteo 18-02-26'!$A:$A="Rueda"),0)),"")</f>
        <v/>
      </c>
      <c r="E30" s="427" t="str">
        <f t="shared" si="0"/>
        <v/>
      </c>
      <c r="F30" s="432" t="str">
        <f>+IF(OR(E30="LK"),ROUNDUP(D30*(VLOOKUP(B30,'Conteo 18-02-26'!$E:$AN,35,0))/100,0),IF(E30="CH",D29-F29,""))</f>
        <v/>
      </c>
      <c r="G30" s="470"/>
      <c r="H30" s="434"/>
      <c r="I30" s="434"/>
      <c r="J30" s="434"/>
      <c r="K30" s="434"/>
      <c r="L30" s="434"/>
      <c r="M30" s="435"/>
    </row>
    <row r="31" spans="1:13" ht="33.6" customHeight="1" x14ac:dyDescent="0.2">
      <c r="A31" s="485"/>
      <c r="B31" s="470"/>
      <c r="C31" s="472"/>
      <c r="D31" s="470"/>
      <c r="E31" s="427" t="str">
        <f t="shared" si="0"/>
        <v/>
      </c>
      <c r="F31" s="432" t="str">
        <f>+IF(OR(E31="LK"),ROUNDUP(D31*(VLOOKUP(B31,'Conteo 18-02-26'!$E:$AN,35,0))/100,0),IF(E31="CH",D30-F30,""))</f>
        <v/>
      </c>
      <c r="G31" s="470"/>
      <c r="H31" s="434"/>
      <c r="I31" s="434"/>
      <c r="J31" s="434"/>
      <c r="K31" s="434"/>
      <c r="L31" s="434"/>
      <c r="M31" s="435"/>
    </row>
    <row r="32" spans="1:13" ht="33.6" customHeight="1" x14ac:dyDescent="0.2">
      <c r="A32" s="485" t="str" cm="1">
        <f t="array" ref="A32">+IFERROR(INDEX('Conteo 18-02-26'!$B:$B,MATCH(1,('Conteo 18-02-26'!$E:$E=$B32)*('Conteo 18-02-26'!$A:$A="Rueda"),0)),"")</f>
        <v/>
      </c>
      <c r="B32" s="470">
        <f>+B30+1</f>
        <v>10</v>
      </c>
      <c r="C32" s="472" t="str" cm="1">
        <f t="array" ref="C32">+IFERROR(INDEX('Conteo 18-02-26'!$C:$C,MATCH(1,('Conteo 18-02-26'!$E:$E=$B32)*('Conteo 18-02-26'!$A:$A="Rueda"),0)),"")</f>
        <v/>
      </c>
      <c r="D32" s="470" t="str" cm="1">
        <f t="array" ref="D32">+IFERROR(INDEX('Conteo 18-02-26'!$D:$D,MATCH(1,('Conteo 18-02-26'!$E:$E=$B32)*('Conteo 18-02-26'!A:A:'Conteo 18-02-26'!$A:$A="Rueda"),0)),"")</f>
        <v/>
      </c>
      <c r="E32" s="427" t="str">
        <f t="shared" si="0"/>
        <v/>
      </c>
      <c r="F32" s="432" t="str">
        <f>+IF(OR(E32="LK"),ROUNDUP(D32*(VLOOKUP(B32,'Conteo 18-02-26'!$E:$AN,35,0))/100,0),IF(E32="CH",D31-F31,""))</f>
        <v/>
      </c>
      <c r="G32" s="470"/>
      <c r="H32" s="434"/>
      <c r="I32" s="434"/>
      <c r="J32" s="434"/>
      <c r="K32" s="434"/>
      <c r="L32" s="434"/>
      <c r="M32" s="435"/>
    </row>
    <row r="33" spans="1:13" ht="33.6" customHeight="1" x14ac:dyDescent="0.2">
      <c r="A33" s="485"/>
      <c r="B33" s="470"/>
      <c r="C33" s="472"/>
      <c r="D33" s="470"/>
      <c r="E33" s="427" t="str">
        <f t="shared" si="0"/>
        <v/>
      </c>
      <c r="F33" s="432" t="str">
        <f>+IF(OR(E33="LK"),ROUNDUP(D33*(VLOOKUP(B33,'Conteo 18-02-26'!$E:$AN,35,0))/100,0),IF(E33="CH",D32-F32,""))</f>
        <v/>
      </c>
      <c r="G33" s="470"/>
      <c r="H33" s="434"/>
      <c r="I33" s="434"/>
      <c r="J33" s="434"/>
      <c r="K33" s="434"/>
      <c r="L33" s="434"/>
      <c r="M33" s="435"/>
    </row>
    <row r="34" spans="1:13" ht="33.6" customHeight="1" x14ac:dyDescent="0.2">
      <c r="A34" s="485" t="str" cm="1">
        <f t="array" ref="A34">+IFERROR(INDEX('Conteo 18-02-26'!$B:$B,MATCH(1,('Conteo 18-02-26'!$E:$E=$B34)*('Conteo 18-02-26'!$A:$A="Rueda"),0)),"")</f>
        <v/>
      </c>
      <c r="B34" s="470">
        <f>+B32+1</f>
        <v>11</v>
      </c>
      <c r="C34" s="472" t="str" cm="1">
        <f t="array" ref="C34">+IFERROR(INDEX('Conteo 18-02-26'!$C:$C,MATCH(1,('Conteo 18-02-26'!$E:$E=$B34)*('Conteo 18-02-26'!$A:$A="Rueda"),0)),"")</f>
        <v/>
      </c>
      <c r="D34" s="470" t="str" cm="1">
        <f t="array" ref="D34">+IFERROR(INDEX('Conteo 18-02-26'!$D:$D,MATCH(1,('Conteo 18-02-26'!$E:$E=$B34)*('Conteo 18-02-26'!A:A:'Conteo 18-02-26'!$A:$A="Rueda"),0)),"")</f>
        <v/>
      </c>
      <c r="E34" s="427" t="str">
        <f t="shared" si="0"/>
        <v/>
      </c>
      <c r="F34" s="432" t="str">
        <f>+IF(OR(E34="LK"),ROUNDUP(D34*(VLOOKUP(B34,'Conteo 18-02-26'!$E:$AN,35,0))/100,0),IF(E34="CH",D33-F33,""))</f>
        <v/>
      </c>
      <c r="G34" s="470"/>
      <c r="H34" s="434"/>
      <c r="I34" s="434"/>
      <c r="J34" s="434"/>
      <c r="K34" s="434"/>
      <c r="L34" s="434"/>
      <c r="M34" s="435"/>
    </row>
    <row r="35" spans="1:13" ht="33.6" customHeight="1" thickBot="1" x14ac:dyDescent="0.25">
      <c r="A35" s="486"/>
      <c r="B35" s="487"/>
      <c r="C35" s="488"/>
      <c r="D35" s="487"/>
      <c r="E35" s="427" t="str">
        <f t="shared" si="0"/>
        <v/>
      </c>
      <c r="F35" s="432" t="str">
        <f>+IF(OR(E35="LK"),ROUNDUP(D35*(VLOOKUP(B35,'Conteo 18-02-26'!$E:$AN,35,0))/100,0),IF(E35="CH",D34-F34,""))</f>
        <v/>
      </c>
      <c r="G35" s="487"/>
      <c r="H35" s="436"/>
      <c r="I35" s="436"/>
      <c r="J35" s="436"/>
      <c r="K35" s="436"/>
      <c r="L35" s="436"/>
      <c r="M35" s="437"/>
    </row>
    <row r="36" spans="1:13" ht="33.6" customHeight="1" x14ac:dyDescent="0.2">
      <c r="A36" s="490" t="str" cm="1">
        <f t="array" ref="A36">+IFERROR(INDEX('Conteo 18-02-26'!$B:$B,MATCH(1,('Conteo 18-02-26'!$E:$E=$B36)*('Conteo 18-02-26'!$A:$A="Rueda"),0)),"")</f>
        <v/>
      </c>
      <c r="B36" s="491">
        <f>+B34+1</f>
        <v>12</v>
      </c>
      <c r="C36" s="492" t="str" cm="1">
        <f t="array" ref="C36">+IFERROR(INDEX('Conteo 18-02-26'!$C:$C,MATCH(1,('Conteo 18-02-26'!$E:$E=$B36)*('Conteo 18-02-26'!$A:$A="Rueda"),0)),"")</f>
        <v/>
      </c>
      <c r="D36" s="491" t="str" cm="1">
        <f t="array" ref="D36">+IFERROR(INDEX('Conteo 18-02-26'!$D:$D,MATCH(1,('Conteo 18-02-26'!$E:$E=$B36)*('Conteo 18-02-26'!A:A:'Conteo 18-02-26'!$A:$A="Rueda"),0)),"")</f>
        <v/>
      </c>
      <c r="E36" s="427" t="str">
        <f t="shared" si="0"/>
        <v/>
      </c>
      <c r="F36" s="432" t="str">
        <f>+IF(OR(E36="LK"),ROUNDUP(D36*(VLOOKUP(B36,'Conteo 18-02-26'!$E:$AN,35,0))/100,0),IF(E36="CH",D35-F35,""))</f>
        <v/>
      </c>
      <c r="G36" s="491"/>
      <c r="H36" s="438"/>
      <c r="I36" s="438"/>
      <c r="J36" s="438"/>
      <c r="K36" s="438"/>
      <c r="L36" s="438"/>
      <c r="M36" s="438"/>
    </row>
    <row r="37" spans="1:13" ht="33.6" customHeight="1" x14ac:dyDescent="0.2">
      <c r="A37" s="489"/>
      <c r="B37" s="470"/>
      <c r="C37" s="472"/>
      <c r="D37" s="470"/>
      <c r="E37" s="427" t="str">
        <f t="shared" si="0"/>
        <v/>
      </c>
      <c r="F37" s="432" t="str">
        <f>+IF(OR(E37="LK"),ROUNDUP(D37*(VLOOKUP(B37,'Conteo 18-02-26'!$E:$AN,35,0))/100,0),IF(E37="CH",D36-F36,""))</f>
        <v/>
      </c>
      <c r="G37" s="470"/>
      <c r="H37" s="434"/>
      <c r="I37" s="434"/>
      <c r="J37" s="434"/>
      <c r="K37" s="434"/>
      <c r="L37" s="434"/>
      <c r="M37" s="434"/>
    </row>
    <row r="38" spans="1:13" ht="33.6" customHeight="1" x14ac:dyDescent="0.2">
      <c r="A38" s="489" t="str" cm="1">
        <f t="array" ref="A38">+IFERROR(INDEX('Conteo 18-02-26'!$B:$B,MATCH(1,('Conteo 18-02-26'!$E:$E=$B38)*('Conteo 18-02-26'!$A:$A="Rueda"),0)),"")</f>
        <v/>
      </c>
      <c r="B38" s="470">
        <f>+B36+1</f>
        <v>13</v>
      </c>
      <c r="C38" s="472" t="str" cm="1">
        <f t="array" ref="C38">+IFERROR(INDEX('Conteo 18-02-26'!$C:$C,MATCH(1,('Conteo 18-02-26'!$E:$E=$B38)*('Conteo 18-02-26'!$A:$A="Rueda"),0)),"")</f>
        <v/>
      </c>
      <c r="D38" s="470" t="str" cm="1">
        <f t="array" ref="D38">+IFERROR(INDEX('Conteo 18-02-26'!$D:$D,MATCH(1,('Conteo 18-02-26'!$E:$E=$B38)*('Conteo 18-02-26'!A:A:'Conteo 18-02-26'!$A:$A="Rueda"),0)),"")</f>
        <v/>
      </c>
      <c r="E38" s="427" t="str">
        <f t="shared" si="0"/>
        <v/>
      </c>
      <c r="F38" s="432" t="str">
        <f>+IF(OR(E38="LK"),ROUNDUP(D38*(VLOOKUP(B38,'Conteo 18-02-26'!$E:$AN,35,0))/100,0),IF(E38="CH",D37-F37,""))</f>
        <v/>
      </c>
      <c r="G38" s="470"/>
      <c r="H38" s="434"/>
      <c r="I38" s="434"/>
      <c r="J38" s="434"/>
      <c r="K38" s="434"/>
      <c r="L38" s="434"/>
      <c r="M38" s="434"/>
    </row>
    <row r="39" spans="1:13" ht="33.6" customHeight="1" x14ac:dyDescent="0.2">
      <c r="A39" s="489"/>
      <c r="B39" s="470"/>
      <c r="C39" s="472"/>
      <c r="D39" s="470"/>
      <c r="E39" s="427" t="str">
        <f t="shared" si="0"/>
        <v/>
      </c>
      <c r="F39" s="432" t="str">
        <f>+IF(OR(E39="LK"),ROUNDUP(D39*(VLOOKUP(B39,'Conteo 18-02-26'!$E:$AN,35,0))/100,0),IF(E39="CH",D38-F38,""))</f>
        <v/>
      </c>
      <c r="G39" s="470"/>
      <c r="H39" s="434"/>
      <c r="I39" s="434"/>
      <c r="J39" s="434"/>
      <c r="K39" s="434"/>
      <c r="L39" s="434"/>
      <c r="M39" s="434"/>
    </row>
    <row r="40" spans="1:13" ht="33.6" customHeight="1" x14ac:dyDescent="0.2">
      <c r="A40" s="489" t="str" cm="1">
        <f t="array" ref="A40">+IFERROR(INDEX('Conteo 18-02-26'!$B:$B,MATCH(1,('Conteo 18-02-26'!$E:$E=$B40)*('Conteo 18-02-26'!$A:$A="Rueda"),0)),"")</f>
        <v/>
      </c>
      <c r="B40" s="470">
        <f>+B38+1</f>
        <v>14</v>
      </c>
      <c r="C40" s="472" t="str" cm="1">
        <f t="array" ref="C40">+IFERROR(INDEX('Conteo 18-02-26'!$C:$C,MATCH(1,('Conteo 18-02-26'!$E:$E=$B40)*('Conteo 18-02-26'!$A:$A="Rueda"),0)),"")</f>
        <v/>
      </c>
      <c r="D40" s="470" t="str" cm="1">
        <f t="array" ref="D40">+IFERROR(INDEX('Conteo 18-02-26'!$D:$D,MATCH(1,('Conteo 18-02-26'!$E:$E=$B40)*('Conteo 18-02-26'!A:A:'Conteo 18-02-26'!$A:$A="Rueda"),0)),"")</f>
        <v/>
      </c>
      <c r="E40" s="427" t="str">
        <f t="shared" si="0"/>
        <v/>
      </c>
      <c r="F40" s="432" t="str">
        <f>+IF(OR(E40="LK"),ROUNDUP(D40*(VLOOKUP(B40,'Conteo 18-02-26'!$E:$AN,35,0))/100,0),IF(E40="CH",D39-F39,""))</f>
        <v/>
      </c>
      <c r="G40" s="470"/>
      <c r="H40" s="434"/>
      <c r="I40" s="434"/>
      <c r="J40" s="434"/>
      <c r="K40" s="434"/>
      <c r="L40" s="434"/>
      <c r="M40" s="434"/>
    </row>
    <row r="41" spans="1:13" ht="33.6" customHeight="1" x14ac:dyDescent="0.2">
      <c r="A41" s="489"/>
      <c r="B41" s="470"/>
      <c r="C41" s="472"/>
      <c r="D41" s="470"/>
      <c r="E41" s="427" t="str">
        <f t="shared" si="0"/>
        <v/>
      </c>
      <c r="F41" s="432" t="str">
        <f>+IF(OR(E41="LK"),ROUNDUP(D41*(VLOOKUP(B41,'Conteo 18-02-26'!$E:$AN,35,0))/100,0),IF(E41="CH",D40-F40,""))</f>
        <v/>
      </c>
      <c r="G41" s="470"/>
      <c r="H41" s="434"/>
      <c r="I41" s="434"/>
      <c r="J41" s="434"/>
      <c r="K41" s="434"/>
      <c r="L41" s="434"/>
      <c r="M41" s="434"/>
    </row>
    <row r="42" spans="1:13" ht="33.6" customHeight="1" x14ac:dyDescent="0.2">
      <c r="A42" s="489" t="str" cm="1">
        <f t="array" ref="A42">+IFERROR(INDEX('Conteo 18-02-26'!$B:$B,MATCH(1,('Conteo 18-02-26'!$E:$E=$B42)*('Conteo 18-02-26'!$A:$A="Rueda"),0)),"")</f>
        <v/>
      </c>
      <c r="B42" s="470">
        <f>+B40+1</f>
        <v>15</v>
      </c>
      <c r="C42" s="472" t="str" cm="1">
        <f t="array" ref="C42">+IFERROR(INDEX('Conteo 18-02-26'!$C:$C,MATCH(1,('Conteo 18-02-26'!$E:$E=$B42)*('Conteo 18-02-26'!$A:$A="Rueda"),0)),"")</f>
        <v/>
      </c>
      <c r="D42" s="470" t="str" cm="1">
        <f t="array" ref="D42">+IFERROR(INDEX('Conteo 18-02-26'!$D:$D,MATCH(1,('Conteo 18-02-26'!$E:$E=$B42)*('Conteo 18-02-26'!A:A:'Conteo 18-02-26'!$A:$A="Rueda"),0)),"")</f>
        <v/>
      </c>
      <c r="E42" s="427" t="str">
        <f t="shared" si="0"/>
        <v/>
      </c>
      <c r="F42" s="432" t="str">
        <f>+IF(OR(E42="LK"),ROUNDUP(D42*(VLOOKUP(B42,'Conteo 18-02-26'!$E:$AN,35,0))/100,0),IF(E42="CH",D41-F41,""))</f>
        <v/>
      </c>
      <c r="G42" s="470"/>
      <c r="H42" s="434"/>
      <c r="I42" s="434"/>
      <c r="J42" s="434"/>
      <c r="K42" s="434"/>
      <c r="L42" s="434"/>
      <c r="M42" s="434"/>
    </row>
    <row r="43" spans="1:13" ht="33.6" customHeight="1" x14ac:dyDescent="0.2">
      <c r="A43" s="489"/>
      <c r="B43" s="470"/>
      <c r="C43" s="472"/>
      <c r="D43" s="470"/>
      <c r="E43" s="427" t="str">
        <f t="shared" si="0"/>
        <v/>
      </c>
      <c r="F43" s="432" t="str">
        <f>+IF(OR(E43="LK"),ROUNDUP(D43*(VLOOKUP(B43,'Conteo 18-02-26'!$E:$AN,35,0))/100,0),IF(E43="CH",D42-F42,""))</f>
        <v/>
      </c>
      <c r="G43" s="470"/>
      <c r="H43" s="434"/>
      <c r="I43" s="434"/>
      <c r="J43" s="434"/>
      <c r="K43" s="434"/>
      <c r="L43" s="434"/>
      <c r="M43" s="434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415" customWidth="1"/>
    <col min="2" max="2" width="6.140625" style="415" customWidth="1"/>
    <col min="3" max="3" width="21.7109375" style="415" customWidth="1"/>
    <col min="4" max="4" width="9.28515625" style="415" customWidth="1"/>
    <col min="5" max="5" width="8.28515625" style="415" customWidth="1"/>
    <col min="6" max="6" width="7.7109375" style="415" customWidth="1"/>
    <col min="7" max="7" width="9.7109375" style="415" customWidth="1"/>
    <col min="8" max="8" width="7.28515625" style="415" customWidth="1"/>
    <col min="9" max="9" width="7.5703125" style="415" customWidth="1"/>
    <col min="10" max="10" width="7.7109375" style="415" customWidth="1"/>
    <col min="11" max="11" width="7" style="415" customWidth="1"/>
    <col min="12" max="12" width="7.7109375" style="415" customWidth="1"/>
    <col min="13" max="13" width="7" style="415" customWidth="1"/>
    <col min="14" max="256" width="11.5703125" style="415"/>
    <col min="257" max="257" width="11.42578125" style="415" customWidth="1"/>
    <col min="258" max="258" width="6.140625" style="415" customWidth="1"/>
    <col min="259" max="259" width="21.7109375" style="415" customWidth="1"/>
    <col min="260" max="260" width="9.28515625" style="415" customWidth="1"/>
    <col min="261" max="261" width="8.28515625" style="415" customWidth="1"/>
    <col min="262" max="262" width="7.7109375" style="415" customWidth="1"/>
    <col min="263" max="263" width="9.7109375" style="415" customWidth="1"/>
    <col min="264" max="264" width="7.28515625" style="415" customWidth="1"/>
    <col min="265" max="265" width="7.5703125" style="415" customWidth="1"/>
    <col min="266" max="266" width="7.7109375" style="415" customWidth="1"/>
    <col min="267" max="267" width="7" style="415" customWidth="1"/>
    <col min="268" max="268" width="7.7109375" style="415" customWidth="1"/>
    <col min="269" max="269" width="7" style="415" customWidth="1"/>
    <col min="270" max="512" width="11.5703125" style="415"/>
    <col min="513" max="513" width="11.42578125" style="415" customWidth="1"/>
    <col min="514" max="514" width="6.140625" style="415" customWidth="1"/>
    <col min="515" max="515" width="21.7109375" style="415" customWidth="1"/>
    <col min="516" max="516" width="9.28515625" style="415" customWidth="1"/>
    <col min="517" max="517" width="8.28515625" style="415" customWidth="1"/>
    <col min="518" max="518" width="7.7109375" style="415" customWidth="1"/>
    <col min="519" max="519" width="9.7109375" style="415" customWidth="1"/>
    <col min="520" max="520" width="7.28515625" style="415" customWidth="1"/>
    <col min="521" max="521" width="7.5703125" style="415" customWidth="1"/>
    <col min="522" max="522" width="7.7109375" style="415" customWidth="1"/>
    <col min="523" max="523" width="7" style="415" customWidth="1"/>
    <col min="524" max="524" width="7.7109375" style="415" customWidth="1"/>
    <col min="525" max="525" width="7" style="415" customWidth="1"/>
    <col min="526" max="768" width="11.5703125" style="415"/>
    <col min="769" max="769" width="11.42578125" style="415" customWidth="1"/>
    <col min="770" max="770" width="6.140625" style="415" customWidth="1"/>
    <col min="771" max="771" width="21.7109375" style="415" customWidth="1"/>
    <col min="772" max="772" width="9.28515625" style="415" customWidth="1"/>
    <col min="773" max="773" width="8.28515625" style="415" customWidth="1"/>
    <col min="774" max="774" width="7.7109375" style="415" customWidth="1"/>
    <col min="775" max="775" width="9.7109375" style="415" customWidth="1"/>
    <col min="776" max="776" width="7.28515625" style="415" customWidth="1"/>
    <col min="777" max="777" width="7.5703125" style="415" customWidth="1"/>
    <col min="778" max="778" width="7.7109375" style="415" customWidth="1"/>
    <col min="779" max="779" width="7" style="415" customWidth="1"/>
    <col min="780" max="780" width="7.7109375" style="415" customWidth="1"/>
    <col min="781" max="781" width="7" style="415" customWidth="1"/>
    <col min="782" max="1024" width="11.5703125" style="415"/>
    <col min="1025" max="1025" width="11.42578125" style="415" customWidth="1"/>
    <col min="1026" max="1026" width="6.140625" style="415" customWidth="1"/>
    <col min="1027" max="1027" width="21.7109375" style="415" customWidth="1"/>
    <col min="1028" max="1028" width="9.28515625" style="415" customWidth="1"/>
    <col min="1029" max="1029" width="8.28515625" style="415" customWidth="1"/>
    <col min="1030" max="1030" width="7.7109375" style="415" customWidth="1"/>
    <col min="1031" max="1031" width="9.7109375" style="415" customWidth="1"/>
    <col min="1032" max="1032" width="7.28515625" style="415" customWidth="1"/>
    <col min="1033" max="1033" width="7.5703125" style="415" customWidth="1"/>
    <col min="1034" max="1034" width="7.7109375" style="415" customWidth="1"/>
    <col min="1035" max="1035" width="7" style="415" customWidth="1"/>
    <col min="1036" max="1036" width="7.7109375" style="415" customWidth="1"/>
    <col min="1037" max="1037" width="7" style="415" customWidth="1"/>
    <col min="1038" max="1280" width="11.5703125" style="415"/>
    <col min="1281" max="1281" width="11.42578125" style="415" customWidth="1"/>
    <col min="1282" max="1282" width="6.140625" style="415" customWidth="1"/>
    <col min="1283" max="1283" width="21.7109375" style="415" customWidth="1"/>
    <col min="1284" max="1284" width="9.28515625" style="415" customWidth="1"/>
    <col min="1285" max="1285" width="8.28515625" style="415" customWidth="1"/>
    <col min="1286" max="1286" width="7.7109375" style="415" customWidth="1"/>
    <col min="1287" max="1287" width="9.7109375" style="415" customWidth="1"/>
    <col min="1288" max="1288" width="7.28515625" style="415" customWidth="1"/>
    <col min="1289" max="1289" width="7.5703125" style="415" customWidth="1"/>
    <col min="1290" max="1290" width="7.7109375" style="415" customWidth="1"/>
    <col min="1291" max="1291" width="7" style="415" customWidth="1"/>
    <col min="1292" max="1292" width="7.7109375" style="415" customWidth="1"/>
    <col min="1293" max="1293" width="7" style="415" customWidth="1"/>
    <col min="1294" max="1536" width="11.5703125" style="415"/>
    <col min="1537" max="1537" width="11.42578125" style="415" customWidth="1"/>
    <col min="1538" max="1538" width="6.140625" style="415" customWidth="1"/>
    <col min="1539" max="1539" width="21.7109375" style="415" customWidth="1"/>
    <col min="1540" max="1540" width="9.28515625" style="415" customWidth="1"/>
    <col min="1541" max="1541" width="8.28515625" style="415" customWidth="1"/>
    <col min="1542" max="1542" width="7.7109375" style="415" customWidth="1"/>
    <col min="1543" max="1543" width="9.7109375" style="415" customWidth="1"/>
    <col min="1544" max="1544" width="7.28515625" style="415" customWidth="1"/>
    <col min="1545" max="1545" width="7.5703125" style="415" customWidth="1"/>
    <col min="1546" max="1546" width="7.7109375" style="415" customWidth="1"/>
    <col min="1547" max="1547" width="7" style="415" customWidth="1"/>
    <col min="1548" max="1548" width="7.7109375" style="415" customWidth="1"/>
    <col min="1549" max="1549" width="7" style="415" customWidth="1"/>
    <col min="1550" max="1792" width="11.5703125" style="415"/>
    <col min="1793" max="1793" width="11.42578125" style="415" customWidth="1"/>
    <col min="1794" max="1794" width="6.140625" style="415" customWidth="1"/>
    <col min="1795" max="1795" width="21.7109375" style="415" customWidth="1"/>
    <col min="1796" max="1796" width="9.28515625" style="415" customWidth="1"/>
    <col min="1797" max="1797" width="8.28515625" style="415" customWidth="1"/>
    <col min="1798" max="1798" width="7.7109375" style="415" customWidth="1"/>
    <col min="1799" max="1799" width="9.7109375" style="415" customWidth="1"/>
    <col min="1800" max="1800" width="7.28515625" style="415" customWidth="1"/>
    <col min="1801" max="1801" width="7.5703125" style="415" customWidth="1"/>
    <col min="1802" max="1802" width="7.7109375" style="415" customWidth="1"/>
    <col min="1803" max="1803" width="7" style="415" customWidth="1"/>
    <col min="1804" max="1804" width="7.7109375" style="415" customWidth="1"/>
    <col min="1805" max="1805" width="7" style="415" customWidth="1"/>
    <col min="1806" max="2048" width="11.5703125" style="415"/>
    <col min="2049" max="2049" width="11.42578125" style="415" customWidth="1"/>
    <col min="2050" max="2050" width="6.140625" style="415" customWidth="1"/>
    <col min="2051" max="2051" width="21.7109375" style="415" customWidth="1"/>
    <col min="2052" max="2052" width="9.28515625" style="415" customWidth="1"/>
    <col min="2053" max="2053" width="8.28515625" style="415" customWidth="1"/>
    <col min="2054" max="2054" width="7.7109375" style="415" customWidth="1"/>
    <col min="2055" max="2055" width="9.7109375" style="415" customWidth="1"/>
    <col min="2056" max="2056" width="7.28515625" style="415" customWidth="1"/>
    <col min="2057" max="2057" width="7.5703125" style="415" customWidth="1"/>
    <col min="2058" max="2058" width="7.7109375" style="415" customWidth="1"/>
    <col min="2059" max="2059" width="7" style="415" customWidth="1"/>
    <col min="2060" max="2060" width="7.7109375" style="415" customWidth="1"/>
    <col min="2061" max="2061" width="7" style="415" customWidth="1"/>
    <col min="2062" max="2304" width="11.5703125" style="415"/>
    <col min="2305" max="2305" width="11.42578125" style="415" customWidth="1"/>
    <col min="2306" max="2306" width="6.140625" style="415" customWidth="1"/>
    <col min="2307" max="2307" width="21.7109375" style="415" customWidth="1"/>
    <col min="2308" max="2308" width="9.28515625" style="415" customWidth="1"/>
    <col min="2309" max="2309" width="8.28515625" style="415" customWidth="1"/>
    <col min="2310" max="2310" width="7.7109375" style="415" customWidth="1"/>
    <col min="2311" max="2311" width="9.7109375" style="415" customWidth="1"/>
    <col min="2312" max="2312" width="7.28515625" style="415" customWidth="1"/>
    <col min="2313" max="2313" width="7.5703125" style="415" customWidth="1"/>
    <col min="2314" max="2314" width="7.7109375" style="415" customWidth="1"/>
    <col min="2315" max="2315" width="7" style="415" customWidth="1"/>
    <col min="2316" max="2316" width="7.7109375" style="415" customWidth="1"/>
    <col min="2317" max="2317" width="7" style="415" customWidth="1"/>
    <col min="2318" max="2560" width="11.5703125" style="415"/>
    <col min="2561" max="2561" width="11.42578125" style="415" customWidth="1"/>
    <col min="2562" max="2562" width="6.140625" style="415" customWidth="1"/>
    <col min="2563" max="2563" width="21.7109375" style="415" customWidth="1"/>
    <col min="2564" max="2564" width="9.28515625" style="415" customWidth="1"/>
    <col min="2565" max="2565" width="8.28515625" style="415" customWidth="1"/>
    <col min="2566" max="2566" width="7.7109375" style="415" customWidth="1"/>
    <col min="2567" max="2567" width="9.7109375" style="415" customWidth="1"/>
    <col min="2568" max="2568" width="7.28515625" style="415" customWidth="1"/>
    <col min="2569" max="2569" width="7.5703125" style="415" customWidth="1"/>
    <col min="2570" max="2570" width="7.7109375" style="415" customWidth="1"/>
    <col min="2571" max="2571" width="7" style="415" customWidth="1"/>
    <col min="2572" max="2572" width="7.7109375" style="415" customWidth="1"/>
    <col min="2573" max="2573" width="7" style="415" customWidth="1"/>
    <col min="2574" max="2816" width="11.5703125" style="415"/>
    <col min="2817" max="2817" width="11.42578125" style="415" customWidth="1"/>
    <col min="2818" max="2818" width="6.140625" style="415" customWidth="1"/>
    <col min="2819" max="2819" width="21.7109375" style="415" customWidth="1"/>
    <col min="2820" max="2820" width="9.28515625" style="415" customWidth="1"/>
    <col min="2821" max="2821" width="8.28515625" style="415" customWidth="1"/>
    <col min="2822" max="2822" width="7.7109375" style="415" customWidth="1"/>
    <col min="2823" max="2823" width="9.7109375" style="415" customWidth="1"/>
    <col min="2824" max="2824" width="7.28515625" style="415" customWidth="1"/>
    <col min="2825" max="2825" width="7.5703125" style="415" customWidth="1"/>
    <col min="2826" max="2826" width="7.7109375" style="415" customWidth="1"/>
    <col min="2827" max="2827" width="7" style="415" customWidth="1"/>
    <col min="2828" max="2828" width="7.7109375" style="415" customWidth="1"/>
    <col min="2829" max="2829" width="7" style="415" customWidth="1"/>
    <col min="2830" max="3072" width="11.5703125" style="415"/>
    <col min="3073" max="3073" width="11.42578125" style="415" customWidth="1"/>
    <col min="3074" max="3074" width="6.140625" style="415" customWidth="1"/>
    <col min="3075" max="3075" width="21.7109375" style="415" customWidth="1"/>
    <col min="3076" max="3076" width="9.28515625" style="415" customWidth="1"/>
    <col min="3077" max="3077" width="8.28515625" style="415" customWidth="1"/>
    <col min="3078" max="3078" width="7.7109375" style="415" customWidth="1"/>
    <col min="3079" max="3079" width="9.7109375" style="415" customWidth="1"/>
    <col min="3080" max="3080" width="7.28515625" style="415" customWidth="1"/>
    <col min="3081" max="3081" width="7.5703125" style="415" customWidth="1"/>
    <col min="3082" max="3082" width="7.7109375" style="415" customWidth="1"/>
    <col min="3083" max="3083" width="7" style="415" customWidth="1"/>
    <col min="3084" max="3084" width="7.7109375" style="415" customWidth="1"/>
    <col min="3085" max="3085" width="7" style="415" customWidth="1"/>
    <col min="3086" max="3328" width="11.5703125" style="415"/>
    <col min="3329" max="3329" width="11.42578125" style="415" customWidth="1"/>
    <col min="3330" max="3330" width="6.140625" style="415" customWidth="1"/>
    <col min="3331" max="3331" width="21.7109375" style="415" customWidth="1"/>
    <col min="3332" max="3332" width="9.28515625" style="415" customWidth="1"/>
    <col min="3333" max="3333" width="8.28515625" style="415" customWidth="1"/>
    <col min="3334" max="3334" width="7.7109375" style="415" customWidth="1"/>
    <col min="3335" max="3335" width="9.7109375" style="415" customWidth="1"/>
    <col min="3336" max="3336" width="7.28515625" style="415" customWidth="1"/>
    <col min="3337" max="3337" width="7.5703125" style="415" customWidth="1"/>
    <col min="3338" max="3338" width="7.7109375" style="415" customWidth="1"/>
    <col min="3339" max="3339" width="7" style="415" customWidth="1"/>
    <col min="3340" max="3340" width="7.7109375" style="415" customWidth="1"/>
    <col min="3341" max="3341" width="7" style="415" customWidth="1"/>
    <col min="3342" max="3584" width="11.5703125" style="415"/>
    <col min="3585" max="3585" width="11.42578125" style="415" customWidth="1"/>
    <col min="3586" max="3586" width="6.140625" style="415" customWidth="1"/>
    <col min="3587" max="3587" width="21.7109375" style="415" customWidth="1"/>
    <col min="3588" max="3588" width="9.28515625" style="415" customWidth="1"/>
    <col min="3589" max="3589" width="8.28515625" style="415" customWidth="1"/>
    <col min="3590" max="3590" width="7.7109375" style="415" customWidth="1"/>
    <col min="3591" max="3591" width="9.7109375" style="415" customWidth="1"/>
    <col min="3592" max="3592" width="7.28515625" style="415" customWidth="1"/>
    <col min="3593" max="3593" width="7.5703125" style="415" customWidth="1"/>
    <col min="3594" max="3594" width="7.7109375" style="415" customWidth="1"/>
    <col min="3595" max="3595" width="7" style="415" customWidth="1"/>
    <col min="3596" max="3596" width="7.7109375" style="415" customWidth="1"/>
    <col min="3597" max="3597" width="7" style="415" customWidth="1"/>
    <col min="3598" max="3840" width="11.5703125" style="415"/>
    <col min="3841" max="3841" width="11.42578125" style="415" customWidth="1"/>
    <col min="3842" max="3842" width="6.140625" style="415" customWidth="1"/>
    <col min="3843" max="3843" width="21.7109375" style="415" customWidth="1"/>
    <col min="3844" max="3844" width="9.28515625" style="415" customWidth="1"/>
    <col min="3845" max="3845" width="8.28515625" style="415" customWidth="1"/>
    <col min="3846" max="3846" width="7.7109375" style="415" customWidth="1"/>
    <col min="3847" max="3847" width="9.7109375" style="415" customWidth="1"/>
    <col min="3848" max="3848" width="7.28515625" style="415" customWidth="1"/>
    <col min="3849" max="3849" width="7.5703125" style="415" customWidth="1"/>
    <col min="3850" max="3850" width="7.7109375" style="415" customWidth="1"/>
    <col min="3851" max="3851" width="7" style="415" customWidth="1"/>
    <col min="3852" max="3852" width="7.7109375" style="415" customWidth="1"/>
    <col min="3853" max="3853" width="7" style="415" customWidth="1"/>
    <col min="3854" max="4096" width="11.5703125" style="415"/>
    <col min="4097" max="4097" width="11.42578125" style="415" customWidth="1"/>
    <col min="4098" max="4098" width="6.140625" style="415" customWidth="1"/>
    <col min="4099" max="4099" width="21.7109375" style="415" customWidth="1"/>
    <col min="4100" max="4100" width="9.28515625" style="415" customWidth="1"/>
    <col min="4101" max="4101" width="8.28515625" style="415" customWidth="1"/>
    <col min="4102" max="4102" width="7.7109375" style="415" customWidth="1"/>
    <col min="4103" max="4103" width="9.7109375" style="415" customWidth="1"/>
    <col min="4104" max="4104" width="7.28515625" style="415" customWidth="1"/>
    <col min="4105" max="4105" width="7.5703125" style="415" customWidth="1"/>
    <col min="4106" max="4106" width="7.7109375" style="415" customWidth="1"/>
    <col min="4107" max="4107" width="7" style="415" customWidth="1"/>
    <col min="4108" max="4108" width="7.7109375" style="415" customWidth="1"/>
    <col min="4109" max="4109" width="7" style="415" customWidth="1"/>
    <col min="4110" max="4352" width="11.5703125" style="415"/>
    <col min="4353" max="4353" width="11.42578125" style="415" customWidth="1"/>
    <col min="4354" max="4354" width="6.140625" style="415" customWidth="1"/>
    <col min="4355" max="4355" width="21.7109375" style="415" customWidth="1"/>
    <col min="4356" max="4356" width="9.28515625" style="415" customWidth="1"/>
    <col min="4357" max="4357" width="8.28515625" style="415" customWidth="1"/>
    <col min="4358" max="4358" width="7.7109375" style="415" customWidth="1"/>
    <col min="4359" max="4359" width="9.7109375" style="415" customWidth="1"/>
    <col min="4360" max="4360" width="7.28515625" style="415" customWidth="1"/>
    <col min="4361" max="4361" width="7.5703125" style="415" customWidth="1"/>
    <col min="4362" max="4362" width="7.7109375" style="415" customWidth="1"/>
    <col min="4363" max="4363" width="7" style="415" customWidth="1"/>
    <col min="4364" max="4364" width="7.7109375" style="415" customWidth="1"/>
    <col min="4365" max="4365" width="7" style="415" customWidth="1"/>
    <col min="4366" max="4608" width="11.5703125" style="415"/>
    <col min="4609" max="4609" width="11.42578125" style="415" customWidth="1"/>
    <col min="4610" max="4610" width="6.140625" style="415" customWidth="1"/>
    <col min="4611" max="4611" width="21.7109375" style="415" customWidth="1"/>
    <col min="4612" max="4612" width="9.28515625" style="415" customWidth="1"/>
    <col min="4613" max="4613" width="8.28515625" style="415" customWidth="1"/>
    <col min="4614" max="4614" width="7.7109375" style="415" customWidth="1"/>
    <col min="4615" max="4615" width="9.7109375" style="415" customWidth="1"/>
    <col min="4616" max="4616" width="7.28515625" style="415" customWidth="1"/>
    <col min="4617" max="4617" width="7.5703125" style="415" customWidth="1"/>
    <col min="4618" max="4618" width="7.7109375" style="415" customWidth="1"/>
    <col min="4619" max="4619" width="7" style="415" customWidth="1"/>
    <col min="4620" max="4620" width="7.7109375" style="415" customWidth="1"/>
    <col min="4621" max="4621" width="7" style="415" customWidth="1"/>
    <col min="4622" max="4864" width="11.5703125" style="415"/>
    <col min="4865" max="4865" width="11.42578125" style="415" customWidth="1"/>
    <col min="4866" max="4866" width="6.140625" style="415" customWidth="1"/>
    <col min="4867" max="4867" width="21.7109375" style="415" customWidth="1"/>
    <col min="4868" max="4868" width="9.28515625" style="415" customWidth="1"/>
    <col min="4869" max="4869" width="8.28515625" style="415" customWidth="1"/>
    <col min="4870" max="4870" width="7.7109375" style="415" customWidth="1"/>
    <col min="4871" max="4871" width="9.7109375" style="415" customWidth="1"/>
    <col min="4872" max="4872" width="7.28515625" style="415" customWidth="1"/>
    <col min="4873" max="4873" width="7.5703125" style="415" customWidth="1"/>
    <col min="4874" max="4874" width="7.7109375" style="415" customWidth="1"/>
    <col min="4875" max="4875" width="7" style="415" customWidth="1"/>
    <col min="4876" max="4876" width="7.7109375" style="415" customWidth="1"/>
    <col min="4877" max="4877" width="7" style="415" customWidth="1"/>
    <col min="4878" max="5120" width="11.5703125" style="415"/>
    <col min="5121" max="5121" width="11.42578125" style="415" customWidth="1"/>
    <col min="5122" max="5122" width="6.140625" style="415" customWidth="1"/>
    <col min="5123" max="5123" width="21.7109375" style="415" customWidth="1"/>
    <col min="5124" max="5124" width="9.28515625" style="415" customWidth="1"/>
    <col min="5125" max="5125" width="8.28515625" style="415" customWidth="1"/>
    <col min="5126" max="5126" width="7.7109375" style="415" customWidth="1"/>
    <col min="5127" max="5127" width="9.7109375" style="415" customWidth="1"/>
    <col min="5128" max="5128" width="7.28515625" style="415" customWidth="1"/>
    <col min="5129" max="5129" width="7.5703125" style="415" customWidth="1"/>
    <col min="5130" max="5130" width="7.7109375" style="415" customWidth="1"/>
    <col min="5131" max="5131" width="7" style="415" customWidth="1"/>
    <col min="5132" max="5132" width="7.7109375" style="415" customWidth="1"/>
    <col min="5133" max="5133" width="7" style="415" customWidth="1"/>
    <col min="5134" max="5376" width="11.5703125" style="415"/>
    <col min="5377" max="5377" width="11.42578125" style="415" customWidth="1"/>
    <col min="5378" max="5378" width="6.140625" style="415" customWidth="1"/>
    <col min="5379" max="5379" width="21.7109375" style="415" customWidth="1"/>
    <col min="5380" max="5380" width="9.28515625" style="415" customWidth="1"/>
    <col min="5381" max="5381" width="8.28515625" style="415" customWidth="1"/>
    <col min="5382" max="5382" width="7.7109375" style="415" customWidth="1"/>
    <col min="5383" max="5383" width="9.7109375" style="415" customWidth="1"/>
    <col min="5384" max="5384" width="7.28515625" style="415" customWidth="1"/>
    <col min="5385" max="5385" width="7.5703125" style="415" customWidth="1"/>
    <col min="5386" max="5386" width="7.7109375" style="415" customWidth="1"/>
    <col min="5387" max="5387" width="7" style="415" customWidth="1"/>
    <col min="5388" max="5388" width="7.7109375" style="415" customWidth="1"/>
    <col min="5389" max="5389" width="7" style="415" customWidth="1"/>
    <col min="5390" max="5632" width="11.5703125" style="415"/>
    <col min="5633" max="5633" width="11.42578125" style="415" customWidth="1"/>
    <col min="5634" max="5634" width="6.140625" style="415" customWidth="1"/>
    <col min="5635" max="5635" width="21.7109375" style="415" customWidth="1"/>
    <col min="5636" max="5636" width="9.28515625" style="415" customWidth="1"/>
    <col min="5637" max="5637" width="8.28515625" style="415" customWidth="1"/>
    <col min="5638" max="5638" width="7.7109375" style="415" customWidth="1"/>
    <col min="5639" max="5639" width="9.7109375" style="415" customWidth="1"/>
    <col min="5640" max="5640" width="7.28515625" style="415" customWidth="1"/>
    <col min="5641" max="5641" width="7.5703125" style="415" customWidth="1"/>
    <col min="5642" max="5642" width="7.7109375" style="415" customWidth="1"/>
    <col min="5643" max="5643" width="7" style="415" customWidth="1"/>
    <col min="5644" max="5644" width="7.7109375" style="415" customWidth="1"/>
    <col min="5645" max="5645" width="7" style="415" customWidth="1"/>
    <col min="5646" max="5888" width="11.5703125" style="415"/>
    <col min="5889" max="5889" width="11.42578125" style="415" customWidth="1"/>
    <col min="5890" max="5890" width="6.140625" style="415" customWidth="1"/>
    <col min="5891" max="5891" width="21.7109375" style="415" customWidth="1"/>
    <col min="5892" max="5892" width="9.28515625" style="415" customWidth="1"/>
    <col min="5893" max="5893" width="8.28515625" style="415" customWidth="1"/>
    <col min="5894" max="5894" width="7.7109375" style="415" customWidth="1"/>
    <col min="5895" max="5895" width="9.7109375" style="415" customWidth="1"/>
    <col min="5896" max="5896" width="7.28515625" style="415" customWidth="1"/>
    <col min="5897" max="5897" width="7.5703125" style="415" customWidth="1"/>
    <col min="5898" max="5898" width="7.7109375" style="415" customWidth="1"/>
    <col min="5899" max="5899" width="7" style="415" customWidth="1"/>
    <col min="5900" max="5900" width="7.7109375" style="415" customWidth="1"/>
    <col min="5901" max="5901" width="7" style="415" customWidth="1"/>
    <col min="5902" max="6144" width="11.5703125" style="415"/>
    <col min="6145" max="6145" width="11.42578125" style="415" customWidth="1"/>
    <col min="6146" max="6146" width="6.140625" style="415" customWidth="1"/>
    <col min="6147" max="6147" width="21.7109375" style="415" customWidth="1"/>
    <col min="6148" max="6148" width="9.28515625" style="415" customWidth="1"/>
    <col min="6149" max="6149" width="8.28515625" style="415" customWidth="1"/>
    <col min="6150" max="6150" width="7.7109375" style="415" customWidth="1"/>
    <col min="6151" max="6151" width="9.7109375" style="415" customWidth="1"/>
    <col min="6152" max="6152" width="7.28515625" style="415" customWidth="1"/>
    <col min="6153" max="6153" width="7.5703125" style="415" customWidth="1"/>
    <col min="6154" max="6154" width="7.7109375" style="415" customWidth="1"/>
    <col min="6155" max="6155" width="7" style="415" customWidth="1"/>
    <col min="6156" max="6156" width="7.7109375" style="415" customWidth="1"/>
    <col min="6157" max="6157" width="7" style="415" customWidth="1"/>
    <col min="6158" max="6400" width="11.5703125" style="415"/>
    <col min="6401" max="6401" width="11.42578125" style="415" customWidth="1"/>
    <col min="6402" max="6402" width="6.140625" style="415" customWidth="1"/>
    <col min="6403" max="6403" width="21.7109375" style="415" customWidth="1"/>
    <col min="6404" max="6404" width="9.28515625" style="415" customWidth="1"/>
    <col min="6405" max="6405" width="8.28515625" style="415" customWidth="1"/>
    <col min="6406" max="6406" width="7.7109375" style="415" customWidth="1"/>
    <col min="6407" max="6407" width="9.7109375" style="415" customWidth="1"/>
    <col min="6408" max="6408" width="7.28515625" style="415" customWidth="1"/>
    <col min="6409" max="6409" width="7.5703125" style="415" customWidth="1"/>
    <col min="6410" max="6410" width="7.7109375" style="415" customWidth="1"/>
    <col min="6411" max="6411" width="7" style="415" customWidth="1"/>
    <col min="6412" max="6412" width="7.7109375" style="415" customWidth="1"/>
    <col min="6413" max="6413" width="7" style="415" customWidth="1"/>
    <col min="6414" max="6656" width="11.5703125" style="415"/>
    <col min="6657" max="6657" width="11.42578125" style="415" customWidth="1"/>
    <col min="6658" max="6658" width="6.140625" style="415" customWidth="1"/>
    <col min="6659" max="6659" width="21.7109375" style="415" customWidth="1"/>
    <col min="6660" max="6660" width="9.28515625" style="415" customWidth="1"/>
    <col min="6661" max="6661" width="8.28515625" style="415" customWidth="1"/>
    <col min="6662" max="6662" width="7.7109375" style="415" customWidth="1"/>
    <col min="6663" max="6663" width="9.7109375" style="415" customWidth="1"/>
    <col min="6664" max="6664" width="7.28515625" style="415" customWidth="1"/>
    <col min="6665" max="6665" width="7.5703125" style="415" customWidth="1"/>
    <col min="6666" max="6666" width="7.7109375" style="415" customWidth="1"/>
    <col min="6667" max="6667" width="7" style="415" customWidth="1"/>
    <col min="6668" max="6668" width="7.7109375" style="415" customWidth="1"/>
    <col min="6669" max="6669" width="7" style="415" customWidth="1"/>
    <col min="6670" max="6912" width="11.5703125" style="415"/>
    <col min="6913" max="6913" width="11.42578125" style="415" customWidth="1"/>
    <col min="6914" max="6914" width="6.140625" style="415" customWidth="1"/>
    <col min="6915" max="6915" width="21.7109375" style="415" customWidth="1"/>
    <col min="6916" max="6916" width="9.28515625" style="415" customWidth="1"/>
    <col min="6917" max="6917" width="8.28515625" style="415" customWidth="1"/>
    <col min="6918" max="6918" width="7.7109375" style="415" customWidth="1"/>
    <col min="6919" max="6919" width="9.7109375" style="415" customWidth="1"/>
    <col min="6920" max="6920" width="7.28515625" style="415" customWidth="1"/>
    <col min="6921" max="6921" width="7.5703125" style="415" customWidth="1"/>
    <col min="6922" max="6922" width="7.7109375" style="415" customWidth="1"/>
    <col min="6923" max="6923" width="7" style="415" customWidth="1"/>
    <col min="6924" max="6924" width="7.7109375" style="415" customWidth="1"/>
    <col min="6925" max="6925" width="7" style="415" customWidth="1"/>
    <col min="6926" max="7168" width="11.5703125" style="415"/>
    <col min="7169" max="7169" width="11.42578125" style="415" customWidth="1"/>
    <col min="7170" max="7170" width="6.140625" style="415" customWidth="1"/>
    <col min="7171" max="7171" width="21.7109375" style="415" customWidth="1"/>
    <col min="7172" max="7172" width="9.28515625" style="415" customWidth="1"/>
    <col min="7173" max="7173" width="8.28515625" style="415" customWidth="1"/>
    <col min="7174" max="7174" width="7.7109375" style="415" customWidth="1"/>
    <col min="7175" max="7175" width="9.7109375" style="415" customWidth="1"/>
    <col min="7176" max="7176" width="7.28515625" style="415" customWidth="1"/>
    <col min="7177" max="7177" width="7.5703125" style="415" customWidth="1"/>
    <col min="7178" max="7178" width="7.7109375" style="415" customWidth="1"/>
    <col min="7179" max="7179" width="7" style="415" customWidth="1"/>
    <col min="7180" max="7180" width="7.7109375" style="415" customWidth="1"/>
    <col min="7181" max="7181" width="7" style="415" customWidth="1"/>
    <col min="7182" max="7424" width="11.5703125" style="415"/>
    <col min="7425" max="7425" width="11.42578125" style="415" customWidth="1"/>
    <col min="7426" max="7426" width="6.140625" style="415" customWidth="1"/>
    <col min="7427" max="7427" width="21.7109375" style="415" customWidth="1"/>
    <col min="7428" max="7428" width="9.28515625" style="415" customWidth="1"/>
    <col min="7429" max="7429" width="8.28515625" style="415" customWidth="1"/>
    <col min="7430" max="7430" width="7.7109375" style="415" customWidth="1"/>
    <col min="7431" max="7431" width="9.7109375" style="415" customWidth="1"/>
    <col min="7432" max="7432" width="7.28515625" style="415" customWidth="1"/>
    <col min="7433" max="7433" width="7.5703125" style="415" customWidth="1"/>
    <col min="7434" max="7434" width="7.7109375" style="415" customWidth="1"/>
    <col min="7435" max="7435" width="7" style="415" customWidth="1"/>
    <col min="7436" max="7436" width="7.7109375" style="415" customWidth="1"/>
    <col min="7437" max="7437" width="7" style="415" customWidth="1"/>
    <col min="7438" max="7680" width="11.5703125" style="415"/>
    <col min="7681" max="7681" width="11.42578125" style="415" customWidth="1"/>
    <col min="7682" max="7682" width="6.140625" style="415" customWidth="1"/>
    <col min="7683" max="7683" width="21.7109375" style="415" customWidth="1"/>
    <col min="7684" max="7684" width="9.28515625" style="415" customWidth="1"/>
    <col min="7685" max="7685" width="8.28515625" style="415" customWidth="1"/>
    <col min="7686" max="7686" width="7.7109375" style="415" customWidth="1"/>
    <col min="7687" max="7687" width="9.7109375" style="415" customWidth="1"/>
    <col min="7688" max="7688" width="7.28515625" style="415" customWidth="1"/>
    <col min="7689" max="7689" width="7.5703125" style="415" customWidth="1"/>
    <col min="7690" max="7690" width="7.7109375" style="415" customWidth="1"/>
    <col min="7691" max="7691" width="7" style="415" customWidth="1"/>
    <col min="7692" max="7692" width="7.7109375" style="415" customWidth="1"/>
    <col min="7693" max="7693" width="7" style="415" customWidth="1"/>
    <col min="7694" max="7936" width="11.5703125" style="415"/>
    <col min="7937" max="7937" width="11.42578125" style="415" customWidth="1"/>
    <col min="7938" max="7938" width="6.140625" style="415" customWidth="1"/>
    <col min="7939" max="7939" width="21.7109375" style="415" customWidth="1"/>
    <col min="7940" max="7940" width="9.28515625" style="415" customWidth="1"/>
    <col min="7941" max="7941" width="8.28515625" style="415" customWidth="1"/>
    <col min="7942" max="7942" width="7.7109375" style="415" customWidth="1"/>
    <col min="7943" max="7943" width="9.7109375" style="415" customWidth="1"/>
    <col min="7944" max="7944" width="7.28515625" style="415" customWidth="1"/>
    <col min="7945" max="7945" width="7.5703125" style="415" customWidth="1"/>
    <col min="7946" max="7946" width="7.7109375" style="415" customWidth="1"/>
    <col min="7947" max="7947" width="7" style="415" customWidth="1"/>
    <col min="7948" max="7948" width="7.7109375" style="415" customWidth="1"/>
    <col min="7949" max="7949" width="7" style="415" customWidth="1"/>
    <col min="7950" max="8192" width="11.5703125" style="415"/>
    <col min="8193" max="8193" width="11.42578125" style="415" customWidth="1"/>
    <col min="8194" max="8194" width="6.140625" style="415" customWidth="1"/>
    <col min="8195" max="8195" width="21.7109375" style="415" customWidth="1"/>
    <col min="8196" max="8196" width="9.28515625" style="415" customWidth="1"/>
    <col min="8197" max="8197" width="8.28515625" style="415" customWidth="1"/>
    <col min="8198" max="8198" width="7.7109375" style="415" customWidth="1"/>
    <col min="8199" max="8199" width="9.7109375" style="415" customWidth="1"/>
    <col min="8200" max="8200" width="7.28515625" style="415" customWidth="1"/>
    <col min="8201" max="8201" width="7.5703125" style="415" customWidth="1"/>
    <col min="8202" max="8202" width="7.7109375" style="415" customWidth="1"/>
    <col min="8203" max="8203" width="7" style="415" customWidth="1"/>
    <col min="8204" max="8204" width="7.7109375" style="415" customWidth="1"/>
    <col min="8205" max="8205" width="7" style="415" customWidth="1"/>
    <col min="8206" max="8448" width="11.5703125" style="415"/>
    <col min="8449" max="8449" width="11.42578125" style="415" customWidth="1"/>
    <col min="8450" max="8450" width="6.140625" style="415" customWidth="1"/>
    <col min="8451" max="8451" width="21.7109375" style="415" customWidth="1"/>
    <col min="8452" max="8452" width="9.28515625" style="415" customWidth="1"/>
    <col min="8453" max="8453" width="8.28515625" style="415" customWidth="1"/>
    <col min="8454" max="8454" width="7.7109375" style="415" customWidth="1"/>
    <col min="8455" max="8455" width="9.7109375" style="415" customWidth="1"/>
    <col min="8456" max="8456" width="7.28515625" style="415" customWidth="1"/>
    <col min="8457" max="8457" width="7.5703125" style="415" customWidth="1"/>
    <col min="8458" max="8458" width="7.7109375" style="415" customWidth="1"/>
    <col min="8459" max="8459" width="7" style="415" customWidth="1"/>
    <col min="8460" max="8460" width="7.7109375" style="415" customWidth="1"/>
    <col min="8461" max="8461" width="7" style="415" customWidth="1"/>
    <col min="8462" max="8704" width="11.5703125" style="415"/>
    <col min="8705" max="8705" width="11.42578125" style="415" customWidth="1"/>
    <col min="8706" max="8706" width="6.140625" style="415" customWidth="1"/>
    <col min="8707" max="8707" width="21.7109375" style="415" customWidth="1"/>
    <col min="8708" max="8708" width="9.28515625" style="415" customWidth="1"/>
    <col min="8709" max="8709" width="8.28515625" style="415" customWidth="1"/>
    <col min="8710" max="8710" width="7.7109375" style="415" customWidth="1"/>
    <col min="8711" max="8711" width="9.7109375" style="415" customWidth="1"/>
    <col min="8712" max="8712" width="7.28515625" style="415" customWidth="1"/>
    <col min="8713" max="8713" width="7.5703125" style="415" customWidth="1"/>
    <col min="8714" max="8714" width="7.7109375" style="415" customWidth="1"/>
    <col min="8715" max="8715" width="7" style="415" customWidth="1"/>
    <col min="8716" max="8716" width="7.7109375" style="415" customWidth="1"/>
    <col min="8717" max="8717" width="7" style="415" customWidth="1"/>
    <col min="8718" max="8960" width="11.5703125" style="415"/>
    <col min="8961" max="8961" width="11.42578125" style="415" customWidth="1"/>
    <col min="8962" max="8962" width="6.140625" style="415" customWidth="1"/>
    <col min="8963" max="8963" width="21.7109375" style="415" customWidth="1"/>
    <col min="8964" max="8964" width="9.28515625" style="415" customWidth="1"/>
    <col min="8965" max="8965" width="8.28515625" style="415" customWidth="1"/>
    <col min="8966" max="8966" width="7.7109375" style="415" customWidth="1"/>
    <col min="8967" max="8967" width="9.7109375" style="415" customWidth="1"/>
    <col min="8968" max="8968" width="7.28515625" style="415" customWidth="1"/>
    <col min="8969" max="8969" width="7.5703125" style="415" customWidth="1"/>
    <col min="8970" max="8970" width="7.7109375" style="415" customWidth="1"/>
    <col min="8971" max="8971" width="7" style="415" customWidth="1"/>
    <col min="8972" max="8972" width="7.7109375" style="415" customWidth="1"/>
    <col min="8973" max="8973" width="7" style="415" customWidth="1"/>
    <col min="8974" max="9216" width="11.5703125" style="415"/>
    <col min="9217" max="9217" width="11.42578125" style="415" customWidth="1"/>
    <col min="9218" max="9218" width="6.140625" style="415" customWidth="1"/>
    <col min="9219" max="9219" width="21.7109375" style="415" customWidth="1"/>
    <col min="9220" max="9220" width="9.28515625" style="415" customWidth="1"/>
    <col min="9221" max="9221" width="8.28515625" style="415" customWidth="1"/>
    <col min="9222" max="9222" width="7.7109375" style="415" customWidth="1"/>
    <col min="9223" max="9223" width="9.7109375" style="415" customWidth="1"/>
    <col min="9224" max="9224" width="7.28515625" style="415" customWidth="1"/>
    <col min="9225" max="9225" width="7.5703125" style="415" customWidth="1"/>
    <col min="9226" max="9226" width="7.7109375" style="415" customWidth="1"/>
    <col min="9227" max="9227" width="7" style="415" customWidth="1"/>
    <col min="9228" max="9228" width="7.7109375" style="415" customWidth="1"/>
    <col min="9229" max="9229" width="7" style="415" customWidth="1"/>
    <col min="9230" max="9472" width="11.5703125" style="415"/>
    <col min="9473" max="9473" width="11.42578125" style="415" customWidth="1"/>
    <col min="9474" max="9474" width="6.140625" style="415" customWidth="1"/>
    <col min="9475" max="9475" width="21.7109375" style="415" customWidth="1"/>
    <col min="9476" max="9476" width="9.28515625" style="415" customWidth="1"/>
    <col min="9477" max="9477" width="8.28515625" style="415" customWidth="1"/>
    <col min="9478" max="9478" width="7.7109375" style="415" customWidth="1"/>
    <col min="9479" max="9479" width="9.7109375" style="415" customWidth="1"/>
    <col min="9480" max="9480" width="7.28515625" style="415" customWidth="1"/>
    <col min="9481" max="9481" width="7.5703125" style="415" customWidth="1"/>
    <col min="9482" max="9482" width="7.7109375" style="415" customWidth="1"/>
    <col min="9483" max="9483" width="7" style="415" customWidth="1"/>
    <col min="9484" max="9484" width="7.7109375" style="415" customWidth="1"/>
    <col min="9485" max="9485" width="7" style="415" customWidth="1"/>
    <col min="9486" max="9728" width="11.5703125" style="415"/>
    <col min="9729" max="9729" width="11.42578125" style="415" customWidth="1"/>
    <col min="9730" max="9730" width="6.140625" style="415" customWidth="1"/>
    <col min="9731" max="9731" width="21.7109375" style="415" customWidth="1"/>
    <col min="9732" max="9732" width="9.28515625" style="415" customWidth="1"/>
    <col min="9733" max="9733" width="8.28515625" style="415" customWidth="1"/>
    <col min="9734" max="9734" width="7.7109375" style="415" customWidth="1"/>
    <col min="9735" max="9735" width="9.7109375" style="415" customWidth="1"/>
    <col min="9736" max="9736" width="7.28515625" style="415" customWidth="1"/>
    <col min="9737" max="9737" width="7.5703125" style="415" customWidth="1"/>
    <col min="9738" max="9738" width="7.7109375" style="415" customWidth="1"/>
    <col min="9739" max="9739" width="7" style="415" customWidth="1"/>
    <col min="9740" max="9740" width="7.7109375" style="415" customWidth="1"/>
    <col min="9741" max="9741" width="7" style="415" customWidth="1"/>
    <col min="9742" max="9984" width="11.5703125" style="415"/>
    <col min="9985" max="9985" width="11.42578125" style="415" customWidth="1"/>
    <col min="9986" max="9986" width="6.140625" style="415" customWidth="1"/>
    <col min="9987" max="9987" width="21.7109375" style="415" customWidth="1"/>
    <col min="9988" max="9988" width="9.28515625" style="415" customWidth="1"/>
    <col min="9989" max="9989" width="8.28515625" style="415" customWidth="1"/>
    <col min="9990" max="9990" width="7.7109375" style="415" customWidth="1"/>
    <col min="9991" max="9991" width="9.7109375" style="415" customWidth="1"/>
    <col min="9992" max="9992" width="7.28515625" style="415" customWidth="1"/>
    <col min="9993" max="9993" width="7.5703125" style="415" customWidth="1"/>
    <col min="9994" max="9994" width="7.7109375" style="415" customWidth="1"/>
    <col min="9995" max="9995" width="7" style="415" customWidth="1"/>
    <col min="9996" max="9996" width="7.7109375" style="415" customWidth="1"/>
    <col min="9997" max="9997" width="7" style="415" customWidth="1"/>
    <col min="9998" max="10240" width="11.5703125" style="415"/>
    <col min="10241" max="10241" width="11.42578125" style="415" customWidth="1"/>
    <col min="10242" max="10242" width="6.140625" style="415" customWidth="1"/>
    <col min="10243" max="10243" width="21.7109375" style="415" customWidth="1"/>
    <col min="10244" max="10244" width="9.28515625" style="415" customWidth="1"/>
    <col min="10245" max="10245" width="8.28515625" style="415" customWidth="1"/>
    <col min="10246" max="10246" width="7.7109375" style="415" customWidth="1"/>
    <col min="10247" max="10247" width="9.7109375" style="415" customWidth="1"/>
    <col min="10248" max="10248" width="7.28515625" style="415" customWidth="1"/>
    <col min="10249" max="10249" width="7.5703125" style="415" customWidth="1"/>
    <col min="10250" max="10250" width="7.7109375" style="415" customWidth="1"/>
    <col min="10251" max="10251" width="7" style="415" customWidth="1"/>
    <col min="10252" max="10252" width="7.7109375" style="415" customWidth="1"/>
    <col min="10253" max="10253" width="7" style="415" customWidth="1"/>
    <col min="10254" max="10496" width="11.5703125" style="415"/>
    <col min="10497" max="10497" width="11.42578125" style="415" customWidth="1"/>
    <col min="10498" max="10498" width="6.140625" style="415" customWidth="1"/>
    <col min="10499" max="10499" width="21.7109375" style="415" customWidth="1"/>
    <col min="10500" max="10500" width="9.28515625" style="415" customWidth="1"/>
    <col min="10501" max="10501" width="8.28515625" style="415" customWidth="1"/>
    <col min="10502" max="10502" width="7.7109375" style="415" customWidth="1"/>
    <col min="10503" max="10503" width="9.7109375" style="415" customWidth="1"/>
    <col min="10504" max="10504" width="7.28515625" style="415" customWidth="1"/>
    <col min="10505" max="10505" width="7.5703125" style="415" customWidth="1"/>
    <col min="10506" max="10506" width="7.7109375" style="415" customWidth="1"/>
    <col min="10507" max="10507" width="7" style="415" customWidth="1"/>
    <col min="10508" max="10508" width="7.7109375" style="415" customWidth="1"/>
    <col min="10509" max="10509" width="7" style="415" customWidth="1"/>
    <col min="10510" max="10752" width="11.5703125" style="415"/>
    <col min="10753" max="10753" width="11.42578125" style="415" customWidth="1"/>
    <col min="10754" max="10754" width="6.140625" style="415" customWidth="1"/>
    <col min="10755" max="10755" width="21.7109375" style="415" customWidth="1"/>
    <col min="10756" max="10756" width="9.28515625" style="415" customWidth="1"/>
    <col min="10757" max="10757" width="8.28515625" style="415" customWidth="1"/>
    <col min="10758" max="10758" width="7.7109375" style="415" customWidth="1"/>
    <col min="10759" max="10759" width="9.7109375" style="415" customWidth="1"/>
    <col min="10760" max="10760" width="7.28515625" style="415" customWidth="1"/>
    <col min="10761" max="10761" width="7.5703125" style="415" customWidth="1"/>
    <col min="10762" max="10762" width="7.7109375" style="415" customWidth="1"/>
    <col min="10763" max="10763" width="7" style="415" customWidth="1"/>
    <col min="10764" max="10764" width="7.7109375" style="415" customWidth="1"/>
    <col min="10765" max="10765" width="7" style="415" customWidth="1"/>
    <col min="10766" max="11008" width="11.5703125" style="415"/>
    <col min="11009" max="11009" width="11.42578125" style="415" customWidth="1"/>
    <col min="11010" max="11010" width="6.140625" style="415" customWidth="1"/>
    <col min="11011" max="11011" width="21.7109375" style="415" customWidth="1"/>
    <col min="11012" max="11012" width="9.28515625" style="415" customWidth="1"/>
    <col min="11013" max="11013" width="8.28515625" style="415" customWidth="1"/>
    <col min="11014" max="11014" width="7.7109375" style="415" customWidth="1"/>
    <col min="11015" max="11015" width="9.7109375" style="415" customWidth="1"/>
    <col min="11016" max="11016" width="7.28515625" style="415" customWidth="1"/>
    <col min="11017" max="11017" width="7.5703125" style="415" customWidth="1"/>
    <col min="11018" max="11018" width="7.7109375" style="415" customWidth="1"/>
    <col min="11019" max="11019" width="7" style="415" customWidth="1"/>
    <col min="11020" max="11020" width="7.7109375" style="415" customWidth="1"/>
    <col min="11021" max="11021" width="7" style="415" customWidth="1"/>
    <col min="11022" max="11264" width="11.5703125" style="415"/>
    <col min="11265" max="11265" width="11.42578125" style="415" customWidth="1"/>
    <col min="11266" max="11266" width="6.140625" style="415" customWidth="1"/>
    <col min="11267" max="11267" width="21.7109375" style="415" customWidth="1"/>
    <col min="11268" max="11268" width="9.28515625" style="415" customWidth="1"/>
    <col min="11269" max="11269" width="8.28515625" style="415" customWidth="1"/>
    <col min="11270" max="11270" width="7.7109375" style="415" customWidth="1"/>
    <col min="11271" max="11271" width="9.7109375" style="415" customWidth="1"/>
    <col min="11272" max="11272" width="7.28515625" style="415" customWidth="1"/>
    <col min="11273" max="11273" width="7.5703125" style="415" customWidth="1"/>
    <col min="11274" max="11274" width="7.7109375" style="415" customWidth="1"/>
    <col min="11275" max="11275" width="7" style="415" customWidth="1"/>
    <col min="11276" max="11276" width="7.7109375" style="415" customWidth="1"/>
    <col min="11277" max="11277" width="7" style="415" customWidth="1"/>
    <col min="11278" max="11520" width="11.5703125" style="415"/>
    <col min="11521" max="11521" width="11.42578125" style="415" customWidth="1"/>
    <col min="11522" max="11522" width="6.140625" style="415" customWidth="1"/>
    <col min="11523" max="11523" width="21.7109375" style="415" customWidth="1"/>
    <col min="11524" max="11524" width="9.28515625" style="415" customWidth="1"/>
    <col min="11525" max="11525" width="8.28515625" style="415" customWidth="1"/>
    <col min="11526" max="11526" width="7.7109375" style="415" customWidth="1"/>
    <col min="11527" max="11527" width="9.7109375" style="415" customWidth="1"/>
    <col min="11528" max="11528" width="7.28515625" style="415" customWidth="1"/>
    <col min="11529" max="11529" width="7.5703125" style="415" customWidth="1"/>
    <col min="11530" max="11530" width="7.7109375" style="415" customWidth="1"/>
    <col min="11531" max="11531" width="7" style="415" customWidth="1"/>
    <col min="11532" max="11532" width="7.7109375" style="415" customWidth="1"/>
    <col min="11533" max="11533" width="7" style="415" customWidth="1"/>
    <col min="11534" max="11776" width="11.5703125" style="415"/>
    <col min="11777" max="11777" width="11.42578125" style="415" customWidth="1"/>
    <col min="11778" max="11778" width="6.140625" style="415" customWidth="1"/>
    <col min="11779" max="11779" width="21.7109375" style="415" customWidth="1"/>
    <col min="11780" max="11780" width="9.28515625" style="415" customWidth="1"/>
    <col min="11781" max="11781" width="8.28515625" style="415" customWidth="1"/>
    <col min="11782" max="11782" width="7.7109375" style="415" customWidth="1"/>
    <col min="11783" max="11783" width="9.7109375" style="415" customWidth="1"/>
    <col min="11784" max="11784" width="7.28515625" style="415" customWidth="1"/>
    <col min="11785" max="11785" width="7.5703125" style="415" customWidth="1"/>
    <col min="11786" max="11786" width="7.7109375" style="415" customWidth="1"/>
    <col min="11787" max="11787" width="7" style="415" customWidth="1"/>
    <col min="11788" max="11788" width="7.7109375" style="415" customWidth="1"/>
    <col min="11789" max="11789" width="7" style="415" customWidth="1"/>
    <col min="11790" max="12032" width="11.5703125" style="415"/>
    <col min="12033" max="12033" width="11.42578125" style="415" customWidth="1"/>
    <col min="12034" max="12034" width="6.140625" style="415" customWidth="1"/>
    <col min="12035" max="12035" width="21.7109375" style="415" customWidth="1"/>
    <col min="12036" max="12036" width="9.28515625" style="415" customWidth="1"/>
    <col min="12037" max="12037" width="8.28515625" style="415" customWidth="1"/>
    <col min="12038" max="12038" width="7.7109375" style="415" customWidth="1"/>
    <col min="12039" max="12039" width="9.7109375" style="415" customWidth="1"/>
    <col min="12040" max="12040" width="7.28515625" style="415" customWidth="1"/>
    <col min="12041" max="12041" width="7.5703125" style="415" customWidth="1"/>
    <col min="12042" max="12042" width="7.7109375" style="415" customWidth="1"/>
    <col min="12043" max="12043" width="7" style="415" customWidth="1"/>
    <col min="12044" max="12044" width="7.7109375" style="415" customWidth="1"/>
    <col min="12045" max="12045" width="7" style="415" customWidth="1"/>
    <col min="12046" max="12288" width="11.5703125" style="415"/>
    <col min="12289" max="12289" width="11.42578125" style="415" customWidth="1"/>
    <col min="12290" max="12290" width="6.140625" style="415" customWidth="1"/>
    <col min="12291" max="12291" width="21.7109375" style="415" customWidth="1"/>
    <col min="12292" max="12292" width="9.28515625" style="415" customWidth="1"/>
    <col min="12293" max="12293" width="8.28515625" style="415" customWidth="1"/>
    <col min="12294" max="12294" width="7.7109375" style="415" customWidth="1"/>
    <col min="12295" max="12295" width="9.7109375" style="415" customWidth="1"/>
    <col min="12296" max="12296" width="7.28515625" style="415" customWidth="1"/>
    <col min="12297" max="12297" width="7.5703125" style="415" customWidth="1"/>
    <col min="12298" max="12298" width="7.7109375" style="415" customWidth="1"/>
    <col min="12299" max="12299" width="7" style="415" customWidth="1"/>
    <col min="12300" max="12300" width="7.7109375" style="415" customWidth="1"/>
    <col min="12301" max="12301" width="7" style="415" customWidth="1"/>
    <col min="12302" max="12544" width="11.5703125" style="415"/>
    <col min="12545" max="12545" width="11.42578125" style="415" customWidth="1"/>
    <col min="12546" max="12546" width="6.140625" style="415" customWidth="1"/>
    <col min="12547" max="12547" width="21.7109375" style="415" customWidth="1"/>
    <col min="12548" max="12548" width="9.28515625" style="415" customWidth="1"/>
    <col min="12549" max="12549" width="8.28515625" style="415" customWidth="1"/>
    <col min="12550" max="12550" width="7.7109375" style="415" customWidth="1"/>
    <col min="12551" max="12551" width="9.7109375" style="415" customWidth="1"/>
    <col min="12552" max="12552" width="7.28515625" style="415" customWidth="1"/>
    <col min="12553" max="12553" width="7.5703125" style="415" customWidth="1"/>
    <col min="12554" max="12554" width="7.7109375" style="415" customWidth="1"/>
    <col min="12555" max="12555" width="7" style="415" customWidth="1"/>
    <col min="12556" max="12556" width="7.7109375" style="415" customWidth="1"/>
    <col min="12557" max="12557" width="7" style="415" customWidth="1"/>
    <col min="12558" max="12800" width="11.5703125" style="415"/>
    <col min="12801" max="12801" width="11.42578125" style="415" customWidth="1"/>
    <col min="12802" max="12802" width="6.140625" style="415" customWidth="1"/>
    <col min="12803" max="12803" width="21.7109375" style="415" customWidth="1"/>
    <col min="12804" max="12804" width="9.28515625" style="415" customWidth="1"/>
    <col min="12805" max="12805" width="8.28515625" style="415" customWidth="1"/>
    <col min="12806" max="12806" width="7.7109375" style="415" customWidth="1"/>
    <col min="12807" max="12807" width="9.7109375" style="415" customWidth="1"/>
    <col min="12808" max="12808" width="7.28515625" style="415" customWidth="1"/>
    <col min="12809" max="12809" width="7.5703125" style="415" customWidth="1"/>
    <col min="12810" max="12810" width="7.7109375" style="415" customWidth="1"/>
    <col min="12811" max="12811" width="7" style="415" customWidth="1"/>
    <col min="12812" max="12812" width="7.7109375" style="415" customWidth="1"/>
    <col min="12813" max="12813" width="7" style="415" customWidth="1"/>
    <col min="12814" max="13056" width="11.5703125" style="415"/>
    <col min="13057" max="13057" width="11.42578125" style="415" customWidth="1"/>
    <col min="13058" max="13058" width="6.140625" style="415" customWidth="1"/>
    <col min="13059" max="13059" width="21.7109375" style="415" customWidth="1"/>
    <col min="13060" max="13060" width="9.28515625" style="415" customWidth="1"/>
    <col min="13061" max="13061" width="8.28515625" style="415" customWidth="1"/>
    <col min="13062" max="13062" width="7.7109375" style="415" customWidth="1"/>
    <col min="13063" max="13063" width="9.7109375" style="415" customWidth="1"/>
    <col min="13064" max="13064" width="7.28515625" style="415" customWidth="1"/>
    <col min="13065" max="13065" width="7.5703125" style="415" customWidth="1"/>
    <col min="13066" max="13066" width="7.7109375" style="415" customWidth="1"/>
    <col min="13067" max="13067" width="7" style="415" customWidth="1"/>
    <col min="13068" max="13068" width="7.7109375" style="415" customWidth="1"/>
    <col min="13069" max="13069" width="7" style="415" customWidth="1"/>
    <col min="13070" max="13312" width="11.5703125" style="415"/>
    <col min="13313" max="13313" width="11.42578125" style="415" customWidth="1"/>
    <col min="13314" max="13314" width="6.140625" style="415" customWidth="1"/>
    <col min="13315" max="13315" width="21.7109375" style="415" customWidth="1"/>
    <col min="13316" max="13316" width="9.28515625" style="415" customWidth="1"/>
    <col min="13317" max="13317" width="8.28515625" style="415" customWidth="1"/>
    <col min="13318" max="13318" width="7.7109375" style="415" customWidth="1"/>
    <col min="13319" max="13319" width="9.7109375" style="415" customWidth="1"/>
    <col min="13320" max="13320" width="7.28515625" style="415" customWidth="1"/>
    <col min="13321" max="13321" width="7.5703125" style="415" customWidth="1"/>
    <col min="13322" max="13322" width="7.7109375" style="415" customWidth="1"/>
    <col min="13323" max="13323" width="7" style="415" customWidth="1"/>
    <col min="13324" max="13324" width="7.7109375" style="415" customWidth="1"/>
    <col min="13325" max="13325" width="7" style="415" customWidth="1"/>
    <col min="13326" max="13568" width="11.5703125" style="415"/>
    <col min="13569" max="13569" width="11.42578125" style="415" customWidth="1"/>
    <col min="13570" max="13570" width="6.140625" style="415" customWidth="1"/>
    <col min="13571" max="13571" width="21.7109375" style="415" customWidth="1"/>
    <col min="13572" max="13572" width="9.28515625" style="415" customWidth="1"/>
    <col min="13573" max="13573" width="8.28515625" style="415" customWidth="1"/>
    <col min="13574" max="13574" width="7.7109375" style="415" customWidth="1"/>
    <col min="13575" max="13575" width="9.7109375" style="415" customWidth="1"/>
    <col min="13576" max="13576" width="7.28515625" style="415" customWidth="1"/>
    <col min="13577" max="13577" width="7.5703125" style="415" customWidth="1"/>
    <col min="13578" max="13578" width="7.7109375" style="415" customWidth="1"/>
    <col min="13579" max="13579" width="7" style="415" customWidth="1"/>
    <col min="13580" max="13580" width="7.7109375" style="415" customWidth="1"/>
    <col min="13581" max="13581" width="7" style="415" customWidth="1"/>
    <col min="13582" max="13824" width="11.5703125" style="415"/>
    <col min="13825" max="13825" width="11.42578125" style="415" customWidth="1"/>
    <col min="13826" max="13826" width="6.140625" style="415" customWidth="1"/>
    <col min="13827" max="13827" width="21.7109375" style="415" customWidth="1"/>
    <col min="13828" max="13828" width="9.28515625" style="415" customWidth="1"/>
    <col min="13829" max="13829" width="8.28515625" style="415" customWidth="1"/>
    <col min="13830" max="13830" width="7.7109375" style="415" customWidth="1"/>
    <col min="13831" max="13831" width="9.7109375" style="415" customWidth="1"/>
    <col min="13832" max="13832" width="7.28515625" style="415" customWidth="1"/>
    <col min="13833" max="13833" width="7.5703125" style="415" customWidth="1"/>
    <col min="13834" max="13834" width="7.7109375" style="415" customWidth="1"/>
    <col min="13835" max="13835" width="7" style="415" customWidth="1"/>
    <col min="13836" max="13836" width="7.7109375" style="415" customWidth="1"/>
    <col min="13837" max="13837" width="7" style="415" customWidth="1"/>
    <col min="13838" max="14080" width="11.5703125" style="415"/>
    <col min="14081" max="14081" width="11.42578125" style="415" customWidth="1"/>
    <col min="14082" max="14082" width="6.140625" style="415" customWidth="1"/>
    <col min="14083" max="14083" width="21.7109375" style="415" customWidth="1"/>
    <col min="14084" max="14084" width="9.28515625" style="415" customWidth="1"/>
    <col min="14085" max="14085" width="8.28515625" style="415" customWidth="1"/>
    <col min="14086" max="14086" width="7.7109375" style="415" customWidth="1"/>
    <col min="14087" max="14087" width="9.7109375" style="415" customWidth="1"/>
    <col min="14088" max="14088" width="7.28515625" style="415" customWidth="1"/>
    <col min="14089" max="14089" width="7.5703125" style="415" customWidth="1"/>
    <col min="14090" max="14090" width="7.7109375" style="415" customWidth="1"/>
    <col min="14091" max="14091" width="7" style="415" customWidth="1"/>
    <col min="14092" max="14092" width="7.7109375" style="415" customWidth="1"/>
    <col min="14093" max="14093" width="7" style="415" customWidth="1"/>
    <col min="14094" max="14336" width="11.5703125" style="415"/>
    <col min="14337" max="14337" width="11.42578125" style="415" customWidth="1"/>
    <col min="14338" max="14338" width="6.140625" style="415" customWidth="1"/>
    <col min="14339" max="14339" width="21.7109375" style="415" customWidth="1"/>
    <col min="14340" max="14340" width="9.28515625" style="415" customWidth="1"/>
    <col min="14341" max="14341" width="8.28515625" style="415" customWidth="1"/>
    <col min="14342" max="14342" width="7.7109375" style="415" customWidth="1"/>
    <col min="14343" max="14343" width="9.7109375" style="415" customWidth="1"/>
    <col min="14344" max="14344" width="7.28515625" style="415" customWidth="1"/>
    <col min="14345" max="14345" width="7.5703125" style="415" customWidth="1"/>
    <col min="14346" max="14346" width="7.7109375" style="415" customWidth="1"/>
    <col min="14347" max="14347" width="7" style="415" customWidth="1"/>
    <col min="14348" max="14348" width="7.7109375" style="415" customWidth="1"/>
    <col min="14349" max="14349" width="7" style="415" customWidth="1"/>
    <col min="14350" max="14592" width="11.5703125" style="415"/>
    <col min="14593" max="14593" width="11.42578125" style="415" customWidth="1"/>
    <col min="14594" max="14594" width="6.140625" style="415" customWidth="1"/>
    <col min="14595" max="14595" width="21.7109375" style="415" customWidth="1"/>
    <col min="14596" max="14596" width="9.28515625" style="415" customWidth="1"/>
    <col min="14597" max="14597" width="8.28515625" style="415" customWidth="1"/>
    <col min="14598" max="14598" width="7.7109375" style="415" customWidth="1"/>
    <col min="14599" max="14599" width="9.7109375" style="415" customWidth="1"/>
    <col min="14600" max="14600" width="7.28515625" style="415" customWidth="1"/>
    <col min="14601" max="14601" width="7.5703125" style="415" customWidth="1"/>
    <col min="14602" max="14602" width="7.7109375" style="415" customWidth="1"/>
    <col min="14603" max="14603" width="7" style="415" customWidth="1"/>
    <col min="14604" max="14604" width="7.7109375" style="415" customWidth="1"/>
    <col min="14605" max="14605" width="7" style="415" customWidth="1"/>
    <col min="14606" max="14848" width="11.5703125" style="415"/>
    <col min="14849" max="14849" width="11.42578125" style="415" customWidth="1"/>
    <col min="14850" max="14850" width="6.140625" style="415" customWidth="1"/>
    <col min="14851" max="14851" width="21.7109375" style="415" customWidth="1"/>
    <col min="14852" max="14852" width="9.28515625" style="415" customWidth="1"/>
    <col min="14853" max="14853" width="8.28515625" style="415" customWidth="1"/>
    <col min="14854" max="14854" width="7.7109375" style="415" customWidth="1"/>
    <col min="14855" max="14855" width="9.7109375" style="415" customWidth="1"/>
    <col min="14856" max="14856" width="7.28515625" style="415" customWidth="1"/>
    <col min="14857" max="14857" width="7.5703125" style="415" customWidth="1"/>
    <col min="14858" max="14858" width="7.7109375" style="415" customWidth="1"/>
    <col min="14859" max="14859" width="7" style="415" customWidth="1"/>
    <col min="14860" max="14860" width="7.7109375" style="415" customWidth="1"/>
    <col min="14861" max="14861" width="7" style="415" customWidth="1"/>
    <col min="14862" max="15104" width="11.5703125" style="415"/>
    <col min="15105" max="15105" width="11.42578125" style="415" customWidth="1"/>
    <col min="15106" max="15106" width="6.140625" style="415" customWidth="1"/>
    <col min="15107" max="15107" width="21.7109375" style="415" customWidth="1"/>
    <col min="15108" max="15108" width="9.28515625" style="415" customWidth="1"/>
    <col min="15109" max="15109" width="8.28515625" style="415" customWidth="1"/>
    <col min="15110" max="15110" width="7.7109375" style="415" customWidth="1"/>
    <col min="15111" max="15111" width="9.7109375" style="415" customWidth="1"/>
    <col min="15112" max="15112" width="7.28515625" style="415" customWidth="1"/>
    <col min="15113" max="15113" width="7.5703125" style="415" customWidth="1"/>
    <col min="15114" max="15114" width="7.7109375" style="415" customWidth="1"/>
    <col min="15115" max="15115" width="7" style="415" customWidth="1"/>
    <col min="15116" max="15116" width="7.7109375" style="415" customWidth="1"/>
    <col min="15117" max="15117" width="7" style="415" customWidth="1"/>
    <col min="15118" max="15360" width="11.5703125" style="415"/>
    <col min="15361" max="15361" width="11.42578125" style="415" customWidth="1"/>
    <col min="15362" max="15362" width="6.140625" style="415" customWidth="1"/>
    <col min="15363" max="15363" width="21.7109375" style="415" customWidth="1"/>
    <col min="15364" max="15364" width="9.28515625" style="415" customWidth="1"/>
    <col min="15365" max="15365" width="8.28515625" style="415" customWidth="1"/>
    <col min="15366" max="15366" width="7.7109375" style="415" customWidth="1"/>
    <col min="15367" max="15367" width="9.7109375" style="415" customWidth="1"/>
    <col min="15368" max="15368" width="7.28515625" style="415" customWidth="1"/>
    <col min="15369" max="15369" width="7.5703125" style="415" customWidth="1"/>
    <col min="15370" max="15370" width="7.7109375" style="415" customWidth="1"/>
    <col min="15371" max="15371" width="7" style="415" customWidth="1"/>
    <col min="15372" max="15372" width="7.7109375" style="415" customWidth="1"/>
    <col min="15373" max="15373" width="7" style="415" customWidth="1"/>
    <col min="15374" max="15616" width="11.5703125" style="415"/>
    <col min="15617" max="15617" width="11.42578125" style="415" customWidth="1"/>
    <col min="15618" max="15618" width="6.140625" style="415" customWidth="1"/>
    <col min="15619" max="15619" width="21.7109375" style="415" customWidth="1"/>
    <col min="15620" max="15620" width="9.28515625" style="415" customWidth="1"/>
    <col min="15621" max="15621" width="8.28515625" style="415" customWidth="1"/>
    <col min="15622" max="15622" width="7.7109375" style="415" customWidth="1"/>
    <col min="15623" max="15623" width="9.7109375" style="415" customWidth="1"/>
    <col min="15624" max="15624" width="7.28515625" style="415" customWidth="1"/>
    <col min="15625" max="15625" width="7.5703125" style="415" customWidth="1"/>
    <col min="15626" max="15626" width="7.7109375" style="415" customWidth="1"/>
    <col min="15627" max="15627" width="7" style="415" customWidth="1"/>
    <col min="15628" max="15628" width="7.7109375" style="415" customWidth="1"/>
    <col min="15629" max="15629" width="7" style="415" customWidth="1"/>
    <col min="15630" max="15872" width="11.5703125" style="415"/>
    <col min="15873" max="15873" width="11.42578125" style="415" customWidth="1"/>
    <col min="15874" max="15874" width="6.140625" style="415" customWidth="1"/>
    <col min="15875" max="15875" width="21.7109375" style="415" customWidth="1"/>
    <col min="15876" max="15876" width="9.28515625" style="415" customWidth="1"/>
    <col min="15877" max="15877" width="8.28515625" style="415" customWidth="1"/>
    <col min="15878" max="15878" width="7.7109375" style="415" customWidth="1"/>
    <col min="15879" max="15879" width="9.7109375" style="415" customWidth="1"/>
    <col min="15880" max="15880" width="7.28515625" style="415" customWidth="1"/>
    <col min="15881" max="15881" width="7.5703125" style="415" customWidth="1"/>
    <col min="15882" max="15882" width="7.7109375" style="415" customWidth="1"/>
    <col min="15883" max="15883" width="7" style="415" customWidth="1"/>
    <col min="15884" max="15884" width="7.7109375" style="415" customWidth="1"/>
    <col min="15885" max="15885" width="7" style="415" customWidth="1"/>
    <col min="15886" max="16128" width="11.5703125" style="415"/>
    <col min="16129" max="16129" width="11.42578125" style="415" customWidth="1"/>
    <col min="16130" max="16130" width="6.140625" style="415" customWidth="1"/>
    <col min="16131" max="16131" width="21.7109375" style="415" customWidth="1"/>
    <col min="16132" max="16132" width="9.28515625" style="415" customWidth="1"/>
    <col min="16133" max="16133" width="8.28515625" style="415" customWidth="1"/>
    <col min="16134" max="16134" width="7.7109375" style="415" customWidth="1"/>
    <col min="16135" max="16135" width="9.7109375" style="415" customWidth="1"/>
    <col min="16136" max="16136" width="7.28515625" style="415" customWidth="1"/>
    <col min="16137" max="16137" width="7.5703125" style="415" customWidth="1"/>
    <col min="16138" max="16138" width="7.7109375" style="415" customWidth="1"/>
    <col min="16139" max="16139" width="7" style="415" customWidth="1"/>
    <col min="16140" max="16140" width="7.7109375" style="415" customWidth="1"/>
    <col min="16141" max="16141" width="7" style="415" customWidth="1"/>
    <col min="16142" max="16384" width="11.5703125" style="415"/>
  </cols>
  <sheetData>
    <row r="1" spans="1:15" ht="26.25" customHeight="1" x14ac:dyDescent="0.4">
      <c r="A1" s="448" t="s">
        <v>534</v>
      </c>
      <c r="B1" s="449"/>
      <c r="C1" s="450"/>
      <c r="F1" s="451" t="s">
        <v>548</v>
      </c>
      <c r="G1" s="452"/>
      <c r="H1" s="452"/>
      <c r="I1" s="452"/>
      <c r="J1" s="452"/>
      <c r="K1" s="452"/>
      <c r="L1" s="453"/>
    </row>
    <row r="2" spans="1:15" ht="21" customHeight="1" x14ac:dyDescent="0.35">
      <c r="A2" s="444" t="s">
        <v>536</v>
      </c>
      <c r="B2" s="445"/>
      <c r="C2" s="416" t="s">
        <v>537</v>
      </c>
      <c r="F2" s="444" t="s">
        <v>536</v>
      </c>
      <c r="G2" s="445"/>
      <c r="H2" s="446" t="s">
        <v>549</v>
      </c>
      <c r="I2" s="446"/>
      <c r="J2" s="446"/>
      <c r="K2" s="446"/>
      <c r="L2" s="447"/>
    </row>
    <row r="3" spans="1:15" ht="21.75" customHeight="1" x14ac:dyDescent="0.35">
      <c r="A3" s="444" t="s">
        <v>538</v>
      </c>
      <c r="B3" s="445"/>
      <c r="C3" s="416" t="s">
        <v>539</v>
      </c>
      <c r="F3" s="444" t="s">
        <v>538</v>
      </c>
      <c r="G3" s="445"/>
      <c r="H3" s="446" t="s">
        <v>550</v>
      </c>
      <c r="I3" s="446"/>
      <c r="J3" s="446"/>
      <c r="K3" s="446"/>
      <c r="L3" s="447"/>
    </row>
    <row r="4" spans="1:15" ht="21.75" thickBot="1" x14ac:dyDescent="0.4">
      <c r="A4" s="454" t="s">
        <v>540</v>
      </c>
      <c r="B4" s="455"/>
      <c r="C4" s="417" t="s">
        <v>541</v>
      </c>
      <c r="F4" s="454" t="s">
        <v>540</v>
      </c>
      <c r="G4" s="455"/>
      <c r="H4" s="456" t="s">
        <v>551</v>
      </c>
      <c r="I4" s="456"/>
      <c r="J4" s="456"/>
      <c r="K4" s="456"/>
      <c r="L4" s="457"/>
    </row>
    <row r="5" spans="1:15" ht="7.5" customHeight="1" thickBot="1" x14ac:dyDescent="0.4">
      <c r="A5" s="418"/>
      <c r="C5" s="418"/>
    </row>
    <row r="6" spans="1:15" ht="35.450000000000003" customHeight="1" thickBot="1" x14ac:dyDescent="0.25">
      <c r="A6" s="458" t="s">
        <v>535</v>
      </c>
      <c r="B6" s="459"/>
      <c r="C6" s="460"/>
      <c r="F6" s="461" t="s">
        <v>542</v>
      </c>
      <c r="G6" s="462"/>
      <c r="H6" s="463"/>
      <c r="I6" s="464">
        <f ca="1">+TODAY()</f>
        <v>46099</v>
      </c>
      <c r="J6" s="465"/>
      <c r="K6" s="465"/>
      <c r="L6" s="465"/>
      <c r="M6" s="466"/>
    </row>
    <row r="7" spans="1:15" ht="3" customHeight="1" thickBot="1" x14ac:dyDescent="0.25"/>
    <row r="8" spans="1:15" ht="42.75" customHeight="1" thickBot="1" x14ac:dyDescent="0.25">
      <c r="A8" s="473" t="s">
        <v>543</v>
      </c>
      <c r="B8" s="474"/>
      <c r="C8" s="441" t="s">
        <v>573</v>
      </c>
      <c r="D8" s="420" t="s">
        <v>544</v>
      </c>
      <c r="E8" s="421">
        <v>3085</v>
      </c>
      <c r="F8" s="473" t="s">
        <v>545</v>
      </c>
      <c r="G8" s="475"/>
      <c r="H8" s="474"/>
      <c r="I8" s="476" t="s">
        <v>539</v>
      </c>
      <c r="J8" s="477"/>
      <c r="K8" s="477"/>
      <c r="L8" s="477"/>
      <c r="M8" s="478"/>
    </row>
    <row r="9" spans="1:15" ht="7.5" customHeight="1" thickBot="1" x14ac:dyDescent="0.4">
      <c r="A9" s="418"/>
      <c r="C9" s="418"/>
    </row>
    <row r="10" spans="1:15" ht="39.6" customHeight="1" thickBot="1" x14ac:dyDescent="0.25">
      <c r="A10" s="479" t="s">
        <v>552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1"/>
    </row>
    <row r="11" spans="1:15" ht="6" customHeight="1" thickBot="1" x14ac:dyDescent="0.4">
      <c r="A11" s="418"/>
      <c r="C11" s="418"/>
    </row>
    <row r="12" spans="1:15" ht="27" thickBot="1" x14ac:dyDescent="0.25">
      <c r="A12" s="482" t="s">
        <v>553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</row>
    <row r="13" spans="1:15" ht="38.25" thickBot="1" x14ac:dyDescent="0.25">
      <c r="A13" s="422" t="s">
        <v>311</v>
      </c>
      <c r="B13" s="423" t="s">
        <v>533</v>
      </c>
      <c r="C13" s="424" t="s">
        <v>554</v>
      </c>
      <c r="D13" s="425" t="s">
        <v>555</v>
      </c>
      <c r="E13" s="426" t="s">
        <v>285</v>
      </c>
      <c r="F13" s="426" t="s">
        <v>556</v>
      </c>
      <c r="G13" s="423" t="s">
        <v>557</v>
      </c>
      <c r="H13" s="423" t="s">
        <v>558</v>
      </c>
      <c r="I13" s="423" t="s">
        <v>559</v>
      </c>
      <c r="J13" s="423" t="s">
        <v>558</v>
      </c>
      <c r="K13" s="423" t="s">
        <v>559</v>
      </c>
      <c r="L13" s="423" t="s">
        <v>558</v>
      </c>
      <c r="M13" s="423" t="s">
        <v>559</v>
      </c>
    </row>
    <row r="14" spans="1:15" ht="33.6" customHeight="1" x14ac:dyDescent="0.2">
      <c r="A14" s="467" t="str" cm="1">
        <f t="array" ref="A14">+IFERROR(INDEX('Conteo 18-02-26'!$B:$B,MATCH(1,('Conteo 18-02-26'!$E:$E=$B14)*('Conteo 18-02-26'!$A:$A="Roosvelt"),0)),"")</f>
        <v/>
      </c>
      <c r="B14" s="469">
        <v>1</v>
      </c>
      <c r="C14" s="471" t="str" cm="1">
        <f t="array" ref="C14">+IFERROR(INDEX('Conteo 18-02-26'!$C:$C,MATCH(1,('Conteo 18-02-26'!$E:$E=$B14)*('Conteo 18-02-26'!$A:$A="Roosvelt"),0)),"")</f>
        <v/>
      </c>
      <c r="D14" s="471" t="str" cm="1">
        <f t="array" ref="D14">+IFERROR(INDEX('Conteo 18-02-26'!$D:$D,MATCH(1,('Conteo 18-02-26'!$E:$E=$B14)*('Conteo 18-02-26'!A:A:'Conteo 18-02-26'!$A:$A="Roosvelt"),0)),"")</f>
        <v/>
      </c>
      <c r="E14" s="427" t="str">
        <f>+IF(E13="LK","CH",IF(D14="","",IF(D14&gt;0,"LK","CH")))</f>
        <v/>
      </c>
      <c r="F14" s="427" t="str">
        <f>+IF(OR(E14="LK"),ROUNDUP(D14*(VLOOKUP(B14,'Conteo 18-02-26'!$E:$AN,35,0))/100,0),IF(E14="CH",D13-F13,""))</f>
        <v/>
      </c>
      <c r="G14" s="469"/>
      <c r="H14" s="428"/>
      <c r="I14" s="429"/>
      <c r="J14" s="428"/>
      <c r="K14" s="429"/>
      <c r="L14" s="428"/>
      <c r="M14" s="430"/>
      <c r="O14" s="431"/>
    </row>
    <row r="15" spans="1:15" ht="33.6" customHeight="1" x14ac:dyDescent="0.2">
      <c r="A15" s="468"/>
      <c r="B15" s="470"/>
      <c r="C15" s="472"/>
      <c r="D15" s="472"/>
      <c r="E15" s="427" t="str">
        <f t="shared" ref="E15:E43" si="0">+IF(E14="LK","CH",IF(D15="","",IF(D15&gt;0,"LK","CH")))</f>
        <v/>
      </c>
      <c r="F15" s="432" t="str">
        <f>+IF(OR(E15="LK"),ROUNDUP(D15*(VLOOKUP(B15,'Conteo 18-02-26'!$E:$AN,35,0))/100,0),IF(E15="CH",D14-F14,""))</f>
        <v/>
      </c>
      <c r="G15" s="470"/>
      <c r="H15" s="433"/>
      <c r="I15" s="434"/>
      <c r="J15" s="433"/>
      <c r="K15" s="434"/>
      <c r="L15" s="433"/>
      <c r="M15" s="435"/>
    </row>
    <row r="16" spans="1:15" ht="33.6" customHeight="1" x14ac:dyDescent="0.2">
      <c r="A16" s="485" t="str" cm="1">
        <f t="array" ref="A16">+IFERROR(INDEX('Conteo 18-02-26'!$B:$B,MATCH(1,('Conteo 18-02-26'!$E:$E=$B16)*('Conteo 18-02-26'!$A:$A="Roosvelt"),0)),"")</f>
        <v/>
      </c>
      <c r="B16" s="470">
        <f>+B14+1</f>
        <v>2</v>
      </c>
      <c r="C16" s="472" t="str" cm="1">
        <f t="array" ref="C16">+IFERROR(INDEX('Conteo 18-02-26'!$C:$C,MATCH(1,('Conteo 18-02-26'!$E:$E=$B16)*('Conteo 18-02-26'!$A:$A="Roosvelt"),0)),"")</f>
        <v/>
      </c>
      <c r="D16" s="470" t="str" cm="1">
        <f t="array" ref="D16">+IFERROR(INDEX('Conteo 18-02-26'!$D:$D,MATCH(1,('Conteo 18-02-26'!$E:$E=$B16)*('Conteo 18-02-26'!A:A:'Conteo 18-02-26'!$A:$A="Roosvelt"),0)),"")</f>
        <v/>
      </c>
      <c r="E16" s="427" t="str">
        <f t="shared" si="0"/>
        <v/>
      </c>
      <c r="F16" s="432" t="str">
        <f>+IF(OR(E16="LK"),ROUNDUP(D16*(VLOOKUP(B16,'Conteo 18-02-26'!$E:$AN,35,0))/100,0),IF(E16="CH",D15-F15,""))</f>
        <v/>
      </c>
      <c r="G16" s="470"/>
      <c r="H16" s="434"/>
      <c r="I16" s="434"/>
      <c r="J16" s="434"/>
      <c r="K16" s="434"/>
      <c r="L16" s="434"/>
      <c r="M16" s="435"/>
    </row>
    <row r="17" spans="1:13" ht="33.6" customHeight="1" x14ac:dyDescent="0.2">
      <c r="A17" s="485"/>
      <c r="B17" s="470"/>
      <c r="C17" s="472"/>
      <c r="D17" s="470"/>
      <c r="E17" s="427" t="str">
        <f t="shared" si="0"/>
        <v/>
      </c>
      <c r="F17" s="432" t="str">
        <f>+IF(OR(E17="LK"),ROUNDUP(D17*(VLOOKUP(B17,'Conteo 18-02-26'!$E:$AN,35,0))/100,0),IF(E17="CH",D16-F16,""))</f>
        <v/>
      </c>
      <c r="G17" s="470"/>
      <c r="H17" s="434"/>
      <c r="I17" s="434"/>
      <c r="J17" s="434"/>
      <c r="K17" s="434"/>
      <c r="L17" s="434"/>
      <c r="M17" s="435"/>
    </row>
    <row r="18" spans="1:13" ht="33.6" customHeight="1" x14ac:dyDescent="0.2">
      <c r="A18" s="485" t="str" cm="1">
        <f t="array" ref="A18">+IFERROR(INDEX('Conteo 18-02-26'!$B:$B,MATCH(1,('Conteo 18-02-26'!$E:$E=$B18)*('Conteo 18-02-26'!$A:$A="Roosvelt"),0)),"")</f>
        <v/>
      </c>
      <c r="B18" s="470">
        <f>+B16+1</f>
        <v>3</v>
      </c>
      <c r="C18" s="472" t="str" cm="1">
        <f t="array" ref="C18">+IFERROR(INDEX('Conteo 18-02-26'!$C:$C,MATCH(1,('Conteo 18-02-26'!$E:$E=$B18)*('Conteo 18-02-26'!$A:$A="Roosvelt"),0)),"")</f>
        <v/>
      </c>
      <c r="D18" s="470" t="str" cm="1">
        <f t="array" ref="D18">+IFERROR(INDEX('Conteo 18-02-26'!$D:$D,MATCH(1,('Conteo 18-02-26'!$E:$E=$B18)*('Conteo 18-02-26'!A:A:'Conteo 18-02-26'!$A:$A="Roosvelt"),0)),"")</f>
        <v/>
      </c>
      <c r="E18" s="427" t="str">
        <f t="shared" si="0"/>
        <v/>
      </c>
      <c r="F18" s="432" t="str">
        <f>+IF(OR(E18="LK"),ROUNDUP(D18*(VLOOKUP(B18,'Conteo 18-02-26'!$E:$AN,35,0))/100,0),IF(E18="CH",D17-F17,""))</f>
        <v/>
      </c>
      <c r="G18" s="470"/>
      <c r="H18" s="434"/>
      <c r="I18" s="434"/>
      <c r="J18" s="434"/>
      <c r="K18" s="434"/>
      <c r="L18" s="434"/>
      <c r="M18" s="435"/>
    </row>
    <row r="19" spans="1:13" ht="33.6" customHeight="1" x14ac:dyDescent="0.2">
      <c r="A19" s="485"/>
      <c r="B19" s="470"/>
      <c r="C19" s="472"/>
      <c r="D19" s="470"/>
      <c r="E19" s="427" t="str">
        <f t="shared" si="0"/>
        <v/>
      </c>
      <c r="F19" s="432" t="str">
        <f>+IF(OR(E19="LK"),ROUNDUP(D19*(VLOOKUP(B19,'Conteo 18-02-26'!$E:$AN,35,0))/100,0),IF(E19="CH",D18-F18,""))</f>
        <v/>
      </c>
      <c r="G19" s="470"/>
      <c r="H19" s="434"/>
      <c r="I19" s="434"/>
      <c r="J19" s="434"/>
      <c r="K19" s="434"/>
      <c r="L19" s="434"/>
      <c r="M19" s="435"/>
    </row>
    <row r="20" spans="1:13" ht="33.6" customHeight="1" x14ac:dyDescent="0.2">
      <c r="A20" s="485" t="str" cm="1">
        <f t="array" ref="A20">+IFERROR(INDEX('Conteo 18-02-26'!$B:$B,MATCH(1,('Conteo 18-02-26'!$E:$E=$B20)*('Conteo 18-02-26'!$A:$A="Roosvelt"),0)),"")</f>
        <v/>
      </c>
      <c r="B20" s="470">
        <f>+B18+1</f>
        <v>4</v>
      </c>
      <c r="C20" s="472" t="str" cm="1">
        <f t="array" ref="C20">+IFERROR(INDEX('Conteo 18-02-26'!$C:$C,MATCH(1,('Conteo 18-02-26'!$E:$E=$B20)*('Conteo 18-02-26'!$A:$A="Roosvelt"),0)),"")</f>
        <v/>
      </c>
      <c r="D20" s="470" t="str" cm="1">
        <f t="array" ref="D20">+IFERROR(INDEX('Conteo 18-02-26'!$D:$D,MATCH(1,('Conteo 18-02-26'!$E:$E=$B20)*('Conteo 18-02-26'!A:A:'Conteo 18-02-26'!$A:$A="Roosvelt"),0)),"")</f>
        <v/>
      </c>
      <c r="E20" s="427" t="str">
        <f t="shared" si="0"/>
        <v/>
      </c>
      <c r="F20" s="432" t="str">
        <f>+IF(OR(E20="LK"),ROUNDUP(D20*(VLOOKUP(B20,'Conteo 18-02-26'!$E:$AN,35,0))/100,0),IF(E20="CH",D19-F19,""))</f>
        <v/>
      </c>
      <c r="G20" s="470"/>
      <c r="H20" s="434"/>
      <c r="I20" s="434"/>
      <c r="J20" s="434"/>
      <c r="K20" s="434"/>
      <c r="L20" s="434"/>
      <c r="M20" s="435"/>
    </row>
    <row r="21" spans="1:13" ht="33.6" customHeight="1" x14ac:dyDescent="0.2">
      <c r="A21" s="485"/>
      <c r="B21" s="470"/>
      <c r="C21" s="472"/>
      <c r="D21" s="470"/>
      <c r="E21" s="427" t="str">
        <f t="shared" si="0"/>
        <v/>
      </c>
      <c r="F21" s="432" t="str">
        <f>+IF(OR(E21="LK"),ROUNDUP(D21*(VLOOKUP(B21,'Conteo 18-02-26'!$E:$AN,35,0))/100,0),IF(E21="CH",D20-F20,""))</f>
        <v/>
      </c>
      <c r="G21" s="470"/>
      <c r="H21" s="434"/>
      <c r="I21" s="434"/>
      <c r="J21" s="434"/>
      <c r="K21" s="434"/>
      <c r="L21" s="434"/>
      <c r="M21" s="435"/>
    </row>
    <row r="22" spans="1:13" ht="33.6" customHeight="1" x14ac:dyDescent="0.2">
      <c r="A22" s="485" t="str" cm="1">
        <f t="array" ref="A22">+IFERROR(INDEX('Conteo 18-02-26'!$B:$B,MATCH(1,('Conteo 18-02-26'!$E:$E=$B22)*('Conteo 18-02-26'!$A:$A="Roosvelt"),0)),"")</f>
        <v/>
      </c>
      <c r="B22" s="470">
        <f>+B20+1</f>
        <v>5</v>
      </c>
      <c r="C22" s="472" t="str" cm="1">
        <f t="array" ref="C22">+IFERROR(INDEX('Conteo 18-02-26'!$C:$C,MATCH(1,('Conteo 18-02-26'!$E:$E=$B22)*('Conteo 18-02-26'!$A:$A="Roosvelt"),0)),"")</f>
        <v/>
      </c>
      <c r="D22" s="470" t="str" cm="1">
        <f t="array" ref="D22">+IFERROR(INDEX('Conteo 18-02-26'!$D:$D,MATCH(1,('Conteo 18-02-26'!$E:$E=$B22)*('Conteo 18-02-26'!A:A:'Conteo 18-02-26'!$A:$A="Roosvelt"),0)),"")</f>
        <v/>
      </c>
      <c r="E22" s="427" t="str">
        <f t="shared" si="0"/>
        <v/>
      </c>
      <c r="F22" s="432" t="str">
        <f>+IF(OR(E22="LK"),ROUNDUP(D22*(VLOOKUP(B22,'Conteo 18-02-26'!$E:$AN,35,0))/100,0),IF(E22="CH",D21-F21,""))</f>
        <v/>
      </c>
      <c r="G22" s="470"/>
      <c r="H22" s="434"/>
      <c r="I22" s="434"/>
      <c r="J22" s="434"/>
      <c r="K22" s="434"/>
      <c r="L22" s="434"/>
      <c r="M22" s="435"/>
    </row>
    <row r="23" spans="1:13" ht="33.6" customHeight="1" x14ac:dyDescent="0.2">
      <c r="A23" s="485"/>
      <c r="B23" s="470"/>
      <c r="C23" s="472"/>
      <c r="D23" s="470"/>
      <c r="E23" s="427" t="str">
        <f t="shared" si="0"/>
        <v/>
      </c>
      <c r="F23" s="432" t="str">
        <f>+IF(OR(E23="LK"),ROUNDUP(D23*(VLOOKUP(B23,'Conteo 18-02-26'!$E:$AN,35,0))/100,0),IF(E23="CH",D22-F22,""))</f>
        <v/>
      </c>
      <c r="G23" s="470"/>
      <c r="H23" s="434"/>
      <c r="I23" s="434"/>
      <c r="J23" s="434"/>
      <c r="K23" s="434"/>
      <c r="L23" s="434"/>
      <c r="M23" s="435"/>
    </row>
    <row r="24" spans="1:13" ht="33.6" customHeight="1" x14ac:dyDescent="0.2">
      <c r="A24" s="485" t="str" cm="1">
        <f t="array" ref="A24">+IFERROR(INDEX('Conteo 18-02-26'!$B:$B,MATCH(1,('Conteo 18-02-26'!$E:$E=$B24)*('Conteo 18-02-26'!$A:$A="Roosvelt"),0)),"")</f>
        <v/>
      </c>
      <c r="B24" s="470">
        <f>+B22+1</f>
        <v>6</v>
      </c>
      <c r="C24" s="472" t="str" cm="1">
        <f t="array" ref="C24">+IFERROR(INDEX('Conteo 18-02-26'!$C:$C,MATCH(1,('Conteo 18-02-26'!$E:$E=$B24)*('Conteo 18-02-26'!$A:$A="Roosvelt"),0)),"")</f>
        <v/>
      </c>
      <c r="D24" s="470" t="str" cm="1">
        <f t="array" ref="D24">+IFERROR(INDEX('Conteo 18-02-26'!$D:$D,MATCH(1,('Conteo 18-02-26'!$E:$E=$B24)*('Conteo 18-02-26'!A:A:'Conteo 18-02-26'!$A:$A="Roosvelt"),0)),"")</f>
        <v/>
      </c>
      <c r="E24" s="427" t="str">
        <f t="shared" si="0"/>
        <v/>
      </c>
      <c r="F24" s="432" t="str">
        <f>+IF(OR(E24="LK"),ROUNDUP(D24*(VLOOKUP(B24,'Conteo 18-02-26'!$E:$AN,35,0))/100,0),IF(E24="CH",D23-F23,""))</f>
        <v/>
      </c>
      <c r="G24" s="470"/>
      <c r="H24" s="434"/>
      <c r="I24" s="434"/>
      <c r="J24" s="434"/>
      <c r="K24" s="434"/>
      <c r="L24" s="434"/>
      <c r="M24" s="435"/>
    </row>
    <row r="25" spans="1:13" ht="33.6" customHeight="1" x14ac:dyDescent="0.2">
      <c r="A25" s="485"/>
      <c r="B25" s="470"/>
      <c r="C25" s="472"/>
      <c r="D25" s="470"/>
      <c r="E25" s="427" t="str">
        <f t="shared" si="0"/>
        <v/>
      </c>
      <c r="F25" s="432" t="str">
        <f>+IF(OR(E25="LK"),ROUNDUP(D25*(VLOOKUP(B25,'Conteo 18-02-26'!$E:$AN,35,0))/100,0),IF(E25="CH",D24-F24,""))</f>
        <v/>
      </c>
      <c r="G25" s="470"/>
      <c r="H25" s="434"/>
      <c r="I25" s="434"/>
      <c r="J25" s="434"/>
      <c r="K25" s="434"/>
      <c r="L25" s="434"/>
      <c r="M25" s="435"/>
    </row>
    <row r="26" spans="1:13" ht="33.6" customHeight="1" x14ac:dyDescent="0.2">
      <c r="A26" s="485" t="str" cm="1">
        <f t="array" ref="A26">+IFERROR(INDEX('Conteo 18-02-26'!$B:$B,MATCH(1,('Conteo 18-02-26'!$E:$E=$B26)*('Conteo 18-02-26'!$A:$A="Roosvelt"),0)),"")</f>
        <v/>
      </c>
      <c r="B26" s="470">
        <f>+B24+1</f>
        <v>7</v>
      </c>
      <c r="C26" s="472" t="str" cm="1">
        <f t="array" ref="C26">+IFERROR(INDEX('Conteo 18-02-26'!$C:$C,MATCH(1,('Conteo 18-02-26'!$E:$E=$B26)*('Conteo 18-02-26'!$A:$A="Roosvelt"),0)),"")</f>
        <v/>
      </c>
      <c r="D26" s="470" t="str" cm="1">
        <f t="array" ref="D26">+IFERROR(INDEX('Conteo 18-02-26'!$D:$D,MATCH(1,('Conteo 18-02-26'!$E:$E=$B26)*('Conteo 18-02-26'!A:A:'Conteo 18-02-26'!$A:$A="Roosvelt"),0)),"")</f>
        <v/>
      </c>
      <c r="E26" s="427" t="str">
        <f t="shared" si="0"/>
        <v/>
      </c>
      <c r="F26" s="432" t="str">
        <f>+IF(OR(E26="LK"),ROUNDUP(D26*(VLOOKUP(B26,'Conteo 18-02-26'!$E:$AN,35,0))/100,0),IF(E26="CH",D25-F25,""))</f>
        <v/>
      </c>
      <c r="G26" s="470"/>
      <c r="H26" s="434"/>
      <c r="I26" s="434"/>
      <c r="J26" s="434"/>
      <c r="K26" s="434"/>
      <c r="L26" s="434"/>
      <c r="M26" s="435"/>
    </row>
    <row r="27" spans="1:13" ht="33.6" customHeight="1" x14ac:dyDescent="0.2">
      <c r="A27" s="485"/>
      <c r="B27" s="470"/>
      <c r="C27" s="472"/>
      <c r="D27" s="470"/>
      <c r="E27" s="427" t="str">
        <f t="shared" si="0"/>
        <v/>
      </c>
      <c r="F27" s="432" t="str">
        <f>+IF(OR(E27="LK"),ROUNDUP(D27*(VLOOKUP(B27,'Conteo 18-02-26'!$E:$AN,35,0))/100,0),IF(E27="CH",D26-F26,""))</f>
        <v/>
      </c>
      <c r="G27" s="470"/>
      <c r="H27" s="434"/>
      <c r="I27" s="434"/>
      <c r="J27" s="434"/>
      <c r="K27" s="434"/>
      <c r="L27" s="434"/>
      <c r="M27" s="435"/>
    </row>
    <row r="28" spans="1:13" ht="33.6" customHeight="1" x14ac:dyDescent="0.2">
      <c r="A28" s="485" t="str" cm="1">
        <f t="array" ref="A28">+IFERROR(INDEX('Conteo 18-02-26'!$B:$B,MATCH(1,('Conteo 18-02-26'!$E:$E=$B28)*('Conteo 18-02-26'!$A:$A="Roosvelt"),0)),"")</f>
        <v/>
      </c>
      <c r="B28" s="470">
        <f>+B26+1</f>
        <v>8</v>
      </c>
      <c r="C28" s="472" t="str" cm="1">
        <f t="array" ref="C28">+IFERROR(INDEX('Conteo 18-02-26'!$C:$C,MATCH(1,('Conteo 18-02-26'!$E:$E=$B28)*('Conteo 18-02-26'!$A:$A="Roosvelt"),0)),"")</f>
        <v/>
      </c>
      <c r="D28" s="470" t="str" cm="1">
        <f t="array" ref="D28">+IFERROR(INDEX('Conteo 18-02-26'!$D:$D,MATCH(1,('Conteo 18-02-26'!$E:$E=$B28)*('Conteo 18-02-26'!A:A:'Conteo 18-02-26'!$A:$A="Roosvelt"),0)),"")</f>
        <v/>
      </c>
      <c r="E28" s="427" t="str">
        <f t="shared" si="0"/>
        <v/>
      </c>
      <c r="F28" s="432" t="str">
        <f>+IF(OR(E28="LK"),ROUNDUP(D28*(VLOOKUP(B28,'Conteo 18-02-26'!$E:$AN,35,0))/100,0),IF(E28="CH",D27-F27,""))</f>
        <v/>
      </c>
      <c r="G28" s="470"/>
      <c r="H28" s="434"/>
      <c r="I28" s="434"/>
      <c r="J28" s="434"/>
      <c r="K28" s="434"/>
      <c r="L28" s="434"/>
      <c r="M28" s="435"/>
    </row>
    <row r="29" spans="1:13" ht="33.6" customHeight="1" x14ac:dyDescent="0.2">
      <c r="A29" s="485"/>
      <c r="B29" s="470"/>
      <c r="C29" s="472"/>
      <c r="D29" s="470"/>
      <c r="E29" s="427" t="str">
        <f t="shared" si="0"/>
        <v/>
      </c>
      <c r="F29" s="432" t="str">
        <f>+IF(OR(E29="LK"),ROUNDUP(D29*(VLOOKUP(B29,'Conteo 18-02-26'!$E:$AN,35,0))/100,0),IF(E29="CH",D28-F28,""))</f>
        <v/>
      </c>
      <c r="G29" s="470"/>
      <c r="H29" s="434"/>
      <c r="I29" s="434"/>
      <c r="J29" s="434"/>
      <c r="K29" s="434"/>
      <c r="L29" s="434"/>
      <c r="M29" s="435"/>
    </row>
    <row r="30" spans="1:13" ht="33.6" customHeight="1" x14ac:dyDescent="0.2">
      <c r="A30" s="485" t="str" cm="1">
        <f t="array" ref="A30">+IFERROR(INDEX('Conteo 18-02-26'!$B:$B,MATCH(1,('Conteo 18-02-26'!$E:$E=$B30)*('Conteo 18-02-26'!$A:$A="Roosvelt"),0)),"")</f>
        <v/>
      </c>
      <c r="B30" s="470">
        <f>+B28+1</f>
        <v>9</v>
      </c>
      <c r="C30" s="472" t="str" cm="1">
        <f t="array" ref="C30">+IFERROR(INDEX('Conteo 18-02-26'!$C:$C,MATCH(1,('Conteo 18-02-26'!$E:$E=$B30)*('Conteo 18-02-26'!$A:$A="Roosvelt"),0)),"")</f>
        <v/>
      </c>
      <c r="D30" s="470" t="str" cm="1">
        <f t="array" ref="D30">+IFERROR(INDEX('Conteo 18-02-26'!$D:$D,MATCH(1,('Conteo 18-02-26'!$E:$E=$B30)*('Conteo 18-02-26'!A:A:'Conteo 18-02-26'!$A:$A="Roosvelt"),0)),"")</f>
        <v/>
      </c>
      <c r="E30" s="427" t="str">
        <f t="shared" si="0"/>
        <v/>
      </c>
      <c r="F30" s="432" t="str">
        <f>+IF(OR(E30="LK"),ROUNDUP(D30*(VLOOKUP(B30,'Conteo 18-02-26'!$E:$AN,35,0))/100,0),IF(E30="CH",D29-F29,""))</f>
        <v/>
      </c>
      <c r="G30" s="470"/>
      <c r="H30" s="434"/>
      <c r="I30" s="434"/>
      <c r="J30" s="434"/>
      <c r="K30" s="434"/>
      <c r="L30" s="434"/>
      <c r="M30" s="435"/>
    </row>
    <row r="31" spans="1:13" ht="33.6" customHeight="1" x14ac:dyDescent="0.2">
      <c r="A31" s="485"/>
      <c r="B31" s="470"/>
      <c r="C31" s="472"/>
      <c r="D31" s="470"/>
      <c r="E31" s="427" t="str">
        <f t="shared" si="0"/>
        <v/>
      </c>
      <c r="F31" s="432" t="str">
        <f>+IF(OR(E31="LK"),ROUNDUP(D31*(VLOOKUP(B31,'Conteo 18-02-26'!$E:$AN,35,0))/100,0),IF(E31="CH",D30-F30,""))</f>
        <v/>
      </c>
      <c r="G31" s="470"/>
      <c r="H31" s="434"/>
      <c r="I31" s="434"/>
      <c r="J31" s="434"/>
      <c r="K31" s="434"/>
      <c r="L31" s="434"/>
      <c r="M31" s="435"/>
    </row>
    <row r="32" spans="1:13" ht="33.6" customHeight="1" x14ac:dyDescent="0.2">
      <c r="A32" s="485" t="str" cm="1">
        <f t="array" ref="A32">+IFERROR(INDEX('Conteo 18-02-26'!$B:$B,MATCH(1,('Conteo 18-02-26'!$E:$E=$B32)*('Conteo 18-02-26'!$A:$A="Roosvelt"),0)),"")</f>
        <v/>
      </c>
      <c r="B32" s="470">
        <f>+B30+1</f>
        <v>10</v>
      </c>
      <c r="C32" s="472" t="str" cm="1">
        <f t="array" ref="C32">+IFERROR(INDEX('Conteo 18-02-26'!$C:$C,MATCH(1,('Conteo 18-02-26'!$E:$E=$B32)*('Conteo 18-02-26'!$A:$A="Roosvelt"),0)),"")</f>
        <v/>
      </c>
      <c r="D32" s="470" t="str" cm="1">
        <f t="array" ref="D32">+IFERROR(INDEX('Conteo 18-02-26'!$D:$D,MATCH(1,('Conteo 18-02-26'!$E:$E=$B32)*('Conteo 18-02-26'!A:A:'Conteo 18-02-26'!$A:$A="Roosvelt"),0)),"")</f>
        <v/>
      </c>
      <c r="E32" s="427" t="str">
        <f t="shared" si="0"/>
        <v/>
      </c>
      <c r="F32" s="432" t="str">
        <f>+IF(OR(E32="LK"),ROUNDUP(D32*(VLOOKUP(B32,'Conteo 18-02-26'!$E:$AN,35,0))/100,0),IF(E32="CH",D31-F31,""))</f>
        <v/>
      </c>
      <c r="G32" s="470"/>
      <c r="H32" s="434"/>
      <c r="I32" s="434"/>
      <c r="J32" s="434"/>
      <c r="K32" s="434"/>
      <c r="L32" s="434"/>
      <c r="M32" s="435"/>
    </row>
    <row r="33" spans="1:13" ht="33.6" customHeight="1" x14ac:dyDescent="0.2">
      <c r="A33" s="485"/>
      <c r="B33" s="470"/>
      <c r="C33" s="472"/>
      <c r="D33" s="470"/>
      <c r="E33" s="427" t="str">
        <f t="shared" si="0"/>
        <v/>
      </c>
      <c r="F33" s="432" t="str">
        <f>+IF(OR(E33="LK"),ROUNDUP(D33*(VLOOKUP(B33,'Conteo 18-02-26'!$E:$AN,35,0))/100,0),IF(E33="CH",D32-F32,""))</f>
        <v/>
      </c>
      <c r="G33" s="470"/>
      <c r="H33" s="434"/>
      <c r="I33" s="434"/>
      <c r="J33" s="434"/>
      <c r="K33" s="434"/>
      <c r="L33" s="434"/>
      <c r="M33" s="435"/>
    </row>
    <row r="34" spans="1:13" ht="33.6" customHeight="1" x14ac:dyDescent="0.2">
      <c r="A34" s="485" t="str" cm="1">
        <f t="array" ref="A34">+IFERROR(INDEX('Conteo 18-02-26'!$B:$B,MATCH(1,('Conteo 18-02-26'!$E:$E=$B34)*('Conteo 18-02-26'!$A:$A="Roosvelt"),0)),"")</f>
        <v/>
      </c>
      <c r="B34" s="470">
        <f>+B32+1</f>
        <v>11</v>
      </c>
      <c r="C34" s="472" t="str" cm="1">
        <f t="array" ref="C34">+IFERROR(INDEX('Conteo 18-02-26'!$C:$C,MATCH(1,('Conteo 18-02-26'!$E:$E=$B34)*('Conteo 18-02-26'!$A:$A="Roosvelt"),0)),"")</f>
        <v/>
      </c>
      <c r="D34" s="470" t="str" cm="1">
        <f t="array" ref="D34">+IFERROR(INDEX('Conteo 18-02-26'!$D:$D,MATCH(1,('Conteo 18-02-26'!$E:$E=$B34)*('Conteo 18-02-26'!A:A:'Conteo 18-02-26'!$A:$A="Roosvelt"),0)),"")</f>
        <v/>
      </c>
      <c r="E34" s="427" t="str">
        <f t="shared" si="0"/>
        <v/>
      </c>
      <c r="F34" s="432" t="str">
        <f>+IF(OR(E34="LK"),ROUNDUP(D34*(VLOOKUP(B34,'Conteo 18-02-26'!$E:$AN,35,0))/100,0),IF(E34="CH",D33-F33,""))</f>
        <v/>
      </c>
      <c r="G34" s="470"/>
      <c r="H34" s="434"/>
      <c r="I34" s="434"/>
      <c r="J34" s="434"/>
      <c r="K34" s="434"/>
      <c r="L34" s="434"/>
      <c r="M34" s="435"/>
    </row>
    <row r="35" spans="1:13" ht="33.6" customHeight="1" thickBot="1" x14ac:dyDescent="0.25">
      <c r="A35" s="486"/>
      <c r="B35" s="487"/>
      <c r="C35" s="488"/>
      <c r="D35" s="487"/>
      <c r="E35" s="427" t="str">
        <f t="shared" si="0"/>
        <v/>
      </c>
      <c r="F35" s="432" t="str">
        <f>+IF(OR(E35="LK"),ROUNDUP(D35*(VLOOKUP(B35,'Conteo 18-02-26'!$E:$AN,35,0))/100,0),IF(E35="CH",D34-F34,""))</f>
        <v/>
      </c>
      <c r="G35" s="487"/>
      <c r="H35" s="436"/>
      <c r="I35" s="436"/>
      <c r="J35" s="436"/>
      <c r="K35" s="436"/>
      <c r="L35" s="436"/>
      <c r="M35" s="437"/>
    </row>
    <row r="36" spans="1:13" ht="33.6" customHeight="1" x14ac:dyDescent="0.2">
      <c r="A36" s="490" t="str" cm="1">
        <f t="array" ref="A36">+IFERROR(INDEX('Conteo 18-02-26'!$B:$B,MATCH(1,('Conteo 18-02-26'!$E:$E=$B36)*('Conteo 18-02-26'!$A:$A="Roosvelt"),0)),"")</f>
        <v/>
      </c>
      <c r="B36" s="491">
        <f>+B34+1</f>
        <v>12</v>
      </c>
      <c r="C36" s="492" t="str" cm="1">
        <f t="array" ref="C36">+IFERROR(INDEX('Conteo 18-02-26'!$C:$C,MATCH(1,('Conteo 18-02-26'!$E:$E=$B36)*('Conteo 18-02-26'!$A:$A="Roosvelt"),0)),"")</f>
        <v/>
      </c>
      <c r="D36" s="491" t="str" cm="1">
        <f t="array" ref="D36">+IFERROR(INDEX('Conteo 18-02-26'!$D:$D,MATCH(1,('Conteo 18-02-26'!$E:$E=$B36)*('Conteo 18-02-26'!A:A:'Conteo 18-02-26'!$A:$A="Roosvelt"),0)),"")</f>
        <v/>
      </c>
      <c r="E36" s="427" t="str">
        <f t="shared" si="0"/>
        <v/>
      </c>
      <c r="F36" s="432" t="str">
        <f>+IF(OR(E36="LK"),ROUNDUP(D36*(VLOOKUP(B36,'Conteo 18-02-26'!$E:$AN,35,0))/100,0),IF(E36="CH",D35-F35,""))</f>
        <v/>
      </c>
      <c r="G36" s="491"/>
      <c r="H36" s="438"/>
      <c r="I36" s="438"/>
      <c r="J36" s="438"/>
      <c r="K36" s="438"/>
      <c r="L36" s="438"/>
      <c r="M36" s="438"/>
    </row>
    <row r="37" spans="1:13" ht="33.6" customHeight="1" x14ac:dyDescent="0.2">
      <c r="A37" s="489"/>
      <c r="B37" s="470"/>
      <c r="C37" s="472"/>
      <c r="D37" s="470"/>
      <c r="E37" s="427" t="str">
        <f t="shared" si="0"/>
        <v/>
      </c>
      <c r="F37" s="432" t="str">
        <f>+IF(OR(E37="LK"),ROUNDUP(D37*(VLOOKUP(B37,'Conteo 18-02-26'!$E:$AN,35,0))/100,0),IF(E37="CH",D36-F36,""))</f>
        <v/>
      </c>
      <c r="G37" s="470"/>
      <c r="H37" s="434"/>
      <c r="I37" s="434"/>
      <c r="J37" s="434"/>
      <c r="K37" s="434"/>
      <c r="L37" s="434"/>
      <c r="M37" s="434"/>
    </row>
    <row r="38" spans="1:13" ht="33.6" customHeight="1" x14ac:dyDescent="0.2">
      <c r="A38" s="489" t="str" cm="1">
        <f t="array" ref="A38">+IFERROR(INDEX('Conteo 18-02-26'!$B:$B,MATCH(1,('Conteo 18-02-26'!$E:$E=$B38)*('Conteo 18-02-26'!$A:$A="Roosvelt"),0)),"")</f>
        <v/>
      </c>
      <c r="B38" s="470">
        <f>+B36+1</f>
        <v>13</v>
      </c>
      <c r="C38" s="472" t="str" cm="1">
        <f t="array" ref="C38">+IFERROR(INDEX('Conteo 18-02-26'!$C:$C,MATCH(1,('Conteo 18-02-26'!$E:$E=$B38)*('Conteo 18-02-26'!$A:$A="Roosvelt"),0)),"")</f>
        <v/>
      </c>
      <c r="D38" s="470" t="str" cm="1">
        <f t="array" ref="D38">+IFERROR(INDEX('Conteo 18-02-26'!$D:$D,MATCH(1,('Conteo 18-02-26'!$E:$E=$B38)*('Conteo 18-02-26'!A:A:'Conteo 18-02-26'!$A:$A="Roosvelt"),0)),"")</f>
        <v/>
      </c>
      <c r="E38" s="427" t="str">
        <f t="shared" si="0"/>
        <v/>
      </c>
      <c r="F38" s="432" t="str">
        <f>+IF(OR(E38="LK"),ROUNDUP(D38*(VLOOKUP(B38,'Conteo 18-02-26'!$E:$AN,35,0))/100,0),IF(E38="CH",D37-F37,""))</f>
        <v/>
      </c>
      <c r="G38" s="470"/>
      <c r="H38" s="434"/>
      <c r="I38" s="434"/>
      <c r="J38" s="434"/>
      <c r="K38" s="434"/>
      <c r="L38" s="434"/>
      <c r="M38" s="434"/>
    </row>
    <row r="39" spans="1:13" ht="33.6" customHeight="1" x14ac:dyDescent="0.2">
      <c r="A39" s="489"/>
      <c r="B39" s="470"/>
      <c r="C39" s="472"/>
      <c r="D39" s="470"/>
      <c r="E39" s="427" t="str">
        <f t="shared" si="0"/>
        <v/>
      </c>
      <c r="F39" s="432" t="str">
        <f>+IF(OR(E39="LK"),ROUNDUP(D39*(VLOOKUP(B39,'Conteo 18-02-26'!$E:$AN,35,0))/100,0),IF(E39="CH",D38-F38,""))</f>
        <v/>
      </c>
      <c r="G39" s="470"/>
      <c r="H39" s="434"/>
      <c r="I39" s="434"/>
      <c r="J39" s="434"/>
      <c r="K39" s="434"/>
      <c r="L39" s="434"/>
      <c r="M39" s="434"/>
    </row>
    <row r="40" spans="1:13" ht="33.6" customHeight="1" x14ac:dyDescent="0.2">
      <c r="A40" s="489" t="str" cm="1">
        <f t="array" ref="A40">+IFERROR(INDEX('Conteo 18-02-26'!$B:$B,MATCH(1,('Conteo 18-02-26'!$E:$E=$B40)*('Conteo 18-02-26'!$A:$A="Roosvelt"),0)),"")</f>
        <v/>
      </c>
      <c r="B40" s="470">
        <f>+B38+1</f>
        <v>14</v>
      </c>
      <c r="C40" s="472" t="str" cm="1">
        <f t="array" ref="C40">+IFERROR(INDEX('Conteo 18-02-26'!$C:$C,MATCH(1,('Conteo 18-02-26'!$E:$E=$B40)*('Conteo 18-02-26'!$A:$A="Roosvelt"),0)),"")</f>
        <v/>
      </c>
      <c r="D40" s="470" t="str" cm="1">
        <f t="array" ref="D40">+IFERROR(INDEX('Conteo 18-02-26'!$D:$D,MATCH(1,('Conteo 18-02-26'!$E:$E=$B40)*('Conteo 18-02-26'!A:A:'Conteo 18-02-26'!$A:$A="Roosvelt"),0)),"")</f>
        <v/>
      </c>
      <c r="E40" s="427" t="str">
        <f t="shared" si="0"/>
        <v/>
      </c>
      <c r="F40" s="432" t="str">
        <f>+IF(OR(E40="LK"),ROUNDUP(D40*(VLOOKUP(B40,'Conteo 18-02-26'!$E:$AN,35,0))/100,0),IF(E40="CH",D39-F39,""))</f>
        <v/>
      </c>
      <c r="G40" s="470"/>
      <c r="H40" s="434"/>
      <c r="I40" s="434"/>
      <c r="J40" s="434"/>
      <c r="K40" s="434"/>
      <c r="L40" s="434"/>
      <c r="M40" s="434"/>
    </row>
    <row r="41" spans="1:13" ht="33.6" customHeight="1" x14ac:dyDescent="0.2">
      <c r="A41" s="489"/>
      <c r="B41" s="470"/>
      <c r="C41" s="472"/>
      <c r="D41" s="470"/>
      <c r="E41" s="427" t="str">
        <f t="shared" si="0"/>
        <v/>
      </c>
      <c r="F41" s="432" t="str">
        <f>+IF(OR(E41="LK"),ROUNDUP(D41*(VLOOKUP(B41,'Conteo 18-02-26'!$E:$AN,35,0))/100,0),IF(E41="CH",D40-F40,""))</f>
        <v/>
      </c>
      <c r="G41" s="470"/>
      <c r="H41" s="434"/>
      <c r="I41" s="434"/>
      <c r="J41" s="434"/>
      <c r="K41" s="434"/>
      <c r="L41" s="434"/>
      <c r="M41" s="434"/>
    </row>
    <row r="42" spans="1:13" ht="33.6" customHeight="1" x14ac:dyDescent="0.2">
      <c r="A42" s="489" t="str" cm="1">
        <f t="array" ref="A42">+IFERROR(INDEX('Conteo 18-02-26'!$B:$B,MATCH(1,('Conteo 18-02-26'!$E:$E=$B42)*('Conteo 18-02-26'!$A:$A="Roosvelt"),0)),"")</f>
        <v/>
      </c>
      <c r="B42" s="470">
        <f>+B40+1</f>
        <v>15</v>
      </c>
      <c r="C42" s="472" t="str" cm="1">
        <f t="array" ref="C42">+IFERROR(INDEX('Conteo 18-02-26'!$C:$C,MATCH(1,('Conteo 18-02-26'!$E:$E=$B42)*('Conteo 18-02-26'!$A:$A="Roosvelt"),0)),"")</f>
        <v/>
      </c>
      <c r="D42" s="470" t="str" cm="1">
        <f t="array" ref="D42">+IFERROR(INDEX('Conteo 18-02-26'!$D:$D,MATCH(1,('Conteo 18-02-26'!$E:$E=$B42)*('Conteo 18-02-26'!A:A:'Conteo 18-02-26'!$A:$A="Roosvelt"),0)),"")</f>
        <v/>
      </c>
      <c r="E42" s="427" t="str">
        <f t="shared" si="0"/>
        <v/>
      </c>
      <c r="F42" s="432" t="str">
        <f>+IF(OR(E42="LK"),ROUNDUP(D42*(VLOOKUP(B42,'Conteo 18-02-26'!$E:$AN,35,0))/100,0),IF(E42="CH",D41-F41,""))</f>
        <v/>
      </c>
      <c r="G42" s="470"/>
      <c r="H42" s="434"/>
      <c r="I42" s="434"/>
      <c r="J42" s="434"/>
      <c r="K42" s="434"/>
      <c r="L42" s="434"/>
      <c r="M42" s="434"/>
    </row>
    <row r="43" spans="1:13" ht="33.6" customHeight="1" x14ac:dyDescent="0.2">
      <c r="A43" s="489"/>
      <c r="B43" s="470"/>
      <c r="C43" s="472"/>
      <c r="D43" s="470"/>
      <c r="E43" s="427" t="str">
        <f t="shared" si="0"/>
        <v/>
      </c>
      <c r="F43" s="432" t="str">
        <f>+IF(OR(E43="LK"),ROUNDUP(D43*(VLOOKUP(B43,'Conteo 18-02-26'!$E:$AN,35,0))/100,0),IF(E43="CH",D42-F42,""))</f>
        <v/>
      </c>
      <c r="G43" s="470"/>
      <c r="H43" s="434"/>
      <c r="I43" s="434"/>
      <c r="J43" s="434"/>
      <c r="K43" s="434"/>
      <c r="L43" s="434"/>
      <c r="M43" s="434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M15" sqref="A1:M15"/>
    </sheetView>
  </sheetViews>
  <sheetFormatPr baseColWidth="10" defaultColWidth="11.5703125" defaultRowHeight="12.75" x14ac:dyDescent="0.2"/>
  <cols>
    <col min="1" max="1" width="11.42578125" style="415" customWidth="1"/>
    <col min="2" max="2" width="6.140625" style="415" customWidth="1"/>
    <col min="3" max="3" width="21.7109375" style="415" customWidth="1"/>
    <col min="4" max="4" width="9.28515625" style="415" customWidth="1"/>
    <col min="5" max="5" width="8.28515625" style="415" customWidth="1"/>
    <col min="6" max="6" width="7.7109375" style="415" customWidth="1"/>
    <col min="7" max="7" width="9.7109375" style="415" customWidth="1"/>
    <col min="8" max="8" width="7.28515625" style="415" customWidth="1"/>
    <col min="9" max="9" width="7.5703125" style="415" customWidth="1"/>
    <col min="10" max="10" width="7.7109375" style="415" customWidth="1"/>
    <col min="11" max="11" width="7" style="415" customWidth="1"/>
    <col min="12" max="12" width="7.7109375" style="415" customWidth="1"/>
    <col min="13" max="13" width="7" style="415" customWidth="1"/>
    <col min="14" max="256" width="11.5703125" style="415"/>
    <col min="257" max="257" width="11.42578125" style="415" customWidth="1"/>
    <col min="258" max="258" width="6.140625" style="415" customWidth="1"/>
    <col min="259" max="259" width="21.7109375" style="415" customWidth="1"/>
    <col min="260" max="260" width="9.28515625" style="415" customWidth="1"/>
    <col min="261" max="261" width="8.28515625" style="415" customWidth="1"/>
    <col min="262" max="262" width="7.7109375" style="415" customWidth="1"/>
    <col min="263" max="263" width="9.7109375" style="415" customWidth="1"/>
    <col min="264" max="264" width="7.28515625" style="415" customWidth="1"/>
    <col min="265" max="265" width="7.5703125" style="415" customWidth="1"/>
    <col min="266" max="266" width="7.7109375" style="415" customWidth="1"/>
    <col min="267" max="267" width="7" style="415" customWidth="1"/>
    <col min="268" max="268" width="7.7109375" style="415" customWidth="1"/>
    <col min="269" max="269" width="7" style="415" customWidth="1"/>
    <col min="270" max="512" width="11.5703125" style="415"/>
    <col min="513" max="513" width="11.42578125" style="415" customWidth="1"/>
    <col min="514" max="514" width="6.140625" style="415" customWidth="1"/>
    <col min="515" max="515" width="21.7109375" style="415" customWidth="1"/>
    <col min="516" max="516" width="9.28515625" style="415" customWidth="1"/>
    <col min="517" max="517" width="8.28515625" style="415" customWidth="1"/>
    <col min="518" max="518" width="7.7109375" style="415" customWidth="1"/>
    <col min="519" max="519" width="9.7109375" style="415" customWidth="1"/>
    <col min="520" max="520" width="7.28515625" style="415" customWidth="1"/>
    <col min="521" max="521" width="7.5703125" style="415" customWidth="1"/>
    <col min="522" max="522" width="7.7109375" style="415" customWidth="1"/>
    <col min="523" max="523" width="7" style="415" customWidth="1"/>
    <col min="524" max="524" width="7.7109375" style="415" customWidth="1"/>
    <col min="525" max="525" width="7" style="415" customWidth="1"/>
    <col min="526" max="768" width="11.5703125" style="415"/>
    <col min="769" max="769" width="11.42578125" style="415" customWidth="1"/>
    <col min="770" max="770" width="6.140625" style="415" customWidth="1"/>
    <col min="771" max="771" width="21.7109375" style="415" customWidth="1"/>
    <col min="772" max="772" width="9.28515625" style="415" customWidth="1"/>
    <col min="773" max="773" width="8.28515625" style="415" customWidth="1"/>
    <col min="774" max="774" width="7.7109375" style="415" customWidth="1"/>
    <col min="775" max="775" width="9.7109375" style="415" customWidth="1"/>
    <col min="776" max="776" width="7.28515625" style="415" customWidth="1"/>
    <col min="777" max="777" width="7.5703125" style="415" customWidth="1"/>
    <col min="778" max="778" width="7.7109375" style="415" customWidth="1"/>
    <col min="779" max="779" width="7" style="415" customWidth="1"/>
    <col min="780" max="780" width="7.7109375" style="415" customWidth="1"/>
    <col min="781" max="781" width="7" style="415" customWidth="1"/>
    <col min="782" max="1024" width="11.5703125" style="415"/>
    <col min="1025" max="1025" width="11.42578125" style="415" customWidth="1"/>
    <col min="1026" max="1026" width="6.140625" style="415" customWidth="1"/>
    <col min="1027" max="1027" width="21.7109375" style="415" customWidth="1"/>
    <col min="1028" max="1028" width="9.28515625" style="415" customWidth="1"/>
    <col min="1029" max="1029" width="8.28515625" style="415" customWidth="1"/>
    <col min="1030" max="1030" width="7.7109375" style="415" customWidth="1"/>
    <col min="1031" max="1031" width="9.7109375" style="415" customWidth="1"/>
    <col min="1032" max="1032" width="7.28515625" style="415" customWidth="1"/>
    <col min="1033" max="1033" width="7.5703125" style="415" customWidth="1"/>
    <col min="1034" max="1034" width="7.7109375" style="415" customWidth="1"/>
    <col min="1035" max="1035" width="7" style="415" customWidth="1"/>
    <col min="1036" max="1036" width="7.7109375" style="415" customWidth="1"/>
    <col min="1037" max="1037" width="7" style="415" customWidth="1"/>
    <col min="1038" max="1280" width="11.5703125" style="415"/>
    <col min="1281" max="1281" width="11.42578125" style="415" customWidth="1"/>
    <col min="1282" max="1282" width="6.140625" style="415" customWidth="1"/>
    <col min="1283" max="1283" width="21.7109375" style="415" customWidth="1"/>
    <col min="1284" max="1284" width="9.28515625" style="415" customWidth="1"/>
    <col min="1285" max="1285" width="8.28515625" style="415" customWidth="1"/>
    <col min="1286" max="1286" width="7.7109375" style="415" customWidth="1"/>
    <col min="1287" max="1287" width="9.7109375" style="415" customWidth="1"/>
    <col min="1288" max="1288" width="7.28515625" style="415" customWidth="1"/>
    <col min="1289" max="1289" width="7.5703125" style="415" customWidth="1"/>
    <col min="1290" max="1290" width="7.7109375" style="415" customWidth="1"/>
    <col min="1291" max="1291" width="7" style="415" customWidth="1"/>
    <col min="1292" max="1292" width="7.7109375" style="415" customWidth="1"/>
    <col min="1293" max="1293" width="7" style="415" customWidth="1"/>
    <col min="1294" max="1536" width="11.5703125" style="415"/>
    <col min="1537" max="1537" width="11.42578125" style="415" customWidth="1"/>
    <col min="1538" max="1538" width="6.140625" style="415" customWidth="1"/>
    <col min="1539" max="1539" width="21.7109375" style="415" customWidth="1"/>
    <col min="1540" max="1540" width="9.28515625" style="415" customWidth="1"/>
    <col min="1541" max="1541" width="8.28515625" style="415" customWidth="1"/>
    <col min="1542" max="1542" width="7.7109375" style="415" customWidth="1"/>
    <col min="1543" max="1543" width="9.7109375" style="415" customWidth="1"/>
    <col min="1544" max="1544" width="7.28515625" style="415" customWidth="1"/>
    <col min="1545" max="1545" width="7.5703125" style="415" customWidth="1"/>
    <col min="1546" max="1546" width="7.7109375" style="415" customWidth="1"/>
    <col min="1547" max="1547" width="7" style="415" customWidth="1"/>
    <col min="1548" max="1548" width="7.7109375" style="415" customWidth="1"/>
    <col min="1549" max="1549" width="7" style="415" customWidth="1"/>
    <col min="1550" max="1792" width="11.5703125" style="415"/>
    <col min="1793" max="1793" width="11.42578125" style="415" customWidth="1"/>
    <col min="1794" max="1794" width="6.140625" style="415" customWidth="1"/>
    <col min="1795" max="1795" width="21.7109375" style="415" customWidth="1"/>
    <col min="1796" max="1796" width="9.28515625" style="415" customWidth="1"/>
    <col min="1797" max="1797" width="8.28515625" style="415" customWidth="1"/>
    <col min="1798" max="1798" width="7.7109375" style="415" customWidth="1"/>
    <col min="1799" max="1799" width="9.7109375" style="415" customWidth="1"/>
    <col min="1800" max="1800" width="7.28515625" style="415" customWidth="1"/>
    <col min="1801" max="1801" width="7.5703125" style="415" customWidth="1"/>
    <col min="1802" max="1802" width="7.7109375" style="415" customWidth="1"/>
    <col min="1803" max="1803" width="7" style="415" customWidth="1"/>
    <col min="1804" max="1804" width="7.7109375" style="415" customWidth="1"/>
    <col min="1805" max="1805" width="7" style="415" customWidth="1"/>
    <col min="1806" max="2048" width="11.5703125" style="415"/>
    <col min="2049" max="2049" width="11.42578125" style="415" customWidth="1"/>
    <col min="2050" max="2050" width="6.140625" style="415" customWidth="1"/>
    <col min="2051" max="2051" width="21.7109375" style="415" customWidth="1"/>
    <col min="2052" max="2052" width="9.28515625" style="415" customWidth="1"/>
    <col min="2053" max="2053" width="8.28515625" style="415" customWidth="1"/>
    <col min="2054" max="2054" width="7.7109375" style="415" customWidth="1"/>
    <col min="2055" max="2055" width="9.7109375" style="415" customWidth="1"/>
    <col min="2056" max="2056" width="7.28515625" style="415" customWidth="1"/>
    <col min="2057" max="2057" width="7.5703125" style="415" customWidth="1"/>
    <col min="2058" max="2058" width="7.7109375" style="415" customWidth="1"/>
    <col min="2059" max="2059" width="7" style="415" customWidth="1"/>
    <col min="2060" max="2060" width="7.7109375" style="415" customWidth="1"/>
    <col min="2061" max="2061" width="7" style="415" customWidth="1"/>
    <col min="2062" max="2304" width="11.5703125" style="415"/>
    <col min="2305" max="2305" width="11.42578125" style="415" customWidth="1"/>
    <col min="2306" max="2306" width="6.140625" style="415" customWidth="1"/>
    <col min="2307" max="2307" width="21.7109375" style="415" customWidth="1"/>
    <col min="2308" max="2308" width="9.28515625" style="415" customWidth="1"/>
    <col min="2309" max="2309" width="8.28515625" style="415" customWidth="1"/>
    <col min="2310" max="2310" width="7.7109375" style="415" customWidth="1"/>
    <col min="2311" max="2311" width="9.7109375" style="415" customWidth="1"/>
    <col min="2312" max="2312" width="7.28515625" style="415" customWidth="1"/>
    <col min="2313" max="2313" width="7.5703125" style="415" customWidth="1"/>
    <col min="2314" max="2314" width="7.7109375" style="415" customWidth="1"/>
    <col min="2315" max="2315" width="7" style="415" customWidth="1"/>
    <col min="2316" max="2316" width="7.7109375" style="415" customWidth="1"/>
    <col min="2317" max="2317" width="7" style="415" customWidth="1"/>
    <col min="2318" max="2560" width="11.5703125" style="415"/>
    <col min="2561" max="2561" width="11.42578125" style="415" customWidth="1"/>
    <col min="2562" max="2562" width="6.140625" style="415" customWidth="1"/>
    <col min="2563" max="2563" width="21.7109375" style="415" customWidth="1"/>
    <col min="2564" max="2564" width="9.28515625" style="415" customWidth="1"/>
    <col min="2565" max="2565" width="8.28515625" style="415" customWidth="1"/>
    <col min="2566" max="2566" width="7.7109375" style="415" customWidth="1"/>
    <col min="2567" max="2567" width="9.7109375" style="415" customWidth="1"/>
    <col min="2568" max="2568" width="7.28515625" style="415" customWidth="1"/>
    <col min="2569" max="2569" width="7.5703125" style="415" customWidth="1"/>
    <col min="2570" max="2570" width="7.7109375" style="415" customWidth="1"/>
    <col min="2571" max="2571" width="7" style="415" customWidth="1"/>
    <col min="2572" max="2572" width="7.7109375" style="415" customWidth="1"/>
    <col min="2573" max="2573" width="7" style="415" customWidth="1"/>
    <col min="2574" max="2816" width="11.5703125" style="415"/>
    <col min="2817" max="2817" width="11.42578125" style="415" customWidth="1"/>
    <col min="2818" max="2818" width="6.140625" style="415" customWidth="1"/>
    <col min="2819" max="2819" width="21.7109375" style="415" customWidth="1"/>
    <col min="2820" max="2820" width="9.28515625" style="415" customWidth="1"/>
    <col min="2821" max="2821" width="8.28515625" style="415" customWidth="1"/>
    <col min="2822" max="2822" width="7.7109375" style="415" customWidth="1"/>
    <col min="2823" max="2823" width="9.7109375" style="415" customWidth="1"/>
    <col min="2824" max="2824" width="7.28515625" style="415" customWidth="1"/>
    <col min="2825" max="2825" width="7.5703125" style="415" customWidth="1"/>
    <col min="2826" max="2826" width="7.7109375" style="415" customWidth="1"/>
    <col min="2827" max="2827" width="7" style="415" customWidth="1"/>
    <col min="2828" max="2828" width="7.7109375" style="415" customWidth="1"/>
    <col min="2829" max="2829" width="7" style="415" customWidth="1"/>
    <col min="2830" max="3072" width="11.5703125" style="415"/>
    <col min="3073" max="3073" width="11.42578125" style="415" customWidth="1"/>
    <col min="3074" max="3074" width="6.140625" style="415" customWidth="1"/>
    <col min="3075" max="3075" width="21.7109375" style="415" customWidth="1"/>
    <col min="3076" max="3076" width="9.28515625" style="415" customWidth="1"/>
    <col min="3077" max="3077" width="8.28515625" style="415" customWidth="1"/>
    <col min="3078" max="3078" width="7.7109375" style="415" customWidth="1"/>
    <col min="3079" max="3079" width="9.7109375" style="415" customWidth="1"/>
    <col min="3080" max="3080" width="7.28515625" style="415" customWidth="1"/>
    <col min="3081" max="3081" width="7.5703125" style="415" customWidth="1"/>
    <col min="3082" max="3082" width="7.7109375" style="415" customWidth="1"/>
    <col min="3083" max="3083" width="7" style="415" customWidth="1"/>
    <col min="3084" max="3084" width="7.7109375" style="415" customWidth="1"/>
    <col min="3085" max="3085" width="7" style="415" customWidth="1"/>
    <col min="3086" max="3328" width="11.5703125" style="415"/>
    <col min="3329" max="3329" width="11.42578125" style="415" customWidth="1"/>
    <col min="3330" max="3330" width="6.140625" style="415" customWidth="1"/>
    <col min="3331" max="3331" width="21.7109375" style="415" customWidth="1"/>
    <col min="3332" max="3332" width="9.28515625" style="415" customWidth="1"/>
    <col min="3333" max="3333" width="8.28515625" style="415" customWidth="1"/>
    <col min="3334" max="3334" width="7.7109375" style="415" customWidth="1"/>
    <col min="3335" max="3335" width="9.7109375" style="415" customWidth="1"/>
    <col min="3336" max="3336" width="7.28515625" style="415" customWidth="1"/>
    <col min="3337" max="3337" width="7.5703125" style="415" customWidth="1"/>
    <col min="3338" max="3338" width="7.7109375" style="415" customWidth="1"/>
    <col min="3339" max="3339" width="7" style="415" customWidth="1"/>
    <col min="3340" max="3340" width="7.7109375" style="415" customWidth="1"/>
    <col min="3341" max="3341" width="7" style="415" customWidth="1"/>
    <col min="3342" max="3584" width="11.5703125" style="415"/>
    <col min="3585" max="3585" width="11.42578125" style="415" customWidth="1"/>
    <col min="3586" max="3586" width="6.140625" style="415" customWidth="1"/>
    <col min="3587" max="3587" width="21.7109375" style="415" customWidth="1"/>
    <col min="3588" max="3588" width="9.28515625" style="415" customWidth="1"/>
    <col min="3589" max="3589" width="8.28515625" style="415" customWidth="1"/>
    <col min="3590" max="3590" width="7.7109375" style="415" customWidth="1"/>
    <col min="3591" max="3591" width="9.7109375" style="415" customWidth="1"/>
    <col min="3592" max="3592" width="7.28515625" style="415" customWidth="1"/>
    <col min="3593" max="3593" width="7.5703125" style="415" customWidth="1"/>
    <col min="3594" max="3594" width="7.7109375" style="415" customWidth="1"/>
    <col min="3595" max="3595" width="7" style="415" customWidth="1"/>
    <col min="3596" max="3596" width="7.7109375" style="415" customWidth="1"/>
    <col min="3597" max="3597" width="7" style="415" customWidth="1"/>
    <col min="3598" max="3840" width="11.5703125" style="415"/>
    <col min="3841" max="3841" width="11.42578125" style="415" customWidth="1"/>
    <col min="3842" max="3842" width="6.140625" style="415" customWidth="1"/>
    <col min="3843" max="3843" width="21.7109375" style="415" customWidth="1"/>
    <col min="3844" max="3844" width="9.28515625" style="415" customWidth="1"/>
    <col min="3845" max="3845" width="8.28515625" style="415" customWidth="1"/>
    <col min="3846" max="3846" width="7.7109375" style="415" customWidth="1"/>
    <col min="3847" max="3847" width="9.7109375" style="415" customWidth="1"/>
    <col min="3848" max="3848" width="7.28515625" style="415" customWidth="1"/>
    <col min="3849" max="3849" width="7.5703125" style="415" customWidth="1"/>
    <col min="3850" max="3850" width="7.7109375" style="415" customWidth="1"/>
    <col min="3851" max="3851" width="7" style="415" customWidth="1"/>
    <col min="3852" max="3852" width="7.7109375" style="415" customWidth="1"/>
    <col min="3853" max="3853" width="7" style="415" customWidth="1"/>
    <col min="3854" max="4096" width="11.5703125" style="415"/>
    <col min="4097" max="4097" width="11.42578125" style="415" customWidth="1"/>
    <col min="4098" max="4098" width="6.140625" style="415" customWidth="1"/>
    <col min="4099" max="4099" width="21.7109375" style="415" customWidth="1"/>
    <col min="4100" max="4100" width="9.28515625" style="415" customWidth="1"/>
    <col min="4101" max="4101" width="8.28515625" style="415" customWidth="1"/>
    <col min="4102" max="4102" width="7.7109375" style="415" customWidth="1"/>
    <col min="4103" max="4103" width="9.7109375" style="415" customWidth="1"/>
    <col min="4104" max="4104" width="7.28515625" style="415" customWidth="1"/>
    <col min="4105" max="4105" width="7.5703125" style="415" customWidth="1"/>
    <col min="4106" max="4106" width="7.7109375" style="415" customWidth="1"/>
    <col min="4107" max="4107" width="7" style="415" customWidth="1"/>
    <col min="4108" max="4108" width="7.7109375" style="415" customWidth="1"/>
    <col min="4109" max="4109" width="7" style="415" customWidth="1"/>
    <col min="4110" max="4352" width="11.5703125" style="415"/>
    <col min="4353" max="4353" width="11.42578125" style="415" customWidth="1"/>
    <col min="4354" max="4354" width="6.140625" style="415" customWidth="1"/>
    <col min="4355" max="4355" width="21.7109375" style="415" customWidth="1"/>
    <col min="4356" max="4356" width="9.28515625" style="415" customWidth="1"/>
    <col min="4357" max="4357" width="8.28515625" style="415" customWidth="1"/>
    <col min="4358" max="4358" width="7.7109375" style="415" customWidth="1"/>
    <col min="4359" max="4359" width="9.7109375" style="415" customWidth="1"/>
    <col min="4360" max="4360" width="7.28515625" style="415" customWidth="1"/>
    <col min="4361" max="4361" width="7.5703125" style="415" customWidth="1"/>
    <col min="4362" max="4362" width="7.7109375" style="415" customWidth="1"/>
    <col min="4363" max="4363" width="7" style="415" customWidth="1"/>
    <col min="4364" max="4364" width="7.7109375" style="415" customWidth="1"/>
    <col min="4365" max="4365" width="7" style="415" customWidth="1"/>
    <col min="4366" max="4608" width="11.5703125" style="415"/>
    <col min="4609" max="4609" width="11.42578125" style="415" customWidth="1"/>
    <col min="4610" max="4610" width="6.140625" style="415" customWidth="1"/>
    <col min="4611" max="4611" width="21.7109375" style="415" customWidth="1"/>
    <col min="4612" max="4612" width="9.28515625" style="415" customWidth="1"/>
    <col min="4613" max="4613" width="8.28515625" style="415" customWidth="1"/>
    <col min="4614" max="4614" width="7.7109375" style="415" customWidth="1"/>
    <col min="4615" max="4615" width="9.7109375" style="415" customWidth="1"/>
    <col min="4616" max="4616" width="7.28515625" style="415" customWidth="1"/>
    <col min="4617" max="4617" width="7.5703125" style="415" customWidth="1"/>
    <col min="4618" max="4618" width="7.7109375" style="415" customWidth="1"/>
    <col min="4619" max="4619" width="7" style="415" customWidth="1"/>
    <col min="4620" max="4620" width="7.7109375" style="415" customWidth="1"/>
    <col min="4621" max="4621" width="7" style="415" customWidth="1"/>
    <col min="4622" max="4864" width="11.5703125" style="415"/>
    <col min="4865" max="4865" width="11.42578125" style="415" customWidth="1"/>
    <col min="4866" max="4866" width="6.140625" style="415" customWidth="1"/>
    <col min="4867" max="4867" width="21.7109375" style="415" customWidth="1"/>
    <col min="4868" max="4868" width="9.28515625" style="415" customWidth="1"/>
    <col min="4869" max="4869" width="8.28515625" style="415" customWidth="1"/>
    <col min="4870" max="4870" width="7.7109375" style="415" customWidth="1"/>
    <col min="4871" max="4871" width="9.7109375" style="415" customWidth="1"/>
    <col min="4872" max="4872" width="7.28515625" style="415" customWidth="1"/>
    <col min="4873" max="4873" width="7.5703125" style="415" customWidth="1"/>
    <col min="4874" max="4874" width="7.7109375" style="415" customWidth="1"/>
    <col min="4875" max="4875" width="7" style="415" customWidth="1"/>
    <col min="4876" max="4876" width="7.7109375" style="415" customWidth="1"/>
    <col min="4877" max="4877" width="7" style="415" customWidth="1"/>
    <col min="4878" max="5120" width="11.5703125" style="415"/>
    <col min="5121" max="5121" width="11.42578125" style="415" customWidth="1"/>
    <col min="5122" max="5122" width="6.140625" style="415" customWidth="1"/>
    <col min="5123" max="5123" width="21.7109375" style="415" customWidth="1"/>
    <col min="5124" max="5124" width="9.28515625" style="415" customWidth="1"/>
    <col min="5125" max="5125" width="8.28515625" style="415" customWidth="1"/>
    <col min="5126" max="5126" width="7.7109375" style="415" customWidth="1"/>
    <col min="5127" max="5127" width="9.7109375" style="415" customWidth="1"/>
    <col min="5128" max="5128" width="7.28515625" style="415" customWidth="1"/>
    <col min="5129" max="5129" width="7.5703125" style="415" customWidth="1"/>
    <col min="5130" max="5130" width="7.7109375" style="415" customWidth="1"/>
    <col min="5131" max="5131" width="7" style="415" customWidth="1"/>
    <col min="5132" max="5132" width="7.7109375" style="415" customWidth="1"/>
    <col min="5133" max="5133" width="7" style="415" customWidth="1"/>
    <col min="5134" max="5376" width="11.5703125" style="415"/>
    <col min="5377" max="5377" width="11.42578125" style="415" customWidth="1"/>
    <col min="5378" max="5378" width="6.140625" style="415" customWidth="1"/>
    <col min="5379" max="5379" width="21.7109375" style="415" customWidth="1"/>
    <col min="5380" max="5380" width="9.28515625" style="415" customWidth="1"/>
    <col min="5381" max="5381" width="8.28515625" style="415" customWidth="1"/>
    <col min="5382" max="5382" width="7.7109375" style="415" customWidth="1"/>
    <col min="5383" max="5383" width="9.7109375" style="415" customWidth="1"/>
    <col min="5384" max="5384" width="7.28515625" style="415" customWidth="1"/>
    <col min="5385" max="5385" width="7.5703125" style="415" customWidth="1"/>
    <col min="5386" max="5386" width="7.7109375" style="415" customWidth="1"/>
    <col min="5387" max="5387" width="7" style="415" customWidth="1"/>
    <col min="5388" max="5388" width="7.7109375" style="415" customWidth="1"/>
    <col min="5389" max="5389" width="7" style="415" customWidth="1"/>
    <col min="5390" max="5632" width="11.5703125" style="415"/>
    <col min="5633" max="5633" width="11.42578125" style="415" customWidth="1"/>
    <col min="5634" max="5634" width="6.140625" style="415" customWidth="1"/>
    <col min="5635" max="5635" width="21.7109375" style="415" customWidth="1"/>
    <col min="5636" max="5636" width="9.28515625" style="415" customWidth="1"/>
    <col min="5637" max="5637" width="8.28515625" style="415" customWidth="1"/>
    <col min="5638" max="5638" width="7.7109375" style="415" customWidth="1"/>
    <col min="5639" max="5639" width="9.7109375" style="415" customWidth="1"/>
    <col min="5640" max="5640" width="7.28515625" style="415" customWidth="1"/>
    <col min="5641" max="5641" width="7.5703125" style="415" customWidth="1"/>
    <col min="5642" max="5642" width="7.7109375" style="415" customWidth="1"/>
    <col min="5643" max="5643" width="7" style="415" customWidth="1"/>
    <col min="5644" max="5644" width="7.7109375" style="415" customWidth="1"/>
    <col min="5645" max="5645" width="7" style="415" customWidth="1"/>
    <col min="5646" max="5888" width="11.5703125" style="415"/>
    <col min="5889" max="5889" width="11.42578125" style="415" customWidth="1"/>
    <col min="5890" max="5890" width="6.140625" style="415" customWidth="1"/>
    <col min="5891" max="5891" width="21.7109375" style="415" customWidth="1"/>
    <col min="5892" max="5892" width="9.28515625" style="415" customWidth="1"/>
    <col min="5893" max="5893" width="8.28515625" style="415" customWidth="1"/>
    <col min="5894" max="5894" width="7.7109375" style="415" customWidth="1"/>
    <col min="5895" max="5895" width="9.7109375" style="415" customWidth="1"/>
    <col min="5896" max="5896" width="7.28515625" style="415" customWidth="1"/>
    <col min="5897" max="5897" width="7.5703125" style="415" customWidth="1"/>
    <col min="5898" max="5898" width="7.7109375" style="415" customWidth="1"/>
    <col min="5899" max="5899" width="7" style="415" customWidth="1"/>
    <col min="5900" max="5900" width="7.7109375" style="415" customWidth="1"/>
    <col min="5901" max="5901" width="7" style="415" customWidth="1"/>
    <col min="5902" max="6144" width="11.5703125" style="415"/>
    <col min="6145" max="6145" width="11.42578125" style="415" customWidth="1"/>
    <col min="6146" max="6146" width="6.140625" style="415" customWidth="1"/>
    <col min="6147" max="6147" width="21.7109375" style="415" customWidth="1"/>
    <col min="6148" max="6148" width="9.28515625" style="415" customWidth="1"/>
    <col min="6149" max="6149" width="8.28515625" style="415" customWidth="1"/>
    <col min="6150" max="6150" width="7.7109375" style="415" customWidth="1"/>
    <col min="6151" max="6151" width="9.7109375" style="415" customWidth="1"/>
    <col min="6152" max="6152" width="7.28515625" style="415" customWidth="1"/>
    <col min="6153" max="6153" width="7.5703125" style="415" customWidth="1"/>
    <col min="6154" max="6154" width="7.7109375" style="415" customWidth="1"/>
    <col min="6155" max="6155" width="7" style="415" customWidth="1"/>
    <col min="6156" max="6156" width="7.7109375" style="415" customWidth="1"/>
    <col min="6157" max="6157" width="7" style="415" customWidth="1"/>
    <col min="6158" max="6400" width="11.5703125" style="415"/>
    <col min="6401" max="6401" width="11.42578125" style="415" customWidth="1"/>
    <col min="6402" max="6402" width="6.140625" style="415" customWidth="1"/>
    <col min="6403" max="6403" width="21.7109375" style="415" customWidth="1"/>
    <col min="6404" max="6404" width="9.28515625" style="415" customWidth="1"/>
    <col min="6405" max="6405" width="8.28515625" style="415" customWidth="1"/>
    <col min="6406" max="6406" width="7.7109375" style="415" customWidth="1"/>
    <col min="6407" max="6407" width="9.7109375" style="415" customWidth="1"/>
    <col min="6408" max="6408" width="7.28515625" style="415" customWidth="1"/>
    <col min="6409" max="6409" width="7.5703125" style="415" customWidth="1"/>
    <col min="6410" max="6410" width="7.7109375" style="415" customWidth="1"/>
    <col min="6411" max="6411" width="7" style="415" customWidth="1"/>
    <col min="6412" max="6412" width="7.7109375" style="415" customWidth="1"/>
    <col min="6413" max="6413" width="7" style="415" customWidth="1"/>
    <col min="6414" max="6656" width="11.5703125" style="415"/>
    <col min="6657" max="6657" width="11.42578125" style="415" customWidth="1"/>
    <col min="6658" max="6658" width="6.140625" style="415" customWidth="1"/>
    <col min="6659" max="6659" width="21.7109375" style="415" customWidth="1"/>
    <col min="6660" max="6660" width="9.28515625" style="415" customWidth="1"/>
    <col min="6661" max="6661" width="8.28515625" style="415" customWidth="1"/>
    <col min="6662" max="6662" width="7.7109375" style="415" customWidth="1"/>
    <col min="6663" max="6663" width="9.7109375" style="415" customWidth="1"/>
    <col min="6664" max="6664" width="7.28515625" style="415" customWidth="1"/>
    <col min="6665" max="6665" width="7.5703125" style="415" customWidth="1"/>
    <col min="6666" max="6666" width="7.7109375" style="415" customWidth="1"/>
    <col min="6667" max="6667" width="7" style="415" customWidth="1"/>
    <col min="6668" max="6668" width="7.7109375" style="415" customWidth="1"/>
    <col min="6669" max="6669" width="7" style="415" customWidth="1"/>
    <col min="6670" max="6912" width="11.5703125" style="415"/>
    <col min="6913" max="6913" width="11.42578125" style="415" customWidth="1"/>
    <col min="6914" max="6914" width="6.140625" style="415" customWidth="1"/>
    <col min="6915" max="6915" width="21.7109375" style="415" customWidth="1"/>
    <col min="6916" max="6916" width="9.28515625" style="415" customWidth="1"/>
    <col min="6917" max="6917" width="8.28515625" style="415" customWidth="1"/>
    <col min="6918" max="6918" width="7.7109375" style="415" customWidth="1"/>
    <col min="6919" max="6919" width="9.7109375" style="415" customWidth="1"/>
    <col min="6920" max="6920" width="7.28515625" style="415" customWidth="1"/>
    <col min="6921" max="6921" width="7.5703125" style="415" customWidth="1"/>
    <col min="6922" max="6922" width="7.7109375" style="415" customWidth="1"/>
    <col min="6923" max="6923" width="7" style="415" customWidth="1"/>
    <col min="6924" max="6924" width="7.7109375" style="415" customWidth="1"/>
    <col min="6925" max="6925" width="7" style="415" customWidth="1"/>
    <col min="6926" max="7168" width="11.5703125" style="415"/>
    <col min="7169" max="7169" width="11.42578125" style="415" customWidth="1"/>
    <col min="7170" max="7170" width="6.140625" style="415" customWidth="1"/>
    <col min="7171" max="7171" width="21.7109375" style="415" customWidth="1"/>
    <col min="7172" max="7172" width="9.28515625" style="415" customWidth="1"/>
    <col min="7173" max="7173" width="8.28515625" style="415" customWidth="1"/>
    <col min="7174" max="7174" width="7.7109375" style="415" customWidth="1"/>
    <col min="7175" max="7175" width="9.7109375" style="415" customWidth="1"/>
    <col min="7176" max="7176" width="7.28515625" style="415" customWidth="1"/>
    <col min="7177" max="7177" width="7.5703125" style="415" customWidth="1"/>
    <col min="7178" max="7178" width="7.7109375" style="415" customWidth="1"/>
    <col min="7179" max="7179" width="7" style="415" customWidth="1"/>
    <col min="7180" max="7180" width="7.7109375" style="415" customWidth="1"/>
    <col min="7181" max="7181" width="7" style="415" customWidth="1"/>
    <col min="7182" max="7424" width="11.5703125" style="415"/>
    <col min="7425" max="7425" width="11.42578125" style="415" customWidth="1"/>
    <col min="7426" max="7426" width="6.140625" style="415" customWidth="1"/>
    <col min="7427" max="7427" width="21.7109375" style="415" customWidth="1"/>
    <col min="7428" max="7428" width="9.28515625" style="415" customWidth="1"/>
    <col min="7429" max="7429" width="8.28515625" style="415" customWidth="1"/>
    <col min="7430" max="7430" width="7.7109375" style="415" customWidth="1"/>
    <col min="7431" max="7431" width="9.7109375" style="415" customWidth="1"/>
    <col min="7432" max="7432" width="7.28515625" style="415" customWidth="1"/>
    <col min="7433" max="7433" width="7.5703125" style="415" customWidth="1"/>
    <col min="7434" max="7434" width="7.7109375" style="415" customWidth="1"/>
    <col min="7435" max="7435" width="7" style="415" customWidth="1"/>
    <col min="7436" max="7436" width="7.7109375" style="415" customWidth="1"/>
    <col min="7437" max="7437" width="7" style="415" customWidth="1"/>
    <col min="7438" max="7680" width="11.5703125" style="415"/>
    <col min="7681" max="7681" width="11.42578125" style="415" customWidth="1"/>
    <col min="7682" max="7682" width="6.140625" style="415" customWidth="1"/>
    <col min="7683" max="7683" width="21.7109375" style="415" customWidth="1"/>
    <col min="7684" max="7684" width="9.28515625" style="415" customWidth="1"/>
    <col min="7685" max="7685" width="8.28515625" style="415" customWidth="1"/>
    <col min="7686" max="7686" width="7.7109375" style="415" customWidth="1"/>
    <col min="7687" max="7687" width="9.7109375" style="415" customWidth="1"/>
    <col min="7688" max="7688" width="7.28515625" style="415" customWidth="1"/>
    <col min="7689" max="7689" width="7.5703125" style="415" customWidth="1"/>
    <col min="7690" max="7690" width="7.7109375" style="415" customWidth="1"/>
    <col min="7691" max="7691" width="7" style="415" customWidth="1"/>
    <col min="7692" max="7692" width="7.7109375" style="415" customWidth="1"/>
    <col min="7693" max="7693" width="7" style="415" customWidth="1"/>
    <col min="7694" max="7936" width="11.5703125" style="415"/>
    <col min="7937" max="7937" width="11.42578125" style="415" customWidth="1"/>
    <col min="7938" max="7938" width="6.140625" style="415" customWidth="1"/>
    <col min="7939" max="7939" width="21.7109375" style="415" customWidth="1"/>
    <col min="7940" max="7940" width="9.28515625" style="415" customWidth="1"/>
    <col min="7941" max="7941" width="8.28515625" style="415" customWidth="1"/>
    <col min="7942" max="7942" width="7.7109375" style="415" customWidth="1"/>
    <col min="7943" max="7943" width="9.7109375" style="415" customWidth="1"/>
    <col min="7944" max="7944" width="7.28515625" style="415" customWidth="1"/>
    <col min="7945" max="7945" width="7.5703125" style="415" customWidth="1"/>
    <col min="7946" max="7946" width="7.7109375" style="415" customWidth="1"/>
    <col min="7947" max="7947" width="7" style="415" customWidth="1"/>
    <col min="7948" max="7948" width="7.7109375" style="415" customWidth="1"/>
    <col min="7949" max="7949" width="7" style="415" customWidth="1"/>
    <col min="7950" max="8192" width="11.5703125" style="415"/>
    <col min="8193" max="8193" width="11.42578125" style="415" customWidth="1"/>
    <col min="8194" max="8194" width="6.140625" style="415" customWidth="1"/>
    <col min="8195" max="8195" width="21.7109375" style="415" customWidth="1"/>
    <col min="8196" max="8196" width="9.28515625" style="415" customWidth="1"/>
    <col min="8197" max="8197" width="8.28515625" style="415" customWidth="1"/>
    <col min="8198" max="8198" width="7.7109375" style="415" customWidth="1"/>
    <col min="8199" max="8199" width="9.7109375" style="415" customWidth="1"/>
    <col min="8200" max="8200" width="7.28515625" style="415" customWidth="1"/>
    <col min="8201" max="8201" width="7.5703125" style="415" customWidth="1"/>
    <col min="8202" max="8202" width="7.7109375" style="415" customWidth="1"/>
    <col min="8203" max="8203" width="7" style="415" customWidth="1"/>
    <col min="8204" max="8204" width="7.7109375" style="415" customWidth="1"/>
    <col min="8205" max="8205" width="7" style="415" customWidth="1"/>
    <col min="8206" max="8448" width="11.5703125" style="415"/>
    <col min="8449" max="8449" width="11.42578125" style="415" customWidth="1"/>
    <col min="8450" max="8450" width="6.140625" style="415" customWidth="1"/>
    <col min="8451" max="8451" width="21.7109375" style="415" customWidth="1"/>
    <col min="8452" max="8452" width="9.28515625" style="415" customWidth="1"/>
    <col min="8453" max="8453" width="8.28515625" style="415" customWidth="1"/>
    <col min="8454" max="8454" width="7.7109375" style="415" customWidth="1"/>
    <col min="8455" max="8455" width="9.7109375" style="415" customWidth="1"/>
    <col min="8456" max="8456" width="7.28515625" style="415" customWidth="1"/>
    <col min="8457" max="8457" width="7.5703125" style="415" customWidth="1"/>
    <col min="8458" max="8458" width="7.7109375" style="415" customWidth="1"/>
    <col min="8459" max="8459" width="7" style="415" customWidth="1"/>
    <col min="8460" max="8460" width="7.7109375" style="415" customWidth="1"/>
    <col min="8461" max="8461" width="7" style="415" customWidth="1"/>
    <col min="8462" max="8704" width="11.5703125" style="415"/>
    <col min="8705" max="8705" width="11.42578125" style="415" customWidth="1"/>
    <col min="8706" max="8706" width="6.140625" style="415" customWidth="1"/>
    <col min="8707" max="8707" width="21.7109375" style="415" customWidth="1"/>
    <col min="8708" max="8708" width="9.28515625" style="415" customWidth="1"/>
    <col min="8709" max="8709" width="8.28515625" style="415" customWidth="1"/>
    <col min="8710" max="8710" width="7.7109375" style="415" customWidth="1"/>
    <col min="8711" max="8711" width="9.7109375" style="415" customWidth="1"/>
    <col min="8712" max="8712" width="7.28515625" style="415" customWidth="1"/>
    <col min="8713" max="8713" width="7.5703125" style="415" customWidth="1"/>
    <col min="8714" max="8714" width="7.7109375" style="415" customWidth="1"/>
    <col min="8715" max="8715" width="7" style="415" customWidth="1"/>
    <col min="8716" max="8716" width="7.7109375" style="415" customWidth="1"/>
    <col min="8717" max="8717" width="7" style="415" customWidth="1"/>
    <col min="8718" max="8960" width="11.5703125" style="415"/>
    <col min="8961" max="8961" width="11.42578125" style="415" customWidth="1"/>
    <col min="8962" max="8962" width="6.140625" style="415" customWidth="1"/>
    <col min="8963" max="8963" width="21.7109375" style="415" customWidth="1"/>
    <col min="8964" max="8964" width="9.28515625" style="415" customWidth="1"/>
    <col min="8965" max="8965" width="8.28515625" style="415" customWidth="1"/>
    <col min="8966" max="8966" width="7.7109375" style="415" customWidth="1"/>
    <col min="8967" max="8967" width="9.7109375" style="415" customWidth="1"/>
    <col min="8968" max="8968" width="7.28515625" style="415" customWidth="1"/>
    <col min="8969" max="8969" width="7.5703125" style="415" customWidth="1"/>
    <col min="8970" max="8970" width="7.7109375" style="415" customWidth="1"/>
    <col min="8971" max="8971" width="7" style="415" customWidth="1"/>
    <col min="8972" max="8972" width="7.7109375" style="415" customWidth="1"/>
    <col min="8973" max="8973" width="7" style="415" customWidth="1"/>
    <col min="8974" max="9216" width="11.5703125" style="415"/>
    <col min="9217" max="9217" width="11.42578125" style="415" customWidth="1"/>
    <col min="9218" max="9218" width="6.140625" style="415" customWidth="1"/>
    <col min="9219" max="9219" width="21.7109375" style="415" customWidth="1"/>
    <col min="9220" max="9220" width="9.28515625" style="415" customWidth="1"/>
    <col min="9221" max="9221" width="8.28515625" style="415" customWidth="1"/>
    <col min="9222" max="9222" width="7.7109375" style="415" customWidth="1"/>
    <col min="9223" max="9223" width="9.7109375" style="415" customWidth="1"/>
    <col min="9224" max="9224" width="7.28515625" style="415" customWidth="1"/>
    <col min="9225" max="9225" width="7.5703125" style="415" customWidth="1"/>
    <col min="9226" max="9226" width="7.7109375" style="415" customWidth="1"/>
    <col min="9227" max="9227" width="7" style="415" customWidth="1"/>
    <col min="9228" max="9228" width="7.7109375" style="415" customWidth="1"/>
    <col min="9229" max="9229" width="7" style="415" customWidth="1"/>
    <col min="9230" max="9472" width="11.5703125" style="415"/>
    <col min="9473" max="9473" width="11.42578125" style="415" customWidth="1"/>
    <col min="9474" max="9474" width="6.140625" style="415" customWidth="1"/>
    <col min="9475" max="9475" width="21.7109375" style="415" customWidth="1"/>
    <col min="9476" max="9476" width="9.28515625" style="415" customWidth="1"/>
    <col min="9477" max="9477" width="8.28515625" style="415" customWidth="1"/>
    <col min="9478" max="9478" width="7.7109375" style="415" customWidth="1"/>
    <col min="9479" max="9479" width="9.7109375" style="415" customWidth="1"/>
    <col min="9480" max="9480" width="7.28515625" style="415" customWidth="1"/>
    <col min="9481" max="9481" width="7.5703125" style="415" customWidth="1"/>
    <col min="9482" max="9482" width="7.7109375" style="415" customWidth="1"/>
    <col min="9483" max="9483" width="7" style="415" customWidth="1"/>
    <col min="9484" max="9484" width="7.7109375" style="415" customWidth="1"/>
    <col min="9485" max="9485" width="7" style="415" customWidth="1"/>
    <col min="9486" max="9728" width="11.5703125" style="415"/>
    <col min="9729" max="9729" width="11.42578125" style="415" customWidth="1"/>
    <col min="9730" max="9730" width="6.140625" style="415" customWidth="1"/>
    <col min="9731" max="9731" width="21.7109375" style="415" customWidth="1"/>
    <col min="9732" max="9732" width="9.28515625" style="415" customWidth="1"/>
    <col min="9733" max="9733" width="8.28515625" style="415" customWidth="1"/>
    <col min="9734" max="9734" width="7.7109375" style="415" customWidth="1"/>
    <col min="9735" max="9735" width="9.7109375" style="415" customWidth="1"/>
    <col min="9736" max="9736" width="7.28515625" style="415" customWidth="1"/>
    <col min="9737" max="9737" width="7.5703125" style="415" customWidth="1"/>
    <col min="9738" max="9738" width="7.7109375" style="415" customWidth="1"/>
    <col min="9739" max="9739" width="7" style="415" customWidth="1"/>
    <col min="9740" max="9740" width="7.7109375" style="415" customWidth="1"/>
    <col min="9741" max="9741" width="7" style="415" customWidth="1"/>
    <col min="9742" max="9984" width="11.5703125" style="415"/>
    <col min="9985" max="9985" width="11.42578125" style="415" customWidth="1"/>
    <col min="9986" max="9986" width="6.140625" style="415" customWidth="1"/>
    <col min="9987" max="9987" width="21.7109375" style="415" customWidth="1"/>
    <col min="9988" max="9988" width="9.28515625" style="415" customWidth="1"/>
    <col min="9989" max="9989" width="8.28515625" style="415" customWidth="1"/>
    <col min="9990" max="9990" width="7.7109375" style="415" customWidth="1"/>
    <col min="9991" max="9991" width="9.7109375" style="415" customWidth="1"/>
    <col min="9992" max="9992" width="7.28515625" style="415" customWidth="1"/>
    <col min="9993" max="9993" width="7.5703125" style="415" customWidth="1"/>
    <col min="9994" max="9994" width="7.7109375" style="415" customWidth="1"/>
    <col min="9995" max="9995" width="7" style="415" customWidth="1"/>
    <col min="9996" max="9996" width="7.7109375" style="415" customWidth="1"/>
    <col min="9997" max="9997" width="7" style="415" customWidth="1"/>
    <col min="9998" max="10240" width="11.5703125" style="415"/>
    <col min="10241" max="10241" width="11.42578125" style="415" customWidth="1"/>
    <col min="10242" max="10242" width="6.140625" style="415" customWidth="1"/>
    <col min="10243" max="10243" width="21.7109375" style="415" customWidth="1"/>
    <col min="10244" max="10244" width="9.28515625" style="415" customWidth="1"/>
    <col min="10245" max="10245" width="8.28515625" style="415" customWidth="1"/>
    <col min="10246" max="10246" width="7.7109375" style="415" customWidth="1"/>
    <col min="10247" max="10247" width="9.7109375" style="415" customWidth="1"/>
    <col min="10248" max="10248" width="7.28515625" style="415" customWidth="1"/>
    <col min="10249" max="10249" width="7.5703125" style="415" customWidth="1"/>
    <col min="10250" max="10250" width="7.7109375" style="415" customWidth="1"/>
    <col min="10251" max="10251" width="7" style="415" customWidth="1"/>
    <col min="10252" max="10252" width="7.7109375" style="415" customWidth="1"/>
    <col min="10253" max="10253" width="7" style="415" customWidth="1"/>
    <col min="10254" max="10496" width="11.5703125" style="415"/>
    <col min="10497" max="10497" width="11.42578125" style="415" customWidth="1"/>
    <col min="10498" max="10498" width="6.140625" style="415" customWidth="1"/>
    <col min="10499" max="10499" width="21.7109375" style="415" customWidth="1"/>
    <col min="10500" max="10500" width="9.28515625" style="415" customWidth="1"/>
    <col min="10501" max="10501" width="8.28515625" style="415" customWidth="1"/>
    <col min="10502" max="10502" width="7.7109375" style="415" customWidth="1"/>
    <col min="10503" max="10503" width="9.7109375" style="415" customWidth="1"/>
    <col min="10504" max="10504" width="7.28515625" style="415" customWidth="1"/>
    <col min="10505" max="10505" width="7.5703125" style="415" customWidth="1"/>
    <col min="10506" max="10506" width="7.7109375" style="415" customWidth="1"/>
    <col min="10507" max="10507" width="7" style="415" customWidth="1"/>
    <col min="10508" max="10508" width="7.7109375" style="415" customWidth="1"/>
    <col min="10509" max="10509" width="7" style="415" customWidth="1"/>
    <col min="10510" max="10752" width="11.5703125" style="415"/>
    <col min="10753" max="10753" width="11.42578125" style="415" customWidth="1"/>
    <col min="10754" max="10754" width="6.140625" style="415" customWidth="1"/>
    <col min="10755" max="10755" width="21.7109375" style="415" customWidth="1"/>
    <col min="10756" max="10756" width="9.28515625" style="415" customWidth="1"/>
    <col min="10757" max="10757" width="8.28515625" style="415" customWidth="1"/>
    <col min="10758" max="10758" width="7.7109375" style="415" customWidth="1"/>
    <col min="10759" max="10759" width="9.7109375" style="415" customWidth="1"/>
    <col min="10760" max="10760" width="7.28515625" style="415" customWidth="1"/>
    <col min="10761" max="10761" width="7.5703125" style="415" customWidth="1"/>
    <col min="10762" max="10762" width="7.7109375" style="415" customWidth="1"/>
    <col min="10763" max="10763" width="7" style="415" customWidth="1"/>
    <col min="10764" max="10764" width="7.7109375" style="415" customWidth="1"/>
    <col min="10765" max="10765" width="7" style="415" customWidth="1"/>
    <col min="10766" max="11008" width="11.5703125" style="415"/>
    <col min="11009" max="11009" width="11.42578125" style="415" customWidth="1"/>
    <col min="11010" max="11010" width="6.140625" style="415" customWidth="1"/>
    <col min="11011" max="11011" width="21.7109375" style="415" customWidth="1"/>
    <col min="11012" max="11012" width="9.28515625" style="415" customWidth="1"/>
    <col min="11013" max="11013" width="8.28515625" style="415" customWidth="1"/>
    <col min="11014" max="11014" width="7.7109375" style="415" customWidth="1"/>
    <col min="11015" max="11015" width="9.7109375" style="415" customWidth="1"/>
    <col min="11016" max="11016" width="7.28515625" style="415" customWidth="1"/>
    <col min="11017" max="11017" width="7.5703125" style="415" customWidth="1"/>
    <col min="11018" max="11018" width="7.7109375" style="415" customWidth="1"/>
    <col min="11019" max="11019" width="7" style="415" customWidth="1"/>
    <col min="11020" max="11020" width="7.7109375" style="415" customWidth="1"/>
    <col min="11021" max="11021" width="7" style="415" customWidth="1"/>
    <col min="11022" max="11264" width="11.5703125" style="415"/>
    <col min="11265" max="11265" width="11.42578125" style="415" customWidth="1"/>
    <col min="11266" max="11266" width="6.140625" style="415" customWidth="1"/>
    <col min="11267" max="11267" width="21.7109375" style="415" customWidth="1"/>
    <col min="11268" max="11268" width="9.28515625" style="415" customWidth="1"/>
    <col min="11269" max="11269" width="8.28515625" style="415" customWidth="1"/>
    <col min="11270" max="11270" width="7.7109375" style="415" customWidth="1"/>
    <col min="11271" max="11271" width="9.7109375" style="415" customWidth="1"/>
    <col min="11272" max="11272" width="7.28515625" style="415" customWidth="1"/>
    <col min="11273" max="11273" width="7.5703125" style="415" customWidth="1"/>
    <col min="11274" max="11274" width="7.7109375" style="415" customWidth="1"/>
    <col min="11275" max="11275" width="7" style="415" customWidth="1"/>
    <col min="11276" max="11276" width="7.7109375" style="415" customWidth="1"/>
    <col min="11277" max="11277" width="7" style="415" customWidth="1"/>
    <col min="11278" max="11520" width="11.5703125" style="415"/>
    <col min="11521" max="11521" width="11.42578125" style="415" customWidth="1"/>
    <col min="11522" max="11522" width="6.140625" style="415" customWidth="1"/>
    <col min="11523" max="11523" width="21.7109375" style="415" customWidth="1"/>
    <col min="11524" max="11524" width="9.28515625" style="415" customWidth="1"/>
    <col min="11525" max="11525" width="8.28515625" style="415" customWidth="1"/>
    <col min="11526" max="11526" width="7.7109375" style="415" customWidth="1"/>
    <col min="11527" max="11527" width="9.7109375" style="415" customWidth="1"/>
    <col min="11528" max="11528" width="7.28515625" style="415" customWidth="1"/>
    <col min="11529" max="11529" width="7.5703125" style="415" customWidth="1"/>
    <col min="11530" max="11530" width="7.7109375" style="415" customWidth="1"/>
    <col min="11531" max="11531" width="7" style="415" customWidth="1"/>
    <col min="11532" max="11532" width="7.7109375" style="415" customWidth="1"/>
    <col min="11533" max="11533" width="7" style="415" customWidth="1"/>
    <col min="11534" max="11776" width="11.5703125" style="415"/>
    <col min="11777" max="11777" width="11.42578125" style="415" customWidth="1"/>
    <col min="11778" max="11778" width="6.140625" style="415" customWidth="1"/>
    <col min="11779" max="11779" width="21.7109375" style="415" customWidth="1"/>
    <col min="11780" max="11780" width="9.28515625" style="415" customWidth="1"/>
    <col min="11781" max="11781" width="8.28515625" style="415" customWidth="1"/>
    <col min="11782" max="11782" width="7.7109375" style="415" customWidth="1"/>
    <col min="11783" max="11783" width="9.7109375" style="415" customWidth="1"/>
    <col min="11784" max="11784" width="7.28515625" style="415" customWidth="1"/>
    <col min="11785" max="11785" width="7.5703125" style="415" customWidth="1"/>
    <col min="11786" max="11786" width="7.7109375" style="415" customWidth="1"/>
    <col min="11787" max="11787" width="7" style="415" customWidth="1"/>
    <col min="11788" max="11788" width="7.7109375" style="415" customWidth="1"/>
    <col min="11789" max="11789" width="7" style="415" customWidth="1"/>
    <col min="11790" max="12032" width="11.5703125" style="415"/>
    <col min="12033" max="12033" width="11.42578125" style="415" customWidth="1"/>
    <col min="12034" max="12034" width="6.140625" style="415" customWidth="1"/>
    <col min="12035" max="12035" width="21.7109375" style="415" customWidth="1"/>
    <col min="12036" max="12036" width="9.28515625" style="415" customWidth="1"/>
    <col min="12037" max="12037" width="8.28515625" style="415" customWidth="1"/>
    <col min="12038" max="12038" width="7.7109375" style="415" customWidth="1"/>
    <col min="12039" max="12039" width="9.7109375" style="415" customWidth="1"/>
    <col min="12040" max="12040" width="7.28515625" style="415" customWidth="1"/>
    <col min="12041" max="12041" width="7.5703125" style="415" customWidth="1"/>
    <col min="12042" max="12042" width="7.7109375" style="415" customWidth="1"/>
    <col min="12043" max="12043" width="7" style="415" customWidth="1"/>
    <col min="12044" max="12044" width="7.7109375" style="415" customWidth="1"/>
    <col min="12045" max="12045" width="7" style="415" customWidth="1"/>
    <col min="12046" max="12288" width="11.5703125" style="415"/>
    <col min="12289" max="12289" width="11.42578125" style="415" customWidth="1"/>
    <col min="12290" max="12290" width="6.140625" style="415" customWidth="1"/>
    <col min="12291" max="12291" width="21.7109375" style="415" customWidth="1"/>
    <col min="12292" max="12292" width="9.28515625" style="415" customWidth="1"/>
    <col min="12293" max="12293" width="8.28515625" style="415" customWidth="1"/>
    <col min="12294" max="12294" width="7.7109375" style="415" customWidth="1"/>
    <col min="12295" max="12295" width="9.7109375" style="415" customWidth="1"/>
    <col min="12296" max="12296" width="7.28515625" style="415" customWidth="1"/>
    <col min="12297" max="12297" width="7.5703125" style="415" customWidth="1"/>
    <col min="12298" max="12298" width="7.7109375" style="415" customWidth="1"/>
    <col min="12299" max="12299" width="7" style="415" customWidth="1"/>
    <col min="12300" max="12300" width="7.7109375" style="415" customWidth="1"/>
    <col min="12301" max="12301" width="7" style="415" customWidth="1"/>
    <col min="12302" max="12544" width="11.5703125" style="415"/>
    <col min="12545" max="12545" width="11.42578125" style="415" customWidth="1"/>
    <col min="12546" max="12546" width="6.140625" style="415" customWidth="1"/>
    <col min="12547" max="12547" width="21.7109375" style="415" customWidth="1"/>
    <col min="12548" max="12548" width="9.28515625" style="415" customWidth="1"/>
    <col min="12549" max="12549" width="8.28515625" style="415" customWidth="1"/>
    <col min="12550" max="12550" width="7.7109375" style="415" customWidth="1"/>
    <col min="12551" max="12551" width="9.7109375" style="415" customWidth="1"/>
    <col min="12552" max="12552" width="7.28515625" style="415" customWidth="1"/>
    <col min="12553" max="12553" width="7.5703125" style="415" customWidth="1"/>
    <col min="12554" max="12554" width="7.7109375" style="415" customWidth="1"/>
    <col min="12555" max="12555" width="7" style="415" customWidth="1"/>
    <col min="12556" max="12556" width="7.7109375" style="415" customWidth="1"/>
    <col min="12557" max="12557" width="7" style="415" customWidth="1"/>
    <col min="12558" max="12800" width="11.5703125" style="415"/>
    <col min="12801" max="12801" width="11.42578125" style="415" customWidth="1"/>
    <col min="12802" max="12802" width="6.140625" style="415" customWidth="1"/>
    <col min="12803" max="12803" width="21.7109375" style="415" customWidth="1"/>
    <col min="12804" max="12804" width="9.28515625" style="415" customWidth="1"/>
    <col min="12805" max="12805" width="8.28515625" style="415" customWidth="1"/>
    <col min="12806" max="12806" width="7.7109375" style="415" customWidth="1"/>
    <col min="12807" max="12807" width="9.7109375" style="415" customWidth="1"/>
    <col min="12808" max="12808" width="7.28515625" style="415" customWidth="1"/>
    <col min="12809" max="12809" width="7.5703125" style="415" customWidth="1"/>
    <col min="12810" max="12810" width="7.7109375" style="415" customWidth="1"/>
    <col min="12811" max="12811" width="7" style="415" customWidth="1"/>
    <col min="12812" max="12812" width="7.7109375" style="415" customWidth="1"/>
    <col min="12813" max="12813" width="7" style="415" customWidth="1"/>
    <col min="12814" max="13056" width="11.5703125" style="415"/>
    <col min="13057" max="13057" width="11.42578125" style="415" customWidth="1"/>
    <col min="13058" max="13058" width="6.140625" style="415" customWidth="1"/>
    <col min="13059" max="13059" width="21.7109375" style="415" customWidth="1"/>
    <col min="13060" max="13060" width="9.28515625" style="415" customWidth="1"/>
    <col min="13061" max="13061" width="8.28515625" style="415" customWidth="1"/>
    <col min="13062" max="13062" width="7.7109375" style="415" customWidth="1"/>
    <col min="13063" max="13063" width="9.7109375" style="415" customWidth="1"/>
    <col min="13064" max="13064" width="7.28515625" style="415" customWidth="1"/>
    <col min="13065" max="13065" width="7.5703125" style="415" customWidth="1"/>
    <col min="13066" max="13066" width="7.7109375" style="415" customWidth="1"/>
    <col min="13067" max="13067" width="7" style="415" customWidth="1"/>
    <col min="13068" max="13068" width="7.7109375" style="415" customWidth="1"/>
    <col min="13069" max="13069" width="7" style="415" customWidth="1"/>
    <col min="13070" max="13312" width="11.5703125" style="415"/>
    <col min="13313" max="13313" width="11.42578125" style="415" customWidth="1"/>
    <col min="13314" max="13314" width="6.140625" style="415" customWidth="1"/>
    <col min="13315" max="13315" width="21.7109375" style="415" customWidth="1"/>
    <col min="13316" max="13316" width="9.28515625" style="415" customWidth="1"/>
    <col min="13317" max="13317" width="8.28515625" style="415" customWidth="1"/>
    <col min="13318" max="13318" width="7.7109375" style="415" customWidth="1"/>
    <col min="13319" max="13319" width="9.7109375" style="415" customWidth="1"/>
    <col min="13320" max="13320" width="7.28515625" style="415" customWidth="1"/>
    <col min="13321" max="13321" width="7.5703125" style="415" customWidth="1"/>
    <col min="13322" max="13322" width="7.7109375" style="415" customWidth="1"/>
    <col min="13323" max="13323" width="7" style="415" customWidth="1"/>
    <col min="13324" max="13324" width="7.7109375" style="415" customWidth="1"/>
    <col min="13325" max="13325" width="7" style="415" customWidth="1"/>
    <col min="13326" max="13568" width="11.5703125" style="415"/>
    <col min="13569" max="13569" width="11.42578125" style="415" customWidth="1"/>
    <col min="13570" max="13570" width="6.140625" style="415" customWidth="1"/>
    <col min="13571" max="13571" width="21.7109375" style="415" customWidth="1"/>
    <col min="13572" max="13572" width="9.28515625" style="415" customWidth="1"/>
    <col min="13573" max="13573" width="8.28515625" style="415" customWidth="1"/>
    <col min="13574" max="13574" width="7.7109375" style="415" customWidth="1"/>
    <col min="13575" max="13575" width="9.7109375" style="415" customWidth="1"/>
    <col min="13576" max="13576" width="7.28515625" style="415" customWidth="1"/>
    <col min="13577" max="13577" width="7.5703125" style="415" customWidth="1"/>
    <col min="13578" max="13578" width="7.7109375" style="415" customWidth="1"/>
    <col min="13579" max="13579" width="7" style="415" customWidth="1"/>
    <col min="13580" max="13580" width="7.7109375" style="415" customWidth="1"/>
    <col min="13581" max="13581" width="7" style="415" customWidth="1"/>
    <col min="13582" max="13824" width="11.5703125" style="415"/>
    <col min="13825" max="13825" width="11.42578125" style="415" customWidth="1"/>
    <col min="13826" max="13826" width="6.140625" style="415" customWidth="1"/>
    <col min="13827" max="13827" width="21.7109375" style="415" customWidth="1"/>
    <col min="13828" max="13828" width="9.28515625" style="415" customWidth="1"/>
    <col min="13829" max="13829" width="8.28515625" style="415" customWidth="1"/>
    <col min="13830" max="13830" width="7.7109375" style="415" customWidth="1"/>
    <col min="13831" max="13831" width="9.7109375" style="415" customWidth="1"/>
    <col min="13832" max="13832" width="7.28515625" style="415" customWidth="1"/>
    <col min="13833" max="13833" width="7.5703125" style="415" customWidth="1"/>
    <col min="13834" max="13834" width="7.7109375" style="415" customWidth="1"/>
    <col min="13835" max="13835" width="7" style="415" customWidth="1"/>
    <col min="13836" max="13836" width="7.7109375" style="415" customWidth="1"/>
    <col min="13837" max="13837" width="7" style="415" customWidth="1"/>
    <col min="13838" max="14080" width="11.5703125" style="415"/>
    <col min="14081" max="14081" width="11.42578125" style="415" customWidth="1"/>
    <col min="14082" max="14082" width="6.140625" style="415" customWidth="1"/>
    <col min="14083" max="14083" width="21.7109375" style="415" customWidth="1"/>
    <col min="14084" max="14084" width="9.28515625" style="415" customWidth="1"/>
    <col min="14085" max="14085" width="8.28515625" style="415" customWidth="1"/>
    <col min="14086" max="14086" width="7.7109375" style="415" customWidth="1"/>
    <col min="14087" max="14087" width="9.7109375" style="415" customWidth="1"/>
    <col min="14088" max="14088" width="7.28515625" style="415" customWidth="1"/>
    <col min="14089" max="14089" width="7.5703125" style="415" customWidth="1"/>
    <col min="14090" max="14090" width="7.7109375" style="415" customWidth="1"/>
    <col min="14091" max="14091" width="7" style="415" customWidth="1"/>
    <col min="14092" max="14092" width="7.7109375" style="415" customWidth="1"/>
    <col min="14093" max="14093" width="7" style="415" customWidth="1"/>
    <col min="14094" max="14336" width="11.5703125" style="415"/>
    <col min="14337" max="14337" width="11.42578125" style="415" customWidth="1"/>
    <col min="14338" max="14338" width="6.140625" style="415" customWidth="1"/>
    <col min="14339" max="14339" width="21.7109375" style="415" customWidth="1"/>
    <col min="14340" max="14340" width="9.28515625" style="415" customWidth="1"/>
    <col min="14341" max="14341" width="8.28515625" style="415" customWidth="1"/>
    <col min="14342" max="14342" width="7.7109375" style="415" customWidth="1"/>
    <col min="14343" max="14343" width="9.7109375" style="415" customWidth="1"/>
    <col min="14344" max="14344" width="7.28515625" style="415" customWidth="1"/>
    <col min="14345" max="14345" width="7.5703125" style="415" customWidth="1"/>
    <col min="14346" max="14346" width="7.7109375" style="415" customWidth="1"/>
    <col min="14347" max="14347" width="7" style="415" customWidth="1"/>
    <col min="14348" max="14348" width="7.7109375" style="415" customWidth="1"/>
    <col min="14349" max="14349" width="7" style="415" customWidth="1"/>
    <col min="14350" max="14592" width="11.5703125" style="415"/>
    <col min="14593" max="14593" width="11.42578125" style="415" customWidth="1"/>
    <col min="14594" max="14594" width="6.140625" style="415" customWidth="1"/>
    <col min="14595" max="14595" width="21.7109375" style="415" customWidth="1"/>
    <col min="14596" max="14596" width="9.28515625" style="415" customWidth="1"/>
    <col min="14597" max="14597" width="8.28515625" style="415" customWidth="1"/>
    <col min="14598" max="14598" width="7.7109375" style="415" customWidth="1"/>
    <col min="14599" max="14599" width="9.7109375" style="415" customWidth="1"/>
    <col min="14600" max="14600" width="7.28515625" style="415" customWidth="1"/>
    <col min="14601" max="14601" width="7.5703125" style="415" customWidth="1"/>
    <col min="14602" max="14602" width="7.7109375" style="415" customWidth="1"/>
    <col min="14603" max="14603" width="7" style="415" customWidth="1"/>
    <col min="14604" max="14604" width="7.7109375" style="415" customWidth="1"/>
    <col min="14605" max="14605" width="7" style="415" customWidth="1"/>
    <col min="14606" max="14848" width="11.5703125" style="415"/>
    <col min="14849" max="14849" width="11.42578125" style="415" customWidth="1"/>
    <col min="14850" max="14850" width="6.140625" style="415" customWidth="1"/>
    <col min="14851" max="14851" width="21.7109375" style="415" customWidth="1"/>
    <col min="14852" max="14852" width="9.28515625" style="415" customWidth="1"/>
    <col min="14853" max="14853" width="8.28515625" style="415" customWidth="1"/>
    <col min="14854" max="14854" width="7.7109375" style="415" customWidth="1"/>
    <col min="14855" max="14855" width="9.7109375" style="415" customWidth="1"/>
    <col min="14856" max="14856" width="7.28515625" style="415" customWidth="1"/>
    <col min="14857" max="14857" width="7.5703125" style="415" customWidth="1"/>
    <col min="14858" max="14858" width="7.7109375" style="415" customWidth="1"/>
    <col min="14859" max="14859" width="7" style="415" customWidth="1"/>
    <col min="14860" max="14860" width="7.7109375" style="415" customWidth="1"/>
    <col min="14861" max="14861" width="7" style="415" customWidth="1"/>
    <col min="14862" max="15104" width="11.5703125" style="415"/>
    <col min="15105" max="15105" width="11.42578125" style="415" customWidth="1"/>
    <col min="15106" max="15106" width="6.140625" style="415" customWidth="1"/>
    <col min="15107" max="15107" width="21.7109375" style="415" customWidth="1"/>
    <col min="15108" max="15108" width="9.28515625" style="415" customWidth="1"/>
    <col min="15109" max="15109" width="8.28515625" style="415" customWidth="1"/>
    <col min="15110" max="15110" width="7.7109375" style="415" customWidth="1"/>
    <col min="15111" max="15111" width="9.7109375" style="415" customWidth="1"/>
    <col min="15112" max="15112" width="7.28515625" style="415" customWidth="1"/>
    <col min="15113" max="15113" width="7.5703125" style="415" customWidth="1"/>
    <col min="15114" max="15114" width="7.7109375" style="415" customWidth="1"/>
    <col min="15115" max="15115" width="7" style="415" customWidth="1"/>
    <col min="15116" max="15116" width="7.7109375" style="415" customWidth="1"/>
    <col min="15117" max="15117" width="7" style="415" customWidth="1"/>
    <col min="15118" max="15360" width="11.5703125" style="415"/>
    <col min="15361" max="15361" width="11.42578125" style="415" customWidth="1"/>
    <col min="15362" max="15362" width="6.140625" style="415" customWidth="1"/>
    <col min="15363" max="15363" width="21.7109375" style="415" customWidth="1"/>
    <col min="15364" max="15364" width="9.28515625" style="415" customWidth="1"/>
    <col min="15365" max="15365" width="8.28515625" style="415" customWidth="1"/>
    <col min="15366" max="15366" width="7.7109375" style="415" customWidth="1"/>
    <col min="15367" max="15367" width="9.7109375" style="415" customWidth="1"/>
    <col min="15368" max="15368" width="7.28515625" style="415" customWidth="1"/>
    <col min="15369" max="15369" width="7.5703125" style="415" customWidth="1"/>
    <col min="15370" max="15370" width="7.7109375" style="415" customWidth="1"/>
    <col min="15371" max="15371" width="7" style="415" customWidth="1"/>
    <col min="15372" max="15372" width="7.7109375" style="415" customWidth="1"/>
    <col min="15373" max="15373" width="7" style="415" customWidth="1"/>
    <col min="15374" max="15616" width="11.5703125" style="415"/>
    <col min="15617" max="15617" width="11.42578125" style="415" customWidth="1"/>
    <col min="15618" max="15618" width="6.140625" style="415" customWidth="1"/>
    <col min="15619" max="15619" width="21.7109375" style="415" customWidth="1"/>
    <col min="15620" max="15620" width="9.28515625" style="415" customWidth="1"/>
    <col min="15621" max="15621" width="8.28515625" style="415" customWidth="1"/>
    <col min="15622" max="15622" width="7.7109375" style="415" customWidth="1"/>
    <col min="15623" max="15623" width="9.7109375" style="415" customWidth="1"/>
    <col min="15624" max="15624" width="7.28515625" style="415" customWidth="1"/>
    <col min="15625" max="15625" width="7.5703125" style="415" customWidth="1"/>
    <col min="15626" max="15626" width="7.7109375" style="415" customWidth="1"/>
    <col min="15627" max="15627" width="7" style="415" customWidth="1"/>
    <col min="15628" max="15628" width="7.7109375" style="415" customWidth="1"/>
    <col min="15629" max="15629" width="7" style="415" customWidth="1"/>
    <col min="15630" max="15872" width="11.5703125" style="415"/>
    <col min="15873" max="15873" width="11.42578125" style="415" customWidth="1"/>
    <col min="15874" max="15874" width="6.140625" style="415" customWidth="1"/>
    <col min="15875" max="15875" width="21.7109375" style="415" customWidth="1"/>
    <col min="15876" max="15876" width="9.28515625" style="415" customWidth="1"/>
    <col min="15877" max="15877" width="8.28515625" style="415" customWidth="1"/>
    <col min="15878" max="15878" width="7.7109375" style="415" customWidth="1"/>
    <col min="15879" max="15879" width="9.7109375" style="415" customWidth="1"/>
    <col min="15880" max="15880" width="7.28515625" style="415" customWidth="1"/>
    <col min="15881" max="15881" width="7.5703125" style="415" customWidth="1"/>
    <col min="15882" max="15882" width="7.7109375" style="415" customWidth="1"/>
    <col min="15883" max="15883" width="7" style="415" customWidth="1"/>
    <col min="15884" max="15884" width="7.7109375" style="415" customWidth="1"/>
    <col min="15885" max="15885" width="7" style="415" customWidth="1"/>
    <col min="15886" max="16128" width="11.5703125" style="415"/>
    <col min="16129" max="16129" width="11.42578125" style="415" customWidth="1"/>
    <col min="16130" max="16130" width="6.140625" style="415" customWidth="1"/>
    <col min="16131" max="16131" width="21.7109375" style="415" customWidth="1"/>
    <col min="16132" max="16132" width="9.28515625" style="415" customWidth="1"/>
    <col min="16133" max="16133" width="8.28515625" style="415" customWidth="1"/>
    <col min="16134" max="16134" width="7.7109375" style="415" customWidth="1"/>
    <col min="16135" max="16135" width="9.7109375" style="415" customWidth="1"/>
    <col min="16136" max="16136" width="7.28515625" style="415" customWidth="1"/>
    <col min="16137" max="16137" width="7.5703125" style="415" customWidth="1"/>
    <col min="16138" max="16138" width="7.7109375" style="415" customWidth="1"/>
    <col min="16139" max="16139" width="7" style="415" customWidth="1"/>
    <col min="16140" max="16140" width="7.7109375" style="415" customWidth="1"/>
    <col min="16141" max="16141" width="7" style="415" customWidth="1"/>
    <col min="16142" max="16384" width="11.5703125" style="415"/>
  </cols>
  <sheetData>
    <row r="1" spans="1:15" ht="26.25" customHeight="1" x14ac:dyDescent="0.4">
      <c r="A1" s="448" t="s">
        <v>534</v>
      </c>
      <c r="B1" s="449"/>
      <c r="C1" s="450"/>
      <c r="F1" s="451" t="s">
        <v>548</v>
      </c>
      <c r="G1" s="452"/>
      <c r="H1" s="452"/>
      <c r="I1" s="452"/>
      <c r="J1" s="452"/>
      <c r="K1" s="452"/>
      <c r="L1" s="453"/>
    </row>
    <row r="2" spans="1:15" ht="21" customHeight="1" x14ac:dyDescent="0.35">
      <c r="A2" s="444" t="s">
        <v>536</v>
      </c>
      <c r="B2" s="445"/>
      <c r="C2" s="416" t="s">
        <v>537</v>
      </c>
      <c r="F2" s="444" t="s">
        <v>536</v>
      </c>
      <c r="G2" s="445"/>
      <c r="H2" s="446" t="s">
        <v>549</v>
      </c>
      <c r="I2" s="446"/>
      <c r="J2" s="446"/>
      <c r="K2" s="446"/>
      <c r="L2" s="447"/>
    </row>
    <row r="3" spans="1:15" ht="21.75" customHeight="1" x14ac:dyDescent="0.35">
      <c r="A3" s="444" t="s">
        <v>538</v>
      </c>
      <c r="B3" s="445"/>
      <c r="C3" s="416" t="s">
        <v>539</v>
      </c>
      <c r="F3" s="444" t="s">
        <v>538</v>
      </c>
      <c r="G3" s="445"/>
      <c r="H3" s="446" t="s">
        <v>550</v>
      </c>
      <c r="I3" s="446"/>
      <c r="J3" s="446"/>
      <c r="K3" s="446"/>
      <c r="L3" s="447"/>
    </row>
    <row r="4" spans="1:15" ht="21.75" thickBot="1" x14ac:dyDescent="0.4">
      <c r="A4" s="454" t="s">
        <v>540</v>
      </c>
      <c r="B4" s="455"/>
      <c r="C4" s="417" t="s">
        <v>541</v>
      </c>
      <c r="F4" s="454" t="s">
        <v>540</v>
      </c>
      <c r="G4" s="455"/>
      <c r="H4" s="456" t="s">
        <v>551</v>
      </c>
      <c r="I4" s="456"/>
      <c r="J4" s="456"/>
      <c r="K4" s="456"/>
      <c r="L4" s="457"/>
    </row>
    <row r="5" spans="1:15" ht="7.5" customHeight="1" thickBot="1" x14ac:dyDescent="0.4">
      <c r="A5" s="418"/>
      <c r="C5" s="418"/>
    </row>
    <row r="6" spans="1:15" ht="35.450000000000003" customHeight="1" thickBot="1" x14ac:dyDescent="0.25">
      <c r="A6" s="458" t="s">
        <v>535</v>
      </c>
      <c r="B6" s="459"/>
      <c r="C6" s="460"/>
      <c r="F6" s="461" t="s">
        <v>542</v>
      </c>
      <c r="G6" s="462"/>
      <c r="H6" s="463"/>
      <c r="I6" s="464">
        <f ca="1">+TODAY()</f>
        <v>46099</v>
      </c>
      <c r="J6" s="465"/>
      <c r="K6" s="465"/>
      <c r="L6" s="465"/>
      <c r="M6" s="466"/>
    </row>
    <row r="7" spans="1:15" ht="3" customHeight="1" thickBot="1" x14ac:dyDescent="0.25"/>
    <row r="8" spans="1:15" ht="42.75" customHeight="1" thickBot="1" x14ac:dyDescent="0.25">
      <c r="A8" s="473" t="s">
        <v>543</v>
      </c>
      <c r="B8" s="474"/>
      <c r="C8" s="441" t="s">
        <v>572</v>
      </c>
      <c r="D8" s="420" t="s">
        <v>544</v>
      </c>
      <c r="E8" s="421">
        <v>3605</v>
      </c>
      <c r="F8" s="473" t="s">
        <v>545</v>
      </c>
      <c r="G8" s="475"/>
      <c r="H8" s="474"/>
      <c r="I8" s="476" t="s">
        <v>539</v>
      </c>
      <c r="J8" s="477"/>
      <c r="K8" s="477"/>
      <c r="L8" s="477"/>
      <c r="M8" s="478"/>
    </row>
    <row r="9" spans="1:15" ht="7.5" customHeight="1" thickBot="1" x14ac:dyDescent="0.4">
      <c r="A9" s="418"/>
      <c r="C9" s="418"/>
    </row>
    <row r="10" spans="1:15" ht="39.6" customHeight="1" thickBot="1" x14ac:dyDescent="0.25">
      <c r="A10" s="479" t="s">
        <v>552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1"/>
    </row>
    <row r="11" spans="1:15" ht="6" customHeight="1" thickBot="1" x14ac:dyDescent="0.4">
      <c r="A11" s="418"/>
      <c r="C11" s="418"/>
    </row>
    <row r="12" spans="1:15" ht="27" thickBot="1" x14ac:dyDescent="0.25">
      <c r="A12" s="482" t="s">
        <v>553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</row>
    <row r="13" spans="1:15" ht="38.25" thickBot="1" x14ac:dyDescent="0.25">
      <c r="A13" s="422" t="s">
        <v>311</v>
      </c>
      <c r="B13" s="423" t="s">
        <v>533</v>
      </c>
      <c r="C13" s="424" t="s">
        <v>554</v>
      </c>
      <c r="D13" s="425" t="s">
        <v>555</v>
      </c>
      <c r="E13" s="426" t="s">
        <v>285</v>
      </c>
      <c r="F13" s="426" t="s">
        <v>556</v>
      </c>
      <c r="G13" s="423" t="s">
        <v>557</v>
      </c>
      <c r="H13" s="423" t="s">
        <v>558</v>
      </c>
      <c r="I13" s="423" t="s">
        <v>559</v>
      </c>
      <c r="J13" s="423" t="s">
        <v>558</v>
      </c>
      <c r="K13" s="423" t="s">
        <v>559</v>
      </c>
      <c r="L13" s="423" t="s">
        <v>558</v>
      </c>
      <c r="M13" s="423" t="s">
        <v>559</v>
      </c>
    </row>
    <row r="14" spans="1:15" ht="33.6" customHeight="1" x14ac:dyDescent="0.2">
      <c r="A14" s="467" cm="1">
        <f t="array" ref="A14">+IFERROR(INDEX('Conteo 18-02-26'!$B:$B,MATCH(1,('Conteo 18-02-26'!$E:$E=$B14)*('Conteo 18-02-26'!$A:$A="Charcas"),0)),"")</f>
        <v>1111500</v>
      </c>
      <c r="B14" s="469">
        <v>1</v>
      </c>
      <c r="C14" s="471" t="str" cm="1">
        <f t="array" ref="C14">+IFERROR(INDEX('Conteo 18-02-26'!$C:$C,MATCH(1,('Conteo 18-02-26'!$E:$E=$B14)*('Conteo 18-02-26'!$A:$A="Charcas"),0)),"")</f>
        <v>Resorte p/ Bombilla Crudo</v>
      </c>
      <c r="D14" s="471" cm="1">
        <f t="array" ref="D14">+IFERROR(INDEX('Conteo 18-02-26'!$D:$D,MATCH(1,('Conteo 18-02-26'!$E:$E=$B14)*('Conteo 18-02-26'!A:A:'Conteo 18-02-26'!$A:$A="Charcas"),0)),"")</f>
        <v>20000</v>
      </c>
      <c r="E14" s="427" t="str">
        <f>+IF(E13="LK","CH",IF(D14="","",IF(D14&gt;0,"LK","CH")))</f>
        <v>LK</v>
      </c>
      <c r="F14" s="427">
        <f>+IF(OR(E14="LK"),ROUNDUP(D14*(VLOOKUP(B14,'Conteo 18-02-26'!$E:$AN,35,0))/100,0),IF(E14="CH",D13-F13,""))</f>
        <v>14000</v>
      </c>
      <c r="G14" s="469"/>
      <c r="H14" s="428"/>
      <c r="I14" s="429"/>
      <c r="J14" s="428"/>
      <c r="K14" s="429"/>
      <c r="L14" s="428"/>
      <c r="M14" s="430"/>
      <c r="O14" s="431"/>
    </row>
    <row r="15" spans="1:15" ht="33.6" customHeight="1" x14ac:dyDescent="0.2">
      <c r="A15" s="468"/>
      <c r="B15" s="470"/>
      <c r="C15" s="472"/>
      <c r="D15" s="472"/>
      <c r="E15" s="427" t="str">
        <f t="shared" ref="E15:E43" si="0">+IF(E14="LK","CH",IF(D15="","",IF(D15&gt;0,"LK","CH")))</f>
        <v>CH</v>
      </c>
      <c r="F15" s="432">
        <f>+IF(OR(E15="LK"),ROUNDUP(D15*(VLOOKUP(B15,'Conteo 18-02-26'!$E:$AN,35,0))/100,0),IF(E15="CH",D14-F14,""))</f>
        <v>6000</v>
      </c>
      <c r="G15" s="470"/>
      <c r="H15" s="433"/>
      <c r="I15" s="434"/>
      <c r="J15" s="433"/>
      <c r="K15" s="434"/>
      <c r="L15" s="433"/>
      <c r="M15" s="435"/>
    </row>
    <row r="16" spans="1:15" ht="33.6" customHeight="1" x14ac:dyDescent="0.2">
      <c r="A16" s="485" t="str" cm="1">
        <f t="array" ref="A16">+IFERROR(INDEX('Conteo 18-02-26'!$B:$B,MATCH(1,('Conteo 18-02-26'!$E:$E=$B16)*('Conteo 18-02-26'!$A:$A="Charcas"),0)),"")</f>
        <v/>
      </c>
      <c r="B16" s="470">
        <f>+B14+1</f>
        <v>2</v>
      </c>
      <c r="C16" s="472" t="str" cm="1">
        <f t="array" ref="C16">+IFERROR(INDEX('Conteo 18-02-26'!$C:$C,MATCH(1,('Conteo 18-02-26'!$E:$E=$B16)*('Conteo 18-02-26'!$A:$A="Charcas"),0)),"")</f>
        <v/>
      </c>
      <c r="D16" s="470" t="str" cm="1">
        <f t="array" ref="D16">+IFERROR(INDEX('Conteo 18-02-26'!$D:$D,MATCH(1,('Conteo 18-02-26'!$E:$E=$B16)*('Conteo 18-02-26'!A:A:'Conteo 18-02-26'!$A:$A="Charcas"),0)),"")</f>
        <v/>
      </c>
      <c r="E16" s="427" t="str">
        <f t="shared" si="0"/>
        <v/>
      </c>
      <c r="F16" s="432" t="str">
        <f>+IF(OR(E16="LK"),ROUNDUP(D16*(VLOOKUP(B16,'Conteo 18-02-26'!$E:$AN,35,0))/100,0),IF(E16="CH",D15-F15,""))</f>
        <v/>
      </c>
      <c r="G16" s="470"/>
      <c r="H16" s="434"/>
      <c r="I16" s="434"/>
      <c r="J16" s="434"/>
      <c r="K16" s="434"/>
      <c r="L16" s="434"/>
      <c r="M16" s="435"/>
    </row>
    <row r="17" spans="1:13" ht="33.6" customHeight="1" x14ac:dyDescent="0.2">
      <c r="A17" s="485"/>
      <c r="B17" s="470"/>
      <c r="C17" s="472"/>
      <c r="D17" s="470"/>
      <c r="E17" s="427" t="str">
        <f t="shared" si="0"/>
        <v/>
      </c>
      <c r="F17" s="432" t="str">
        <f>+IF(OR(E17="LK"),ROUNDUP(D17*(VLOOKUP(B17,'Conteo 18-02-26'!$E:$AN,35,0))/100,0),IF(E17="CH",D16-F16,""))</f>
        <v/>
      </c>
      <c r="G17" s="470"/>
      <c r="H17" s="434"/>
      <c r="I17" s="434"/>
      <c r="J17" s="434"/>
      <c r="K17" s="434"/>
      <c r="L17" s="434"/>
      <c r="M17" s="435"/>
    </row>
    <row r="18" spans="1:13" ht="33.6" customHeight="1" x14ac:dyDescent="0.2">
      <c r="A18" s="485" t="str" cm="1">
        <f t="array" ref="A18">+IFERROR(INDEX('Conteo 18-02-26'!$B:$B,MATCH(1,('Conteo 18-02-26'!$E:$E=$B18)*('Conteo 18-02-26'!$A:$A="Charcas"),0)),"")</f>
        <v/>
      </c>
      <c r="B18" s="470">
        <f>+B16+1</f>
        <v>3</v>
      </c>
      <c r="C18" s="472" t="str" cm="1">
        <f t="array" ref="C18">+IFERROR(INDEX('Conteo 18-02-26'!$C:$C,MATCH(1,('Conteo 18-02-26'!$E:$E=$B18)*('Conteo 18-02-26'!$A:$A="Charcas"),0)),"")</f>
        <v/>
      </c>
      <c r="D18" s="470" t="str" cm="1">
        <f t="array" ref="D18">+IFERROR(INDEX('Conteo 18-02-26'!$D:$D,MATCH(1,('Conteo 18-02-26'!$E:$E=$B18)*('Conteo 18-02-26'!A:A:'Conteo 18-02-26'!$A:$A="Charcas"),0)),"")</f>
        <v/>
      </c>
      <c r="E18" s="427" t="str">
        <f t="shared" si="0"/>
        <v/>
      </c>
      <c r="F18" s="432" t="str">
        <f>+IF(OR(E18="LK"),ROUNDUP(D18*(VLOOKUP(B18,'Conteo 18-02-26'!$E:$AN,35,0))/100,0),IF(E18="CH",D17-F17,""))</f>
        <v/>
      </c>
      <c r="G18" s="470"/>
      <c r="H18" s="434"/>
      <c r="I18" s="434"/>
      <c r="J18" s="434"/>
      <c r="K18" s="434"/>
      <c r="L18" s="434"/>
      <c r="M18" s="435"/>
    </row>
    <row r="19" spans="1:13" ht="33.6" customHeight="1" x14ac:dyDescent="0.2">
      <c r="A19" s="485"/>
      <c r="B19" s="470"/>
      <c r="C19" s="472"/>
      <c r="D19" s="470"/>
      <c r="E19" s="427" t="str">
        <f t="shared" si="0"/>
        <v/>
      </c>
      <c r="F19" s="432" t="str">
        <f>+IF(OR(E19="LK"),ROUNDUP(D19*(VLOOKUP(B19,'Conteo 18-02-26'!$E:$AN,35,0))/100,0),IF(E19="CH",D18-F18,""))</f>
        <v/>
      </c>
      <c r="G19" s="470"/>
      <c r="H19" s="434"/>
      <c r="I19" s="434"/>
      <c r="J19" s="434"/>
      <c r="K19" s="434"/>
      <c r="L19" s="434"/>
      <c r="M19" s="435"/>
    </row>
    <row r="20" spans="1:13" ht="33.6" customHeight="1" x14ac:dyDescent="0.2">
      <c r="A20" s="485" t="str" cm="1">
        <f t="array" ref="A20">+IFERROR(INDEX('Conteo 18-02-26'!$B:$B,MATCH(1,('Conteo 18-02-26'!$E:$E=$B20)*('Conteo 18-02-26'!$A:$A="Charcas"),0)),"")</f>
        <v/>
      </c>
      <c r="B20" s="470">
        <f>+B18+1</f>
        <v>4</v>
      </c>
      <c r="C20" s="472" t="str" cm="1">
        <f t="array" ref="C20">+IFERROR(INDEX('Conteo 18-02-26'!$C:$C,MATCH(1,('Conteo 18-02-26'!$E:$E=$B20)*('Conteo 18-02-26'!$A:$A="Charcas"),0)),"")</f>
        <v/>
      </c>
      <c r="D20" s="470" t="str" cm="1">
        <f t="array" ref="D20">+IFERROR(INDEX('Conteo 18-02-26'!$D:$D,MATCH(1,('Conteo 18-02-26'!$E:$E=$B20)*('Conteo 18-02-26'!A:A:'Conteo 18-02-26'!$A:$A="Charcas"),0)),"")</f>
        <v/>
      </c>
      <c r="E20" s="427" t="str">
        <f t="shared" si="0"/>
        <v/>
      </c>
      <c r="F20" s="432" t="str">
        <f>+IF(OR(E20="LK"),ROUNDUP(D20*(VLOOKUP(B20,'Conteo 18-02-26'!$E:$AN,35,0))/100,0),IF(E20="CH",D19-F19,""))</f>
        <v/>
      </c>
      <c r="G20" s="470"/>
      <c r="H20" s="434"/>
      <c r="I20" s="434"/>
      <c r="J20" s="434"/>
      <c r="K20" s="434"/>
      <c r="L20" s="434"/>
      <c r="M20" s="435"/>
    </row>
    <row r="21" spans="1:13" ht="33.6" customHeight="1" x14ac:dyDescent="0.2">
      <c r="A21" s="485"/>
      <c r="B21" s="470"/>
      <c r="C21" s="472"/>
      <c r="D21" s="470"/>
      <c r="E21" s="427" t="str">
        <f t="shared" si="0"/>
        <v/>
      </c>
      <c r="F21" s="432" t="str">
        <f>+IF(OR(E21="LK"),ROUNDUP(D21*(VLOOKUP(B21,'Conteo 18-02-26'!$E:$AN,35,0))/100,0),IF(E21="CH",D20-F20,""))</f>
        <v/>
      </c>
      <c r="G21" s="470"/>
      <c r="H21" s="434"/>
      <c r="I21" s="434"/>
      <c r="J21" s="434"/>
      <c r="K21" s="434"/>
      <c r="L21" s="434"/>
      <c r="M21" s="435"/>
    </row>
    <row r="22" spans="1:13" ht="33.6" customHeight="1" x14ac:dyDescent="0.2">
      <c r="A22" s="485" t="str" cm="1">
        <f t="array" ref="A22">+IFERROR(INDEX('Conteo 18-02-26'!$B:$B,MATCH(1,('Conteo 18-02-26'!$E:$E=$B22)*('Conteo 18-02-26'!$A:$A="Charcas"),0)),"")</f>
        <v/>
      </c>
      <c r="B22" s="470">
        <f>+B20+1</f>
        <v>5</v>
      </c>
      <c r="C22" s="472" t="str" cm="1">
        <f t="array" ref="C22">+IFERROR(INDEX('Conteo 18-02-26'!$C:$C,MATCH(1,('Conteo 18-02-26'!$E:$E=$B22)*('Conteo 18-02-26'!$A:$A="Charcas"),0)),"")</f>
        <v/>
      </c>
      <c r="D22" s="470" t="str" cm="1">
        <f t="array" ref="D22">+IFERROR(INDEX('Conteo 18-02-26'!$D:$D,MATCH(1,('Conteo 18-02-26'!$E:$E=$B22)*('Conteo 18-02-26'!A:A:'Conteo 18-02-26'!$A:$A="Charcas"),0)),"")</f>
        <v/>
      </c>
      <c r="E22" s="427" t="str">
        <f t="shared" si="0"/>
        <v/>
      </c>
      <c r="F22" s="432" t="str">
        <f>+IF(OR(E22="LK"),ROUNDUP(D22*(VLOOKUP(B22,'Conteo 18-02-26'!$E:$AN,35,0))/100,0),IF(E22="CH",D21-F21,""))</f>
        <v/>
      </c>
      <c r="G22" s="470"/>
      <c r="H22" s="434"/>
      <c r="I22" s="434"/>
      <c r="J22" s="434"/>
      <c r="K22" s="434"/>
      <c r="L22" s="434"/>
      <c r="M22" s="435"/>
    </row>
    <row r="23" spans="1:13" ht="33.6" customHeight="1" x14ac:dyDescent="0.2">
      <c r="A23" s="485"/>
      <c r="B23" s="470"/>
      <c r="C23" s="472"/>
      <c r="D23" s="470"/>
      <c r="E23" s="427" t="str">
        <f t="shared" si="0"/>
        <v/>
      </c>
      <c r="F23" s="432" t="str">
        <f>+IF(OR(E23="LK"),ROUNDUP(D23*(VLOOKUP(B23,'Conteo 18-02-26'!$E:$AN,35,0))/100,0),IF(E23="CH",D22-F22,""))</f>
        <v/>
      </c>
      <c r="G23" s="470"/>
      <c r="H23" s="434"/>
      <c r="I23" s="434"/>
      <c r="J23" s="434"/>
      <c r="K23" s="434"/>
      <c r="L23" s="434"/>
      <c r="M23" s="435"/>
    </row>
    <row r="24" spans="1:13" ht="33.6" customHeight="1" x14ac:dyDescent="0.2">
      <c r="A24" s="485" t="str" cm="1">
        <f t="array" ref="A24">+IFERROR(INDEX('Conteo 18-02-26'!$B:$B,MATCH(1,('Conteo 18-02-26'!$E:$E=$B24)*('Conteo 18-02-26'!$A:$A="Charcas"),0)),"")</f>
        <v/>
      </c>
      <c r="B24" s="470">
        <f>+B22+1</f>
        <v>6</v>
      </c>
      <c r="C24" s="472" t="str" cm="1">
        <f t="array" ref="C24">+IFERROR(INDEX('Conteo 18-02-26'!$C:$C,MATCH(1,('Conteo 18-02-26'!$E:$E=$B24)*('Conteo 18-02-26'!$A:$A="Charcas"),0)),"")</f>
        <v/>
      </c>
      <c r="D24" s="470" t="str" cm="1">
        <f t="array" ref="D24">+IFERROR(INDEX('Conteo 18-02-26'!$D:$D,MATCH(1,('Conteo 18-02-26'!$E:$E=$B24)*('Conteo 18-02-26'!A:A:'Conteo 18-02-26'!$A:$A="Charcas"),0)),"")</f>
        <v/>
      </c>
      <c r="E24" s="427" t="str">
        <f t="shared" si="0"/>
        <v/>
      </c>
      <c r="F24" s="432" t="str">
        <f>+IF(OR(E24="LK"),ROUNDUP(D24*(VLOOKUP(B24,'Conteo 18-02-26'!$E:$AN,35,0))/100,0),IF(E24="CH",D23-F23,""))</f>
        <v/>
      </c>
      <c r="G24" s="470"/>
      <c r="H24" s="434"/>
      <c r="I24" s="434"/>
      <c r="J24" s="434"/>
      <c r="K24" s="434"/>
      <c r="L24" s="434"/>
      <c r="M24" s="435"/>
    </row>
    <row r="25" spans="1:13" ht="33.6" customHeight="1" x14ac:dyDescent="0.2">
      <c r="A25" s="485"/>
      <c r="B25" s="470"/>
      <c r="C25" s="472"/>
      <c r="D25" s="470"/>
      <c r="E25" s="427" t="str">
        <f t="shared" si="0"/>
        <v/>
      </c>
      <c r="F25" s="432" t="str">
        <f>+IF(OR(E25="LK"),ROUNDUP(D25*(VLOOKUP(B25,'Conteo 18-02-26'!$E:$AN,35,0))/100,0),IF(E25="CH",D24-F24,""))</f>
        <v/>
      </c>
      <c r="G25" s="470"/>
      <c r="H25" s="434"/>
      <c r="I25" s="434"/>
      <c r="J25" s="434"/>
      <c r="K25" s="434"/>
      <c r="L25" s="434"/>
      <c r="M25" s="435"/>
    </row>
    <row r="26" spans="1:13" ht="33.6" customHeight="1" x14ac:dyDescent="0.2">
      <c r="A26" s="485" t="str" cm="1">
        <f t="array" ref="A26">+IFERROR(INDEX('Conteo 18-02-26'!$B:$B,MATCH(1,('Conteo 18-02-26'!$E:$E=$B26)*('Conteo 18-02-26'!$A:$A="Charcas"),0)),"")</f>
        <v/>
      </c>
      <c r="B26" s="470">
        <f>+B24+1</f>
        <v>7</v>
      </c>
      <c r="C26" s="472" t="str" cm="1">
        <f t="array" ref="C26">+IFERROR(INDEX('Conteo 18-02-26'!$C:$C,MATCH(1,('Conteo 18-02-26'!$E:$E=$B26)*('Conteo 18-02-26'!$A:$A="Charcas"),0)),"")</f>
        <v/>
      </c>
      <c r="D26" s="470" t="str" cm="1">
        <f t="array" ref="D26">+IFERROR(INDEX('Conteo 18-02-26'!$D:$D,MATCH(1,('Conteo 18-02-26'!$E:$E=$B26)*('Conteo 18-02-26'!A:A:'Conteo 18-02-26'!$A:$A="Charcas"),0)),"")</f>
        <v/>
      </c>
      <c r="E26" s="427" t="str">
        <f t="shared" si="0"/>
        <v/>
      </c>
      <c r="F26" s="432" t="str">
        <f>+IF(OR(E26="LK"),ROUNDUP(D26*(VLOOKUP(B26,'Conteo 18-02-26'!$E:$AN,35,0))/100,0),IF(E26="CH",D25-F25,""))</f>
        <v/>
      </c>
      <c r="G26" s="470"/>
      <c r="H26" s="434"/>
      <c r="I26" s="434"/>
      <c r="J26" s="434"/>
      <c r="K26" s="434"/>
      <c r="L26" s="434"/>
      <c r="M26" s="435"/>
    </row>
    <row r="27" spans="1:13" ht="33.6" customHeight="1" x14ac:dyDescent="0.2">
      <c r="A27" s="485"/>
      <c r="B27" s="470"/>
      <c r="C27" s="472"/>
      <c r="D27" s="470"/>
      <c r="E27" s="427" t="str">
        <f t="shared" si="0"/>
        <v/>
      </c>
      <c r="F27" s="432" t="str">
        <f>+IF(OR(E27="LK"),ROUNDUP(D27*(VLOOKUP(B27,'Conteo 18-02-26'!$E:$AN,35,0))/100,0),IF(E27="CH",D26-F26,""))</f>
        <v/>
      </c>
      <c r="G27" s="470"/>
      <c r="H27" s="434"/>
      <c r="I27" s="434"/>
      <c r="J27" s="434"/>
      <c r="K27" s="434"/>
      <c r="L27" s="434"/>
      <c r="M27" s="435"/>
    </row>
    <row r="28" spans="1:13" ht="33.6" customHeight="1" x14ac:dyDescent="0.2">
      <c r="A28" s="485" t="str" cm="1">
        <f t="array" ref="A28">+IFERROR(INDEX('Conteo 18-02-26'!$B:$B,MATCH(1,('Conteo 18-02-26'!$E:$E=$B28)*('Conteo 18-02-26'!$A:$A="Charcas"),0)),"")</f>
        <v/>
      </c>
      <c r="B28" s="470">
        <f>+B26+1</f>
        <v>8</v>
      </c>
      <c r="C28" s="472" t="str" cm="1">
        <f t="array" ref="C28">+IFERROR(INDEX('Conteo 18-02-26'!$C:$C,MATCH(1,('Conteo 18-02-26'!$E:$E=$B28)*('Conteo 18-02-26'!$A:$A="Charcas"),0)),"")</f>
        <v/>
      </c>
      <c r="D28" s="470" t="str" cm="1">
        <f t="array" ref="D28">+IFERROR(INDEX('Conteo 18-02-26'!$D:$D,MATCH(1,('Conteo 18-02-26'!$E:$E=$B28)*('Conteo 18-02-26'!A:A:'Conteo 18-02-26'!$A:$A="Charcas"),0)),"")</f>
        <v/>
      </c>
      <c r="E28" s="427" t="str">
        <f t="shared" si="0"/>
        <v/>
      </c>
      <c r="F28" s="432" t="str">
        <f>+IF(OR(E28="LK"),ROUNDUP(D28*(VLOOKUP(B28,'Conteo 18-02-26'!$E:$AN,35,0))/100,0),IF(E28="CH",D27-F27,""))</f>
        <v/>
      </c>
      <c r="G28" s="470"/>
      <c r="H28" s="434"/>
      <c r="I28" s="434"/>
      <c r="J28" s="434"/>
      <c r="K28" s="434"/>
      <c r="L28" s="434"/>
      <c r="M28" s="435"/>
    </row>
    <row r="29" spans="1:13" ht="33.6" customHeight="1" x14ac:dyDescent="0.2">
      <c r="A29" s="485"/>
      <c r="B29" s="470"/>
      <c r="C29" s="472"/>
      <c r="D29" s="470"/>
      <c r="E29" s="427" t="str">
        <f t="shared" si="0"/>
        <v/>
      </c>
      <c r="F29" s="432" t="str">
        <f>+IF(OR(E29="LK"),ROUNDUP(D29*(VLOOKUP(B29,'Conteo 18-02-26'!$E:$AN,35,0))/100,0),IF(E29="CH",D28-F28,""))</f>
        <v/>
      </c>
      <c r="G29" s="470"/>
      <c r="H29" s="434"/>
      <c r="I29" s="434"/>
      <c r="J29" s="434"/>
      <c r="K29" s="434"/>
      <c r="L29" s="434"/>
      <c r="M29" s="435"/>
    </row>
    <row r="30" spans="1:13" ht="33.6" customHeight="1" x14ac:dyDescent="0.2">
      <c r="A30" s="485" t="str" cm="1">
        <f t="array" ref="A30">+IFERROR(INDEX('Conteo 18-02-26'!$B:$B,MATCH(1,('Conteo 18-02-26'!$E:$E=$B30)*('Conteo 18-02-26'!$A:$A="Charcas"),0)),"")</f>
        <v/>
      </c>
      <c r="B30" s="470">
        <f>+B28+1</f>
        <v>9</v>
      </c>
      <c r="C30" s="472" t="str" cm="1">
        <f t="array" ref="C30">+IFERROR(INDEX('Conteo 18-02-26'!$C:$C,MATCH(1,('Conteo 18-02-26'!$E:$E=$B30)*('Conteo 18-02-26'!$A:$A="Charcas"),0)),"")</f>
        <v/>
      </c>
      <c r="D30" s="470" t="str" cm="1">
        <f t="array" ref="D30">+IFERROR(INDEX('Conteo 18-02-26'!$D:$D,MATCH(1,('Conteo 18-02-26'!$E:$E=$B30)*('Conteo 18-02-26'!A:A:'Conteo 18-02-26'!$A:$A="Charcas"),0)),"")</f>
        <v/>
      </c>
      <c r="E30" s="427" t="str">
        <f t="shared" si="0"/>
        <v/>
      </c>
      <c r="F30" s="432" t="str">
        <f>+IF(OR(E30="LK"),ROUNDUP(D30*(VLOOKUP(B30,'Conteo 18-02-26'!$E:$AN,35,0))/100,0),IF(E30="CH",D29-F29,""))</f>
        <v/>
      </c>
      <c r="G30" s="470"/>
      <c r="H30" s="434"/>
      <c r="I30" s="434"/>
      <c r="J30" s="434"/>
      <c r="K30" s="434"/>
      <c r="L30" s="434"/>
      <c r="M30" s="435"/>
    </row>
    <row r="31" spans="1:13" ht="33.6" customHeight="1" x14ac:dyDescent="0.2">
      <c r="A31" s="485"/>
      <c r="B31" s="470"/>
      <c r="C31" s="472"/>
      <c r="D31" s="470"/>
      <c r="E31" s="427" t="str">
        <f t="shared" si="0"/>
        <v/>
      </c>
      <c r="F31" s="432" t="str">
        <f>+IF(OR(E31="LK"),ROUNDUP(D31*(VLOOKUP(B31,'Conteo 18-02-26'!$E:$AN,35,0))/100,0),IF(E31="CH",D30-F30,""))</f>
        <v/>
      </c>
      <c r="G31" s="470"/>
      <c r="H31" s="434"/>
      <c r="I31" s="434"/>
      <c r="J31" s="434"/>
      <c r="K31" s="434"/>
      <c r="L31" s="434"/>
      <c r="M31" s="435"/>
    </row>
    <row r="32" spans="1:13" ht="33.6" customHeight="1" x14ac:dyDescent="0.2">
      <c r="A32" s="485" t="str" cm="1">
        <f t="array" ref="A32">+IFERROR(INDEX('Conteo 18-02-26'!$B:$B,MATCH(1,('Conteo 18-02-26'!$E:$E=$B32)*('Conteo 18-02-26'!$A:$A="Charcas"),0)),"")</f>
        <v/>
      </c>
      <c r="B32" s="470">
        <f>+B30+1</f>
        <v>10</v>
      </c>
      <c r="C32" s="472" t="str" cm="1">
        <f t="array" ref="C32">+IFERROR(INDEX('Conteo 18-02-26'!$C:$C,MATCH(1,('Conteo 18-02-26'!$E:$E=$B32)*('Conteo 18-02-26'!$A:$A="Charcas"),0)),"")</f>
        <v/>
      </c>
      <c r="D32" s="470" t="str" cm="1">
        <f t="array" ref="D32">+IFERROR(INDEX('Conteo 18-02-26'!$D:$D,MATCH(1,('Conteo 18-02-26'!$E:$E=$B32)*('Conteo 18-02-26'!A:A:'Conteo 18-02-26'!$A:$A="Charcas"),0)),"")</f>
        <v/>
      </c>
      <c r="E32" s="427" t="str">
        <f t="shared" si="0"/>
        <v/>
      </c>
      <c r="F32" s="432" t="str">
        <f>+IF(OR(E32="LK"),ROUNDUP(D32*(VLOOKUP(B32,'Conteo 18-02-26'!$E:$AN,35,0))/100,0),IF(E32="CH",D31-F31,""))</f>
        <v/>
      </c>
      <c r="G32" s="470"/>
      <c r="H32" s="434"/>
      <c r="I32" s="434"/>
      <c r="J32" s="434"/>
      <c r="K32" s="434"/>
      <c r="L32" s="434"/>
      <c r="M32" s="435"/>
    </row>
    <row r="33" spans="1:13" ht="33.6" customHeight="1" x14ac:dyDescent="0.2">
      <c r="A33" s="485"/>
      <c r="B33" s="470"/>
      <c r="C33" s="472"/>
      <c r="D33" s="470"/>
      <c r="E33" s="427" t="str">
        <f t="shared" si="0"/>
        <v/>
      </c>
      <c r="F33" s="432" t="str">
        <f>+IF(OR(E33="LK"),ROUNDUP(D33*(VLOOKUP(B33,'Conteo 18-02-26'!$E:$AN,35,0))/100,0),IF(E33="CH",D32-F32,""))</f>
        <v/>
      </c>
      <c r="G33" s="470"/>
      <c r="H33" s="434"/>
      <c r="I33" s="434"/>
      <c r="J33" s="434"/>
      <c r="K33" s="434"/>
      <c r="L33" s="434"/>
      <c r="M33" s="435"/>
    </row>
    <row r="34" spans="1:13" ht="33.6" customHeight="1" x14ac:dyDescent="0.2">
      <c r="A34" s="485" t="str" cm="1">
        <f t="array" ref="A34">+IFERROR(INDEX('Conteo 18-02-26'!$B:$B,MATCH(1,('Conteo 18-02-26'!$E:$E=$B34)*('Conteo 18-02-26'!$A:$A="Charcas"),0)),"")</f>
        <v/>
      </c>
      <c r="B34" s="470">
        <f>+B32+1</f>
        <v>11</v>
      </c>
      <c r="C34" s="472" t="str" cm="1">
        <f t="array" ref="C34">+IFERROR(INDEX('Conteo 18-02-26'!$C:$C,MATCH(1,('Conteo 18-02-26'!$E:$E=$B34)*('Conteo 18-02-26'!$A:$A="Charcas"),0)),"")</f>
        <v/>
      </c>
      <c r="D34" s="470" t="str" cm="1">
        <f t="array" ref="D34">+IFERROR(INDEX('Conteo 18-02-26'!$D:$D,MATCH(1,('Conteo 18-02-26'!$E:$E=$B34)*('Conteo 18-02-26'!A:A:'Conteo 18-02-26'!$A:$A="Charcas"),0)),"")</f>
        <v/>
      </c>
      <c r="E34" s="427" t="str">
        <f t="shared" si="0"/>
        <v/>
      </c>
      <c r="F34" s="432" t="str">
        <f>+IF(OR(E34="LK"),ROUNDUP(D34*(VLOOKUP(B34,'Conteo 18-02-26'!$E:$AN,35,0))/100,0),IF(E34="CH",D33-F33,""))</f>
        <v/>
      </c>
      <c r="G34" s="470"/>
      <c r="H34" s="434"/>
      <c r="I34" s="434"/>
      <c r="J34" s="434"/>
      <c r="K34" s="434"/>
      <c r="L34" s="434"/>
      <c r="M34" s="435"/>
    </row>
    <row r="35" spans="1:13" ht="33.6" customHeight="1" thickBot="1" x14ac:dyDescent="0.25">
      <c r="A35" s="486"/>
      <c r="B35" s="487"/>
      <c r="C35" s="488"/>
      <c r="D35" s="487"/>
      <c r="E35" s="427" t="str">
        <f t="shared" si="0"/>
        <v/>
      </c>
      <c r="F35" s="432" t="str">
        <f>+IF(OR(E35="LK"),ROUNDUP(D35*(VLOOKUP(B35,'Conteo 18-02-26'!$E:$AN,35,0))/100,0),IF(E35="CH",D34-F34,""))</f>
        <v/>
      </c>
      <c r="G35" s="487"/>
      <c r="H35" s="436"/>
      <c r="I35" s="436"/>
      <c r="J35" s="436"/>
      <c r="K35" s="436"/>
      <c r="L35" s="436"/>
      <c r="M35" s="437"/>
    </row>
    <row r="36" spans="1:13" ht="33.6" customHeight="1" x14ac:dyDescent="0.2">
      <c r="A36" s="490" t="str" cm="1">
        <f t="array" ref="A36">+IFERROR(INDEX('Conteo 18-02-26'!$B:$B,MATCH(1,('Conteo 18-02-26'!$E:$E=$B36)*('Conteo 18-02-26'!$A:$A="Charcas"),0)),"")</f>
        <v/>
      </c>
      <c r="B36" s="491">
        <f>+B34+1</f>
        <v>12</v>
      </c>
      <c r="C36" s="492" t="str" cm="1">
        <f t="array" ref="C36">+IFERROR(INDEX('Conteo 18-02-26'!$C:$C,MATCH(1,('Conteo 18-02-26'!$E:$E=$B36)*('Conteo 18-02-26'!$A:$A="Charcas"),0)),"")</f>
        <v/>
      </c>
      <c r="D36" s="491" t="str" cm="1">
        <f t="array" ref="D36">+IFERROR(INDEX('Conteo 18-02-26'!$D:$D,MATCH(1,('Conteo 18-02-26'!$E:$E=$B36)*('Conteo 18-02-26'!A:A:'Conteo 18-02-26'!$A:$A="Charcas"),0)),"")</f>
        <v/>
      </c>
      <c r="E36" s="427" t="str">
        <f t="shared" si="0"/>
        <v/>
      </c>
      <c r="F36" s="432" t="str">
        <f>+IF(OR(E36="LK"),ROUNDUP(D36*(VLOOKUP(B36,'Conteo 18-02-26'!$E:$AN,35,0))/100,0),IF(E36="CH",D35-F35,""))</f>
        <v/>
      </c>
      <c r="G36" s="491"/>
      <c r="H36" s="438"/>
      <c r="I36" s="438"/>
      <c r="J36" s="438"/>
      <c r="K36" s="438"/>
      <c r="L36" s="438"/>
      <c r="M36" s="438"/>
    </row>
    <row r="37" spans="1:13" ht="33.6" customHeight="1" x14ac:dyDescent="0.2">
      <c r="A37" s="489"/>
      <c r="B37" s="470"/>
      <c r="C37" s="472"/>
      <c r="D37" s="470"/>
      <c r="E37" s="427" t="str">
        <f t="shared" si="0"/>
        <v/>
      </c>
      <c r="F37" s="432" t="str">
        <f>+IF(OR(E37="LK"),ROUNDUP(D37*(VLOOKUP(B37,'Conteo 18-02-26'!$E:$AN,35,0))/100,0),IF(E37="CH",D36-F36,""))</f>
        <v/>
      </c>
      <c r="G37" s="470"/>
      <c r="H37" s="434"/>
      <c r="I37" s="434"/>
      <c r="J37" s="434"/>
      <c r="K37" s="434"/>
      <c r="L37" s="434"/>
      <c r="M37" s="434"/>
    </row>
    <row r="38" spans="1:13" ht="33.6" customHeight="1" x14ac:dyDescent="0.2">
      <c r="A38" s="489" t="str" cm="1">
        <f t="array" ref="A38">+IFERROR(INDEX('Conteo 18-02-26'!$B:$B,MATCH(1,('Conteo 18-02-26'!$E:$E=$B38)*('Conteo 18-02-26'!$A:$A="Charcas"),0)),"")</f>
        <v/>
      </c>
      <c r="B38" s="470">
        <f>+B36+1</f>
        <v>13</v>
      </c>
      <c r="C38" s="472" t="str" cm="1">
        <f t="array" ref="C38">+IFERROR(INDEX('Conteo 18-02-26'!$C:$C,MATCH(1,('Conteo 18-02-26'!$E:$E=$B38)*('Conteo 18-02-26'!$A:$A="Charcas"),0)),"")</f>
        <v/>
      </c>
      <c r="D38" s="470" t="str" cm="1">
        <f t="array" ref="D38">+IFERROR(INDEX('Conteo 18-02-26'!$D:$D,MATCH(1,('Conteo 18-02-26'!$E:$E=$B38)*('Conteo 18-02-26'!A:A:'Conteo 18-02-26'!$A:$A="Charcas"),0)),"")</f>
        <v/>
      </c>
      <c r="E38" s="427" t="str">
        <f t="shared" si="0"/>
        <v/>
      </c>
      <c r="F38" s="432" t="str">
        <f>+IF(OR(E38="LK"),ROUNDUP(D38*(VLOOKUP(B38,'Conteo 18-02-26'!$E:$AN,35,0))/100,0),IF(E38="CH",D37-F37,""))</f>
        <v/>
      </c>
      <c r="G38" s="470"/>
      <c r="H38" s="434"/>
      <c r="I38" s="434"/>
      <c r="J38" s="434"/>
      <c r="K38" s="434"/>
      <c r="L38" s="434"/>
      <c r="M38" s="434"/>
    </row>
    <row r="39" spans="1:13" ht="33.6" customHeight="1" x14ac:dyDescent="0.2">
      <c r="A39" s="489"/>
      <c r="B39" s="470"/>
      <c r="C39" s="472"/>
      <c r="D39" s="470"/>
      <c r="E39" s="427" t="str">
        <f t="shared" si="0"/>
        <v/>
      </c>
      <c r="F39" s="432" t="str">
        <f>+IF(OR(E39="LK"),ROUNDUP(D39*(VLOOKUP(B39,'Conteo 18-02-26'!$E:$AN,35,0))/100,0),IF(E39="CH",D38-F38,""))</f>
        <v/>
      </c>
      <c r="G39" s="470"/>
      <c r="H39" s="434"/>
      <c r="I39" s="434"/>
      <c r="J39" s="434"/>
      <c r="K39" s="434"/>
      <c r="L39" s="434"/>
      <c r="M39" s="434"/>
    </row>
    <row r="40" spans="1:13" ht="33.6" customHeight="1" x14ac:dyDescent="0.2">
      <c r="A40" s="489" t="str" cm="1">
        <f t="array" ref="A40">+IFERROR(INDEX('Conteo 18-02-26'!$B:$B,MATCH(1,('Conteo 18-02-26'!$E:$E=$B40)*('Conteo 18-02-26'!$A:$A="Charcas"),0)),"")</f>
        <v/>
      </c>
      <c r="B40" s="470">
        <f>+B38+1</f>
        <v>14</v>
      </c>
      <c r="C40" s="472" t="str" cm="1">
        <f t="array" ref="C40">+IFERROR(INDEX('Conteo 18-02-26'!$C:$C,MATCH(1,('Conteo 18-02-26'!$E:$E=$B40)*('Conteo 18-02-26'!$A:$A="Charcas"),0)),"")</f>
        <v/>
      </c>
      <c r="D40" s="470" t="str" cm="1">
        <f t="array" ref="D40">+IFERROR(INDEX('Conteo 18-02-26'!$D:$D,MATCH(1,('Conteo 18-02-26'!$E:$E=$B40)*('Conteo 18-02-26'!A:A:'Conteo 18-02-26'!$A:$A="Charcas"),0)),"")</f>
        <v/>
      </c>
      <c r="E40" s="427" t="str">
        <f t="shared" si="0"/>
        <v/>
      </c>
      <c r="F40" s="432" t="str">
        <f>+IF(OR(E40="LK"),ROUNDUP(D40*(VLOOKUP(B40,'Conteo 18-02-26'!$E:$AN,35,0))/100,0),IF(E40="CH",D39-F39,""))</f>
        <v/>
      </c>
      <c r="G40" s="470"/>
      <c r="H40" s="434"/>
      <c r="I40" s="434"/>
      <c r="J40" s="434"/>
      <c r="K40" s="434"/>
      <c r="L40" s="434"/>
      <c r="M40" s="434"/>
    </row>
    <row r="41" spans="1:13" ht="33.6" customHeight="1" x14ac:dyDescent="0.2">
      <c r="A41" s="489"/>
      <c r="B41" s="470"/>
      <c r="C41" s="472"/>
      <c r="D41" s="470"/>
      <c r="E41" s="427" t="str">
        <f t="shared" si="0"/>
        <v/>
      </c>
      <c r="F41" s="432" t="str">
        <f>+IF(OR(E41="LK"),ROUNDUP(D41*(VLOOKUP(B41,'Conteo 18-02-26'!$E:$AN,35,0))/100,0),IF(E41="CH",D40-F40,""))</f>
        <v/>
      </c>
      <c r="G41" s="470"/>
      <c r="H41" s="434"/>
      <c r="I41" s="434"/>
      <c r="J41" s="434"/>
      <c r="K41" s="434"/>
      <c r="L41" s="434"/>
      <c r="M41" s="434"/>
    </row>
    <row r="42" spans="1:13" ht="33.6" customHeight="1" x14ac:dyDescent="0.2">
      <c r="A42" s="489" t="str" cm="1">
        <f t="array" ref="A42">+IFERROR(INDEX('Conteo 18-02-26'!$B:$B,MATCH(1,('Conteo 18-02-26'!$E:$E=$B42)*('Conteo 18-02-26'!$A:$A="Charcas"),0)),"")</f>
        <v/>
      </c>
      <c r="B42" s="470">
        <f>+B40+1</f>
        <v>15</v>
      </c>
      <c r="C42" s="472" t="str" cm="1">
        <f t="array" ref="C42">+IFERROR(INDEX('Conteo 18-02-26'!$C:$C,MATCH(1,('Conteo 18-02-26'!$E:$E=$B42)*('Conteo 18-02-26'!$A:$A="Charcas"),0)),"")</f>
        <v/>
      </c>
      <c r="D42" s="470" t="str" cm="1">
        <f t="array" ref="D42">+IFERROR(INDEX('Conteo 18-02-26'!$D:$D,MATCH(1,('Conteo 18-02-26'!$E:$E=$B42)*('Conteo 18-02-26'!A:A:'Conteo 18-02-26'!$A:$A="Charcas"),0)),"")</f>
        <v/>
      </c>
      <c r="E42" s="427" t="str">
        <f t="shared" si="0"/>
        <v/>
      </c>
      <c r="F42" s="432" t="str">
        <f>+IF(OR(E42="LK"),ROUNDUP(D42*(VLOOKUP(B42,'Conteo 18-02-26'!$E:$AN,35,0))/100,0),IF(E42="CH",D41-F41,""))</f>
        <v/>
      </c>
      <c r="G42" s="470"/>
      <c r="H42" s="434"/>
      <c r="I42" s="434"/>
      <c r="J42" s="434"/>
      <c r="K42" s="434"/>
      <c r="L42" s="434"/>
      <c r="M42" s="434"/>
    </row>
    <row r="43" spans="1:13" ht="33.6" customHeight="1" x14ac:dyDescent="0.2">
      <c r="A43" s="489"/>
      <c r="B43" s="470"/>
      <c r="C43" s="472"/>
      <c r="D43" s="470"/>
      <c r="E43" s="427" t="str">
        <f t="shared" si="0"/>
        <v/>
      </c>
      <c r="F43" s="432" t="str">
        <f>+IF(OR(E43="LK"),ROUNDUP(D43*(VLOOKUP(B43,'Conteo 18-02-26'!$E:$AN,35,0))/100,0),IF(E43="CH",D42-F42,""))</f>
        <v/>
      </c>
      <c r="G43" s="470"/>
      <c r="H43" s="434"/>
      <c r="I43" s="434"/>
      <c r="J43" s="434"/>
      <c r="K43" s="434"/>
      <c r="L43" s="434"/>
      <c r="M43" s="434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415" customWidth="1"/>
    <col min="2" max="2" width="6.140625" style="415" customWidth="1"/>
    <col min="3" max="3" width="21.7109375" style="415" customWidth="1"/>
    <col min="4" max="4" width="9.28515625" style="415" customWidth="1"/>
    <col min="5" max="5" width="8.28515625" style="415" customWidth="1"/>
    <col min="6" max="6" width="7.7109375" style="415" customWidth="1"/>
    <col min="7" max="7" width="9.7109375" style="415" customWidth="1"/>
    <col min="8" max="8" width="7.28515625" style="415" customWidth="1"/>
    <col min="9" max="9" width="7.5703125" style="415" customWidth="1"/>
    <col min="10" max="10" width="7.7109375" style="415" customWidth="1"/>
    <col min="11" max="11" width="7" style="415" customWidth="1"/>
    <col min="12" max="12" width="7.7109375" style="415" customWidth="1"/>
    <col min="13" max="13" width="7" style="415" customWidth="1"/>
    <col min="14" max="256" width="11.5703125" style="415"/>
    <col min="257" max="257" width="11.42578125" style="415" customWidth="1"/>
    <col min="258" max="258" width="6.140625" style="415" customWidth="1"/>
    <col min="259" max="259" width="21.7109375" style="415" customWidth="1"/>
    <col min="260" max="260" width="9.28515625" style="415" customWidth="1"/>
    <col min="261" max="261" width="8.28515625" style="415" customWidth="1"/>
    <col min="262" max="262" width="7.7109375" style="415" customWidth="1"/>
    <col min="263" max="263" width="9.7109375" style="415" customWidth="1"/>
    <col min="264" max="264" width="7.28515625" style="415" customWidth="1"/>
    <col min="265" max="265" width="7.5703125" style="415" customWidth="1"/>
    <col min="266" max="266" width="7.7109375" style="415" customWidth="1"/>
    <col min="267" max="267" width="7" style="415" customWidth="1"/>
    <col min="268" max="268" width="7.7109375" style="415" customWidth="1"/>
    <col min="269" max="269" width="7" style="415" customWidth="1"/>
    <col min="270" max="512" width="11.5703125" style="415"/>
    <col min="513" max="513" width="11.42578125" style="415" customWidth="1"/>
    <col min="514" max="514" width="6.140625" style="415" customWidth="1"/>
    <col min="515" max="515" width="21.7109375" style="415" customWidth="1"/>
    <col min="516" max="516" width="9.28515625" style="415" customWidth="1"/>
    <col min="517" max="517" width="8.28515625" style="415" customWidth="1"/>
    <col min="518" max="518" width="7.7109375" style="415" customWidth="1"/>
    <col min="519" max="519" width="9.7109375" style="415" customWidth="1"/>
    <col min="520" max="520" width="7.28515625" style="415" customWidth="1"/>
    <col min="521" max="521" width="7.5703125" style="415" customWidth="1"/>
    <col min="522" max="522" width="7.7109375" style="415" customWidth="1"/>
    <col min="523" max="523" width="7" style="415" customWidth="1"/>
    <col min="524" max="524" width="7.7109375" style="415" customWidth="1"/>
    <col min="525" max="525" width="7" style="415" customWidth="1"/>
    <col min="526" max="768" width="11.5703125" style="415"/>
    <col min="769" max="769" width="11.42578125" style="415" customWidth="1"/>
    <col min="770" max="770" width="6.140625" style="415" customWidth="1"/>
    <col min="771" max="771" width="21.7109375" style="415" customWidth="1"/>
    <col min="772" max="772" width="9.28515625" style="415" customWidth="1"/>
    <col min="773" max="773" width="8.28515625" style="415" customWidth="1"/>
    <col min="774" max="774" width="7.7109375" style="415" customWidth="1"/>
    <col min="775" max="775" width="9.7109375" style="415" customWidth="1"/>
    <col min="776" max="776" width="7.28515625" style="415" customWidth="1"/>
    <col min="777" max="777" width="7.5703125" style="415" customWidth="1"/>
    <col min="778" max="778" width="7.7109375" style="415" customWidth="1"/>
    <col min="779" max="779" width="7" style="415" customWidth="1"/>
    <col min="780" max="780" width="7.7109375" style="415" customWidth="1"/>
    <col min="781" max="781" width="7" style="415" customWidth="1"/>
    <col min="782" max="1024" width="11.5703125" style="415"/>
    <col min="1025" max="1025" width="11.42578125" style="415" customWidth="1"/>
    <col min="1026" max="1026" width="6.140625" style="415" customWidth="1"/>
    <col min="1027" max="1027" width="21.7109375" style="415" customWidth="1"/>
    <col min="1028" max="1028" width="9.28515625" style="415" customWidth="1"/>
    <col min="1029" max="1029" width="8.28515625" style="415" customWidth="1"/>
    <col min="1030" max="1030" width="7.7109375" style="415" customWidth="1"/>
    <col min="1031" max="1031" width="9.7109375" style="415" customWidth="1"/>
    <col min="1032" max="1032" width="7.28515625" style="415" customWidth="1"/>
    <col min="1033" max="1033" width="7.5703125" style="415" customWidth="1"/>
    <col min="1034" max="1034" width="7.7109375" style="415" customWidth="1"/>
    <col min="1035" max="1035" width="7" style="415" customWidth="1"/>
    <col min="1036" max="1036" width="7.7109375" style="415" customWidth="1"/>
    <col min="1037" max="1037" width="7" style="415" customWidth="1"/>
    <col min="1038" max="1280" width="11.5703125" style="415"/>
    <col min="1281" max="1281" width="11.42578125" style="415" customWidth="1"/>
    <col min="1282" max="1282" width="6.140625" style="415" customWidth="1"/>
    <col min="1283" max="1283" width="21.7109375" style="415" customWidth="1"/>
    <col min="1284" max="1284" width="9.28515625" style="415" customWidth="1"/>
    <col min="1285" max="1285" width="8.28515625" style="415" customWidth="1"/>
    <col min="1286" max="1286" width="7.7109375" style="415" customWidth="1"/>
    <col min="1287" max="1287" width="9.7109375" style="415" customWidth="1"/>
    <col min="1288" max="1288" width="7.28515625" style="415" customWidth="1"/>
    <col min="1289" max="1289" width="7.5703125" style="415" customWidth="1"/>
    <col min="1290" max="1290" width="7.7109375" style="415" customWidth="1"/>
    <col min="1291" max="1291" width="7" style="415" customWidth="1"/>
    <col min="1292" max="1292" width="7.7109375" style="415" customWidth="1"/>
    <col min="1293" max="1293" width="7" style="415" customWidth="1"/>
    <col min="1294" max="1536" width="11.5703125" style="415"/>
    <col min="1537" max="1537" width="11.42578125" style="415" customWidth="1"/>
    <col min="1538" max="1538" width="6.140625" style="415" customWidth="1"/>
    <col min="1539" max="1539" width="21.7109375" style="415" customWidth="1"/>
    <col min="1540" max="1540" width="9.28515625" style="415" customWidth="1"/>
    <col min="1541" max="1541" width="8.28515625" style="415" customWidth="1"/>
    <col min="1542" max="1542" width="7.7109375" style="415" customWidth="1"/>
    <col min="1543" max="1543" width="9.7109375" style="415" customWidth="1"/>
    <col min="1544" max="1544" width="7.28515625" style="415" customWidth="1"/>
    <col min="1545" max="1545" width="7.5703125" style="415" customWidth="1"/>
    <col min="1546" max="1546" width="7.7109375" style="415" customWidth="1"/>
    <col min="1547" max="1547" width="7" style="415" customWidth="1"/>
    <col min="1548" max="1548" width="7.7109375" style="415" customWidth="1"/>
    <col min="1549" max="1549" width="7" style="415" customWidth="1"/>
    <col min="1550" max="1792" width="11.5703125" style="415"/>
    <col min="1793" max="1793" width="11.42578125" style="415" customWidth="1"/>
    <col min="1794" max="1794" width="6.140625" style="415" customWidth="1"/>
    <col min="1795" max="1795" width="21.7109375" style="415" customWidth="1"/>
    <col min="1796" max="1796" width="9.28515625" style="415" customWidth="1"/>
    <col min="1797" max="1797" width="8.28515625" style="415" customWidth="1"/>
    <col min="1798" max="1798" width="7.7109375" style="415" customWidth="1"/>
    <col min="1799" max="1799" width="9.7109375" style="415" customWidth="1"/>
    <col min="1800" max="1800" width="7.28515625" style="415" customWidth="1"/>
    <col min="1801" max="1801" width="7.5703125" style="415" customWidth="1"/>
    <col min="1802" max="1802" width="7.7109375" style="415" customWidth="1"/>
    <col min="1803" max="1803" width="7" style="415" customWidth="1"/>
    <col min="1804" max="1804" width="7.7109375" style="415" customWidth="1"/>
    <col min="1805" max="1805" width="7" style="415" customWidth="1"/>
    <col min="1806" max="2048" width="11.5703125" style="415"/>
    <col min="2049" max="2049" width="11.42578125" style="415" customWidth="1"/>
    <col min="2050" max="2050" width="6.140625" style="415" customWidth="1"/>
    <col min="2051" max="2051" width="21.7109375" style="415" customWidth="1"/>
    <col min="2052" max="2052" width="9.28515625" style="415" customWidth="1"/>
    <col min="2053" max="2053" width="8.28515625" style="415" customWidth="1"/>
    <col min="2054" max="2054" width="7.7109375" style="415" customWidth="1"/>
    <col min="2055" max="2055" width="9.7109375" style="415" customWidth="1"/>
    <col min="2056" max="2056" width="7.28515625" style="415" customWidth="1"/>
    <col min="2057" max="2057" width="7.5703125" style="415" customWidth="1"/>
    <col min="2058" max="2058" width="7.7109375" style="415" customWidth="1"/>
    <col min="2059" max="2059" width="7" style="415" customWidth="1"/>
    <col min="2060" max="2060" width="7.7109375" style="415" customWidth="1"/>
    <col min="2061" max="2061" width="7" style="415" customWidth="1"/>
    <col min="2062" max="2304" width="11.5703125" style="415"/>
    <col min="2305" max="2305" width="11.42578125" style="415" customWidth="1"/>
    <col min="2306" max="2306" width="6.140625" style="415" customWidth="1"/>
    <col min="2307" max="2307" width="21.7109375" style="415" customWidth="1"/>
    <col min="2308" max="2308" width="9.28515625" style="415" customWidth="1"/>
    <col min="2309" max="2309" width="8.28515625" style="415" customWidth="1"/>
    <col min="2310" max="2310" width="7.7109375" style="415" customWidth="1"/>
    <col min="2311" max="2311" width="9.7109375" style="415" customWidth="1"/>
    <col min="2312" max="2312" width="7.28515625" style="415" customWidth="1"/>
    <col min="2313" max="2313" width="7.5703125" style="415" customWidth="1"/>
    <col min="2314" max="2314" width="7.7109375" style="415" customWidth="1"/>
    <col min="2315" max="2315" width="7" style="415" customWidth="1"/>
    <col min="2316" max="2316" width="7.7109375" style="415" customWidth="1"/>
    <col min="2317" max="2317" width="7" style="415" customWidth="1"/>
    <col min="2318" max="2560" width="11.5703125" style="415"/>
    <col min="2561" max="2561" width="11.42578125" style="415" customWidth="1"/>
    <col min="2562" max="2562" width="6.140625" style="415" customWidth="1"/>
    <col min="2563" max="2563" width="21.7109375" style="415" customWidth="1"/>
    <col min="2564" max="2564" width="9.28515625" style="415" customWidth="1"/>
    <col min="2565" max="2565" width="8.28515625" style="415" customWidth="1"/>
    <col min="2566" max="2566" width="7.7109375" style="415" customWidth="1"/>
    <col min="2567" max="2567" width="9.7109375" style="415" customWidth="1"/>
    <col min="2568" max="2568" width="7.28515625" style="415" customWidth="1"/>
    <col min="2569" max="2569" width="7.5703125" style="415" customWidth="1"/>
    <col min="2570" max="2570" width="7.7109375" style="415" customWidth="1"/>
    <col min="2571" max="2571" width="7" style="415" customWidth="1"/>
    <col min="2572" max="2572" width="7.7109375" style="415" customWidth="1"/>
    <col min="2573" max="2573" width="7" style="415" customWidth="1"/>
    <col min="2574" max="2816" width="11.5703125" style="415"/>
    <col min="2817" max="2817" width="11.42578125" style="415" customWidth="1"/>
    <col min="2818" max="2818" width="6.140625" style="415" customWidth="1"/>
    <col min="2819" max="2819" width="21.7109375" style="415" customWidth="1"/>
    <col min="2820" max="2820" width="9.28515625" style="415" customWidth="1"/>
    <col min="2821" max="2821" width="8.28515625" style="415" customWidth="1"/>
    <col min="2822" max="2822" width="7.7109375" style="415" customWidth="1"/>
    <col min="2823" max="2823" width="9.7109375" style="415" customWidth="1"/>
    <col min="2824" max="2824" width="7.28515625" style="415" customWidth="1"/>
    <col min="2825" max="2825" width="7.5703125" style="415" customWidth="1"/>
    <col min="2826" max="2826" width="7.7109375" style="415" customWidth="1"/>
    <col min="2827" max="2827" width="7" style="415" customWidth="1"/>
    <col min="2828" max="2828" width="7.7109375" style="415" customWidth="1"/>
    <col min="2829" max="2829" width="7" style="415" customWidth="1"/>
    <col min="2830" max="3072" width="11.5703125" style="415"/>
    <col min="3073" max="3073" width="11.42578125" style="415" customWidth="1"/>
    <col min="3074" max="3074" width="6.140625" style="415" customWidth="1"/>
    <col min="3075" max="3075" width="21.7109375" style="415" customWidth="1"/>
    <col min="3076" max="3076" width="9.28515625" style="415" customWidth="1"/>
    <col min="3077" max="3077" width="8.28515625" style="415" customWidth="1"/>
    <col min="3078" max="3078" width="7.7109375" style="415" customWidth="1"/>
    <col min="3079" max="3079" width="9.7109375" style="415" customWidth="1"/>
    <col min="3080" max="3080" width="7.28515625" style="415" customWidth="1"/>
    <col min="3081" max="3081" width="7.5703125" style="415" customWidth="1"/>
    <col min="3082" max="3082" width="7.7109375" style="415" customWidth="1"/>
    <col min="3083" max="3083" width="7" style="415" customWidth="1"/>
    <col min="3084" max="3084" width="7.7109375" style="415" customWidth="1"/>
    <col min="3085" max="3085" width="7" style="415" customWidth="1"/>
    <col min="3086" max="3328" width="11.5703125" style="415"/>
    <col min="3329" max="3329" width="11.42578125" style="415" customWidth="1"/>
    <col min="3330" max="3330" width="6.140625" style="415" customWidth="1"/>
    <col min="3331" max="3331" width="21.7109375" style="415" customWidth="1"/>
    <col min="3332" max="3332" width="9.28515625" style="415" customWidth="1"/>
    <col min="3333" max="3333" width="8.28515625" style="415" customWidth="1"/>
    <col min="3334" max="3334" width="7.7109375" style="415" customWidth="1"/>
    <col min="3335" max="3335" width="9.7109375" style="415" customWidth="1"/>
    <col min="3336" max="3336" width="7.28515625" style="415" customWidth="1"/>
    <col min="3337" max="3337" width="7.5703125" style="415" customWidth="1"/>
    <col min="3338" max="3338" width="7.7109375" style="415" customWidth="1"/>
    <col min="3339" max="3339" width="7" style="415" customWidth="1"/>
    <col min="3340" max="3340" width="7.7109375" style="415" customWidth="1"/>
    <col min="3341" max="3341" width="7" style="415" customWidth="1"/>
    <col min="3342" max="3584" width="11.5703125" style="415"/>
    <col min="3585" max="3585" width="11.42578125" style="415" customWidth="1"/>
    <col min="3586" max="3586" width="6.140625" style="415" customWidth="1"/>
    <col min="3587" max="3587" width="21.7109375" style="415" customWidth="1"/>
    <col min="3588" max="3588" width="9.28515625" style="415" customWidth="1"/>
    <col min="3589" max="3589" width="8.28515625" style="415" customWidth="1"/>
    <col min="3590" max="3590" width="7.7109375" style="415" customWidth="1"/>
    <col min="3591" max="3591" width="9.7109375" style="415" customWidth="1"/>
    <col min="3592" max="3592" width="7.28515625" style="415" customWidth="1"/>
    <col min="3593" max="3593" width="7.5703125" style="415" customWidth="1"/>
    <col min="3594" max="3594" width="7.7109375" style="415" customWidth="1"/>
    <col min="3595" max="3595" width="7" style="415" customWidth="1"/>
    <col min="3596" max="3596" width="7.7109375" style="415" customWidth="1"/>
    <col min="3597" max="3597" width="7" style="415" customWidth="1"/>
    <col min="3598" max="3840" width="11.5703125" style="415"/>
    <col min="3841" max="3841" width="11.42578125" style="415" customWidth="1"/>
    <col min="3842" max="3842" width="6.140625" style="415" customWidth="1"/>
    <col min="3843" max="3843" width="21.7109375" style="415" customWidth="1"/>
    <col min="3844" max="3844" width="9.28515625" style="415" customWidth="1"/>
    <col min="3845" max="3845" width="8.28515625" style="415" customWidth="1"/>
    <col min="3846" max="3846" width="7.7109375" style="415" customWidth="1"/>
    <col min="3847" max="3847" width="9.7109375" style="415" customWidth="1"/>
    <col min="3848" max="3848" width="7.28515625" style="415" customWidth="1"/>
    <col min="3849" max="3849" width="7.5703125" style="415" customWidth="1"/>
    <col min="3850" max="3850" width="7.7109375" style="415" customWidth="1"/>
    <col min="3851" max="3851" width="7" style="415" customWidth="1"/>
    <col min="3852" max="3852" width="7.7109375" style="415" customWidth="1"/>
    <col min="3853" max="3853" width="7" style="415" customWidth="1"/>
    <col min="3854" max="4096" width="11.5703125" style="415"/>
    <col min="4097" max="4097" width="11.42578125" style="415" customWidth="1"/>
    <col min="4098" max="4098" width="6.140625" style="415" customWidth="1"/>
    <col min="4099" max="4099" width="21.7109375" style="415" customWidth="1"/>
    <col min="4100" max="4100" width="9.28515625" style="415" customWidth="1"/>
    <col min="4101" max="4101" width="8.28515625" style="415" customWidth="1"/>
    <col min="4102" max="4102" width="7.7109375" style="415" customWidth="1"/>
    <col min="4103" max="4103" width="9.7109375" style="415" customWidth="1"/>
    <col min="4104" max="4104" width="7.28515625" style="415" customWidth="1"/>
    <col min="4105" max="4105" width="7.5703125" style="415" customWidth="1"/>
    <col min="4106" max="4106" width="7.7109375" style="415" customWidth="1"/>
    <col min="4107" max="4107" width="7" style="415" customWidth="1"/>
    <col min="4108" max="4108" width="7.7109375" style="415" customWidth="1"/>
    <col min="4109" max="4109" width="7" style="415" customWidth="1"/>
    <col min="4110" max="4352" width="11.5703125" style="415"/>
    <col min="4353" max="4353" width="11.42578125" style="415" customWidth="1"/>
    <col min="4354" max="4354" width="6.140625" style="415" customWidth="1"/>
    <col min="4355" max="4355" width="21.7109375" style="415" customWidth="1"/>
    <col min="4356" max="4356" width="9.28515625" style="415" customWidth="1"/>
    <col min="4357" max="4357" width="8.28515625" style="415" customWidth="1"/>
    <col min="4358" max="4358" width="7.7109375" style="415" customWidth="1"/>
    <col min="4359" max="4359" width="9.7109375" style="415" customWidth="1"/>
    <col min="4360" max="4360" width="7.28515625" style="415" customWidth="1"/>
    <col min="4361" max="4361" width="7.5703125" style="415" customWidth="1"/>
    <col min="4362" max="4362" width="7.7109375" style="415" customWidth="1"/>
    <col min="4363" max="4363" width="7" style="415" customWidth="1"/>
    <col min="4364" max="4364" width="7.7109375" style="415" customWidth="1"/>
    <col min="4365" max="4365" width="7" style="415" customWidth="1"/>
    <col min="4366" max="4608" width="11.5703125" style="415"/>
    <col min="4609" max="4609" width="11.42578125" style="415" customWidth="1"/>
    <col min="4610" max="4610" width="6.140625" style="415" customWidth="1"/>
    <col min="4611" max="4611" width="21.7109375" style="415" customWidth="1"/>
    <col min="4612" max="4612" width="9.28515625" style="415" customWidth="1"/>
    <col min="4613" max="4613" width="8.28515625" style="415" customWidth="1"/>
    <col min="4614" max="4614" width="7.7109375" style="415" customWidth="1"/>
    <col min="4615" max="4615" width="9.7109375" style="415" customWidth="1"/>
    <col min="4616" max="4616" width="7.28515625" style="415" customWidth="1"/>
    <col min="4617" max="4617" width="7.5703125" style="415" customWidth="1"/>
    <col min="4618" max="4618" width="7.7109375" style="415" customWidth="1"/>
    <col min="4619" max="4619" width="7" style="415" customWidth="1"/>
    <col min="4620" max="4620" width="7.7109375" style="415" customWidth="1"/>
    <col min="4621" max="4621" width="7" style="415" customWidth="1"/>
    <col min="4622" max="4864" width="11.5703125" style="415"/>
    <col min="4865" max="4865" width="11.42578125" style="415" customWidth="1"/>
    <col min="4866" max="4866" width="6.140625" style="415" customWidth="1"/>
    <col min="4867" max="4867" width="21.7109375" style="415" customWidth="1"/>
    <col min="4868" max="4868" width="9.28515625" style="415" customWidth="1"/>
    <col min="4869" max="4869" width="8.28515625" style="415" customWidth="1"/>
    <col min="4870" max="4870" width="7.7109375" style="415" customWidth="1"/>
    <col min="4871" max="4871" width="9.7109375" style="415" customWidth="1"/>
    <col min="4872" max="4872" width="7.28515625" style="415" customWidth="1"/>
    <col min="4873" max="4873" width="7.5703125" style="415" customWidth="1"/>
    <col min="4874" max="4874" width="7.7109375" style="415" customWidth="1"/>
    <col min="4875" max="4875" width="7" style="415" customWidth="1"/>
    <col min="4876" max="4876" width="7.7109375" style="415" customWidth="1"/>
    <col min="4877" max="4877" width="7" style="415" customWidth="1"/>
    <col min="4878" max="5120" width="11.5703125" style="415"/>
    <col min="5121" max="5121" width="11.42578125" style="415" customWidth="1"/>
    <col min="5122" max="5122" width="6.140625" style="415" customWidth="1"/>
    <col min="5123" max="5123" width="21.7109375" style="415" customWidth="1"/>
    <col min="5124" max="5124" width="9.28515625" style="415" customWidth="1"/>
    <col min="5125" max="5125" width="8.28515625" style="415" customWidth="1"/>
    <col min="5126" max="5126" width="7.7109375" style="415" customWidth="1"/>
    <col min="5127" max="5127" width="9.7109375" style="415" customWidth="1"/>
    <col min="5128" max="5128" width="7.28515625" style="415" customWidth="1"/>
    <col min="5129" max="5129" width="7.5703125" style="415" customWidth="1"/>
    <col min="5130" max="5130" width="7.7109375" style="415" customWidth="1"/>
    <col min="5131" max="5131" width="7" style="415" customWidth="1"/>
    <col min="5132" max="5132" width="7.7109375" style="415" customWidth="1"/>
    <col min="5133" max="5133" width="7" style="415" customWidth="1"/>
    <col min="5134" max="5376" width="11.5703125" style="415"/>
    <col min="5377" max="5377" width="11.42578125" style="415" customWidth="1"/>
    <col min="5378" max="5378" width="6.140625" style="415" customWidth="1"/>
    <col min="5379" max="5379" width="21.7109375" style="415" customWidth="1"/>
    <col min="5380" max="5380" width="9.28515625" style="415" customWidth="1"/>
    <col min="5381" max="5381" width="8.28515625" style="415" customWidth="1"/>
    <col min="5382" max="5382" width="7.7109375" style="415" customWidth="1"/>
    <col min="5383" max="5383" width="9.7109375" style="415" customWidth="1"/>
    <col min="5384" max="5384" width="7.28515625" style="415" customWidth="1"/>
    <col min="5385" max="5385" width="7.5703125" style="415" customWidth="1"/>
    <col min="5386" max="5386" width="7.7109375" style="415" customWidth="1"/>
    <col min="5387" max="5387" width="7" style="415" customWidth="1"/>
    <col min="5388" max="5388" width="7.7109375" style="415" customWidth="1"/>
    <col min="5389" max="5389" width="7" style="415" customWidth="1"/>
    <col min="5390" max="5632" width="11.5703125" style="415"/>
    <col min="5633" max="5633" width="11.42578125" style="415" customWidth="1"/>
    <col min="5634" max="5634" width="6.140625" style="415" customWidth="1"/>
    <col min="5635" max="5635" width="21.7109375" style="415" customWidth="1"/>
    <col min="5636" max="5636" width="9.28515625" style="415" customWidth="1"/>
    <col min="5637" max="5637" width="8.28515625" style="415" customWidth="1"/>
    <col min="5638" max="5638" width="7.7109375" style="415" customWidth="1"/>
    <col min="5639" max="5639" width="9.7109375" style="415" customWidth="1"/>
    <col min="5640" max="5640" width="7.28515625" style="415" customWidth="1"/>
    <col min="5641" max="5641" width="7.5703125" style="415" customWidth="1"/>
    <col min="5642" max="5642" width="7.7109375" style="415" customWidth="1"/>
    <col min="5643" max="5643" width="7" style="415" customWidth="1"/>
    <col min="5644" max="5644" width="7.7109375" style="415" customWidth="1"/>
    <col min="5645" max="5645" width="7" style="415" customWidth="1"/>
    <col min="5646" max="5888" width="11.5703125" style="415"/>
    <col min="5889" max="5889" width="11.42578125" style="415" customWidth="1"/>
    <col min="5890" max="5890" width="6.140625" style="415" customWidth="1"/>
    <col min="5891" max="5891" width="21.7109375" style="415" customWidth="1"/>
    <col min="5892" max="5892" width="9.28515625" style="415" customWidth="1"/>
    <col min="5893" max="5893" width="8.28515625" style="415" customWidth="1"/>
    <col min="5894" max="5894" width="7.7109375" style="415" customWidth="1"/>
    <col min="5895" max="5895" width="9.7109375" style="415" customWidth="1"/>
    <col min="5896" max="5896" width="7.28515625" style="415" customWidth="1"/>
    <col min="5897" max="5897" width="7.5703125" style="415" customWidth="1"/>
    <col min="5898" max="5898" width="7.7109375" style="415" customWidth="1"/>
    <col min="5899" max="5899" width="7" style="415" customWidth="1"/>
    <col min="5900" max="5900" width="7.7109375" style="415" customWidth="1"/>
    <col min="5901" max="5901" width="7" style="415" customWidth="1"/>
    <col min="5902" max="6144" width="11.5703125" style="415"/>
    <col min="6145" max="6145" width="11.42578125" style="415" customWidth="1"/>
    <col min="6146" max="6146" width="6.140625" style="415" customWidth="1"/>
    <col min="6147" max="6147" width="21.7109375" style="415" customWidth="1"/>
    <col min="6148" max="6148" width="9.28515625" style="415" customWidth="1"/>
    <col min="6149" max="6149" width="8.28515625" style="415" customWidth="1"/>
    <col min="6150" max="6150" width="7.7109375" style="415" customWidth="1"/>
    <col min="6151" max="6151" width="9.7109375" style="415" customWidth="1"/>
    <col min="6152" max="6152" width="7.28515625" style="415" customWidth="1"/>
    <col min="6153" max="6153" width="7.5703125" style="415" customWidth="1"/>
    <col min="6154" max="6154" width="7.7109375" style="415" customWidth="1"/>
    <col min="6155" max="6155" width="7" style="415" customWidth="1"/>
    <col min="6156" max="6156" width="7.7109375" style="415" customWidth="1"/>
    <col min="6157" max="6157" width="7" style="415" customWidth="1"/>
    <col min="6158" max="6400" width="11.5703125" style="415"/>
    <col min="6401" max="6401" width="11.42578125" style="415" customWidth="1"/>
    <col min="6402" max="6402" width="6.140625" style="415" customWidth="1"/>
    <col min="6403" max="6403" width="21.7109375" style="415" customWidth="1"/>
    <col min="6404" max="6404" width="9.28515625" style="415" customWidth="1"/>
    <col min="6405" max="6405" width="8.28515625" style="415" customWidth="1"/>
    <col min="6406" max="6406" width="7.7109375" style="415" customWidth="1"/>
    <col min="6407" max="6407" width="9.7109375" style="415" customWidth="1"/>
    <col min="6408" max="6408" width="7.28515625" style="415" customWidth="1"/>
    <col min="6409" max="6409" width="7.5703125" style="415" customWidth="1"/>
    <col min="6410" max="6410" width="7.7109375" style="415" customWidth="1"/>
    <col min="6411" max="6411" width="7" style="415" customWidth="1"/>
    <col min="6412" max="6412" width="7.7109375" style="415" customWidth="1"/>
    <col min="6413" max="6413" width="7" style="415" customWidth="1"/>
    <col min="6414" max="6656" width="11.5703125" style="415"/>
    <col min="6657" max="6657" width="11.42578125" style="415" customWidth="1"/>
    <col min="6658" max="6658" width="6.140625" style="415" customWidth="1"/>
    <col min="6659" max="6659" width="21.7109375" style="415" customWidth="1"/>
    <col min="6660" max="6660" width="9.28515625" style="415" customWidth="1"/>
    <col min="6661" max="6661" width="8.28515625" style="415" customWidth="1"/>
    <col min="6662" max="6662" width="7.7109375" style="415" customWidth="1"/>
    <col min="6663" max="6663" width="9.7109375" style="415" customWidth="1"/>
    <col min="6664" max="6664" width="7.28515625" style="415" customWidth="1"/>
    <col min="6665" max="6665" width="7.5703125" style="415" customWidth="1"/>
    <col min="6666" max="6666" width="7.7109375" style="415" customWidth="1"/>
    <col min="6667" max="6667" width="7" style="415" customWidth="1"/>
    <col min="6668" max="6668" width="7.7109375" style="415" customWidth="1"/>
    <col min="6669" max="6669" width="7" style="415" customWidth="1"/>
    <col min="6670" max="6912" width="11.5703125" style="415"/>
    <col min="6913" max="6913" width="11.42578125" style="415" customWidth="1"/>
    <col min="6914" max="6914" width="6.140625" style="415" customWidth="1"/>
    <col min="6915" max="6915" width="21.7109375" style="415" customWidth="1"/>
    <col min="6916" max="6916" width="9.28515625" style="415" customWidth="1"/>
    <col min="6917" max="6917" width="8.28515625" style="415" customWidth="1"/>
    <col min="6918" max="6918" width="7.7109375" style="415" customWidth="1"/>
    <col min="6919" max="6919" width="9.7109375" style="415" customWidth="1"/>
    <col min="6920" max="6920" width="7.28515625" style="415" customWidth="1"/>
    <col min="6921" max="6921" width="7.5703125" style="415" customWidth="1"/>
    <col min="6922" max="6922" width="7.7109375" style="415" customWidth="1"/>
    <col min="6923" max="6923" width="7" style="415" customWidth="1"/>
    <col min="6924" max="6924" width="7.7109375" style="415" customWidth="1"/>
    <col min="6925" max="6925" width="7" style="415" customWidth="1"/>
    <col min="6926" max="7168" width="11.5703125" style="415"/>
    <col min="7169" max="7169" width="11.42578125" style="415" customWidth="1"/>
    <col min="7170" max="7170" width="6.140625" style="415" customWidth="1"/>
    <col min="7171" max="7171" width="21.7109375" style="415" customWidth="1"/>
    <col min="7172" max="7172" width="9.28515625" style="415" customWidth="1"/>
    <col min="7173" max="7173" width="8.28515625" style="415" customWidth="1"/>
    <col min="7174" max="7174" width="7.7109375" style="415" customWidth="1"/>
    <col min="7175" max="7175" width="9.7109375" style="415" customWidth="1"/>
    <col min="7176" max="7176" width="7.28515625" style="415" customWidth="1"/>
    <col min="7177" max="7177" width="7.5703125" style="415" customWidth="1"/>
    <col min="7178" max="7178" width="7.7109375" style="415" customWidth="1"/>
    <col min="7179" max="7179" width="7" style="415" customWidth="1"/>
    <col min="7180" max="7180" width="7.7109375" style="415" customWidth="1"/>
    <col min="7181" max="7181" width="7" style="415" customWidth="1"/>
    <col min="7182" max="7424" width="11.5703125" style="415"/>
    <col min="7425" max="7425" width="11.42578125" style="415" customWidth="1"/>
    <col min="7426" max="7426" width="6.140625" style="415" customWidth="1"/>
    <col min="7427" max="7427" width="21.7109375" style="415" customWidth="1"/>
    <col min="7428" max="7428" width="9.28515625" style="415" customWidth="1"/>
    <col min="7429" max="7429" width="8.28515625" style="415" customWidth="1"/>
    <col min="7430" max="7430" width="7.7109375" style="415" customWidth="1"/>
    <col min="7431" max="7431" width="9.7109375" style="415" customWidth="1"/>
    <col min="7432" max="7432" width="7.28515625" style="415" customWidth="1"/>
    <col min="7433" max="7433" width="7.5703125" style="415" customWidth="1"/>
    <col min="7434" max="7434" width="7.7109375" style="415" customWidth="1"/>
    <col min="7435" max="7435" width="7" style="415" customWidth="1"/>
    <col min="7436" max="7436" width="7.7109375" style="415" customWidth="1"/>
    <col min="7437" max="7437" width="7" style="415" customWidth="1"/>
    <col min="7438" max="7680" width="11.5703125" style="415"/>
    <col min="7681" max="7681" width="11.42578125" style="415" customWidth="1"/>
    <col min="7682" max="7682" width="6.140625" style="415" customWidth="1"/>
    <col min="7683" max="7683" width="21.7109375" style="415" customWidth="1"/>
    <col min="7684" max="7684" width="9.28515625" style="415" customWidth="1"/>
    <col min="7685" max="7685" width="8.28515625" style="415" customWidth="1"/>
    <col min="7686" max="7686" width="7.7109375" style="415" customWidth="1"/>
    <col min="7687" max="7687" width="9.7109375" style="415" customWidth="1"/>
    <col min="7688" max="7688" width="7.28515625" style="415" customWidth="1"/>
    <col min="7689" max="7689" width="7.5703125" style="415" customWidth="1"/>
    <col min="7690" max="7690" width="7.7109375" style="415" customWidth="1"/>
    <col min="7691" max="7691" width="7" style="415" customWidth="1"/>
    <col min="7692" max="7692" width="7.7109375" style="415" customWidth="1"/>
    <col min="7693" max="7693" width="7" style="415" customWidth="1"/>
    <col min="7694" max="7936" width="11.5703125" style="415"/>
    <col min="7937" max="7937" width="11.42578125" style="415" customWidth="1"/>
    <col min="7938" max="7938" width="6.140625" style="415" customWidth="1"/>
    <col min="7939" max="7939" width="21.7109375" style="415" customWidth="1"/>
    <col min="7940" max="7940" width="9.28515625" style="415" customWidth="1"/>
    <col min="7941" max="7941" width="8.28515625" style="415" customWidth="1"/>
    <col min="7942" max="7942" width="7.7109375" style="415" customWidth="1"/>
    <col min="7943" max="7943" width="9.7109375" style="415" customWidth="1"/>
    <col min="7944" max="7944" width="7.28515625" style="415" customWidth="1"/>
    <col min="7945" max="7945" width="7.5703125" style="415" customWidth="1"/>
    <col min="7946" max="7946" width="7.7109375" style="415" customWidth="1"/>
    <col min="7947" max="7947" width="7" style="415" customWidth="1"/>
    <col min="7948" max="7948" width="7.7109375" style="415" customWidth="1"/>
    <col min="7949" max="7949" width="7" style="415" customWidth="1"/>
    <col min="7950" max="8192" width="11.5703125" style="415"/>
    <col min="8193" max="8193" width="11.42578125" style="415" customWidth="1"/>
    <col min="8194" max="8194" width="6.140625" style="415" customWidth="1"/>
    <col min="8195" max="8195" width="21.7109375" style="415" customWidth="1"/>
    <col min="8196" max="8196" width="9.28515625" style="415" customWidth="1"/>
    <col min="8197" max="8197" width="8.28515625" style="415" customWidth="1"/>
    <col min="8198" max="8198" width="7.7109375" style="415" customWidth="1"/>
    <col min="8199" max="8199" width="9.7109375" style="415" customWidth="1"/>
    <col min="8200" max="8200" width="7.28515625" style="415" customWidth="1"/>
    <col min="8201" max="8201" width="7.5703125" style="415" customWidth="1"/>
    <col min="8202" max="8202" width="7.7109375" style="415" customWidth="1"/>
    <col min="8203" max="8203" width="7" style="415" customWidth="1"/>
    <col min="8204" max="8204" width="7.7109375" style="415" customWidth="1"/>
    <col min="8205" max="8205" width="7" style="415" customWidth="1"/>
    <col min="8206" max="8448" width="11.5703125" style="415"/>
    <col min="8449" max="8449" width="11.42578125" style="415" customWidth="1"/>
    <col min="8450" max="8450" width="6.140625" style="415" customWidth="1"/>
    <col min="8451" max="8451" width="21.7109375" style="415" customWidth="1"/>
    <col min="8452" max="8452" width="9.28515625" style="415" customWidth="1"/>
    <col min="8453" max="8453" width="8.28515625" style="415" customWidth="1"/>
    <col min="8454" max="8454" width="7.7109375" style="415" customWidth="1"/>
    <col min="8455" max="8455" width="9.7109375" style="415" customWidth="1"/>
    <col min="8456" max="8456" width="7.28515625" style="415" customWidth="1"/>
    <col min="8457" max="8457" width="7.5703125" style="415" customWidth="1"/>
    <col min="8458" max="8458" width="7.7109375" style="415" customWidth="1"/>
    <col min="8459" max="8459" width="7" style="415" customWidth="1"/>
    <col min="8460" max="8460" width="7.7109375" style="415" customWidth="1"/>
    <col min="8461" max="8461" width="7" style="415" customWidth="1"/>
    <col min="8462" max="8704" width="11.5703125" style="415"/>
    <col min="8705" max="8705" width="11.42578125" style="415" customWidth="1"/>
    <col min="8706" max="8706" width="6.140625" style="415" customWidth="1"/>
    <col min="8707" max="8707" width="21.7109375" style="415" customWidth="1"/>
    <col min="8708" max="8708" width="9.28515625" style="415" customWidth="1"/>
    <col min="8709" max="8709" width="8.28515625" style="415" customWidth="1"/>
    <col min="8710" max="8710" width="7.7109375" style="415" customWidth="1"/>
    <col min="8711" max="8711" width="9.7109375" style="415" customWidth="1"/>
    <col min="8712" max="8712" width="7.28515625" style="415" customWidth="1"/>
    <col min="8713" max="8713" width="7.5703125" style="415" customWidth="1"/>
    <col min="8714" max="8714" width="7.7109375" style="415" customWidth="1"/>
    <col min="8715" max="8715" width="7" style="415" customWidth="1"/>
    <col min="8716" max="8716" width="7.7109375" style="415" customWidth="1"/>
    <col min="8717" max="8717" width="7" style="415" customWidth="1"/>
    <col min="8718" max="8960" width="11.5703125" style="415"/>
    <col min="8961" max="8961" width="11.42578125" style="415" customWidth="1"/>
    <col min="8962" max="8962" width="6.140625" style="415" customWidth="1"/>
    <col min="8963" max="8963" width="21.7109375" style="415" customWidth="1"/>
    <col min="8964" max="8964" width="9.28515625" style="415" customWidth="1"/>
    <col min="8965" max="8965" width="8.28515625" style="415" customWidth="1"/>
    <col min="8966" max="8966" width="7.7109375" style="415" customWidth="1"/>
    <col min="8967" max="8967" width="9.7109375" style="415" customWidth="1"/>
    <col min="8968" max="8968" width="7.28515625" style="415" customWidth="1"/>
    <col min="8969" max="8969" width="7.5703125" style="415" customWidth="1"/>
    <col min="8970" max="8970" width="7.7109375" style="415" customWidth="1"/>
    <col min="8971" max="8971" width="7" style="415" customWidth="1"/>
    <col min="8972" max="8972" width="7.7109375" style="415" customWidth="1"/>
    <col min="8973" max="8973" width="7" style="415" customWidth="1"/>
    <col min="8974" max="9216" width="11.5703125" style="415"/>
    <col min="9217" max="9217" width="11.42578125" style="415" customWidth="1"/>
    <col min="9218" max="9218" width="6.140625" style="415" customWidth="1"/>
    <col min="9219" max="9219" width="21.7109375" style="415" customWidth="1"/>
    <col min="9220" max="9220" width="9.28515625" style="415" customWidth="1"/>
    <col min="9221" max="9221" width="8.28515625" style="415" customWidth="1"/>
    <col min="9222" max="9222" width="7.7109375" style="415" customWidth="1"/>
    <col min="9223" max="9223" width="9.7109375" style="415" customWidth="1"/>
    <col min="9224" max="9224" width="7.28515625" style="415" customWidth="1"/>
    <col min="9225" max="9225" width="7.5703125" style="415" customWidth="1"/>
    <col min="9226" max="9226" width="7.7109375" style="415" customWidth="1"/>
    <col min="9227" max="9227" width="7" style="415" customWidth="1"/>
    <col min="9228" max="9228" width="7.7109375" style="415" customWidth="1"/>
    <col min="9229" max="9229" width="7" style="415" customWidth="1"/>
    <col min="9230" max="9472" width="11.5703125" style="415"/>
    <col min="9473" max="9473" width="11.42578125" style="415" customWidth="1"/>
    <col min="9474" max="9474" width="6.140625" style="415" customWidth="1"/>
    <col min="9475" max="9475" width="21.7109375" style="415" customWidth="1"/>
    <col min="9476" max="9476" width="9.28515625" style="415" customWidth="1"/>
    <col min="9477" max="9477" width="8.28515625" style="415" customWidth="1"/>
    <col min="9478" max="9478" width="7.7109375" style="415" customWidth="1"/>
    <col min="9479" max="9479" width="9.7109375" style="415" customWidth="1"/>
    <col min="9480" max="9480" width="7.28515625" style="415" customWidth="1"/>
    <col min="9481" max="9481" width="7.5703125" style="415" customWidth="1"/>
    <col min="9482" max="9482" width="7.7109375" style="415" customWidth="1"/>
    <col min="9483" max="9483" width="7" style="415" customWidth="1"/>
    <col min="9484" max="9484" width="7.7109375" style="415" customWidth="1"/>
    <col min="9485" max="9485" width="7" style="415" customWidth="1"/>
    <col min="9486" max="9728" width="11.5703125" style="415"/>
    <col min="9729" max="9729" width="11.42578125" style="415" customWidth="1"/>
    <col min="9730" max="9730" width="6.140625" style="415" customWidth="1"/>
    <col min="9731" max="9731" width="21.7109375" style="415" customWidth="1"/>
    <col min="9732" max="9732" width="9.28515625" style="415" customWidth="1"/>
    <col min="9733" max="9733" width="8.28515625" style="415" customWidth="1"/>
    <col min="9734" max="9734" width="7.7109375" style="415" customWidth="1"/>
    <col min="9735" max="9735" width="9.7109375" style="415" customWidth="1"/>
    <col min="9736" max="9736" width="7.28515625" style="415" customWidth="1"/>
    <col min="9737" max="9737" width="7.5703125" style="415" customWidth="1"/>
    <col min="9738" max="9738" width="7.7109375" style="415" customWidth="1"/>
    <col min="9739" max="9739" width="7" style="415" customWidth="1"/>
    <col min="9740" max="9740" width="7.7109375" style="415" customWidth="1"/>
    <col min="9741" max="9741" width="7" style="415" customWidth="1"/>
    <col min="9742" max="9984" width="11.5703125" style="415"/>
    <col min="9985" max="9985" width="11.42578125" style="415" customWidth="1"/>
    <col min="9986" max="9986" width="6.140625" style="415" customWidth="1"/>
    <col min="9987" max="9987" width="21.7109375" style="415" customWidth="1"/>
    <col min="9988" max="9988" width="9.28515625" style="415" customWidth="1"/>
    <col min="9989" max="9989" width="8.28515625" style="415" customWidth="1"/>
    <col min="9990" max="9990" width="7.7109375" style="415" customWidth="1"/>
    <col min="9991" max="9991" width="9.7109375" style="415" customWidth="1"/>
    <col min="9992" max="9992" width="7.28515625" style="415" customWidth="1"/>
    <col min="9993" max="9993" width="7.5703125" style="415" customWidth="1"/>
    <col min="9994" max="9994" width="7.7109375" style="415" customWidth="1"/>
    <col min="9995" max="9995" width="7" style="415" customWidth="1"/>
    <col min="9996" max="9996" width="7.7109375" style="415" customWidth="1"/>
    <col min="9997" max="9997" width="7" style="415" customWidth="1"/>
    <col min="9998" max="10240" width="11.5703125" style="415"/>
    <col min="10241" max="10241" width="11.42578125" style="415" customWidth="1"/>
    <col min="10242" max="10242" width="6.140625" style="415" customWidth="1"/>
    <col min="10243" max="10243" width="21.7109375" style="415" customWidth="1"/>
    <col min="10244" max="10244" width="9.28515625" style="415" customWidth="1"/>
    <col min="10245" max="10245" width="8.28515625" style="415" customWidth="1"/>
    <col min="10246" max="10246" width="7.7109375" style="415" customWidth="1"/>
    <col min="10247" max="10247" width="9.7109375" style="415" customWidth="1"/>
    <col min="10248" max="10248" width="7.28515625" style="415" customWidth="1"/>
    <col min="10249" max="10249" width="7.5703125" style="415" customWidth="1"/>
    <col min="10250" max="10250" width="7.7109375" style="415" customWidth="1"/>
    <col min="10251" max="10251" width="7" style="415" customWidth="1"/>
    <col min="10252" max="10252" width="7.7109375" style="415" customWidth="1"/>
    <col min="10253" max="10253" width="7" style="415" customWidth="1"/>
    <col min="10254" max="10496" width="11.5703125" style="415"/>
    <col min="10497" max="10497" width="11.42578125" style="415" customWidth="1"/>
    <col min="10498" max="10498" width="6.140625" style="415" customWidth="1"/>
    <col min="10499" max="10499" width="21.7109375" style="415" customWidth="1"/>
    <col min="10500" max="10500" width="9.28515625" style="415" customWidth="1"/>
    <col min="10501" max="10501" width="8.28515625" style="415" customWidth="1"/>
    <col min="10502" max="10502" width="7.7109375" style="415" customWidth="1"/>
    <col min="10503" max="10503" width="9.7109375" style="415" customWidth="1"/>
    <col min="10504" max="10504" width="7.28515625" style="415" customWidth="1"/>
    <col min="10505" max="10505" width="7.5703125" style="415" customWidth="1"/>
    <col min="10506" max="10506" width="7.7109375" style="415" customWidth="1"/>
    <col min="10507" max="10507" width="7" style="415" customWidth="1"/>
    <col min="10508" max="10508" width="7.7109375" style="415" customWidth="1"/>
    <col min="10509" max="10509" width="7" style="415" customWidth="1"/>
    <col min="10510" max="10752" width="11.5703125" style="415"/>
    <col min="10753" max="10753" width="11.42578125" style="415" customWidth="1"/>
    <col min="10754" max="10754" width="6.140625" style="415" customWidth="1"/>
    <col min="10755" max="10755" width="21.7109375" style="415" customWidth="1"/>
    <col min="10756" max="10756" width="9.28515625" style="415" customWidth="1"/>
    <col min="10757" max="10757" width="8.28515625" style="415" customWidth="1"/>
    <col min="10758" max="10758" width="7.7109375" style="415" customWidth="1"/>
    <col min="10759" max="10759" width="9.7109375" style="415" customWidth="1"/>
    <col min="10760" max="10760" width="7.28515625" style="415" customWidth="1"/>
    <col min="10761" max="10761" width="7.5703125" style="415" customWidth="1"/>
    <col min="10762" max="10762" width="7.7109375" style="415" customWidth="1"/>
    <col min="10763" max="10763" width="7" style="415" customWidth="1"/>
    <col min="10764" max="10764" width="7.7109375" style="415" customWidth="1"/>
    <col min="10765" max="10765" width="7" style="415" customWidth="1"/>
    <col min="10766" max="11008" width="11.5703125" style="415"/>
    <col min="11009" max="11009" width="11.42578125" style="415" customWidth="1"/>
    <col min="11010" max="11010" width="6.140625" style="415" customWidth="1"/>
    <col min="11011" max="11011" width="21.7109375" style="415" customWidth="1"/>
    <col min="11012" max="11012" width="9.28515625" style="415" customWidth="1"/>
    <col min="11013" max="11013" width="8.28515625" style="415" customWidth="1"/>
    <col min="11014" max="11014" width="7.7109375" style="415" customWidth="1"/>
    <col min="11015" max="11015" width="9.7109375" style="415" customWidth="1"/>
    <col min="11016" max="11016" width="7.28515625" style="415" customWidth="1"/>
    <col min="11017" max="11017" width="7.5703125" style="415" customWidth="1"/>
    <col min="11018" max="11018" width="7.7109375" style="415" customWidth="1"/>
    <col min="11019" max="11019" width="7" style="415" customWidth="1"/>
    <col min="11020" max="11020" width="7.7109375" style="415" customWidth="1"/>
    <col min="11021" max="11021" width="7" style="415" customWidth="1"/>
    <col min="11022" max="11264" width="11.5703125" style="415"/>
    <col min="11265" max="11265" width="11.42578125" style="415" customWidth="1"/>
    <col min="11266" max="11266" width="6.140625" style="415" customWidth="1"/>
    <col min="11267" max="11267" width="21.7109375" style="415" customWidth="1"/>
    <col min="11268" max="11268" width="9.28515625" style="415" customWidth="1"/>
    <col min="11269" max="11269" width="8.28515625" style="415" customWidth="1"/>
    <col min="11270" max="11270" width="7.7109375" style="415" customWidth="1"/>
    <col min="11271" max="11271" width="9.7109375" style="415" customWidth="1"/>
    <col min="11272" max="11272" width="7.28515625" style="415" customWidth="1"/>
    <col min="11273" max="11273" width="7.5703125" style="415" customWidth="1"/>
    <col min="11274" max="11274" width="7.7109375" style="415" customWidth="1"/>
    <col min="11275" max="11275" width="7" style="415" customWidth="1"/>
    <col min="11276" max="11276" width="7.7109375" style="415" customWidth="1"/>
    <col min="11277" max="11277" width="7" style="415" customWidth="1"/>
    <col min="11278" max="11520" width="11.5703125" style="415"/>
    <col min="11521" max="11521" width="11.42578125" style="415" customWidth="1"/>
    <col min="11522" max="11522" width="6.140625" style="415" customWidth="1"/>
    <col min="11523" max="11523" width="21.7109375" style="415" customWidth="1"/>
    <col min="11524" max="11524" width="9.28515625" style="415" customWidth="1"/>
    <col min="11525" max="11525" width="8.28515625" style="415" customWidth="1"/>
    <col min="11526" max="11526" width="7.7109375" style="415" customWidth="1"/>
    <col min="11527" max="11527" width="9.7109375" style="415" customWidth="1"/>
    <col min="11528" max="11528" width="7.28515625" style="415" customWidth="1"/>
    <col min="11529" max="11529" width="7.5703125" style="415" customWidth="1"/>
    <col min="11530" max="11530" width="7.7109375" style="415" customWidth="1"/>
    <col min="11531" max="11531" width="7" style="415" customWidth="1"/>
    <col min="11532" max="11532" width="7.7109375" style="415" customWidth="1"/>
    <col min="11533" max="11533" width="7" style="415" customWidth="1"/>
    <col min="11534" max="11776" width="11.5703125" style="415"/>
    <col min="11777" max="11777" width="11.42578125" style="415" customWidth="1"/>
    <col min="11778" max="11778" width="6.140625" style="415" customWidth="1"/>
    <col min="11779" max="11779" width="21.7109375" style="415" customWidth="1"/>
    <col min="11780" max="11780" width="9.28515625" style="415" customWidth="1"/>
    <col min="11781" max="11781" width="8.28515625" style="415" customWidth="1"/>
    <col min="11782" max="11782" width="7.7109375" style="415" customWidth="1"/>
    <col min="11783" max="11783" width="9.7109375" style="415" customWidth="1"/>
    <col min="11784" max="11784" width="7.28515625" style="415" customWidth="1"/>
    <col min="11785" max="11785" width="7.5703125" style="415" customWidth="1"/>
    <col min="11786" max="11786" width="7.7109375" style="415" customWidth="1"/>
    <col min="11787" max="11787" width="7" style="415" customWidth="1"/>
    <col min="11788" max="11788" width="7.7109375" style="415" customWidth="1"/>
    <col min="11789" max="11789" width="7" style="415" customWidth="1"/>
    <col min="11790" max="12032" width="11.5703125" style="415"/>
    <col min="12033" max="12033" width="11.42578125" style="415" customWidth="1"/>
    <col min="12034" max="12034" width="6.140625" style="415" customWidth="1"/>
    <col min="12035" max="12035" width="21.7109375" style="415" customWidth="1"/>
    <col min="12036" max="12036" width="9.28515625" style="415" customWidth="1"/>
    <col min="12037" max="12037" width="8.28515625" style="415" customWidth="1"/>
    <col min="12038" max="12038" width="7.7109375" style="415" customWidth="1"/>
    <col min="12039" max="12039" width="9.7109375" style="415" customWidth="1"/>
    <col min="12040" max="12040" width="7.28515625" style="415" customWidth="1"/>
    <col min="12041" max="12041" width="7.5703125" style="415" customWidth="1"/>
    <col min="12042" max="12042" width="7.7109375" style="415" customWidth="1"/>
    <col min="12043" max="12043" width="7" style="415" customWidth="1"/>
    <col min="12044" max="12044" width="7.7109375" style="415" customWidth="1"/>
    <col min="12045" max="12045" width="7" style="415" customWidth="1"/>
    <col min="12046" max="12288" width="11.5703125" style="415"/>
    <col min="12289" max="12289" width="11.42578125" style="415" customWidth="1"/>
    <col min="12290" max="12290" width="6.140625" style="415" customWidth="1"/>
    <col min="12291" max="12291" width="21.7109375" style="415" customWidth="1"/>
    <col min="12292" max="12292" width="9.28515625" style="415" customWidth="1"/>
    <col min="12293" max="12293" width="8.28515625" style="415" customWidth="1"/>
    <col min="12294" max="12294" width="7.7109375" style="415" customWidth="1"/>
    <col min="12295" max="12295" width="9.7109375" style="415" customWidth="1"/>
    <col min="12296" max="12296" width="7.28515625" style="415" customWidth="1"/>
    <col min="12297" max="12297" width="7.5703125" style="415" customWidth="1"/>
    <col min="12298" max="12298" width="7.7109375" style="415" customWidth="1"/>
    <col min="12299" max="12299" width="7" style="415" customWidth="1"/>
    <col min="12300" max="12300" width="7.7109375" style="415" customWidth="1"/>
    <col min="12301" max="12301" width="7" style="415" customWidth="1"/>
    <col min="12302" max="12544" width="11.5703125" style="415"/>
    <col min="12545" max="12545" width="11.42578125" style="415" customWidth="1"/>
    <col min="12546" max="12546" width="6.140625" style="415" customWidth="1"/>
    <col min="12547" max="12547" width="21.7109375" style="415" customWidth="1"/>
    <col min="12548" max="12548" width="9.28515625" style="415" customWidth="1"/>
    <col min="12549" max="12549" width="8.28515625" style="415" customWidth="1"/>
    <col min="12550" max="12550" width="7.7109375" style="415" customWidth="1"/>
    <col min="12551" max="12551" width="9.7109375" style="415" customWidth="1"/>
    <col min="12552" max="12552" width="7.28515625" style="415" customWidth="1"/>
    <col min="12553" max="12553" width="7.5703125" style="415" customWidth="1"/>
    <col min="12554" max="12554" width="7.7109375" style="415" customWidth="1"/>
    <col min="12555" max="12555" width="7" style="415" customWidth="1"/>
    <col min="12556" max="12556" width="7.7109375" style="415" customWidth="1"/>
    <col min="12557" max="12557" width="7" style="415" customWidth="1"/>
    <col min="12558" max="12800" width="11.5703125" style="415"/>
    <col min="12801" max="12801" width="11.42578125" style="415" customWidth="1"/>
    <col min="12802" max="12802" width="6.140625" style="415" customWidth="1"/>
    <col min="12803" max="12803" width="21.7109375" style="415" customWidth="1"/>
    <col min="12804" max="12804" width="9.28515625" style="415" customWidth="1"/>
    <col min="12805" max="12805" width="8.28515625" style="415" customWidth="1"/>
    <col min="12806" max="12806" width="7.7109375" style="415" customWidth="1"/>
    <col min="12807" max="12807" width="9.7109375" style="415" customWidth="1"/>
    <col min="12808" max="12808" width="7.28515625" style="415" customWidth="1"/>
    <col min="12809" max="12809" width="7.5703125" style="415" customWidth="1"/>
    <col min="12810" max="12810" width="7.7109375" style="415" customWidth="1"/>
    <col min="12811" max="12811" width="7" style="415" customWidth="1"/>
    <col min="12812" max="12812" width="7.7109375" style="415" customWidth="1"/>
    <col min="12813" max="12813" width="7" style="415" customWidth="1"/>
    <col min="12814" max="13056" width="11.5703125" style="415"/>
    <col min="13057" max="13057" width="11.42578125" style="415" customWidth="1"/>
    <col min="13058" max="13058" width="6.140625" style="415" customWidth="1"/>
    <col min="13059" max="13059" width="21.7109375" style="415" customWidth="1"/>
    <col min="13060" max="13060" width="9.28515625" style="415" customWidth="1"/>
    <col min="13061" max="13061" width="8.28515625" style="415" customWidth="1"/>
    <col min="13062" max="13062" width="7.7109375" style="415" customWidth="1"/>
    <col min="13063" max="13063" width="9.7109375" style="415" customWidth="1"/>
    <col min="13064" max="13064" width="7.28515625" style="415" customWidth="1"/>
    <col min="13065" max="13065" width="7.5703125" style="415" customWidth="1"/>
    <col min="13066" max="13066" width="7.7109375" style="415" customWidth="1"/>
    <col min="13067" max="13067" width="7" style="415" customWidth="1"/>
    <col min="13068" max="13068" width="7.7109375" style="415" customWidth="1"/>
    <col min="13069" max="13069" width="7" style="415" customWidth="1"/>
    <col min="13070" max="13312" width="11.5703125" style="415"/>
    <col min="13313" max="13313" width="11.42578125" style="415" customWidth="1"/>
    <col min="13314" max="13314" width="6.140625" style="415" customWidth="1"/>
    <col min="13315" max="13315" width="21.7109375" style="415" customWidth="1"/>
    <col min="13316" max="13316" width="9.28515625" style="415" customWidth="1"/>
    <col min="13317" max="13317" width="8.28515625" style="415" customWidth="1"/>
    <col min="13318" max="13318" width="7.7109375" style="415" customWidth="1"/>
    <col min="13319" max="13319" width="9.7109375" style="415" customWidth="1"/>
    <col min="13320" max="13320" width="7.28515625" style="415" customWidth="1"/>
    <col min="13321" max="13321" width="7.5703125" style="415" customWidth="1"/>
    <col min="13322" max="13322" width="7.7109375" style="415" customWidth="1"/>
    <col min="13323" max="13323" width="7" style="415" customWidth="1"/>
    <col min="13324" max="13324" width="7.7109375" style="415" customWidth="1"/>
    <col min="13325" max="13325" width="7" style="415" customWidth="1"/>
    <col min="13326" max="13568" width="11.5703125" style="415"/>
    <col min="13569" max="13569" width="11.42578125" style="415" customWidth="1"/>
    <col min="13570" max="13570" width="6.140625" style="415" customWidth="1"/>
    <col min="13571" max="13571" width="21.7109375" style="415" customWidth="1"/>
    <col min="13572" max="13572" width="9.28515625" style="415" customWidth="1"/>
    <col min="13573" max="13573" width="8.28515625" style="415" customWidth="1"/>
    <col min="13574" max="13574" width="7.7109375" style="415" customWidth="1"/>
    <col min="13575" max="13575" width="9.7109375" style="415" customWidth="1"/>
    <col min="13576" max="13576" width="7.28515625" style="415" customWidth="1"/>
    <col min="13577" max="13577" width="7.5703125" style="415" customWidth="1"/>
    <col min="13578" max="13578" width="7.7109375" style="415" customWidth="1"/>
    <col min="13579" max="13579" width="7" style="415" customWidth="1"/>
    <col min="13580" max="13580" width="7.7109375" style="415" customWidth="1"/>
    <col min="13581" max="13581" width="7" style="415" customWidth="1"/>
    <col min="13582" max="13824" width="11.5703125" style="415"/>
    <col min="13825" max="13825" width="11.42578125" style="415" customWidth="1"/>
    <col min="13826" max="13826" width="6.140625" style="415" customWidth="1"/>
    <col min="13827" max="13827" width="21.7109375" style="415" customWidth="1"/>
    <col min="13828" max="13828" width="9.28515625" style="415" customWidth="1"/>
    <col min="13829" max="13829" width="8.28515625" style="415" customWidth="1"/>
    <col min="13830" max="13830" width="7.7109375" style="415" customWidth="1"/>
    <col min="13831" max="13831" width="9.7109375" style="415" customWidth="1"/>
    <col min="13832" max="13832" width="7.28515625" style="415" customWidth="1"/>
    <col min="13833" max="13833" width="7.5703125" style="415" customWidth="1"/>
    <col min="13834" max="13834" width="7.7109375" style="415" customWidth="1"/>
    <col min="13835" max="13835" width="7" style="415" customWidth="1"/>
    <col min="13836" max="13836" width="7.7109375" style="415" customWidth="1"/>
    <col min="13837" max="13837" width="7" style="415" customWidth="1"/>
    <col min="13838" max="14080" width="11.5703125" style="415"/>
    <col min="14081" max="14081" width="11.42578125" style="415" customWidth="1"/>
    <col min="14082" max="14082" width="6.140625" style="415" customWidth="1"/>
    <col min="14083" max="14083" width="21.7109375" style="415" customWidth="1"/>
    <col min="14084" max="14084" width="9.28515625" style="415" customWidth="1"/>
    <col min="14085" max="14085" width="8.28515625" style="415" customWidth="1"/>
    <col min="14086" max="14086" width="7.7109375" style="415" customWidth="1"/>
    <col min="14087" max="14087" width="9.7109375" style="415" customWidth="1"/>
    <col min="14088" max="14088" width="7.28515625" style="415" customWidth="1"/>
    <col min="14089" max="14089" width="7.5703125" style="415" customWidth="1"/>
    <col min="14090" max="14090" width="7.7109375" style="415" customWidth="1"/>
    <col min="14091" max="14091" width="7" style="415" customWidth="1"/>
    <col min="14092" max="14092" width="7.7109375" style="415" customWidth="1"/>
    <col min="14093" max="14093" width="7" style="415" customWidth="1"/>
    <col min="14094" max="14336" width="11.5703125" style="415"/>
    <col min="14337" max="14337" width="11.42578125" style="415" customWidth="1"/>
    <col min="14338" max="14338" width="6.140625" style="415" customWidth="1"/>
    <col min="14339" max="14339" width="21.7109375" style="415" customWidth="1"/>
    <col min="14340" max="14340" width="9.28515625" style="415" customWidth="1"/>
    <col min="14341" max="14341" width="8.28515625" style="415" customWidth="1"/>
    <col min="14342" max="14342" width="7.7109375" style="415" customWidth="1"/>
    <col min="14343" max="14343" width="9.7109375" style="415" customWidth="1"/>
    <col min="14344" max="14344" width="7.28515625" style="415" customWidth="1"/>
    <col min="14345" max="14345" width="7.5703125" style="415" customWidth="1"/>
    <col min="14346" max="14346" width="7.7109375" style="415" customWidth="1"/>
    <col min="14347" max="14347" width="7" style="415" customWidth="1"/>
    <col min="14348" max="14348" width="7.7109375" style="415" customWidth="1"/>
    <col min="14349" max="14349" width="7" style="415" customWidth="1"/>
    <col min="14350" max="14592" width="11.5703125" style="415"/>
    <col min="14593" max="14593" width="11.42578125" style="415" customWidth="1"/>
    <col min="14594" max="14594" width="6.140625" style="415" customWidth="1"/>
    <col min="14595" max="14595" width="21.7109375" style="415" customWidth="1"/>
    <col min="14596" max="14596" width="9.28515625" style="415" customWidth="1"/>
    <col min="14597" max="14597" width="8.28515625" style="415" customWidth="1"/>
    <col min="14598" max="14598" width="7.7109375" style="415" customWidth="1"/>
    <col min="14599" max="14599" width="9.7109375" style="415" customWidth="1"/>
    <col min="14600" max="14600" width="7.28515625" style="415" customWidth="1"/>
    <col min="14601" max="14601" width="7.5703125" style="415" customWidth="1"/>
    <col min="14602" max="14602" width="7.7109375" style="415" customWidth="1"/>
    <col min="14603" max="14603" width="7" style="415" customWidth="1"/>
    <col min="14604" max="14604" width="7.7109375" style="415" customWidth="1"/>
    <col min="14605" max="14605" width="7" style="415" customWidth="1"/>
    <col min="14606" max="14848" width="11.5703125" style="415"/>
    <col min="14849" max="14849" width="11.42578125" style="415" customWidth="1"/>
    <col min="14850" max="14850" width="6.140625" style="415" customWidth="1"/>
    <col min="14851" max="14851" width="21.7109375" style="415" customWidth="1"/>
    <col min="14852" max="14852" width="9.28515625" style="415" customWidth="1"/>
    <col min="14853" max="14853" width="8.28515625" style="415" customWidth="1"/>
    <col min="14854" max="14854" width="7.7109375" style="415" customWidth="1"/>
    <col min="14855" max="14855" width="9.7109375" style="415" customWidth="1"/>
    <col min="14856" max="14856" width="7.28515625" style="415" customWidth="1"/>
    <col min="14857" max="14857" width="7.5703125" style="415" customWidth="1"/>
    <col min="14858" max="14858" width="7.7109375" style="415" customWidth="1"/>
    <col min="14859" max="14859" width="7" style="415" customWidth="1"/>
    <col min="14860" max="14860" width="7.7109375" style="415" customWidth="1"/>
    <col min="14861" max="14861" width="7" style="415" customWidth="1"/>
    <col min="14862" max="15104" width="11.5703125" style="415"/>
    <col min="15105" max="15105" width="11.42578125" style="415" customWidth="1"/>
    <col min="15106" max="15106" width="6.140625" style="415" customWidth="1"/>
    <col min="15107" max="15107" width="21.7109375" style="415" customWidth="1"/>
    <col min="15108" max="15108" width="9.28515625" style="415" customWidth="1"/>
    <col min="15109" max="15109" width="8.28515625" style="415" customWidth="1"/>
    <col min="15110" max="15110" width="7.7109375" style="415" customWidth="1"/>
    <col min="15111" max="15111" width="9.7109375" style="415" customWidth="1"/>
    <col min="15112" max="15112" width="7.28515625" style="415" customWidth="1"/>
    <col min="15113" max="15113" width="7.5703125" style="415" customWidth="1"/>
    <col min="15114" max="15114" width="7.7109375" style="415" customWidth="1"/>
    <col min="15115" max="15115" width="7" style="415" customWidth="1"/>
    <col min="15116" max="15116" width="7.7109375" style="415" customWidth="1"/>
    <col min="15117" max="15117" width="7" style="415" customWidth="1"/>
    <col min="15118" max="15360" width="11.5703125" style="415"/>
    <col min="15361" max="15361" width="11.42578125" style="415" customWidth="1"/>
    <col min="15362" max="15362" width="6.140625" style="415" customWidth="1"/>
    <col min="15363" max="15363" width="21.7109375" style="415" customWidth="1"/>
    <col min="15364" max="15364" width="9.28515625" style="415" customWidth="1"/>
    <col min="15365" max="15365" width="8.28515625" style="415" customWidth="1"/>
    <col min="15366" max="15366" width="7.7109375" style="415" customWidth="1"/>
    <col min="15367" max="15367" width="9.7109375" style="415" customWidth="1"/>
    <col min="15368" max="15368" width="7.28515625" style="415" customWidth="1"/>
    <col min="15369" max="15369" width="7.5703125" style="415" customWidth="1"/>
    <col min="15370" max="15370" width="7.7109375" style="415" customWidth="1"/>
    <col min="15371" max="15371" width="7" style="415" customWidth="1"/>
    <col min="15372" max="15372" width="7.7109375" style="415" customWidth="1"/>
    <col min="15373" max="15373" width="7" style="415" customWidth="1"/>
    <col min="15374" max="15616" width="11.5703125" style="415"/>
    <col min="15617" max="15617" width="11.42578125" style="415" customWidth="1"/>
    <col min="15618" max="15618" width="6.140625" style="415" customWidth="1"/>
    <col min="15619" max="15619" width="21.7109375" style="415" customWidth="1"/>
    <col min="15620" max="15620" width="9.28515625" style="415" customWidth="1"/>
    <col min="15621" max="15621" width="8.28515625" style="415" customWidth="1"/>
    <col min="15622" max="15622" width="7.7109375" style="415" customWidth="1"/>
    <col min="15623" max="15623" width="9.7109375" style="415" customWidth="1"/>
    <col min="15624" max="15624" width="7.28515625" style="415" customWidth="1"/>
    <col min="15625" max="15625" width="7.5703125" style="415" customWidth="1"/>
    <col min="15626" max="15626" width="7.7109375" style="415" customWidth="1"/>
    <col min="15627" max="15627" width="7" style="415" customWidth="1"/>
    <col min="15628" max="15628" width="7.7109375" style="415" customWidth="1"/>
    <col min="15629" max="15629" width="7" style="415" customWidth="1"/>
    <col min="15630" max="15872" width="11.5703125" style="415"/>
    <col min="15873" max="15873" width="11.42578125" style="415" customWidth="1"/>
    <col min="15874" max="15874" width="6.140625" style="415" customWidth="1"/>
    <col min="15875" max="15875" width="21.7109375" style="415" customWidth="1"/>
    <col min="15876" max="15876" width="9.28515625" style="415" customWidth="1"/>
    <col min="15877" max="15877" width="8.28515625" style="415" customWidth="1"/>
    <col min="15878" max="15878" width="7.7109375" style="415" customWidth="1"/>
    <col min="15879" max="15879" width="9.7109375" style="415" customWidth="1"/>
    <col min="15880" max="15880" width="7.28515625" style="415" customWidth="1"/>
    <col min="15881" max="15881" width="7.5703125" style="415" customWidth="1"/>
    <col min="15882" max="15882" width="7.7109375" style="415" customWidth="1"/>
    <col min="15883" max="15883" width="7" style="415" customWidth="1"/>
    <col min="15884" max="15884" width="7.7109375" style="415" customWidth="1"/>
    <col min="15885" max="15885" width="7" style="415" customWidth="1"/>
    <col min="15886" max="16128" width="11.5703125" style="415"/>
    <col min="16129" max="16129" width="11.42578125" style="415" customWidth="1"/>
    <col min="16130" max="16130" width="6.140625" style="415" customWidth="1"/>
    <col min="16131" max="16131" width="21.7109375" style="415" customWidth="1"/>
    <col min="16132" max="16132" width="9.28515625" style="415" customWidth="1"/>
    <col min="16133" max="16133" width="8.28515625" style="415" customWidth="1"/>
    <col min="16134" max="16134" width="7.7109375" style="415" customWidth="1"/>
    <col min="16135" max="16135" width="9.7109375" style="415" customWidth="1"/>
    <col min="16136" max="16136" width="7.28515625" style="415" customWidth="1"/>
    <col min="16137" max="16137" width="7.5703125" style="415" customWidth="1"/>
    <col min="16138" max="16138" width="7.7109375" style="415" customWidth="1"/>
    <col min="16139" max="16139" width="7" style="415" customWidth="1"/>
    <col min="16140" max="16140" width="7.7109375" style="415" customWidth="1"/>
    <col min="16141" max="16141" width="7" style="415" customWidth="1"/>
    <col min="16142" max="16384" width="11.5703125" style="415"/>
  </cols>
  <sheetData>
    <row r="1" spans="1:15" ht="26.25" customHeight="1" x14ac:dyDescent="0.4">
      <c r="A1" s="448" t="s">
        <v>534</v>
      </c>
      <c r="B1" s="449"/>
      <c r="C1" s="450"/>
      <c r="F1" s="451" t="s">
        <v>548</v>
      </c>
      <c r="G1" s="452"/>
      <c r="H1" s="452"/>
      <c r="I1" s="452"/>
      <c r="J1" s="452"/>
      <c r="K1" s="452"/>
      <c r="L1" s="453"/>
    </row>
    <row r="2" spans="1:15" ht="21" customHeight="1" x14ac:dyDescent="0.35">
      <c r="A2" s="444" t="s">
        <v>536</v>
      </c>
      <c r="B2" s="445"/>
      <c r="C2" s="416" t="s">
        <v>537</v>
      </c>
      <c r="F2" s="444" t="s">
        <v>536</v>
      </c>
      <c r="G2" s="445"/>
      <c r="H2" s="446" t="s">
        <v>549</v>
      </c>
      <c r="I2" s="446"/>
      <c r="J2" s="446"/>
      <c r="K2" s="446"/>
      <c r="L2" s="447"/>
    </row>
    <row r="3" spans="1:15" ht="21.75" customHeight="1" x14ac:dyDescent="0.35">
      <c r="A3" s="444" t="s">
        <v>538</v>
      </c>
      <c r="B3" s="445"/>
      <c r="C3" s="416" t="s">
        <v>539</v>
      </c>
      <c r="F3" s="444" t="s">
        <v>538</v>
      </c>
      <c r="G3" s="445"/>
      <c r="H3" s="446" t="s">
        <v>550</v>
      </c>
      <c r="I3" s="446"/>
      <c r="J3" s="446"/>
      <c r="K3" s="446"/>
      <c r="L3" s="447"/>
    </row>
    <row r="4" spans="1:15" ht="21.75" thickBot="1" x14ac:dyDescent="0.4">
      <c r="A4" s="454" t="s">
        <v>540</v>
      </c>
      <c r="B4" s="455"/>
      <c r="C4" s="417" t="s">
        <v>541</v>
      </c>
      <c r="F4" s="454" t="s">
        <v>540</v>
      </c>
      <c r="G4" s="455"/>
      <c r="H4" s="456" t="s">
        <v>551</v>
      </c>
      <c r="I4" s="456"/>
      <c r="J4" s="456"/>
      <c r="K4" s="456"/>
      <c r="L4" s="457"/>
    </row>
    <row r="5" spans="1:15" ht="7.5" customHeight="1" thickBot="1" x14ac:dyDescent="0.4">
      <c r="A5" s="418"/>
      <c r="C5" s="418"/>
    </row>
    <row r="6" spans="1:15" ht="35.450000000000003" customHeight="1" thickBot="1" x14ac:dyDescent="0.25">
      <c r="A6" s="458" t="s">
        <v>535</v>
      </c>
      <c r="B6" s="459"/>
      <c r="C6" s="460"/>
      <c r="F6" s="461" t="s">
        <v>542</v>
      </c>
      <c r="G6" s="462"/>
      <c r="H6" s="463"/>
      <c r="I6" s="464">
        <f ca="1">+TODAY()</f>
        <v>46099</v>
      </c>
      <c r="J6" s="465"/>
      <c r="K6" s="465"/>
      <c r="L6" s="465"/>
      <c r="M6" s="466"/>
    </row>
    <row r="7" spans="1:15" ht="3" customHeight="1" thickBot="1" x14ac:dyDescent="0.25"/>
    <row r="8" spans="1:15" ht="42.75" customHeight="1" thickBot="1" x14ac:dyDescent="0.25">
      <c r="A8" s="473" t="s">
        <v>543</v>
      </c>
      <c r="B8" s="474"/>
      <c r="C8" s="442" t="s">
        <v>571</v>
      </c>
      <c r="D8" s="420" t="s">
        <v>544</v>
      </c>
      <c r="E8" s="421">
        <v>4309</v>
      </c>
      <c r="F8" s="473" t="s">
        <v>545</v>
      </c>
      <c r="G8" s="475"/>
      <c r="H8" s="474"/>
      <c r="I8" s="476" t="s">
        <v>539</v>
      </c>
      <c r="J8" s="477"/>
      <c r="K8" s="477"/>
      <c r="L8" s="477"/>
      <c r="M8" s="478"/>
    </row>
    <row r="9" spans="1:15" ht="7.5" customHeight="1" thickBot="1" x14ac:dyDescent="0.4">
      <c r="A9" s="418"/>
      <c r="C9" s="418"/>
    </row>
    <row r="10" spans="1:15" ht="39.6" customHeight="1" thickBot="1" x14ac:dyDescent="0.25">
      <c r="A10" s="479" t="s">
        <v>552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1"/>
    </row>
    <row r="11" spans="1:15" ht="6" customHeight="1" thickBot="1" x14ac:dyDescent="0.4">
      <c r="A11" s="418"/>
      <c r="C11" s="418"/>
    </row>
    <row r="12" spans="1:15" ht="27" thickBot="1" x14ac:dyDescent="0.25">
      <c r="A12" s="482" t="s">
        <v>553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</row>
    <row r="13" spans="1:15" ht="38.25" thickBot="1" x14ac:dyDescent="0.25">
      <c r="A13" s="422" t="s">
        <v>311</v>
      </c>
      <c r="B13" s="423" t="s">
        <v>533</v>
      </c>
      <c r="C13" s="424" t="s">
        <v>554</v>
      </c>
      <c r="D13" s="425" t="s">
        <v>555</v>
      </c>
      <c r="E13" s="426" t="s">
        <v>285</v>
      </c>
      <c r="F13" s="426" t="s">
        <v>556</v>
      </c>
      <c r="G13" s="423" t="s">
        <v>557</v>
      </c>
      <c r="H13" s="423" t="s">
        <v>558</v>
      </c>
      <c r="I13" s="423" t="s">
        <v>559</v>
      </c>
      <c r="J13" s="423" t="s">
        <v>558</v>
      </c>
      <c r="K13" s="423" t="s">
        <v>559</v>
      </c>
      <c r="L13" s="423" t="s">
        <v>558</v>
      </c>
      <c r="M13" s="423" t="s">
        <v>559</v>
      </c>
    </row>
    <row r="14" spans="1:15" ht="33.6" customHeight="1" x14ac:dyDescent="0.2">
      <c r="A14" s="467" t="str" cm="1">
        <f t="array" ref="A14">+IFERROR(INDEX('Conteo 18-02-26'!$B:$B,MATCH(1,('Conteo 18-02-26'!$E:$E=$B14)*('Conteo 18-02-26'!$A:$A="Kufo"),0)),"")</f>
        <v/>
      </c>
      <c r="B14" s="469">
        <v>1</v>
      </c>
      <c r="C14" s="471" t="str" cm="1">
        <f t="array" ref="C14">+IFERROR(INDEX('Conteo 18-02-26'!$C:$C,MATCH(1,('Conteo 18-02-26'!$E:$E=$B14)*('Conteo 18-02-26'!$A:$A="Kufo"),0)),"")</f>
        <v/>
      </c>
      <c r="D14" s="471" t="str" cm="1">
        <f t="array" ref="D14">+IFERROR(INDEX('Conteo 18-02-26'!$D:$D,MATCH(1,('Conteo 18-02-26'!$E:$E=$B14)*('Conteo 18-02-26'!A:A:'Conteo 18-02-26'!$A:$A="Kufo"),0)),"")</f>
        <v/>
      </c>
      <c r="E14" s="427" t="str">
        <f>+IF(E13="LK","CH",IF(D14="","",IF(D14&gt;0,"LK","CH")))</f>
        <v/>
      </c>
      <c r="F14" s="427" t="str">
        <f>+IF(OR(E14="LK"),ROUNDUP(D14*(VLOOKUP(B14,'Conteo 18-02-26'!$E:$AN,35,0))/100,0),IF(E14="CH",D13-F13,""))</f>
        <v/>
      </c>
      <c r="G14" s="469"/>
      <c r="H14" s="428"/>
      <c r="I14" s="429"/>
      <c r="J14" s="428"/>
      <c r="K14" s="429"/>
      <c r="L14" s="428"/>
      <c r="M14" s="430"/>
      <c r="O14" s="431"/>
    </row>
    <row r="15" spans="1:15" ht="33.6" customHeight="1" x14ac:dyDescent="0.2">
      <c r="A15" s="468"/>
      <c r="B15" s="470"/>
      <c r="C15" s="472"/>
      <c r="D15" s="472"/>
      <c r="E15" s="427" t="str">
        <f t="shared" ref="E15:E43" si="0">+IF(E14="LK","CH",IF(D15="","",IF(D15&gt;0,"LK","CH")))</f>
        <v/>
      </c>
      <c r="F15" s="432" t="str">
        <f>+IF(OR(E15="LK"),ROUNDUP(D15*(VLOOKUP(B15,'Conteo 18-02-26'!$E:$AN,35,0))/100,0),IF(E15="CH",D14-F14,""))</f>
        <v/>
      </c>
      <c r="G15" s="470"/>
      <c r="H15" s="433"/>
      <c r="I15" s="434"/>
      <c r="J15" s="433"/>
      <c r="K15" s="434"/>
      <c r="L15" s="433"/>
      <c r="M15" s="435"/>
    </row>
    <row r="16" spans="1:15" ht="33.6" customHeight="1" x14ac:dyDescent="0.2">
      <c r="A16" s="485" t="str" cm="1">
        <f t="array" ref="A16">+IFERROR(INDEX('Conteo 18-02-26'!$B:$B,MATCH(1,('Conteo 18-02-26'!$E:$E=$B16)*('Conteo 18-02-26'!$A:$A="Kufo"),0)),"")</f>
        <v/>
      </c>
      <c r="B16" s="470">
        <f>+B14+1</f>
        <v>2</v>
      </c>
      <c r="C16" s="472" t="str" cm="1">
        <f t="array" ref="C16">+IFERROR(INDEX('Conteo 18-02-26'!$C:$C,MATCH(1,('Conteo 18-02-26'!$E:$E=$B16)*('Conteo 18-02-26'!$A:$A="Kufo"),0)),"")</f>
        <v/>
      </c>
      <c r="D16" s="470" t="str" cm="1">
        <f t="array" ref="D16">+IFERROR(INDEX('Conteo 18-02-26'!$D:$D,MATCH(1,('Conteo 18-02-26'!$E:$E=$B16)*('Conteo 18-02-26'!A:A:'Conteo 18-02-26'!$A:$A="Kufo"),0)),"")</f>
        <v/>
      </c>
      <c r="E16" s="427" t="str">
        <f t="shared" si="0"/>
        <v/>
      </c>
      <c r="F16" s="432" t="str">
        <f>+IF(OR(E16="LK"),ROUNDUP(D16*(VLOOKUP(B16,'Conteo 18-02-26'!$E:$AN,35,0))/100,0),IF(E16="CH",D15-F15,""))</f>
        <v/>
      </c>
      <c r="G16" s="470"/>
      <c r="H16" s="434"/>
      <c r="I16" s="434"/>
      <c r="J16" s="434"/>
      <c r="K16" s="434"/>
      <c r="L16" s="434"/>
      <c r="M16" s="435"/>
    </row>
    <row r="17" spans="1:13" ht="33.6" customHeight="1" x14ac:dyDescent="0.2">
      <c r="A17" s="485"/>
      <c r="B17" s="470"/>
      <c r="C17" s="472"/>
      <c r="D17" s="470"/>
      <c r="E17" s="427" t="str">
        <f t="shared" si="0"/>
        <v/>
      </c>
      <c r="F17" s="432" t="str">
        <f>+IF(OR(E17="LK"),ROUNDUP(D17*(VLOOKUP(B17,'Conteo 18-02-26'!$E:$AN,35,0))/100,0),IF(E17="CH",D16-F16,""))</f>
        <v/>
      </c>
      <c r="G17" s="470"/>
      <c r="H17" s="434"/>
      <c r="I17" s="434"/>
      <c r="J17" s="434"/>
      <c r="K17" s="434"/>
      <c r="L17" s="434"/>
      <c r="M17" s="435"/>
    </row>
    <row r="18" spans="1:13" ht="33.6" customHeight="1" x14ac:dyDescent="0.2">
      <c r="A18" s="485" t="str" cm="1">
        <f t="array" ref="A18">+IFERROR(INDEX('Conteo 18-02-26'!$B:$B,MATCH(1,('Conteo 18-02-26'!$E:$E=$B18)*('Conteo 18-02-26'!$A:$A="Kufo"),0)),"")</f>
        <v/>
      </c>
      <c r="B18" s="470">
        <f>+B16+1</f>
        <v>3</v>
      </c>
      <c r="C18" s="472" t="str" cm="1">
        <f t="array" ref="C18">+IFERROR(INDEX('Conteo 18-02-26'!$C:$C,MATCH(1,('Conteo 18-02-26'!$E:$E=$B18)*('Conteo 18-02-26'!$A:$A="Kufo"),0)),"")</f>
        <v/>
      </c>
      <c r="D18" s="470" t="str" cm="1">
        <f t="array" ref="D18">+IFERROR(INDEX('Conteo 18-02-26'!$D:$D,MATCH(1,('Conteo 18-02-26'!$E:$E=$B18)*('Conteo 18-02-26'!A:A:'Conteo 18-02-26'!$A:$A="Kufo"),0)),"")</f>
        <v/>
      </c>
      <c r="E18" s="427" t="str">
        <f t="shared" si="0"/>
        <v/>
      </c>
      <c r="F18" s="432" t="str">
        <f>+IF(OR(E18="LK"),ROUNDUP(D18*(VLOOKUP(B18,'Conteo 18-02-26'!$E:$AN,35,0))/100,0),IF(E18="CH",D17-F17,""))</f>
        <v/>
      </c>
      <c r="G18" s="470"/>
      <c r="H18" s="434"/>
      <c r="I18" s="434"/>
      <c r="J18" s="434"/>
      <c r="K18" s="434"/>
      <c r="L18" s="434"/>
      <c r="M18" s="435"/>
    </row>
    <row r="19" spans="1:13" ht="33.6" customHeight="1" x14ac:dyDescent="0.2">
      <c r="A19" s="485"/>
      <c r="B19" s="470"/>
      <c r="C19" s="472"/>
      <c r="D19" s="470"/>
      <c r="E19" s="427" t="str">
        <f t="shared" si="0"/>
        <v/>
      </c>
      <c r="F19" s="432" t="str">
        <f>+IF(OR(E19="LK"),ROUNDUP(D19*(VLOOKUP(B19,'Conteo 18-02-26'!$E:$AN,35,0))/100,0),IF(E19="CH",D18-F18,""))</f>
        <v/>
      </c>
      <c r="G19" s="470"/>
      <c r="H19" s="434"/>
      <c r="I19" s="434"/>
      <c r="J19" s="434"/>
      <c r="K19" s="434"/>
      <c r="L19" s="434"/>
      <c r="M19" s="435"/>
    </row>
    <row r="20" spans="1:13" ht="33.6" customHeight="1" x14ac:dyDescent="0.2">
      <c r="A20" s="485" t="str" cm="1">
        <f t="array" ref="A20">+IFERROR(INDEX('Conteo 18-02-26'!$B:$B,MATCH(1,('Conteo 18-02-26'!$E:$E=$B20)*('Conteo 18-02-26'!$A:$A="Kufo"),0)),"")</f>
        <v/>
      </c>
      <c r="B20" s="470">
        <f>+B18+1</f>
        <v>4</v>
      </c>
      <c r="C20" s="472" t="str" cm="1">
        <f t="array" ref="C20">+IFERROR(INDEX('Conteo 18-02-26'!$C:$C,MATCH(1,('Conteo 18-02-26'!$E:$E=$B20)*('Conteo 18-02-26'!$A:$A="Kufo"),0)),"")</f>
        <v/>
      </c>
      <c r="D20" s="470" t="str" cm="1">
        <f t="array" ref="D20">+IFERROR(INDEX('Conteo 18-02-26'!$D:$D,MATCH(1,('Conteo 18-02-26'!$E:$E=$B20)*('Conteo 18-02-26'!A:A:'Conteo 18-02-26'!$A:$A="Kufo"),0)),"")</f>
        <v/>
      </c>
      <c r="E20" s="427" t="str">
        <f t="shared" si="0"/>
        <v/>
      </c>
      <c r="F20" s="432" t="str">
        <f>+IF(OR(E20="LK"),ROUNDUP(D20*(VLOOKUP(B20,'Conteo 18-02-26'!$E:$AN,35,0))/100,0),IF(E20="CH",D19-F19,""))</f>
        <v/>
      </c>
      <c r="G20" s="470"/>
      <c r="H20" s="434"/>
      <c r="I20" s="434"/>
      <c r="J20" s="434"/>
      <c r="K20" s="434"/>
      <c r="L20" s="434"/>
      <c r="M20" s="435"/>
    </row>
    <row r="21" spans="1:13" ht="33.6" customHeight="1" x14ac:dyDescent="0.2">
      <c r="A21" s="485"/>
      <c r="B21" s="470"/>
      <c r="C21" s="472"/>
      <c r="D21" s="470"/>
      <c r="E21" s="427" t="str">
        <f t="shared" si="0"/>
        <v/>
      </c>
      <c r="F21" s="432" t="str">
        <f>+IF(OR(E21="LK"),ROUNDUP(D21*(VLOOKUP(B21,'Conteo 18-02-26'!$E:$AN,35,0))/100,0),IF(E21="CH",D20-F20,""))</f>
        <v/>
      </c>
      <c r="G21" s="470"/>
      <c r="H21" s="434"/>
      <c r="I21" s="434"/>
      <c r="J21" s="434"/>
      <c r="K21" s="434"/>
      <c r="L21" s="434"/>
      <c r="M21" s="435"/>
    </row>
    <row r="22" spans="1:13" ht="33.6" customHeight="1" x14ac:dyDescent="0.2">
      <c r="A22" s="485" t="str" cm="1">
        <f t="array" ref="A22">+IFERROR(INDEX('Conteo 18-02-26'!$B:$B,MATCH(1,('Conteo 18-02-26'!$E:$E=$B22)*('Conteo 18-02-26'!$A:$A="Kufo"),0)),"")</f>
        <v/>
      </c>
      <c r="B22" s="470">
        <f>+B20+1</f>
        <v>5</v>
      </c>
      <c r="C22" s="472" t="str" cm="1">
        <f t="array" ref="C22">+IFERROR(INDEX('Conteo 18-02-26'!$C:$C,MATCH(1,('Conteo 18-02-26'!$E:$E=$B22)*('Conteo 18-02-26'!$A:$A="Kufo"),0)),"")</f>
        <v/>
      </c>
      <c r="D22" s="470" t="str" cm="1">
        <f t="array" ref="D22">+IFERROR(INDEX('Conteo 18-02-26'!$D:$D,MATCH(1,('Conteo 18-02-26'!$E:$E=$B22)*('Conteo 18-02-26'!A:A:'Conteo 18-02-26'!$A:$A="Kufo"),0)),"")</f>
        <v/>
      </c>
      <c r="E22" s="427" t="str">
        <f t="shared" si="0"/>
        <v/>
      </c>
      <c r="F22" s="432" t="str">
        <f>+IF(OR(E22="LK"),ROUNDUP(D22*(VLOOKUP(B22,'Conteo 18-02-26'!$E:$AN,35,0))/100,0),IF(E22="CH",D21-F21,""))</f>
        <v/>
      </c>
      <c r="G22" s="470"/>
      <c r="H22" s="434"/>
      <c r="I22" s="434"/>
      <c r="J22" s="434"/>
      <c r="K22" s="434"/>
      <c r="L22" s="434"/>
      <c r="M22" s="435"/>
    </row>
    <row r="23" spans="1:13" ht="33.6" customHeight="1" x14ac:dyDescent="0.2">
      <c r="A23" s="485"/>
      <c r="B23" s="470"/>
      <c r="C23" s="472"/>
      <c r="D23" s="470"/>
      <c r="E23" s="427" t="str">
        <f t="shared" si="0"/>
        <v/>
      </c>
      <c r="F23" s="432" t="str">
        <f>+IF(OR(E23="LK"),ROUNDUP(D23*(VLOOKUP(B23,'Conteo 18-02-26'!$E:$AN,35,0))/100,0),IF(E23="CH",D22-F22,""))</f>
        <v/>
      </c>
      <c r="G23" s="470"/>
      <c r="H23" s="434"/>
      <c r="I23" s="434"/>
      <c r="J23" s="434"/>
      <c r="K23" s="434"/>
      <c r="L23" s="434"/>
      <c r="M23" s="435"/>
    </row>
    <row r="24" spans="1:13" ht="33.6" customHeight="1" x14ac:dyDescent="0.2">
      <c r="A24" s="485" t="str" cm="1">
        <f t="array" ref="A24">+IFERROR(INDEX('Conteo 18-02-26'!$B:$B,MATCH(1,('Conteo 18-02-26'!$E:$E=$B24)*('Conteo 18-02-26'!$A:$A="Kufo"),0)),"")</f>
        <v/>
      </c>
      <c r="B24" s="470">
        <f>+B22+1</f>
        <v>6</v>
      </c>
      <c r="C24" s="472" t="str" cm="1">
        <f t="array" ref="C24">+IFERROR(INDEX('Conteo 18-02-26'!$C:$C,MATCH(1,('Conteo 18-02-26'!$E:$E=$B24)*('Conteo 18-02-26'!$A:$A="Kufo"),0)),"")</f>
        <v/>
      </c>
      <c r="D24" s="470" t="str" cm="1">
        <f t="array" ref="D24">+IFERROR(INDEX('Conteo 18-02-26'!$D:$D,MATCH(1,('Conteo 18-02-26'!$E:$E=$B24)*('Conteo 18-02-26'!A:A:'Conteo 18-02-26'!$A:$A="Kufo"),0)),"")</f>
        <v/>
      </c>
      <c r="E24" s="427" t="str">
        <f t="shared" si="0"/>
        <v/>
      </c>
      <c r="F24" s="432" t="str">
        <f>+IF(OR(E24="LK"),ROUNDUP(D24*(VLOOKUP(B24,'Conteo 18-02-26'!$E:$AN,35,0))/100,0),IF(E24="CH",D23-F23,""))</f>
        <v/>
      </c>
      <c r="G24" s="470"/>
      <c r="H24" s="434"/>
      <c r="I24" s="434"/>
      <c r="J24" s="434"/>
      <c r="K24" s="434"/>
      <c r="L24" s="434"/>
      <c r="M24" s="435"/>
    </row>
    <row r="25" spans="1:13" ht="33.6" customHeight="1" x14ac:dyDescent="0.2">
      <c r="A25" s="485"/>
      <c r="B25" s="470"/>
      <c r="C25" s="472"/>
      <c r="D25" s="470"/>
      <c r="E25" s="427" t="str">
        <f t="shared" si="0"/>
        <v/>
      </c>
      <c r="F25" s="432" t="str">
        <f>+IF(OR(E25="LK"),ROUNDUP(D25*(VLOOKUP(B25,'Conteo 18-02-26'!$E:$AN,35,0))/100,0),IF(E25="CH",D24-F24,""))</f>
        <v/>
      </c>
      <c r="G25" s="470"/>
      <c r="H25" s="434"/>
      <c r="I25" s="434"/>
      <c r="J25" s="434"/>
      <c r="K25" s="434"/>
      <c r="L25" s="434"/>
      <c r="M25" s="435"/>
    </row>
    <row r="26" spans="1:13" ht="33.6" customHeight="1" x14ac:dyDescent="0.2">
      <c r="A26" s="485" t="str" cm="1">
        <f t="array" ref="A26">+IFERROR(INDEX('Conteo 18-02-26'!$B:$B,MATCH(1,('Conteo 18-02-26'!$E:$E=$B26)*('Conteo 18-02-26'!$A:$A="Kufo"),0)),"")</f>
        <v/>
      </c>
      <c r="B26" s="470">
        <f>+B24+1</f>
        <v>7</v>
      </c>
      <c r="C26" s="472" t="str" cm="1">
        <f t="array" ref="C26">+IFERROR(INDEX('Conteo 18-02-26'!$C:$C,MATCH(1,('Conteo 18-02-26'!$E:$E=$B26)*('Conteo 18-02-26'!$A:$A="Kufo"),0)),"")</f>
        <v/>
      </c>
      <c r="D26" s="470" t="str" cm="1">
        <f t="array" ref="D26">+IFERROR(INDEX('Conteo 18-02-26'!$D:$D,MATCH(1,('Conteo 18-02-26'!$E:$E=$B26)*('Conteo 18-02-26'!A:A:'Conteo 18-02-26'!$A:$A="Kufo"),0)),"")</f>
        <v/>
      </c>
      <c r="E26" s="427" t="str">
        <f t="shared" si="0"/>
        <v/>
      </c>
      <c r="F26" s="432" t="str">
        <f>+IF(OR(E26="LK"),ROUNDUP(D26*(VLOOKUP(B26,'Conteo 18-02-26'!$E:$AN,35,0))/100,0),IF(E26="CH",D25-F25,""))</f>
        <v/>
      </c>
      <c r="G26" s="470"/>
      <c r="H26" s="434"/>
      <c r="I26" s="434"/>
      <c r="J26" s="434"/>
      <c r="K26" s="434"/>
      <c r="L26" s="434"/>
      <c r="M26" s="435"/>
    </row>
    <row r="27" spans="1:13" ht="33.6" customHeight="1" x14ac:dyDescent="0.2">
      <c r="A27" s="485"/>
      <c r="B27" s="470"/>
      <c r="C27" s="472"/>
      <c r="D27" s="470"/>
      <c r="E27" s="427" t="str">
        <f t="shared" si="0"/>
        <v/>
      </c>
      <c r="F27" s="432" t="str">
        <f>+IF(OR(E27="LK"),ROUNDUP(D27*(VLOOKUP(B27,'Conteo 18-02-26'!$E:$AN,35,0))/100,0),IF(E27="CH",D26-F26,""))</f>
        <v/>
      </c>
      <c r="G27" s="470"/>
      <c r="H27" s="434"/>
      <c r="I27" s="434"/>
      <c r="J27" s="434"/>
      <c r="K27" s="434"/>
      <c r="L27" s="434"/>
      <c r="M27" s="435"/>
    </row>
    <row r="28" spans="1:13" ht="33.6" customHeight="1" x14ac:dyDescent="0.2">
      <c r="A28" s="485" t="str" cm="1">
        <f t="array" ref="A28">+IFERROR(INDEX('Conteo 18-02-26'!$B:$B,MATCH(1,('Conteo 18-02-26'!$E:$E=$B28)*('Conteo 18-02-26'!$A:$A="Kufo"),0)),"")</f>
        <v/>
      </c>
      <c r="B28" s="470">
        <f>+B26+1</f>
        <v>8</v>
      </c>
      <c r="C28" s="472" t="str" cm="1">
        <f t="array" ref="C28">+IFERROR(INDEX('Conteo 18-02-26'!$C:$C,MATCH(1,('Conteo 18-02-26'!$E:$E=$B28)*('Conteo 18-02-26'!$A:$A="Kufo"),0)),"")</f>
        <v/>
      </c>
      <c r="D28" s="470" t="str" cm="1">
        <f t="array" ref="D28">+IFERROR(INDEX('Conteo 18-02-26'!$D:$D,MATCH(1,('Conteo 18-02-26'!$E:$E=$B28)*('Conteo 18-02-26'!A:A:'Conteo 18-02-26'!$A:$A="Kufo"),0)),"")</f>
        <v/>
      </c>
      <c r="E28" s="427" t="str">
        <f t="shared" si="0"/>
        <v/>
      </c>
      <c r="F28" s="432" t="str">
        <f>+IF(OR(E28="LK"),ROUNDUP(D28*(VLOOKUP(B28,'Conteo 18-02-26'!$E:$AN,35,0))/100,0),IF(E28="CH",D27-F27,""))</f>
        <v/>
      </c>
      <c r="G28" s="470"/>
      <c r="H28" s="434"/>
      <c r="I28" s="434"/>
      <c r="J28" s="434"/>
      <c r="K28" s="434"/>
      <c r="L28" s="434"/>
      <c r="M28" s="435"/>
    </row>
    <row r="29" spans="1:13" ht="33.6" customHeight="1" x14ac:dyDescent="0.2">
      <c r="A29" s="485"/>
      <c r="B29" s="470"/>
      <c r="C29" s="472"/>
      <c r="D29" s="470"/>
      <c r="E29" s="427" t="str">
        <f t="shared" si="0"/>
        <v/>
      </c>
      <c r="F29" s="432" t="str">
        <f>+IF(OR(E29="LK"),ROUNDUP(D29*(VLOOKUP(B29,'Conteo 18-02-26'!$E:$AN,35,0))/100,0),IF(E29="CH",D28-F28,""))</f>
        <v/>
      </c>
      <c r="G29" s="470"/>
      <c r="H29" s="434"/>
      <c r="I29" s="434"/>
      <c r="J29" s="434"/>
      <c r="K29" s="434"/>
      <c r="L29" s="434"/>
      <c r="M29" s="435"/>
    </row>
    <row r="30" spans="1:13" ht="33.6" customHeight="1" x14ac:dyDescent="0.2">
      <c r="A30" s="485" t="str" cm="1">
        <f t="array" ref="A30">+IFERROR(INDEX('Conteo 18-02-26'!$B:$B,MATCH(1,('Conteo 18-02-26'!$E:$E=$B30)*('Conteo 18-02-26'!$A:$A="Kufo"),0)),"")</f>
        <v/>
      </c>
      <c r="B30" s="470">
        <f>+B28+1</f>
        <v>9</v>
      </c>
      <c r="C30" s="472" t="str" cm="1">
        <f t="array" ref="C30">+IFERROR(INDEX('Conteo 18-02-26'!$C:$C,MATCH(1,('Conteo 18-02-26'!$E:$E=$B30)*('Conteo 18-02-26'!$A:$A="Kufo"),0)),"")</f>
        <v/>
      </c>
      <c r="D30" s="470" t="str" cm="1">
        <f t="array" ref="D30">+IFERROR(INDEX('Conteo 18-02-26'!$D:$D,MATCH(1,('Conteo 18-02-26'!$E:$E=$B30)*('Conteo 18-02-26'!A:A:'Conteo 18-02-26'!$A:$A="Kufo"),0)),"")</f>
        <v/>
      </c>
      <c r="E30" s="427" t="str">
        <f t="shared" si="0"/>
        <v/>
      </c>
      <c r="F30" s="432" t="str">
        <f>+IF(OR(E30="LK"),ROUNDUP(D30*(VLOOKUP(B30,'Conteo 18-02-26'!$E:$AN,35,0))/100,0),IF(E30="CH",D29-F29,""))</f>
        <v/>
      </c>
      <c r="G30" s="470"/>
      <c r="H30" s="434"/>
      <c r="I30" s="434"/>
      <c r="J30" s="434"/>
      <c r="K30" s="434"/>
      <c r="L30" s="434"/>
      <c r="M30" s="435"/>
    </row>
    <row r="31" spans="1:13" ht="33.6" customHeight="1" x14ac:dyDescent="0.2">
      <c r="A31" s="485"/>
      <c r="B31" s="470"/>
      <c r="C31" s="472"/>
      <c r="D31" s="470"/>
      <c r="E31" s="427" t="str">
        <f t="shared" si="0"/>
        <v/>
      </c>
      <c r="F31" s="432" t="str">
        <f>+IF(OR(E31="LK"),ROUNDUP(D31*(VLOOKUP(B31,'Conteo 18-02-26'!$E:$AN,35,0))/100,0),IF(E31="CH",D30-F30,""))</f>
        <v/>
      </c>
      <c r="G31" s="470"/>
      <c r="H31" s="434"/>
      <c r="I31" s="434"/>
      <c r="J31" s="434"/>
      <c r="K31" s="434"/>
      <c r="L31" s="434"/>
      <c r="M31" s="435"/>
    </row>
    <row r="32" spans="1:13" ht="33.6" customHeight="1" x14ac:dyDescent="0.2">
      <c r="A32" s="485" t="str" cm="1">
        <f t="array" ref="A32">+IFERROR(INDEX('Conteo 18-02-26'!$B:$B,MATCH(1,('Conteo 18-02-26'!$E:$E=$B32)*('Conteo 18-02-26'!$A:$A="Kufo"),0)),"")</f>
        <v/>
      </c>
      <c r="B32" s="470">
        <f>+B30+1</f>
        <v>10</v>
      </c>
      <c r="C32" s="472" t="str" cm="1">
        <f t="array" ref="C32">+IFERROR(INDEX('Conteo 18-02-26'!$C:$C,MATCH(1,('Conteo 18-02-26'!$E:$E=$B32)*('Conteo 18-02-26'!$A:$A="Kufo"),0)),"")</f>
        <v/>
      </c>
      <c r="D32" s="470" t="str" cm="1">
        <f t="array" ref="D32">+IFERROR(INDEX('Conteo 18-02-26'!$D:$D,MATCH(1,('Conteo 18-02-26'!$E:$E=$B32)*('Conteo 18-02-26'!A:A:'Conteo 18-02-26'!$A:$A="Kufo"),0)),"")</f>
        <v/>
      </c>
      <c r="E32" s="427" t="str">
        <f t="shared" si="0"/>
        <v/>
      </c>
      <c r="F32" s="432" t="str">
        <f>+IF(OR(E32="LK"),ROUNDUP(D32*(VLOOKUP(B32,'Conteo 18-02-26'!$E:$AN,35,0))/100,0),IF(E32="CH",D31-F31,""))</f>
        <v/>
      </c>
      <c r="G32" s="470"/>
      <c r="H32" s="434"/>
      <c r="I32" s="434"/>
      <c r="J32" s="434"/>
      <c r="K32" s="434"/>
      <c r="L32" s="434"/>
      <c r="M32" s="435"/>
    </row>
    <row r="33" spans="1:13" ht="33.6" customHeight="1" x14ac:dyDescent="0.2">
      <c r="A33" s="485"/>
      <c r="B33" s="470"/>
      <c r="C33" s="472"/>
      <c r="D33" s="470"/>
      <c r="E33" s="427" t="str">
        <f t="shared" si="0"/>
        <v/>
      </c>
      <c r="F33" s="432" t="str">
        <f>+IF(OR(E33="LK"),ROUNDUP(D33*(VLOOKUP(B33,'Conteo 18-02-26'!$E:$AN,35,0))/100,0),IF(E33="CH",D32-F32,""))</f>
        <v/>
      </c>
      <c r="G33" s="470"/>
      <c r="H33" s="434"/>
      <c r="I33" s="434"/>
      <c r="J33" s="434"/>
      <c r="K33" s="434"/>
      <c r="L33" s="434"/>
      <c r="M33" s="435"/>
    </row>
    <row r="34" spans="1:13" ht="33.6" customHeight="1" x14ac:dyDescent="0.2">
      <c r="A34" s="485" t="str" cm="1">
        <f t="array" ref="A34">+IFERROR(INDEX('Conteo 18-02-26'!$B:$B,MATCH(1,('Conteo 18-02-26'!$E:$E=$B34)*('Conteo 18-02-26'!$A:$A="Kufo"),0)),"")</f>
        <v/>
      </c>
      <c r="B34" s="470">
        <f>+B32+1</f>
        <v>11</v>
      </c>
      <c r="C34" s="472" t="str" cm="1">
        <f t="array" ref="C34">+IFERROR(INDEX('Conteo 18-02-26'!$C:$C,MATCH(1,('Conteo 18-02-26'!$E:$E=$B34)*('Conteo 18-02-26'!$A:$A="Kufo"),0)),"")</f>
        <v/>
      </c>
      <c r="D34" s="470" t="str" cm="1">
        <f t="array" ref="D34">+IFERROR(INDEX('Conteo 18-02-26'!$D:$D,MATCH(1,('Conteo 18-02-26'!$E:$E=$B34)*('Conteo 18-02-26'!A:A:'Conteo 18-02-26'!$A:$A="Kufo"),0)),"")</f>
        <v/>
      </c>
      <c r="E34" s="427" t="str">
        <f t="shared" si="0"/>
        <v/>
      </c>
      <c r="F34" s="432" t="str">
        <f>+IF(OR(E34="LK"),ROUNDUP(D34*(VLOOKUP(B34,'Conteo 18-02-26'!$E:$AN,35,0))/100,0),IF(E34="CH",D33-F33,""))</f>
        <v/>
      </c>
      <c r="G34" s="470"/>
      <c r="H34" s="434"/>
      <c r="I34" s="434"/>
      <c r="J34" s="434"/>
      <c r="K34" s="434"/>
      <c r="L34" s="434"/>
      <c r="M34" s="435"/>
    </row>
    <row r="35" spans="1:13" ht="33.6" customHeight="1" thickBot="1" x14ac:dyDescent="0.25">
      <c r="A35" s="486"/>
      <c r="B35" s="487"/>
      <c r="C35" s="488"/>
      <c r="D35" s="487"/>
      <c r="E35" s="427" t="str">
        <f t="shared" si="0"/>
        <v/>
      </c>
      <c r="F35" s="432" t="str">
        <f>+IF(OR(E35="LK"),ROUNDUP(D35*(VLOOKUP(B35,'Conteo 18-02-26'!$E:$AN,35,0))/100,0),IF(E35="CH",D34-F34,""))</f>
        <v/>
      </c>
      <c r="G35" s="487"/>
      <c r="H35" s="436"/>
      <c r="I35" s="436"/>
      <c r="J35" s="436"/>
      <c r="K35" s="436"/>
      <c r="L35" s="436"/>
      <c r="M35" s="437"/>
    </row>
    <row r="36" spans="1:13" ht="33.6" customHeight="1" x14ac:dyDescent="0.2">
      <c r="A36" s="490" t="str" cm="1">
        <f t="array" ref="A36">+IFERROR(INDEX('Conteo 18-02-26'!$B:$B,MATCH(1,('Conteo 18-02-26'!$E:$E=$B36)*('Conteo 18-02-26'!$A:$A="Kufo"),0)),"")</f>
        <v/>
      </c>
      <c r="B36" s="491">
        <f>+B34+1</f>
        <v>12</v>
      </c>
      <c r="C36" s="492" t="str" cm="1">
        <f t="array" ref="C36">+IFERROR(INDEX('Conteo 18-02-26'!$C:$C,MATCH(1,('Conteo 18-02-26'!$E:$E=$B36)*('Conteo 18-02-26'!$A:$A="Kufo"),0)),"")</f>
        <v/>
      </c>
      <c r="D36" s="491" t="str" cm="1">
        <f t="array" ref="D36">+IFERROR(INDEX('Conteo 18-02-26'!$D:$D,MATCH(1,('Conteo 18-02-26'!$E:$E=$B36)*('Conteo 18-02-26'!A:A:'Conteo 18-02-26'!$A:$A="Kufo"),0)),"")</f>
        <v/>
      </c>
      <c r="E36" s="427" t="str">
        <f t="shared" si="0"/>
        <v/>
      </c>
      <c r="F36" s="432" t="str">
        <f>+IF(OR(E36="LK"),ROUNDUP(D36*(VLOOKUP(B36,'Conteo 18-02-26'!$E:$AN,35,0))/100,0),IF(E36="CH",D35-F35,""))</f>
        <v/>
      </c>
      <c r="G36" s="491"/>
      <c r="H36" s="438"/>
      <c r="I36" s="438"/>
      <c r="J36" s="438"/>
      <c r="K36" s="438"/>
      <c r="L36" s="438"/>
      <c r="M36" s="438"/>
    </row>
    <row r="37" spans="1:13" ht="33.6" customHeight="1" x14ac:dyDescent="0.2">
      <c r="A37" s="489"/>
      <c r="B37" s="470"/>
      <c r="C37" s="472"/>
      <c r="D37" s="470"/>
      <c r="E37" s="427" t="str">
        <f t="shared" si="0"/>
        <v/>
      </c>
      <c r="F37" s="432" t="str">
        <f>+IF(OR(E37="LK"),ROUNDUP(D37*(VLOOKUP(B37,'Conteo 18-02-26'!$E:$AN,35,0))/100,0),IF(E37="CH",D36-F36,""))</f>
        <v/>
      </c>
      <c r="G37" s="470"/>
      <c r="H37" s="434"/>
      <c r="I37" s="434"/>
      <c r="J37" s="434"/>
      <c r="K37" s="434"/>
      <c r="L37" s="434"/>
      <c r="M37" s="434"/>
    </row>
    <row r="38" spans="1:13" ht="33.6" customHeight="1" x14ac:dyDescent="0.2">
      <c r="A38" s="489" t="str" cm="1">
        <f t="array" ref="A38">+IFERROR(INDEX('Conteo 18-02-26'!$B:$B,MATCH(1,('Conteo 18-02-26'!$E:$E=$B38)*('Conteo 18-02-26'!$A:$A="Kufo"),0)),"")</f>
        <v/>
      </c>
      <c r="B38" s="470">
        <f>+B36+1</f>
        <v>13</v>
      </c>
      <c r="C38" s="472" t="str" cm="1">
        <f t="array" ref="C38">+IFERROR(INDEX('Conteo 18-02-26'!$C:$C,MATCH(1,('Conteo 18-02-26'!$E:$E=$B38)*('Conteo 18-02-26'!$A:$A="Kufo"),0)),"")</f>
        <v/>
      </c>
      <c r="D38" s="470" t="str" cm="1">
        <f t="array" ref="D38">+IFERROR(INDEX('Conteo 18-02-26'!$D:$D,MATCH(1,('Conteo 18-02-26'!$E:$E=$B38)*('Conteo 18-02-26'!A:A:'Conteo 18-02-26'!$A:$A="Kufo"),0)),"")</f>
        <v/>
      </c>
      <c r="E38" s="427" t="str">
        <f t="shared" si="0"/>
        <v/>
      </c>
      <c r="F38" s="432" t="str">
        <f>+IF(OR(E38="LK"),ROUNDUP(D38*(VLOOKUP(B38,'Conteo 18-02-26'!$E:$AN,35,0))/100,0),IF(E38="CH",D37-F37,""))</f>
        <v/>
      </c>
      <c r="G38" s="470"/>
      <c r="H38" s="434"/>
      <c r="I38" s="434"/>
      <c r="J38" s="434"/>
      <c r="K38" s="434"/>
      <c r="L38" s="434"/>
      <c r="M38" s="434"/>
    </row>
    <row r="39" spans="1:13" ht="33.6" customHeight="1" x14ac:dyDescent="0.2">
      <c r="A39" s="489"/>
      <c r="B39" s="470"/>
      <c r="C39" s="472"/>
      <c r="D39" s="470"/>
      <c r="E39" s="427" t="str">
        <f t="shared" si="0"/>
        <v/>
      </c>
      <c r="F39" s="432" t="str">
        <f>+IF(OR(E39="LK"),ROUNDUP(D39*(VLOOKUP(B39,'Conteo 18-02-26'!$E:$AN,35,0))/100,0),IF(E39="CH",D38-F38,""))</f>
        <v/>
      </c>
      <c r="G39" s="470"/>
      <c r="H39" s="434"/>
      <c r="I39" s="434"/>
      <c r="J39" s="434"/>
      <c r="K39" s="434"/>
      <c r="L39" s="434"/>
      <c r="M39" s="434"/>
    </row>
    <row r="40" spans="1:13" ht="33.6" customHeight="1" x14ac:dyDescent="0.2">
      <c r="A40" s="489" t="str" cm="1">
        <f t="array" ref="A40">+IFERROR(INDEX('Conteo 18-02-26'!$B:$B,MATCH(1,('Conteo 18-02-26'!$E:$E=$B40)*('Conteo 18-02-26'!$A:$A="Kufo"),0)),"")</f>
        <v/>
      </c>
      <c r="B40" s="470">
        <f>+B38+1</f>
        <v>14</v>
      </c>
      <c r="C40" s="472" t="str" cm="1">
        <f t="array" ref="C40">+IFERROR(INDEX('Conteo 18-02-26'!$C:$C,MATCH(1,('Conteo 18-02-26'!$E:$E=$B40)*('Conteo 18-02-26'!$A:$A="Kufo"),0)),"")</f>
        <v/>
      </c>
      <c r="D40" s="470" t="str" cm="1">
        <f t="array" ref="D40">+IFERROR(INDEX('Conteo 18-02-26'!$D:$D,MATCH(1,('Conteo 18-02-26'!$E:$E=$B40)*('Conteo 18-02-26'!A:A:'Conteo 18-02-26'!$A:$A="Kufo"),0)),"")</f>
        <v/>
      </c>
      <c r="E40" s="427" t="str">
        <f t="shared" si="0"/>
        <v/>
      </c>
      <c r="F40" s="432" t="str">
        <f>+IF(OR(E40="LK"),ROUNDUP(D40*(VLOOKUP(B40,'Conteo 18-02-26'!$E:$AN,35,0))/100,0),IF(E40="CH",D39-F39,""))</f>
        <v/>
      </c>
      <c r="G40" s="470"/>
      <c r="H40" s="434"/>
      <c r="I40" s="434"/>
      <c r="J40" s="434"/>
      <c r="K40" s="434"/>
      <c r="L40" s="434"/>
      <c r="M40" s="434"/>
    </row>
    <row r="41" spans="1:13" ht="33.6" customHeight="1" x14ac:dyDescent="0.2">
      <c r="A41" s="489"/>
      <c r="B41" s="470"/>
      <c r="C41" s="472"/>
      <c r="D41" s="470"/>
      <c r="E41" s="427" t="str">
        <f t="shared" si="0"/>
        <v/>
      </c>
      <c r="F41" s="432" t="str">
        <f>+IF(OR(E41="LK"),ROUNDUP(D41*(VLOOKUP(B41,'Conteo 18-02-26'!$E:$AN,35,0))/100,0),IF(E41="CH",D40-F40,""))</f>
        <v/>
      </c>
      <c r="G41" s="470"/>
      <c r="H41" s="434"/>
      <c r="I41" s="434"/>
      <c r="J41" s="434"/>
      <c r="K41" s="434"/>
      <c r="L41" s="434"/>
      <c r="M41" s="434"/>
    </row>
    <row r="42" spans="1:13" ht="33.6" customHeight="1" x14ac:dyDescent="0.2">
      <c r="A42" s="489" t="str" cm="1">
        <f t="array" ref="A42">+IFERROR(INDEX('Conteo 18-02-26'!$B:$B,MATCH(1,('Conteo 18-02-26'!$E:$E=$B42)*('Conteo 18-02-26'!$A:$A="Kufo"),0)),"")</f>
        <v/>
      </c>
      <c r="B42" s="470">
        <f>+B40+1</f>
        <v>15</v>
      </c>
      <c r="C42" s="472" t="str" cm="1">
        <f t="array" ref="C42">+IFERROR(INDEX('Conteo 18-02-26'!$C:$C,MATCH(1,('Conteo 18-02-26'!$E:$E=$B42)*('Conteo 18-02-26'!$A:$A="Kufo"),0)),"")</f>
        <v/>
      </c>
      <c r="D42" s="470" t="str" cm="1">
        <f t="array" ref="D42">+IFERROR(INDEX('Conteo 18-02-26'!$D:$D,MATCH(1,('Conteo 18-02-26'!$E:$E=$B42)*('Conteo 18-02-26'!A:A:'Conteo 18-02-26'!$A:$A="Kufo"),0)),"")</f>
        <v/>
      </c>
      <c r="E42" s="427" t="str">
        <f t="shared" si="0"/>
        <v/>
      </c>
      <c r="F42" s="432" t="str">
        <f>+IF(OR(E42="LK"),ROUNDUP(D42*(VLOOKUP(B42,'Conteo 18-02-26'!$E:$AN,35,0))/100,0),IF(E42="CH",D41-F41,""))</f>
        <v/>
      </c>
      <c r="G42" s="470"/>
      <c r="H42" s="434"/>
      <c r="I42" s="434"/>
      <c r="J42" s="434"/>
      <c r="K42" s="434"/>
      <c r="L42" s="434"/>
      <c r="M42" s="434"/>
    </row>
    <row r="43" spans="1:13" ht="33.6" customHeight="1" x14ac:dyDescent="0.2">
      <c r="A43" s="489"/>
      <c r="B43" s="470"/>
      <c r="C43" s="472"/>
      <c r="D43" s="470"/>
      <c r="E43" s="427" t="str">
        <f t="shared" si="0"/>
        <v/>
      </c>
      <c r="F43" s="432" t="str">
        <f>+IF(OR(E43="LK"),ROUNDUP(D43*(VLOOKUP(B43,'Conteo 18-02-26'!$E:$AN,35,0))/100,0),IF(E43="CH",D42-F42,""))</f>
        <v/>
      </c>
      <c r="G43" s="470"/>
      <c r="H43" s="434"/>
      <c r="I43" s="434"/>
      <c r="J43" s="434"/>
      <c r="K43" s="434"/>
      <c r="L43" s="434"/>
      <c r="M43" s="434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415" customWidth="1"/>
    <col min="2" max="2" width="6.140625" style="415" customWidth="1"/>
    <col min="3" max="3" width="21.7109375" style="415" customWidth="1"/>
    <col min="4" max="4" width="9.28515625" style="415" customWidth="1"/>
    <col min="5" max="5" width="8.28515625" style="415" customWidth="1"/>
    <col min="6" max="6" width="7.7109375" style="415" customWidth="1"/>
    <col min="7" max="7" width="9.7109375" style="415" customWidth="1"/>
    <col min="8" max="8" width="7.28515625" style="415" customWidth="1"/>
    <col min="9" max="9" width="7.5703125" style="415" customWidth="1"/>
    <col min="10" max="10" width="7.7109375" style="415" customWidth="1"/>
    <col min="11" max="11" width="7" style="415" customWidth="1"/>
    <col min="12" max="12" width="7.7109375" style="415" customWidth="1"/>
    <col min="13" max="13" width="7" style="415" customWidth="1"/>
    <col min="14" max="256" width="11.5703125" style="415"/>
    <col min="257" max="257" width="11.42578125" style="415" customWidth="1"/>
    <col min="258" max="258" width="6.140625" style="415" customWidth="1"/>
    <col min="259" max="259" width="21.7109375" style="415" customWidth="1"/>
    <col min="260" max="260" width="9.28515625" style="415" customWidth="1"/>
    <col min="261" max="261" width="8.28515625" style="415" customWidth="1"/>
    <col min="262" max="262" width="7.7109375" style="415" customWidth="1"/>
    <col min="263" max="263" width="9.7109375" style="415" customWidth="1"/>
    <col min="264" max="264" width="7.28515625" style="415" customWidth="1"/>
    <col min="265" max="265" width="7.5703125" style="415" customWidth="1"/>
    <col min="266" max="266" width="7.7109375" style="415" customWidth="1"/>
    <col min="267" max="267" width="7" style="415" customWidth="1"/>
    <col min="268" max="268" width="7.7109375" style="415" customWidth="1"/>
    <col min="269" max="269" width="7" style="415" customWidth="1"/>
    <col min="270" max="512" width="11.5703125" style="415"/>
    <col min="513" max="513" width="11.42578125" style="415" customWidth="1"/>
    <col min="514" max="514" width="6.140625" style="415" customWidth="1"/>
    <col min="515" max="515" width="21.7109375" style="415" customWidth="1"/>
    <col min="516" max="516" width="9.28515625" style="415" customWidth="1"/>
    <col min="517" max="517" width="8.28515625" style="415" customWidth="1"/>
    <col min="518" max="518" width="7.7109375" style="415" customWidth="1"/>
    <col min="519" max="519" width="9.7109375" style="415" customWidth="1"/>
    <col min="520" max="520" width="7.28515625" style="415" customWidth="1"/>
    <col min="521" max="521" width="7.5703125" style="415" customWidth="1"/>
    <col min="522" max="522" width="7.7109375" style="415" customWidth="1"/>
    <col min="523" max="523" width="7" style="415" customWidth="1"/>
    <col min="524" max="524" width="7.7109375" style="415" customWidth="1"/>
    <col min="525" max="525" width="7" style="415" customWidth="1"/>
    <col min="526" max="768" width="11.5703125" style="415"/>
    <col min="769" max="769" width="11.42578125" style="415" customWidth="1"/>
    <col min="770" max="770" width="6.140625" style="415" customWidth="1"/>
    <col min="771" max="771" width="21.7109375" style="415" customWidth="1"/>
    <col min="772" max="772" width="9.28515625" style="415" customWidth="1"/>
    <col min="773" max="773" width="8.28515625" style="415" customWidth="1"/>
    <col min="774" max="774" width="7.7109375" style="415" customWidth="1"/>
    <col min="775" max="775" width="9.7109375" style="415" customWidth="1"/>
    <col min="776" max="776" width="7.28515625" style="415" customWidth="1"/>
    <col min="777" max="777" width="7.5703125" style="415" customWidth="1"/>
    <col min="778" max="778" width="7.7109375" style="415" customWidth="1"/>
    <col min="779" max="779" width="7" style="415" customWidth="1"/>
    <col min="780" max="780" width="7.7109375" style="415" customWidth="1"/>
    <col min="781" max="781" width="7" style="415" customWidth="1"/>
    <col min="782" max="1024" width="11.5703125" style="415"/>
    <col min="1025" max="1025" width="11.42578125" style="415" customWidth="1"/>
    <col min="1026" max="1026" width="6.140625" style="415" customWidth="1"/>
    <col min="1027" max="1027" width="21.7109375" style="415" customWidth="1"/>
    <col min="1028" max="1028" width="9.28515625" style="415" customWidth="1"/>
    <col min="1029" max="1029" width="8.28515625" style="415" customWidth="1"/>
    <col min="1030" max="1030" width="7.7109375" style="415" customWidth="1"/>
    <col min="1031" max="1031" width="9.7109375" style="415" customWidth="1"/>
    <col min="1032" max="1032" width="7.28515625" style="415" customWidth="1"/>
    <col min="1033" max="1033" width="7.5703125" style="415" customWidth="1"/>
    <col min="1034" max="1034" width="7.7109375" style="415" customWidth="1"/>
    <col min="1035" max="1035" width="7" style="415" customWidth="1"/>
    <col min="1036" max="1036" width="7.7109375" style="415" customWidth="1"/>
    <col min="1037" max="1037" width="7" style="415" customWidth="1"/>
    <col min="1038" max="1280" width="11.5703125" style="415"/>
    <col min="1281" max="1281" width="11.42578125" style="415" customWidth="1"/>
    <col min="1282" max="1282" width="6.140625" style="415" customWidth="1"/>
    <col min="1283" max="1283" width="21.7109375" style="415" customWidth="1"/>
    <col min="1284" max="1284" width="9.28515625" style="415" customWidth="1"/>
    <col min="1285" max="1285" width="8.28515625" style="415" customWidth="1"/>
    <col min="1286" max="1286" width="7.7109375" style="415" customWidth="1"/>
    <col min="1287" max="1287" width="9.7109375" style="415" customWidth="1"/>
    <col min="1288" max="1288" width="7.28515625" style="415" customWidth="1"/>
    <col min="1289" max="1289" width="7.5703125" style="415" customWidth="1"/>
    <col min="1290" max="1290" width="7.7109375" style="415" customWidth="1"/>
    <col min="1291" max="1291" width="7" style="415" customWidth="1"/>
    <col min="1292" max="1292" width="7.7109375" style="415" customWidth="1"/>
    <col min="1293" max="1293" width="7" style="415" customWidth="1"/>
    <col min="1294" max="1536" width="11.5703125" style="415"/>
    <col min="1537" max="1537" width="11.42578125" style="415" customWidth="1"/>
    <col min="1538" max="1538" width="6.140625" style="415" customWidth="1"/>
    <col min="1539" max="1539" width="21.7109375" style="415" customWidth="1"/>
    <col min="1540" max="1540" width="9.28515625" style="415" customWidth="1"/>
    <col min="1541" max="1541" width="8.28515625" style="415" customWidth="1"/>
    <col min="1542" max="1542" width="7.7109375" style="415" customWidth="1"/>
    <col min="1543" max="1543" width="9.7109375" style="415" customWidth="1"/>
    <col min="1544" max="1544" width="7.28515625" style="415" customWidth="1"/>
    <col min="1545" max="1545" width="7.5703125" style="415" customWidth="1"/>
    <col min="1546" max="1546" width="7.7109375" style="415" customWidth="1"/>
    <col min="1547" max="1547" width="7" style="415" customWidth="1"/>
    <col min="1548" max="1548" width="7.7109375" style="415" customWidth="1"/>
    <col min="1549" max="1549" width="7" style="415" customWidth="1"/>
    <col min="1550" max="1792" width="11.5703125" style="415"/>
    <col min="1793" max="1793" width="11.42578125" style="415" customWidth="1"/>
    <col min="1794" max="1794" width="6.140625" style="415" customWidth="1"/>
    <col min="1795" max="1795" width="21.7109375" style="415" customWidth="1"/>
    <col min="1796" max="1796" width="9.28515625" style="415" customWidth="1"/>
    <col min="1797" max="1797" width="8.28515625" style="415" customWidth="1"/>
    <col min="1798" max="1798" width="7.7109375" style="415" customWidth="1"/>
    <col min="1799" max="1799" width="9.7109375" style="415" customWidth="1"/>
    <col min="1800" max="1800" width="7.28515625" style="415" customWidth="1"/>
    <col min="1801" max="1801" width="7.5703125" style="415" customWidth="1"/>
    <col min="1802" max="1802" width="7.7109375" style="415" customWidth="1"/>
    <col min="1803" max="1803" width="7" style="415" customWidth="1"/>
    <col min="1804" max="1804" width="7.7109375" style="415" customWidth="1"/>
    <col min="1805" max="1805" width="7" style="415" customWidth="1"/>
    <col min="1806" max="2048" width="11.5703125" style="415"/>
    <col min="2049" max="2049" width="11.42578125" style="415" customWidth="1"/>
    <col min="2050" max="2050" width="6.140625" style="415" customWidth="1"/>
    <col min="2051" max="2051" width="21.7109375" style="415" customWidth="1"/>
    <col min="2052" max="2052" width="9.28515625" style="415" customWidth="1"/>
    <col min="2053" max="2053" width="8.28515625" style="415" customWidth="1"/>
    <col min="2054" max="2054" width="7.7109375" style="415" customWidth="1"/>
    <col min="2055" max="2055" width="9.7109375" style="415" customWidth="1"/>
    <col min="2056" max="2056" width="7.28515625" style="415" customWidth="1"/>
    <col min="2057" max="2057" width="7.5703125" style="415" customWidth="1"/>
    <col min="2058" max="2058" width="7.7109375" style="415" customWidth="1"/>
    <col min="2059" max="2059" width="7" style="415" customWidth="1"/>
    <col min="2060" max="2060" width="7.7109375" style="415" customWidth="1"/>
    <col min="2061" max="2061" width="7" style="415" customWidth="1"/>
    <col min="2062" max="2304" width="11.5703125" style="415"/>
    <col min="2305" max="2305" width="11.42578125" style="415" customWidth="1"/>
    <col min="2306" max="2306" width="6.140625" style="415" customWidth="1"/>
    <col min="2307" max="2307" width="21.7109375" style="415" customWidth="1"/>
    <col min="2308" max="2308" width="9.28515625" style="415" customWidth="1"/>
    <col min="2309" max="2309" width="8.28515625" style="415" customWidth="1"/>
    <col min="2310" max="2310" width="7.7109375" style="415" customWidth="1"/>
    <col min="2311" max="2311" width="9.7109375" style="415" customWidth="1"/>
    <col min="2312" max="2312" width="7.28515625" style="415" customWidth="1"/>
    <col min="2313" max="2313" width="7.5703125" style="415" customWidth="1"/>
    <col min="2314" max="2314" width="7.7109375" style="415" customWidth="1"/>
    <col min="2315" max="2315" width="7" style="415" customWidth="1"/>
    <col min="2316" max="2316" width="7.7109375" style="415" customWidth="1"/>
    <col min="2317" max="2317" width="7" style="415" customWidth="1"/>
    <col min="2318" max="2560" width="11.5703125" style="415"/>
    <col min="2561" max="2561" width="11.42578125" style="415" customWidth="1"/>
    <col min="2562" max="2562" width="6.140625" style="415" customWidth="1"/>
    <col min="2563" max="2563" width="21.7109375" style="415" customWidth="1"/>
    <col min="2564" max="2564" width="9.28515625" style="415" customWidth="1"/>
    <col min="2565" max="2565" width="8.28515625" style="415" customWidth="1"/>
    <col min="2566" max="2566" width="7.7109375" style="415" customWidth="1"/>
    <col min="2567" max="2567" width="9.7109375" style="415" customWidth="1"/>
    <col min="2568" max="2568" width="7.28515625" style="415" customWidth="1"/>
    <col min="2569" max="2569" width="7.5703125" style="415" customWidth="1"/>
    <col min="2570" max="2570" width="7.7109375" style="415" customWidth="1"/>
    <col min="2571" max="2571" width="7" style="415" customWidth="1"/>
    <col min="2572" max="2572" width="7.7109375" style="415" customWidth="1"/>
    <col min="2573" max="2573" width="7" style="415" customWidth="1"/>
    <col min="2574" max="2816" width="11.5703125" style="415"/>
    <col min="2817" max="2817" width="11.42578125" style="415" customWidth="1"/>
    <col min="2818" max="2818" width="6.140625" style="415" customWidth="1"/>
    <col min="2819" max="2819" width="21.7109375" style="415" customWidth="1"/>
    <col min="2820" max="2820" width="9.28515625" style="415" customWidth="1"/>
    <col min="2821" max="2821" width="8.28515625" style="415" customWidth="1"/>
    <col min="2822" max="2822" width="7.7109375" style="415" customWidth="1"/>
    <col min="2823" max="2823" width="9.7109375" style="415" customWidth="1"/>
    <col min="2824" max="2824" width="7.28515625" style="415" customWidth="1"/>
    <col min="2825" max="2825" width="7.5703125" style="415" customWidth="1"/>
    <col min="2826" max="2826" width="7.7109375" style="415" customWidth="1"/>
    <col min="2827" max="2827" width="7" style="415" customWidth="1"/>
    <col min="2828" max="2828" width="7.7109375" style="415" customWidth="1"/>
    <col min="2829" max="2829" width="7" style="415" customWidth="1"/>
    <col min="2830" max="3072" width="11.5703125" style="415"/>
    <col min="3073" max="3073" width="11.42578125" style="415" customWidth="1"/>
    <col min="3074" max="3074" width="6.140625" style="415" customWidth="1"/>
    <col min="3075" max="3075" width="21.7109375" style="415" customWidth="1"/>
    <col min="3076" max="3076" width="9.28515625" style="415" customWidth="1"/>
    <col min="3077" max="3077" width="8.28515625" style="415" customWidth="1"/>
    <col min="3078" max="3078" width="7.7109375" style="415" customWidth="1"/>
    <col min="3079" max="3079" width="9.7109375" style="415" customWidth="1"/>
    <col min="3080" max="3080" width="7.28515625" style="415" customWidth="1"/>
    <col min="3081" max="3081" width="7.5703125" style="415" customWidth="1"/>
    <col min="3082" max="3082" width="7.7109375" style="415" customWidth="1"/>
    <col min="3083" max="3083" width="7" style="415" customWidth="1"/>
    <col min="3084" max="3084" width="7.7109375" style="415" customWidth="1"/>
    <col min="3085" max="3085" width="7" style="415" customWidth="1"/>
    <col min="3086" max="3328" width="11.5703125" style="415"/>
    <col min="3329" max="3329" width="11.42578125" style="415" customWidth="1"/>
    <col min="3330" max="3330" width="6.140625" style="415" customWidth="1"/>
    <col min="3331" max="3331" width="21.7109375" style="415" customWidth="1"/>
    <col min="3332" max="3332" width="9.28515625" style="415" customWidth="1"/>
    <col min="3333" max="3333" width="8.28515625" style="415" customWidth="1"/>
    <col min="3334" max="3334" width="7.7109375" style="415" customWidth="1"/>
    <col min="3335" max="3335" width="9.7109375" style="415" customWidth="1"/>
    <col min="3336" max="3336" width="7.28515625" style="415" customWidth="1"/>
    <col min="3337" max="3337" width="7.5703125" style="415" customWidth="1"/>
    <col min="3338" max="3338" width="7.7109375" style="415" customWidth="1"/>
    <col min="3339" max="3339" width="7" style="415" customWidth="1"/>
    <col min="3340" max="3340" width="7.7109375" style="415" customWidth="1"/>
    <col min="3341" max="3341" width="7" style="415" customWidth="1"/>
    <col min="3342" max="3584" width="11.5703125" style="415"/>
    <col min="3585" max="3585" width="11.42578125" style="415" customWidth="1"/>
    <col min="3586" max="3586" width="6.140625" style="415" customWidth="1"/>
    <col min="3587" max="3587" width="21.7109375" style="415" customWidth="1"/>
    <col min="3588" max="3588" width="9.28515625" style="415" customWidth="1"/>
    <col min="3589" max="3589" width="8.28515625" style="415" customWidth="1"/>
    <col min="3590" max="3590" width="7.7109375" style="415" customWidth="1"/>
    <col min="3591" max="3591" width="9.7109375" style="415" customWidth="1"/>
    <col min="3592" max="3592" width="7.28515625" style="415" customWidth="1"/>
    <col min="3593" max="3593" width="7.5703125" style="415" customWidth="1"/>
    <col min="3594" max="3594" width="7.7109375" style="415" customWidth="1"/>
    <col min="3595" max="3595" width="7" style="415" customWidth="1"/>
    <col min="3596" max="3596" width="7.7109375" style="415" customWidth="1"/>
    <col min="3597" max="3597" width="7" style="415" customWidth="1"/>
    <col min="3598" max="3840" width="11.5703125" style="415"/>
    <col min="3841" max="3841" width="11.42578125" style="415" customWidth="1"/>
    <col min="3842" max="3842" width="6.140625" style="415" customWidth="1"/>
    <col min="3843" max="3843" width="21.7109375" style="415" customWidth="1"/>
    <col min="3844" max="3844" width="9.28515625" style="415" customWidth="1"/>
    <col min="3845" max="3845" width="8.28515625" style="415" customWidth="1"/>
    <col min="3846" max="3846" width="7.7109375" style="415" customWidth="1"/>
    <col min="3847" max="3847" width="9.7109375" style="415" customWidth="1"/>
    <col min="3848" max="3848" width="7.28515625" style="415" customWidth="1"/>
    <col min="3849" max="3849" width="7.5703125" style="415" customWidth="1"/>
    <col min="3850" max="3850" width="7.7109375" style="415" customWidth="1"/>
    <col min="3851" max="3851" width="7" style="415" customWidth="1"/>
    <col min="3852" max="3852" width="7.7109375" style="415" customWidth="1"/>
    <col min="3853" max="3853" width="7" style="415" customWidth="1"/>
    <col min="3854" max="4096" width="11.5703125" style="415"/>
    <col min="4097" max="4097" width="11.42578125" style="415" customWidth="1"/>
    <col min="4098" max="4098" width="6.140625" style="415" customWidth="1"/>
    <col min="4099" max="4099" width="21.7109375" style="415" customWidth="1"/>
    <col min="4100" max="4100" width="9.28515625" style="415" customWidth="1"/>
    <col min="4101" max="4101" width="8.28515625" style="415" customWidth="1"/>
    <col min="4102" max="4102" width="7.7109375" style="415" customWidth="1"/>
    <col min="4103" max="4103" width="9.7109375" style="415" customWidth="1"/>
    <col min="4104" max="4104" width="7.28515625" style="415" customWidth="1"/>
    <col min="4105" max="4105" width="7.5703125" style="415" customWidth="1"/>
    <col min="4106" max="4106" width="7.7109375" style="415" customWidth="1"/>
    <col min="4107" max="4107" width="7" style="415" customWidth="1"/>
    <col min="4108" max="4108" width="7.7109375" style="415" customWidth="1"/>
    <col min="4109" max="4109" width="7" style="415" customWidth="1"/>
    <col min="4110" max="4352" width="11.5703125" style="415"/>
    <col min="4353" max="4353" width="11.42578125" style="415" customWidth="1"/>
    <col min="4354" max="4354" width="6.140625" style="415" customWidth="1"/>
    <col min="4355" max="4355" width="21.7109375" style="415" customWidth="1"/>
    <col min="4356" max="4356" width="9.28515625" style="415" customWidth="1"/>
    <col min="4357" max="4357" width="8.28515625" style="415" customWidth="1"/>
    <col min="4358" max="4358" width="7.7109375" style="415" customWidth="1"/>
    <col min="4359" max="4359" width="9.7109375" style="415" customWidth="1"/>
    <col min="4360" max="4360" width="7.28515625" style="415" customWidth="1"/>
    <col min="4361" max="4361" width="7.5703125" style="415" customWidth="1"/>
    <col min="4362" max="4362" width="7.7109375" style="415" customWidth="1"/>
    <col min="4363" max="4363" width="7" style="415" customWidth="1"/>
    <col min="4364" max="4364" width="7.7109375" style="415" customWidth="1"/>
    <col min="4365" max="4365" width="7" style="415" customWidth="1"/>
    <col min="4366" max="4608" width="11.5703125" style="415"/>
    <col min="4609" max="4609" width="11.42578125" style="415" customWidth="1"/>
    <col min="4610" max="4610" width="6.140625" style="415" customWidth="1"/>
    <col min="4611" max="4611" width="21.7109375" style="415" customWidth="1"/>
    <col min="4612" max="4612" width="9.28515625" style="415" customWidth="1"/>
    <col min="4613" max="4613" width="8.28515625" style="415" customWidth="1"/>
    <col min="4614" max="4614" width="7.7109375" style="415" customWidth="1"/>
    <col min="4615" max="4615" width="9.7109375" style="415" customWidth="1"/>
    <col min="4616" max="4616" width="7.28515625" style="415" customWidth="1"/>
    <col min="4617" max="4617" width="7.5703125" style="415" customWidth="1"/>
    <col min="4618" max="4618" width="7.7109375" style="415" customWidth="1"/>
    <col min="4619" max="4619" width="7" style="415" customWidth="1"/>
    <col min="4620" max="4620" width="7.7109375" style="415" customWidth="1"/>
    <col min="4621" max="4621" width="7" style="415" customWidth="1"/>
    <col min="4622" max="4864" width="11.5703125" style="415"/>
    <col min="4865" max="4865" width="11.42578125" style="415" customWidth="1"/>
    <col min="4866" max="4866" width="6.140625" style="415" customWidth="1"/>
    <col min="4867" max="4867" width="21.7109375" style="415" customWidth="1"/>
    <col min="4868" max="4868" width="9.28515625" style="415" customWidth="1"/>
    <col min="4869" max="4869" width="8.28515625" style="415" customWidth="1"/>
    <col min="4870" max="4870" width="7.7109375" style="415" customWidth="1"/>
    <col min="4871" max="4871" width="9.7109375" style="415" customWidth="1"/>
    <col min="4872" max="4872" width="7.28515625" style="415" customWidth="1"/>
    <col min="4873" max="4873" width="7.5703125" style="415" customWidth="1"/>
    <col min="4874" max="4874" width="7.7109375" style="415" customWidth="1"/>
    <col min="4875" max="4875" width="7" style="415" customWidth="1"/>
    <col min="4876" max="4876" width="7.7109375" style="415" customWidth="1"/>
    <col min="4877" max="4877" width="7" style="415" customWidth="1"/>
    <col min="4878" max="5120" width="11.5703125" style="415"/>
    <col min="5121" max="5121" width="11.42578125" style="415" customWidth="1"/>
    <col min="5122" max="5122" width="6.140625" style="415" customWidth="1"/>
    <col min="5123" max="5123" width="21.7109375" style="415" customWidth="1"/>
    <col min="5124" max="5124" width="9.28515625" style="415" customWidth="1"/>
    <col min="5125" max="5125" width="8.28515625" style="415" customWidth="1"/>
    <col min="5126" max="5126" width="7.7109375" style="415" customWidth="1"/>
    <col min="5127" max="5127" width="9.7109375" style="415" customWidth="1"/>
    <col min="5128" max="5128" width="7.28515625" style="415" customWidth="1"/>
    <col min="5129" max="5129" width="7.5703125" style="415" customWidth="1"/>
    <col min="5130" max="5130" width="7.7109375" style="415" customWidth="1"/>
    <col min="5131" max="5131" width="7" style="415" customWidth="1"/>
    <col min="5132" max="5132" width="7.7109375" style="415" customWidth="1"/>
    <col min="5133" max="5133" width="7" style="415" customWidth="1"/>
    <col min="5134" max="5376" width="11.5703125" style="415"/>
    <col min="5377" max="5377" width="11.42578125" style="415" customWidth="1"/>
    <col min="5378" max="5378" width="6.140625" style="415" customWidth="1"/>
    <col min="5379" max="5379" width="21.7109375" style="415" customWidth="1"/>
    <col min="5380" max="5380" width="9.28515625" style="415" customWidth="1"/>
    <col min="5381" max="5381" width="8.28515625" style="415" customWidth="1"/>
    <col min="5382" max="5382" width="7.7109375" style="415" customWidth="1"/>
    <col min="5383" max="5383" width="9.7109375" style="415" customWidth="1"/>
    <col min="5384" max="5384" width="7.28515625" style="415" customWidth="1"/>
    <col min="5385" max="5385" width="7.5703125" style="415" customWidth="1"/>
    <col min="5386" max="5386" width="7.7109375" style="415" customWidth="1"/>
    <col min="5387" max="5387" width="7" style="415" customWidth="1"/>
    <col min="5388" max="5388" width="7.7109375" style="415" customWidth="1"/>
    <col min="5389" max="5389" width="7" style="415" customWidth="1"/>
    <col min="5390" max="5632" width="11.5703125" style="415"/>
    <col min="5633" max="5633" width="11.42578125" style="415" customWidth="1"/>
    <col min="5634" max="5634" width="6.140625" style="415" customWidth="1"/>
    <col min="5635" max="5635" width="21.7109375" style="415" customWidth="1"/>
    <col min="5636" max="5636" width="9.28515625" style="415" customWidth="1"/>
    <col min="5637" max="5637" width="8.28515625" style="415" customWidth="1"/>
    <col min="5638" max="5638" width="7.7109375" style="415" customWidth="1"/>
    <col min="5639" max="5639" width="9.7109375" style="415" customWidth="1"/>
    <col min="5640" max="5640" width="7.28515625" style="415" customWidth="1"/>
    <col min="5641" max="5641" width="7.5703125" style="415" customWidth="1"/>
    <col min="5642" max="5642" width="7.7109375" style="415" customWidth="1"/>
    <col min="5643" max="5643" width="7" style="415" customWidth="1"/>
    <col min="5644" max="5644" width="7.7109375" style="415" customWidth="1"/>
    <col min="5645" max="5645" width="7" style="415" customWidth="1"/>
    <col min="5646" max="5888" width="11.5703125" style="415"/>
    <col min="5889" max="5889" width="11.42578125" style="415" customWidth="1"/>
    <col min="5890" max="5890" width="6.140625" style="415" customWidth="1"/>
    <col min="5891" max="5891" width="21.7109375" style="415" customWidth="1"/>
    <col min="5892" max="5892" width="9.28515625" style="415" customWidth="1"/>
    <col min="5893" max="5893" width="8.28515625" style="415" customWidth="1"/>
    <col min="5894" max="5894" width="7.7109375" style="415" customWidth="1"/>
    <col min="5895" max="5895" width="9.7109375" style="415" customWidth="1"/>
    <col min="5896" max="5896" width="7.28515625" style="415" customWidth="1"/>
    <col min="5897" max="5897" width="7.5703125" style="415" customWidth="1"/>
    <col min="5898" max="5898" width="7.7109375" style="415" customWidth="1"/>
    <col min="5899" max="5899" width="7" style="415" customWidth="1"/>
    <col min="5900" max="5900" width="7.7109375" style="415" customWidth="1"/>
    <col min="5901" max="5901" width="7" style="415" customWidth="1"/>
    <col min="5902" max="6144" width="11.5703125" style="415"/>
    <col min="6145" max="6145" width="11.42578125" style="415" customWidth="1"/>
    <col min="6146" max="6146" width="6.140625" style="415" customWidth="1"/>
    <col min="6147" max="6147" width="21.7109375" style="415" customWidth="1"/>
    <col min="6148" max="6148" width="9.28515625" style="415" customWidth="1"/>
    <col min="6149" max="6149" width="8.28515625" style="415" customWidth="1"/>
    <col min="6150" max="6150" width="7.7109375" style="415" customWidth="1"/>
    <col min="6151" max="6151" width="9.7109375" style="415" customWidth="1"/>
    <col min="6152" max="6152" width="7.28515625" style="415" customWidth="1"/>
    <col min="6153" max="6153" width="7.5703125" style="415" customWidth="1"/>
    <col min="6154" max="6154" width="7.7109375" style="415" customWidth="1"/>
    <col min="6155" max="6155" width="7" style="415" customWidth="1"/>
    <col min="6156" max="6156" width="7.7109375" style="415" customWidth="1"/>
    <col min="6157" max="6157" width="7" style="415" customWidth="1"/>
    <col min="6158" max="6400" width="11.5703125" style="415"/>
    <col min="6401" max="6401" width="11.42578125" style="415" customWidth="1"/>
    <col min="6402" max="6402" width="6.140625" style="415" customWidth="1"/>
    <col min="6403" max="6403" width="21.7109375" style="415" customWidth="1"/>
    <col min="6404" max="6404" width="9.28515625" style="415" customWidth="1"/>
    <col min="6405" max="6405" width="8.28515625" style="415" customWidth="1"/>
    <col min="6406" max="6406" width="7.7109375" style="415" customWidth="1"/>
    <col min="6407" max="6407" width="9.7109375" style="415" customWidth="1"/>
    <col min="6408" max="6408" width="7.28515625" style="415" customWidth="1"/>
    <col min="6409" max="6409" width="7.5703125" style="415" customWidth="1"/>
    <col min="6410" max="6410" width="7.7109375" style="415" customWidth="1"/>
    <col min="6411" max="6411" width="7" style="415" customWidth="1"/>
    <col min="6412" max="6412" width="7.7109375" style="415" customWidth="1"/>
    <col min="6413" max="6413" width="7" style="415" customWidth="1"/>
    <col min="6414" max="6656" width="11.5703125" style="415"/>
    <col min="6657" max="6657" width="11.42578125" style="415" customWidth="1"/>
    <col min="6658" max="6658" width="6.140625" style="415" customWidth="1"/>
    <col min="6659" max="6659" width="21.7109375" style="415" customWidth="1"/>
    <col min="6660" max="6660" width="9.28515625" style="415" customWidth="1"/>
    <col min="6661" max="6661" width="8.28515625" style="415" customWidth="1"/>
    <col min="6662" max="6662" width="7.7109375" style="415" customWidth="1"/>
    <col min="6663" max="6663" width="9.7109375" style="415" customWidth="1"/>
    <col min="6664" max="6664" width="7.28515625" style="415" customWidth="1"/>
    <col min="6665" max="6665" width="7.5703125" style="415" customWidth="1"/>
    <col min="6666" max="6666" width="7.7109375" style="415" customWidth="1"/>
    <col min="6667" max="6667" width="7" style="415" customWidth="1"/>
    <col min="6668" max="6668" width="7.7109375" style="415" customWidth="1"/>
    <col min="6669" max="6669" width="7" style="415" customWidth="1"/>
    <col min="6670" max="6912" width="11.5703125" style="415"/>
    <col min="6913" max="6913" width="11.42578125" style="415" customWidth="1"/>
    <col min="6914" max="6914" width="6.140625" style="415" customWidth="1"/>
    <col min="6915" max="6915" width="21.7109375" style="415" customWidth="1"/>
    <col min="6916" max="6916" width="9.28515625" style="415" customWidth="1"/>
    <col min="6917" max="6917" width="8.28515625" style="415" customWidth="1"/>
    <col min="6918" max="6918" width="7.7109375" style="415" customWidth="1"/>
    <col min="6919" max="6919" width="9.7109375" style="415" customWidth="1"/>
    <col min="6920" max="6920" width="7.28515625" style="415" customWidth="1"/>
    <col min="6921" max="6921" width="7.5703125" style="415" customWidth="1"/>
    <col min="6922" max="6922" width="7.7109375" style="415" customWidth="1"/>
    <col min="6923" max="6923" width="7" style="415" customWidth="1"/>
    <col min="6924" max="6924" width="7.7109375" style="415" customWidth="1"/>
    <col min="6925" max="6925" width="7" style="415" customWidth="1"/>
    <col min="6926" max="7168" width="11.5703125" style="415"/>
    <col min="7169" max="7169" width="11.42578125" style="415" customWidth="1"/>
    <col min="7170" max="7170" width="6.140625" style="415" customWidth="1"/>
    <col min="7171" max="7171" width="21.7109375" style="415" customWidth="1"/>
    <col min="7172" max="7172" width="9.28515625" style="415" customWidth="1"/>
    <col min="7173" max="7173" width="8.28515625" style="415" customWidth="1"/>
    <col min="7174" max="7174" width="7.7109375" style="415" customWidth="1"/>
    <col min="7175" max="7175" width="9.7109375" style="415" customWidth="1"/>
    <col min="7176" max="7176" width="7.28515625" style="415" customWidth="1"/>
    <col min="7177" max="7177" width="7.5703125" style="415" customWidth="1"/>
    <col min="7178" max="7178" width="7.7109375" style="415" customWidth="1"/>
    <col min="7179" max="7179" width="7" style="415" customWidth="1"/>
    <col min="7180" max="7180" width="7.7109375" style="415" customWidth="1"/>
    <col min="7181" max="7181" width="7" style="415" customWidth="1"/>
    <col min="7182" max="7424" width="11.5703125" style="415"/>
    <col min="7425" max="7425" width="11.42578125" style="415" customWidth="1"/>
    <col min="7426" max="7426" width="6.140625" style="415" customWidth="1"/>
    <col min="7427" max="7427" width="21.7109375" style="415" customWidth="1"/>
    <col min="7428" max="7428" width="9.28515625" style="415" customWidth="1"/>
    <col min="7429" max="7429" width="8.28515625" style="415" customWidth="1"/>
    <col min="7430" max="7430" width="7.7109375" style="415" customWidth="1"/>
    <col min="7431" max="7431" width="9.7109375" style="415" customWidth="1"/>
    <col min="7432" max="7432" width="7.28515625" style="415" customWidth="1"/>
    <col min="7433" max="7433" width="7.5703125" style="415" customWidth="1"/>
    <col min="7434" max="7434" width="7.7109375" style="415" customWidth="1"/>
    <col min="7435" max="7435" width="7" style="415" customWidth="1"/>
    <col min="7436" max="7436" width="7.7109375" style="415" customWidth="1"/>
    <col min="7437" max="7437" width="7" style="415" customWidth="1"/>
    <col min="7438" max="7680" width="11.5703125" style="415"/>
    <col min="7681" max="7681" width="11.42578125" style="415" customWidth="1"/>
    <col min="7682" max="7682" width="6.140625" style="415" customWidth="1"/>
    <col min="7683" max="7683" width="21.7109375" style="415" customWidth="1"/>
    <col min="7684" max="7684" width="9.28515625" style="415" customWidth="1"/>
    <col min="7685" max="7685" width="8.28515625" style="415" customWidth="1"/>
    <col min="7686" max="7686" width="7.7109375" style="415" customWidth="1"/>
    <col min="7687" max="7687" width="9.7109375" style="415" customWidth="1"/>
    <col min="7688" max="7688" width="7.28515625" style="415" customWidth="1"/>
    <col min="7689" max="7689" width="7.5703125" style="415" customWidth="1"/>
    <col min="7690" max="7690" width="7.7109375" style="415" customWidth="1"/>
    <col min="7691" max="7691" width="7" style="415" customWidth="1"/>
    <col min="7692" max="7692" width="7.7109375" style="415" customWidth="1"/>
    <col min="7693" max="7693" width="7" style="415" customWidth="1"/>
    <col min="7694" max="7936" width="11.5703125" style="415"/>
    <col min="7937" max="7937" width="11.42578125" style="415" customWidth="1"/>
    <col min="7938" max="7938" width="6.140625" style="415" customWidth="1"/>
    <col min="7939" max="7939" width="21.7109375" style="415" customWidth="1"/>
    <col min="7940" max="7940" width="9.28515625" style="415" customWidth="1"/>
    <col min="7941" max="7941" width="8.28515625" style="415" customWidth="1"/>
    <col min="7942" max="7942" width="7.7109375" style="415" customWidth="1"/>
    <col min="7943" max="7943" width="9.7109375" style="415" customWidth="1"/>
    <col min="7944" max="7944" width="7.28515625" style="415" customWidth="1"/>
    <col min="7945" max="7945" width="7.5703125" style="415" customWidth="1"/>
    <col min="7946" max="7946" width="7.7109375" style="415" customWidth="1"/>
    <col min="7947" max="7947" width="7" style="415" customWidth="1"/>
    <col min="7948" max="7948" width="7.7109375" style="415" customWidth="1"/>
    <col min="7949" max="7949" width="7" style="415" customWidth="1"/>
    <col min="7950" max="8192" width="11.5703125" style="415"/>
    <col min="8193" max="8193" width="11.42578125" style="415" customWidth="1"/>
    <col min="8194" max="8194" width="6.140625" style="415" customWidth="1"/>
    <col min="8195" max="8195" width="21.7109375" style="415" customWidth="1"/>
    <col min="8196" max="8196" width="9.28515625" style="415" customWidth="1"/>
    <col min="8197" max="8197" width="8.28515625" style="415" customWidth="1"/>
    <col min="8198" max="8198" width="7.7109375" style="415" customWidth="1"/>
    <col min="8199" max="8199" width="9.7109375" style="415" customWidth="1"/>
    <col min="8200" max="8200" width="7.28515625" style="415" customWidth="1"/>
    <col min="8201" max="8201" width="7.5703125" style="415" customWidth="1"/>
    <col min="8202" max="8202" width="7.7109375" style="415" customWidth="1"/>
    <col min="8203" max="8203" width="7" style="415" customWidth="1"/>
    <col min="8204" max="8204" width="7.7109375" style="415" customWidth="1"/>
    <col min="8205" max="8205" width="7" style="415" customWidth="1"/>
    <col min="8206" max="8448" width="11.5703125" style="415"/>
    <col min="8449" max="8449" width="11.42578125" style="415" customWidth="1"/>
    <col min="8450" max="8450" width="6.140625" style="415" customWidth="1"/>
    <col min="8451" max="8451" width="21.7109375" style="415" customWidth="1"/>
    <col min="8452" max="8452" width="9.28515625" style="415" customWidth="1"/>
    <col min="8453" max="8453" width="8.28515625" style="415" customWidth="1"/>
    <col min="8454" max="8454" width="7.7109375" style="415" customWidth="1"/>
    <col min="8455" max="8455" width="9.7109375" style="415" customWidth="1"/>
    <col min="8456" max="8456" width="7.28515625" style="415" customWidth="1"/>
    <col min="8457" max="8457" width="7.5703125" style="415" customWidth="1"/>
    <col min="8458" max="8458" width="7.7109375" style="415" customWidth="1"/>
    <col min="8459" max="8459" width="7" style="415" customWidth="1"/>
    <col min="8460" max="8460" width="7.7109375" style="415" customWidth="1"/>
    <col min="8461" max="8461" width="7" style="415" customWidth="1"/>
    <col min="8462" max="8704" width="11.5703125" style="415"/>
    <col min="8705" max="8705" width="11.42578125" style="415" customWidth="1"/>
    <col min="8706" max="8706" width="6.140625" style="415" customWidth="1"/>
    <col min="8707" max="8707" width="21.7109375" style="415" customWidth="1"/>
    <col min="8708" max="8708" width="9.28515625" style="415" customWidth="1"/>
    <col min="8709" max="8709" width="8.28515625" style="415" customWidth="1"/>
    <col min="8710" max="8710" width="7.7109375" style="415" customWidth="1"/>
    <col min="8711" max="8711" width="9.7109375" style="415" customWidth="1"/>
    <col min="8712" max="8712" width="7.28515625" style="415" customWidth="1"/>
    <col min="8713" max="8713" width="7.5703125" style="415" customWidth="1"/>
    <col min="8714" max="8714" width="7.7109375" style="415" customWidth="1"/>
    <col min="8715" max="8715" width="7" style="415" customWidth="1"/>
    <col min="8716" max="8716" width="7.7109375" style="415" customWidth="1"/>
    <col min="8717" max="8717" width="7" style="415" customWidth="1"/>
    <col min="8718" max="8960" width="11.5703125" style="415"/>
    <col min="8961" max="8961" width="11.42578125" style="415" customWidth="1"/>
    <col min="8962" max="8962" width="6.140625" style="415" customWidth="1"/>
    <col min="8963" max="8963" width="21.7109375" style="415" customWidth="1"/>
    <col min="8964" max="8964" width="9.28515625" style="415" customWidth="1"/>
    <col min="8965" max="8965" width="8.28515625" style="415" customWidth="1"/>
    <col min="8966" max="8966" width="7.7109375" style="415" customWidth="1"/>
    <col min="8967" max="8967" width="9.7109375" style="415" customWidth="1"/>
    <col min="8968" max="8968" width="7.28515625" style="415" customWidth="1"/>
    <col min="8969" max="8969" width="7.5703125" style="415" customWidth="1"/>
    <col min="8970" max="8970" width="7.7109375" style="415" customWidth="1"/>
    <col min="8971" max="8971" width="7" style="415" customWidth="1"/>
    <col min="8972" max="8972" width="7.7109375" style="415" customWidth="1"/>
    <col min="8973" max="8973" width="7" style="415" customWidth="1"/>
    <col min="8974" max="9216" width="11.5703125" style="415"/>
    <col min="9217" max="9217" width="11.42578125" style="415" customWidth="1"/>
    <col min="9218" max="9218" width="6.140625" style="415" customWidth="1"/>
    <col min="9219" max="9219" width="21.7109375" style="415" customWidth="1"/>
    <col min="9220" max="9220" width="9.28515625" style="415" customWidth="1"/>
    <col min="9221" max="9221" width="8.28515625" style="415" customWidth="1"/>
    <col min="9222" max="9222" width="7.7109375" style="415" customWidth="1"/>
    <col min="9223" max="9223" width="9.7109375" style="415" customWidth="1"/>
    <col min="9224" max="9224" width="7.28515625" style="415" customWidth="1"/>
    <col min="9225" max="9225" width="7.5703125" style="415" customWidth="1"/>
    <col min="9226" max="9226" width="7.7109375" style="415" customWidth="1"/>
    <col min="9227" max="9227" width="7" style="415" customWidth="1"/>
    <col min="9228" max="9228" width="7.7109375" style="415" customWidth="1"/>
    <col min="9229" max="9229" width="7" style="415" customWidth="1"/>
    <col min="9230" max="9472" width="11.5703125" style="415"/>
    <col min="9473" max="9473" width="11.42578125" style="415" customWidth="1"/>
    <col min="9474" max="9474" width="6.140625" style="415" customWidth="1"/>
    <col min="9475" max="9475" width="21.7109375" style="415" customWidth="1"/>
    <col min="9476" max="9476" width="9.28515625" style="415" customWidth="1"/>
    <col min="9477" max="9477" width="8.28515625" style="415" customWidth="1"/>
    <col min="9478" max="9478" width="7.7109375" style="415" customWidth="1"/>
    <col min="9479" max="9479" width="9.7109375" style="415" customWidth="1"/>
    <col min="9480" max="9480" width="7.28515625" style="415" customWidth="1"/>
    <col min="9481" max="9481" width="7.5703125" style="415" customWidth="1"/>
    <col min="9482" max="9482" width="7.7109375" style="415" customWidth="1"/>
    <col min="9483" max="9483" width="7" style="415" customWidth="1"/>
    <col min="9484" max="9484" width="7.7109375" style="415" customWidth="1"/>
    <col min="9485" max="9485" width="7" style="415" customWidth="1"/>
    <col min="9486" max="9728" width="11.5703125" style="415"/>
    <col min="9729" max="9729" width="11.42578125" style="415" customWidth="1"/>
    <col min="9730" max="9730" width="6.140625" style="415" customWidth="1"/>
    <col min="9731" max="9731" width="21.7109375" style="415" customWidth="1"/>
    <col min="9732" max="9732" width="9.28515625" style="415" customWidth="1"/>
    <col min="9733" max="9733" width="8.28515625" style="415" customWidth="1"/>
    <col min="9734" max="9734" width="7.7109375" style="415" customWidth="1"/>
    <col min="9735" max="9735" width="9.7109375" style="415" customWidth="1"/>
    <col min="9736" max="9736" width="7.28515625" style="415" customWidth="1"/>
    <col min="9737" max="9737" width="7.5703125" style="415" customWidth="1"/>
    <col min="9738" max="9738" width="7.7109375" style="415" customWidth="1"/>
    <col min="9739" max="9739" width="7" style="415" customWidth="1"/>
    <col min="9740" max="9740" width="7.7109375" style="415" customWidth="1"/>
    <col min="9741" max="9741" width="7" style="415" customWidth="1"/>
    <col min="9742" max="9984" width="11.5703125" style="415"/>
    <col min="9985" max="9985" width="11.42578125" style="415" customWidth="1"/>
    <col min="9986" max="9986" width="6.140625" style="415" customWidth="1"/>
    <col min="9987" max="9987" width="21.7109375" style="415" customWidth="1"/>
    <col min="9988" max="9988" width="9.28515625" style="415" customWidth="1"/>
    <col min="9989" max="9989" width="8.28515625" style="415" customWidth="1"/>
    <col min="9990" max="9990" width="7.7109375" style="415" customWidth="1"/>
    <col min="9991" max="9991" width="9.7109375" style="415" customWidth="1"/>
    <col min="9992" max="9992" width="7.28515625" style="415" customWidth="1"/>
    <col min="9993" max="9993" width="7.5703125" style="415" customWidth="1"/>
    <col min="9994" max="9994" width="7.7109375" style="415" customWidth="1"/>
    <col min="9995" max="9995" width="7" style="415" customWidth="1"/>
    <col min="9996" max="9996" width="7.7109375" style="415" customWidth="1"/>
    <col min="9997" max="9997" width="7" style="415" customWidth="1"/>
    <col min="9998" max="10240" width="11.5703125" style="415"/>
    <col min="10241" max="10241" width="11.42578125" style="415" customWidth="1"/>
    <col min="10242" max="10242" width="6.140625" style="415" customWidth="1"/>
    <col min="10243" max="10243" width="21.7109375" style="415" customWidth="1"/>
    <col min="10244" max="10244" width="9.28515625" style="415" customWidth="1"/>
    <col min="10245" max="10245" width="8.28515625" style="415" customWidth="1"/>
    <col min="10246" max="10246" width="7.7109375" style="415" customWidth="1"/>
    <col min="10247" max="10247" width="9.7109375" style="415" customWidth="1"/>
    <col min="10248" max="10248" width="7.28515625" style="415" customWidth="1"/>
    <col min="10249" max="10249" width="7.5703125" style="415" customWidth="1"/>
    <col min="10250" max="10250" width="7.7109375" style="415" customWidth="1"/>
    <col min="10251" max="10251" width="7" style="415" customWidth="1"/>
    <col min="10252" max="10252" width="7.7109375" style="415" customWidth="1"/>
    <col min="10253" max="10253" width="7" style="415" customWidth="1"/>
    <col min="10254" max="10496" width="11.5703125" style="415"/>
    <col min="10497" max="10497" width="11.42578125" style="415" customWidth="1"/>
    <col min="10498" max="10498" width="6.140625" style="415" customWidth="1"/>
    <col min="10499" max="10499" width="21.7109375" style="415" customWidth="1"/>
    <col min="10500" max="10500" width="9.28515625" style="415" customWidth="1"/>
    <col min="10501" max="10501" width="8.28515625" style="415" customWidth="1"/>
    <col min="10502" max="10502" width="7.7109375" style="415" customWidth="1"/>
    <col min="10503" max="10503" width="9.7109375" style="415" customWidth="1"/>
    <col min="10504" max="10504" width="7.28515625" style="415" customWidth="1"/>
    <col min="10505" max="10505" width="7.5703125" style="415" customWidth="1"/>
    <col min="10506" max="10506" width="7.7109375" style="415" customWidth="1"/>
    <col min="10507" max="10507" width="7" style="415" customWidth="1"/>
    <col min="10508" max="10508" width="7.7109375" style="415" customWidth="1"/>
    <col min="10509" max="10509" width="7" style="415" customWidth="1"/>
    <col min="10510" max="10752" width="11.5703125" style="415"/>
    <col min="10753" max="10753" width="11.42578125" style="415" customWidth="1"/>
    <col min="10754" max="10754" width="6.140625" style="415" customWidth="1"/>
    <col min="10755" max="10755" width="21.7109375" style="415" customWidth="1"/>
    <col min="10756" max="10756" width="9.28515625" style="415" customWidth="1"/>
    <col min="10757" max="10757" width="8.28515625" style="415" customWidth="1"/>
    <col min="10758" max="10758" width="7.7109375" style="415" customWidth="1"/>
    <col min="10759" max="10759" width="9.7109375" style="415" customWidth="1"/>
    <col min="10760" max="10760" width="7.28515625" style="415" customWidth="1"/>
    <col min="10761" max="10761" width="7.5703125" style="415" customWidth="1"/>
    <col min="10762" max="10762" width="7.7109375" style="415" customWidth="1"/>
    <col min="10763" max="10763" width="7" style="415" customWidth="1"/>
    <col min="10764" max="10764" width="7.7109375" style="415" customWidth="1"/>
    <col min="10765" max="10765" width="7" style="415" customWidth="1"/>
    <col min="10766" max="11008" width="11.5703125" style="415"/>
    <col min="11009" max="11009" width="11.42578125" style="415" customWidth="1"/>
    <col min="11010" max="11010" width="6.140625" style="415" customWidth="1"/>
    <col min="11011" max="11011" width="21.7109375" style="415" customWidth="1"/>
    <col min="11012" max="11012" width="9.28515625" style="415" customWidth="1"/>
    <col min="11013" max="11013" width="8.28515625" style="415" customWidth="1"/>
    <col min="11014" max="11014" width="7.7109375" style="415" customWidth="1"/>
    <col min="11015" max="11015" width="9.7109375" style="415" customWidth="1"/>
    <col min="11016" max="11016" width="7.28515625" style="415" customWidth="1"/>
    <col min="11017" max="11017" width="7.5703125" style="415" customWidth="1"/>
    <col min="11018" max="11018" width="7.7109375" style="415" customWidth="1"/>
    <col min="11019" max="11019" width="7" style="415" customWidth="1"/>
    <col min="11020" max="11020" width="7.7109375" style="415" customWidth="1"/>
    <col min="11021" max="11021" width="7" style="415" customWidth="1"/>
    <col min="11022" max="11264" width="11.5703125" style="415"/>
    <col min="11265" max="11265" width="11.42578125" style="415" customWidth="1"/>
    <col min="11266" max="11266" width="6.140625" style="415" customWidth="1"/>
    <col min="11267" max="11267" width="21.7109375" style="415" customWidth="1"/>
    <col min="11268" max="11268" width="9.28515625" style="415" customWidth="1"/>
    <col min="11269" max="11269" width="8.28515625" style="415" customWidth="1"/>
    <col min="11270" max="11270" width="7.7109375" style="415" customWidth="1"/>
    <col min="11271" max="11271" width="9.7109375" style="415" customWidth="1"/>
    <col min="11272" max="11272" width="7.28515625" style="415" customWidth="1"/>
    <col min="11273" max="11273" width="7.5703125" style="415" customWidth="1"/>
    <col min="11274" max="11274" width="7.7109375" style="415" customWidth="1"/>
    <col min="11275" max="11275" width="7" style="415" customWidth="1"/>
    <col min="11276" max="11276" width="7.7109375" style="415" customWidth="1"/>
    <col min="11277" max="11277" width="7" style="415" customWidth="1"/>
    <col min="11278" max="11520" width="11.5703125" style="415"/>
    <col min="11521" max="11521" width="11.42578125" style="415" customWidth="1"/>
    <col min="11522" max="11522" width="6.140625" style="415" customWidth="1"/>
    <col min="11523" max="11523" width="21.7109375" style="415" customWidth="1"/>
    <col min="11524" max="11524" width="9.28515625" style="415" customWidth="1"/>
    <col min="11525" max="11525" width="8.28515625" style="415" customWidth="1"/>
    <col min="11526" max="11526" width="7.7109375" style="415" customWidth="1"/>
    <col min="11527" max="11527" width="9.7109375" style="415" customWidth="1"/>
    <col min="11528" max="11528" width="7.28515625" style="415" customWidth="1"/>
    <col min="11529" max="11529" width="7.5703125" style="415" customWidth="1"/>
    <col min="11530" max="11530" width="7.7109375" style="415" customWidth="1"/>
    <col min="11531" max="11531" width="7" style="415" customWidth="1"/>
    <col min="11532" max="11532" width="7.7109375" style="415" customWidth="1"/>
    <col min="11533" max="11533" width="7" style="415" customWidth="1"/>
    <col min="11534" max="11776" width="11.5703125" style="415"/>
    <col min="11777" max="11777" width="11.42578125" style="415" customWidth="1"/>
    <col min="11778" max="11778" width="6.140625" style="415" customWidth="1"/>
    <col min="11779" max="11779" width="21.7109375" style="415" customWidth="1"/>
    <col min="11780" max="11780" width="9.28515625" style="415" customWidth="1"/>
    <col min="11781" max="11781" width="8.28515625" style="415" customWidth="1"/>
    <col min="11782" max="11782" width="7.7109375" style="415" customWidth="1"/>
    <col min="11783" max="11783" width="9.7109375" style="415" customWidth="1"/>
    <col min="11784" max="11784" width="7.28515625" style="415" customWidth="1"/>
    <col min="11785" max="11785" width="7.5703125" style="415" customWidth="1"/>
    <col min="11786" max="11786" width="7.7109375" style="415" customWidth="1"/>
    <col min="11787" max="11787" width="7" style="415" customWidth="1"/>
    <col min="11788" max="11788" width="7.7109375" style="415" customWidth="1"/>
    <col min="11789" max="11789" width="7" style="415" customWidth="1"/>
    <col min="11790" max="12032" width="11.5703125" style="415"/>
    <col min="12033" max="12033" width="11.42578125" style="415" customWidth="1"/>
    <col min="12034" max="12034" width="6.140625" style="415" customWidth="1"/>
    <col min="12035" max="12035" width="21.7109375" style="415" customWidth="1"/>
    <col min="12036" max="12036" width="9.28515625" style="415" customWidth="1"/>
    <col min="12037" max="12037" width="8.28515625" style="415" customWidth="1"/>
    <col min="12038" max="12038" width="7.7109375" style="415" customWidth="1"/>
    <col min="12039" max="12039" width="9.7109375" style="415" customWidth="1"/>
    <col min="12040" max="12040" width="7.28515625" style="415" customWidth="1"/>
    <col min="12041" max="12041" width="7.5703125" style="415" customWidth="1"/>
    <col min="12042" max="12042" width="7.7109375" style="415" customWidth="1"/>
    <col min="12043" max="12043" width="7" style="415" customWidth="1"/>
    <col min="12044" max="12044" width="7.7109375" style="415" customWidth="1"/>
    <col min="12045" max="12045" width="7" style="415" customWidth="1"/>
    <col min="12046" max="12288" width="11.5703125" style="415"/>
    <col min="12289" max="12289" width="11.42578125" style="415" customWidth="1"/>
    <col min="12290" max="12290" width="6.140625" style="415" customWidth="1"/>
    <col min="12291" max="12291" width="21.7109375" style="415" customWidth="1"/>
    <col min="12292" max="12292" width="9.28515625" style="415" customWidth="1"/>
    <col min="12293" max="12293" width="8.28515625" style="415" customWidth="1"/>
    <col min="12294" max="12294" width="7.7109375" style="415" customWidth="1"/>
    <col min="12295" max="12295" width="9.7109375" style="415" customWidth="1"/>
    <col min="12296" max="12296" width="7.28515625" style="415" customWidth="1"/>
    <col min="12297" max="12297" width="7.5703125" style="415" customWidth="1"/>
    <col min="12298" max="12298" width="7.7109375" style="415" customWidth="1"/>
    <col min="12299" max="12299" width="7" style="415" customWidth="1"/>
    <col min="12300" max="12300" width="7.7109375" style="415" customWidth="1"/>
    <col min="12301" max="12301" width="7" style="415" customWidth="1"/>
    <col min="12302" max="12544" width="11.5703125" style="415"/>
    <col min="12545" max="12545" width="11.42578125" style="415" customWidth="1"/>
    <col min="12546" max="12546" width="6.140625" style="415" customWidth="1"/>
    <col min="12547" max="12547" width="21.7109375" style="415" customWidth="1"/>
    <col min="12548" max="12548" width="9.28515625" style="415" customWidth="1"/>
    <col min="12549" max="12549" width="8.28515625" style="415" customWidth="1"/>
    <col min="12550" max="12550" width="7.7109375" style="415" customWidth="1"/>
    <col min="12551" max="12551" width="9.7109375" style="415" customWidth="1"/>
    <col min="12552" max="12552" width="7.28515625" style="415" customWidth="1"/>
    <col min="12553" max="12553" width="7.5703125" style="415" customWidth="1"/>
    <col min="12554" max="12554" width="7.7109375" style="415" customWidth="1"/>
    <col min="12555" max="12555" width="7" style="415" customWidth="1"/>
    <col min="12556" max="12556" width="7.7109375" style="415" customWidth="1"/>
    <col min="12557" max="12557" width="7" style="415" customWidth="1"/>
    <col min="12558" max="12800" width="11.5703125" style="415"/>
    <col min="12801" max="12801" width="11.42578125" style="415" customWidth="1"/>
    <col min="12802" max="12802" width="6.140625" style="415" customWidth="1"/>
    <col min="12803" max="12803" width="21.7109375" style="415" customWidth="1"/>
    <col min="12804" max="12804" width="9.28515625" style="415" customWidth="1"/>
    <col min="12805" max="12805" width="8.28515625" style="415" customWidth="1"/>
    <col min="12806" max="12806" width="7.7109375" style="415" customWidth="1"/>
    <col min="12807" max="12807" width="9.7109375" style="415" customWidth="1"/>
    <col min="12808" max="12808" width="7.28515625" style="415" customWidth="1"/>
    <col min="12809" max="12809" width="7.5703125" style="415" customWidth="1"/>
    <col min="12810" max="12810" width="7.7109375" style="415" customWidth="1"/>
    <col min="12811" max="12811" width="7" style="415" customWidth="1"/>
    <col min="12812" max="12812" width="7.7109375" style="415" customWidth="1"/>
    <col min="12813" max="12813" width="7" style="415" customWidth="1"/>
    <col min="12814" max="13056" width="11.5703125" style="415"/>
    <col min="13057" max="13057" width="11.42578125" style="415" customWidth="1"/>
    <col min="13058" max="13058" width="6.140625" style="415" customWidth="1"/>
    <col min="13059" max="13059" width="21.7109375" style="415" customWidth="1"/>
    <col min="13060" max="13060" width="9.28515625" style="415" customWidth="1"/>
    <col min="13061" max="13061" width="8.28515625" style="415" customWidth="1"/>
    <col min="13062" max="13062" width="7.7109375" style="415" customWidth="1"/>
    <col min="13063" max="13063" width="9.7109375" style="415" customWidth="1"/>
    <col min="13064" max="13064" width="7.28515625" style="415" customWidth="1"/>
    <col min="13065" max="13065" width="7.5703125" style="415" customWidth="1"/>
    <col min="13066" max="13066" width="7.7109375" style="415" customWidth="1"/>
    <col min="13067" max="13067" width="7" style="415" customWidth="1"/>
    <col min="13068" max="13068" width="7.7109375" style="415" customWidth="1"/>
    <col min="13069" max="13069" width="7" style="415" customWidth="1"/>
    <col min="13070" max="13312" width="11.5703125" style="415"/>
    <col min="13313" max="13313" width="11.42578125" style="415" customWidth="1"/>
    <col min="13314" max="13314" width="6.140625" style="415" customWidth="1"/>
    <col min="13315" max="13315" width="21.7109375" style="415" customWidth="1"/>
    <col min="13316" max="13316" width="9.28515625" style="415" customWidth="1"/>
    <col min="13317" max="13317" width="8.28515625" style="415" customWidth="1"/>
    <col min="13318" max="13318" width="7.7109375" style="415" customWidth="1"/>
    <col min="13319" max="13319" width="9.7109375" style="415" customWidth="1"/>
    <col min="13320" max="13320" width="7.28515625" style="415" customWidth="1"/>
    <col min="13321" max="13321" width="7.5703125" style="415" customWidth="1"/>
    <col min="13322" max="13322" width="7.7109375" style="415" customWidth="1"/>
    <col min="13323" max="13323" width="7" style="415" customWidth="1"/>
    <col min="13324" max="13324" width="7.7109375" style="415" customWidth="1"/>
    <col min="13325" max="13325" width="7" style="415" customWidth="1"/>
    <col min="13326" max="13568" width="11.5703125" style="415"/>
    <col min="13569" max="13569" width="11.42578125" style="415" customWidth="1"/>
    <col min="13570" max="13570" width="6.140625" style="415" customWidth="1"/>
    <col min="13571" max="13571" width="21.7109375" style="415" customWidth="1"/>
    <col min="13572" max="13572" width="9.28515625" style="415" customWidth="1"/>
    <col min="13573" max="13573" width="8.28515625" style="415" customWidth="1"/>
    <col min="13574" max="13574" width="7.7109375" style="415" customWidth="1"/>
    <col min="13575" max="13575" width="9.7109375" style="415" customWidth="1"/>
    <col min="13576" max="13576" width="7.28515625" style="415" customWidth="1"/>
    <col min="13577" max="13577" width="7.5703125" style="415" customWidth="1"/>
    <col min="13578" max="13578" width="7.7109375" style="415" customWidth="1"/>
    <col min="13579" max="13579" width="7" style="415" customWidth="1"/>
    <col min="13580" max="13580" width="7.7109375" style="415" customWidth="1"/>
    <col min="13581" max="13581" width="7" style="415" customWidth="1"/>
    <col min="13582" max="13824" width="11.5703125" style="415"/>
    <col min="13825" max="13825" width="11.42578125" style="415" customWidth="1"/>
    <col min="13826" max="13826" width="6.140625" style="415" customWidth="1"/>
    <col min="13827" max="13827" width="21.7109375" style="415" customWidth="1"/>
    <col min="13828" max="13828" width="9.28515625" style="415" customWidth="1"/>
    <col min="13829" max="13829" width="8.28515625" style="415" customWidth="1"/>
    <col min="13830" max="13830" width="7.7109375" style="415" customWidth="1"/>
    <col min="13831" max="13831" width="9.7109375" style="415" customWidth="1"/>
    <col min="13832" max="13832" width="7.28515625" style="415" customWidth="1"/>
    <col min="13833" max="13833" width="7.5703125" style="415" customWidth="1"/>
    <col min="13834" max="13834" width="7.7109375" style="415" customWidth="1"/>
    <col min="13835" max="13835" width="7" style="415" customWidth="1"/>
    <col min="13836" max="13836" width="7.7109375" style="415" customWidth="1"/>
    <col min="13837" max="13837" width="7" style="415" customWidth="1"/>
    <col min="13838" max="14080" width="11.5703125" style="415"/>
    <col min="14081" max="14081" width="11.42578125" style="415" customWidth="1"/>
    <col min="14082" max="14082" width="6.140625" style="415" customWidth="1"/>
    <col min="14083" max="14083" width="21.7109375" style="415" customWidth="1"/>
    <col min="14084" max="14084" width="9.28515625" style="415" customWidth="1"/>
    <col min="14085" max="14085" width="8.28515625" style="415" customWidth="1"/>
    <col min="14086" max="14086" width="7.7109375" style="415" customWidth="1"/>
    <col min="14087" max="14087" width="9.7109375" style="415" customWidth="1"/>
    <col min="14088" max="14088" width="7.28515625" style="415" customWidth="1"/>
    <col min="14089" max="14089" width="7.5703125" style="415" customWidth="1"/>
    <col min="14090" max="14090" width="7.7109375" style="415" customWidth="1"/>
    <col min="14091" max="14091" width="7" style="415" customWidth="1"/>
    <col min="14092" max="14092" width="7.7109375" style="415" customWidth="1"/>
    <col min="14093" max="14093" width="7" style="415" customWidth="1"/>
    <col min="14094" max="14336" width="11.5703125" style="415"/>
    <col min="14337" max="14337" width="11.42578125" style="415" customWidth="1"/>
    <col min="14338" max="14338" width="6.140625" style="415" customWidth="1"/>
    <col min="14339" max="14339" width="21.7109375" style="415" customWidth="1"/>
    <col min="14340" max="14340" width="9.28515625" style="415" customWidth="1"/>
    <col min="14341" max="14341" width="8.28515625" style="415" customWidth="1"/>
    <col min="14342" max="14342" width="7.7109375" style="415" customWidth="1"/>
    <col min="14343" max="14343" width="9.7109375" style="415" customWidth="1"/>
    <col min="14344" max="14344" width="7.28515625" style="415" customWidth="1"/>
    <col min="14345" max="14345" width="7.5703125" style="415" customWidth="1"/>
    <col min="14346" max="14346" width="7.7109375" style="415" customWidth="1"/>
    <col min="14347" max="14347" width="7" style="415" customWidth="1"/>
    <col min="14348" max="14348" width="7.7109375" style="415" customWidth="1"/>
    <col min="14349" max="14349" width="7" style="415" customWidth="1"/>
    <col min="14350" max="14592" width="11.5703125" style="415"/>
    <col min="14593" max="14593" width="11.42578125" style="415" customWidth="1"/>
    <col min="14594" max="14594" width="6.140625" style="415" customWidth="1"/>
    <col min="14595" max="14595" width="21.7109375" style="415" customWidth="1"/>
    <col min="14596" max="14596" width="9.28515625" style="415" customWidth="1"/>
    <col min="14597" max="14597" width="8.28515625" style="415" customWidth="1"/>
    <col min="14598" max="14598" width="7.7109375" style="415" customWidth="1"/>
    <col min="14599" max="14599" width="9.7109375" style="415" customWidth="1"/>
    <col min="14600" max="14600" width="7.28515625" style="415" customWidth="1"/>
    <col min="14601" max="14601" width="7.5703125" style="415" customWidth="1"/>
    <col min="14602" max="14602" width="7.7109375" style="415" customWidth="1"/>
    <col min="14603" max="14603" width="7" style="415" customWidth="1"/>
    <col min="14604" max="14604" width="7.7109375" style="415" customWidth="1"/>
    <col min="14605" max="14605" width="7" style="415" customWidth="1"/>
    <col min="14606" max="14848" width="11.5703125" style="415"/>
    <col min="14849" max="14849" width="11.42578125" style="415" customWidth="1"/>
    <col min="14850" max="14850" width="6.140625" style="415" customWidth="1"/>
    <col min="14851" max="14851" width="21.7109375" style="415" customWidth="1"/>
    <col min="14852" max="14852" width="9.28515625" style="415" customWidth="1"/>
    <col min="14853" max="14853" width="8.28515625" style="415" customWidth="1"/>
    <col min="14854" max="14854" width="7.7109375" style="415" customWidth="1"/>
    <col min="14855" max="14855" width="9.7109375" style="415" customWidth="1"/>
    <col min="14856" max="14856" width="7.28515625" style="415" customWidth="1"/>
    <col min="14857" max="14857" width="7.5703125" style="415" customWidth="1"/>
    <col min="14858" max="14858" width="7.7109375" style="415" customWidth="1"/>
    <col min="14859" max="14859" width="7" style="415" customWidth="1"/>
    <col min="14860" max="14860" width="7.7109375" style="415" customWidth="1"/>
    <col min="14861" max="14861" width="7" style="415" customWidth="1"/>
    <col min="14862" max="15104" width="11.5703125" style="415"/>
    <col min="15105" max="15105" width="11.42578125" style="415" customWidth="1"/>
    <col min="15106" max="15106" width="6.140625" style="415" customWidth="1"/>
    <col min="15107" max="15107" width="21.7109375" style="415" customWidth="1"/>
    <col min="15108" max="15108" width="9.28515625" style="415" customWidth="1"/>
    <col min="15109" max="15109" width="8.28515625" style="415" customWidth="1"/>
    <col min="15110" max="15110" width="7.7109375" style="415" customWidth="1"/>
    <col min="15111" max="15111" width="9.7109375" style="415" customWidth="1"/>
    <col min="15112" max="15112" width="7.28515625" style="415" customWidth="1"/>
    <col min="15113" max="15113" width="7.5703125" style="415" customWidth="1"/>
    <col min="15114" max="15114" width="7.7109375" style="415" customWidth="1"/>
    <col min="15115" max="15115" width="7" style="415" customWidth="1"/>
    <col min="15116" max="15116" width="7.7109375" style="415" customWidth="1"/>
    <col min="15117" max="15117" width="7" style="415" customWidth="1"/>
    <col min="15118" max="15360" width="11.5703125" style="415"/>
    <col min="15361" max="15361" width="11.42578125" style="415" customWidth="1"/>
    <col min="15362" max="15362" width="6.140625" style="415" customWidth="1"/>
    <col min="15363" max="15363" width="21.7109375" style="415" customWidth="1"/>
    <col min="15364" max="15364" width="9.28515625" style="415" customWidth="1"/>
    <col min="15365" max="15365" width="8.28515625" style="415" customWidth="1"/>
    <col min="15366" max="15366" width="7.7109375" style="415" customWidth="1"/>
    <col min="15367" max="15367" width="9.7109375" style="415" customWidth="1"/>
    <col min="15368" max="15368" width="7.28515625" style="415" customWidth="1"/>
    <col min="15369" max="15369" width="7.5703125" style="415" customWidth="1"/>
    <col min="15370" max="15370" width="7.7109375" style="415" customWidth="1"/>
    <col min="15371" max="15371" width="7" style="415" customWidth="1"/>
    <col min="15372" max="15372" width="7.7109375" style="415" customWidth="1"/>
    <col min="15373" max="15373" width="7" style="415" customWidth="1"/>
    <col min="15374" max="15616" width="11.5703125" style="415"/>
    <col min="15617" max="15617" width="11.42578125" style="415" customWidth="1"/>
    <col min="15618" max="15618" width="6.140625" style="415" customWidth="1"/>
    <col min="15619" max="15619" width="21.7109375" style="415" customWidth="1"/>
    <col min="15620" max="15620" width="9.28515625" style="415" customWidth="1"/>
    <col min="15621" max="15621" width="8.28515625" style="415" customWidth="1"/>
    <col min="15622" max="15622" width="7.7109375" style="415" customWidth="1"/>
    <col min="15623" max="15623" width="9.7109375" style="415" customWidth="1"/>
    <col min="15624" max="15624" width="7.28515625" style="415" customWidth="1"/>
    <col min="15625" max="15625" width="7.5703125" style="415" customWidth="1"/>
    <col min="15626" max="15626" width="7.7109375" style="415" customWidth="1"/>
    <col min="15627" max="15627" width="7" style="415" customWidth="1"/>
    <col min="15628" max="15628" width="7.7109375" style="415" customWidth="1"/>
    <col min="15629" max="15629" width="7" style="415" customWidth="1"/>
    <col min="15630" max="15872" width="11.5703125" style="415"/>
    <col min="15873" max="15873" width="11.42578125" style="415" customWidth="1"/>
    <col min="15874" max="15874" width="6.140625" style="415" customWidth="1"/>
    <col min="15875" max="15875" width="21.7109375" style="415" customWidth="1"/>
    <col min="15876" max="15876" width="9.28515625" style="415" customWidth="1"/>
    <col min="15877" max="15877" width="8.28515625" style="415" customWidth="1"/>
    <col min="15878" max="15878" width="7.7109375" style="415" customWidth="1"/>
    <col min="15879" max="15879" width="9.7109375" style="415" customWidth="1"/>
    <col min="15880" max="15880" width="7.28515625" style="415" customWidth="1"/>
    <col min="15881" max="15881" width="7.5703125" style="415" customWidth="1"/>
    <col min="15882" max="15882" width="7.7109375" style="415" customWidth="1"/>
    <col min="15883" max="15883" width="7" style="415" customWidth="1"/>
    <col min="15884" max="15884" width="7.7109375" style="415" customWidth="1"/>
    <col min="15885" max="15885" width="7" style="415" customWidth="1"/>
    <col min="15886" max="16128" width="11.5703125" style="415"/>
    <col min="16129" max="16129" width="11.42578125" style="415" customWidth="1"/>
    <col min="16130" max="16130" width="6.140625" style="415" customWidth="1"/>
    <col min="16131" max="16131" width="21.7109375" style="415" customWidth="1"/>
    <col min="16132" max="16132" width="9.28515625" style="415" customWidth="1"/>
    <col min="16133" max="16133" width="8.28515625" style="415" customWidth="1"/>
    <col min="16134" max="16134" width="7.7109375" style="415" customWidth="1"/>
    <col min="16135" max="16135" width="9.7109375" style="415" customWidth="1"/>
    <col min="16136" max="16136" width="7.28515625" style="415" customWidth="1"/>
    <col min="16137" max="16137" width="7.5703125" style="415" customWidth="1"/>
    <col min="16138" max="16138" width="7.7109375" style="415" customWidth="1"/>
    <col min="16139" max="16139" width="7" style="415" customWidth="1"/>
    <col min="16140" max="16140" width="7.7109375" style="415" customWidth="1"/>
    <col min="16141" max="16141" width="7" style="415" customWidth="1"/>
    <col min="16142" max="16384" width="11.5703125" style="415"/>
  </cols>
  <sheetData>
    <row r="1" spans="1:15" ht="26.25" customHeight="1" x14ac:dyDescent="0.4">
      <c r="A1" s="448" t="s">
        <v>534</v>
      </c>
      <c r="B1" s="449"/>
      <c r="C1" s="450"/>
      <c r="F1" s="451" t="s">
        <v>548</v>
      </c>
      <c r="G1" s="452"/>
      <c r="H1" s="452"/>
      <c r="I1" s="452"/>
      <c r="J1" s="452"/>
      <c r="K1" s="452"/>
      <c r="L1" s="453"/>
    </row>
    <row r="2" spans="1:15" ht="21" customHeight="1" x14ac:dyDescent="0.35">
      <c r="A2" s="444" t="s">
        <v>536</v>
      </c>
      <c r="B2" s="445"/>
      <c r="C2" s="416" t="s">
        <v>537</v>
      </c>
      <c r="F2" s="444" t="s">
        <v>536</v>
      </c>
      <c r="G2" s="445"/>
      <c r="H2" s="446" t="s">
        <v>549</v>
      </c>
      <c r="I2" s="446"/>
      <c r="J2" s="446"/>
      <c r="K2" s="446"/>
      <c r="L2" s="447"/>
    </row>
    <row r="3" spans="1:15" ht="21.75" customHeight="1" x14ac:dyDescent="0.35">
      <c r="A3" s="444" t="s">
        <v>538</v>
      </c>
      <c r="B3" s="445"/>
      <c r="C3" s="416" t="s">
        <v>539</v>
      </c>
      <c r="F3" s="444" t="s">
        <v>538</v>
      </c>
      <c r="G3" s="445"/>
      <c r="H3" s="446" t="s">
        <v>550</v>
      </c>
      <c r="I3" s="446"/>
      <c r="J3" s="446"/>
      <c r="K3" s="446"/>
      <c r="L3" s="447"/>
    </row>
    <row r="4" spans="1:15" ht="21.75" thickBot="1" x14ac:dyDescent="0.4">
      <c r="A4" s="454" t="s">
        <v>540</v>
      </c>
      <c r="B4" s="455"/>
      <c r="C4" s="417" t="s">
        <v>541</v>
      </c>
      <c r="F4" s="454" t="s">
        <v>540</v>
      </c>
      <c r="G4" s="455"/>
      <c r="H4" s="456" t="s">
        <v>551</v>
      </c>
      <c r="I4" s="456"/>
      <c r="J4" s="456"/>
      <c r="K4" s="456"/>
      <c r="L4" s="457"/>
    </row>
    <row r="5" spans="1:15" ht="7.5" customHeight="1" thickBot="1" x14ac:dyDescent="0.4">
      <c r="A5" s="418"/>
      <c r="C5" s="418"/>
    </row>
    <row r="6" spans="1:15" ht="35.450000000000003" customHeight="1" thickBot="1" x14ac:dyDescent="0.25">
      <c r="A6" s="458" t="s">
        <v>535</v>
      </c>
      <c r="B6" s="459"/>
      <c r="C6" s="460"/>
      <c r="F6" s="461" t="s">
        <v>542</v>
      </c>
      <c r="G6" s="462"/>
      <c r="H6" s="463"/>
      <c r="I6" s="464">
        <f ca="1">+TODAY()</f>
        <v>46099</v>
      </c>
      <c r="J6" s="465"/>
      <c r="K6" s="465"/>
      <c r="L6" s="465"/>
      <c r="M6" s="466"/>
    </row>
    <row r="7" spans="1:15" ht="3" customHeight="1" thickBot="1" x14ac:dyDescent="0.25"/>
    <row r="8" spans="1:15" ht="42.75" customHeight="1" thickBot="1" x14ac:dyDescent="0.25">
      <c r="A8" s="473" t="s">
        <v>543</v>
      </c>
      <c r="B8" s="474"/>
      <c r="C8" s="419" t="s">
        <v>570</v>
      </c>
      <c r="D8" s="420" t="s">
        <v>544</v>
      </c>
      <c r="E8" s="421">
        <v>2593</v>
      </c>
      <c r="F8" s="473" t="s">
        <v>545</v>
      </c>
      <c r="G8" s="475"/>
      <c r="H8" s="474"/>
      <c r="I8" s="476" t="s">
        <v>539</v>
      </c>
      <c r="J8" s="477"/>
      <c r="K8" s="477"/>
      <c r="L8" s="477"/>
      <c r="M8" s="478"/>
    </row>
    <row r="9" spans="1:15" ht="7.5" customHeight="1" thickBot="1" x14ac:dyDescent="0.4">
      <c r="A9" s="418"/>
      <c r="C9" s="418"/>
    </row>
    <row r="10" spans="1:15" ht="39.6" customHeight="1" thickBot="1" x14ac:dyDescent="0.25">
      <c r="A10" s="479" t="s">
        <v>552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1"/>
    </row>
    <row r="11" spans="1:15" ht="6" customHeight="1" thickBot="1" x14ac:dyDescent="0.4">
      <c r="A11" s="418"/>
      <c r="C11" s="418"/>
    </row>
    <row r="12" spans="1:15" ht="27" thickBot="1" x14ac:dyDescent="0.25">
      <c r="A12" s="482" t="s">
        <v>553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</row>
    <row r="13" spans="1:15" ht="38.25" thickBot="1" x14ac:dyDescent="0.25">
      <c r="A13" s="422" t="s">
        <v>311</v>
      </c>
      <c r="B13" s="423" t="s">
        <v>533</v>
      </c>
      <c r="C13" s="424" t="s">
        <v>554</v>
      </c>
      <c r="D13" s="425" t="s">
        <v>555</v>
      </c>
      <c r="E13" s="426" t="s">
        <v>285</v>
      </c>
      <c r="F13" s="426" t="s">
        <v>556</v>
      </c>
      <c r="G13" s="423" t="s">
        <v>557</v>
      </c>
      <c r="H13" s="423" t="s">
        <v>558</v>
      </c>
      <c r="I13" s="423" t="s">
        <v>559</v>
      </c>
      <c r="J13" s="423" t="s">
        <v>558</v>
      </c>
      <c r="K13" s="423" t="s">
        <v>559</v>
      </c>
      <c r="L13" s="423" t="s">
        <v>558</v>
      </c>
      <c r="M13" s="423" t="s">
        <v>559</v>
      </c>
    </row>
    <row r="14" spans="1:15" ht="33.6" customHeight="1" x14ac:dyDescent="0.2">
      <c r="A14" s="467" t="str" cm="1">
        <f t="array" ref="A14">+IFERROR(INDEX('Conteo 18-02-26'!$B:$B,MATCH(1,('Conteo 18-02-26'!$E:$E=$B14)*('Conteo 18-02-26'!$A:$A="Melinox"),0)),"")</f>
        <v/>
      </c>
      <c r="B14" s="469">
        <v>1</v>
      </c>
      <c r="C14" s="471" t="str" cm="1">
        <f t="array" ref="C14">+IFERROR(INDEX('Conteo 18-02-26'!$C:$C,MATCH(1,('Conteo 18-02-26'!$E:$E=$B14)*('Conteo 18-02-26'!$A:$A="Melinox"),0)),"")</f>
        <v/>
      </c>
      <c r="D14" s="471" t="str" cm="1">
        <f t="array" ref="D14">+IFERROR(INDEX('Conteo 18-02-26'!$D:$D,MATCH(1,('Conteo 18-02-26'!$E:$E=$B14)*('Conteo 18-02-26'!A:A:'Conteo 18-02-26'!$A:$A="Melinox"),0)),"")</f>
        <v/>
      </c>
      <c r="E14" s="427" t="str">
        <f>+IF(E13="LK","CH",IF(D14="","",IF(D14&gt;0,"LK","CH")))</f>
        <v/>
      </c>
      <c r="F14" s="427" t="str">
        <f>+IF(OR(E14="LK"),ROUNDUP(D14*(VLOOKUP(B14,'Conteo 18-02-26'!$E:$AN,35,0))/100,0),IF(E14="CH",D13-F13,""))</f>
        <v/>
      </c>
      <c r="G14" s="469"/>
      <c r="H14" s="428"/>
      <c r="I14" s="429"/>
      <c r="J14" s="428"/>
      <c r="K14" s="429"/>
      <c r="L14" s="428"/>
      <c r="M14" s="430"/>
      <c r="O14" s="431"/>
    </row>
    <row r="15" spans="1:15" ht="33.6" customHeight="1" x14ac:dyDescent="0.2">
      <c r="A15" s="468"/>
      <c r="B15" s="470"/>
      <c r="C15" s="472"/>
      <c r="D15" s="472"/>
      <c r="E15" s="427" t="str">
        <f t="shared" ref="E15:E43" si="0">+IF(E14="LK","CH",IF(D15="","",IF(D15&gt;0,"LK","CH")))</f>
        <v/>
      </c>
      <c r="F15" s="432" t="str">
        <f>+IF(OR(E15="LK"),ROUNDUP(D15*(VLOOKUP(B15,'Conteo 18-02-26'!$E:$AN,35,0))/100,0),IF(E15="CH",D14-F14,""))</f>
        <v/>
      </c>
      <c r="G15" s="470"/>
      <c r="H15" s="433"/>
      <c r="I15" s="434"/>
      <c r="J15" s="433"/>
      <c r="K15" s="434"/>
      <c r="L15" s="433"/>
      <c r="M15" s="435"/>
    </row>
    <row r="16" spans="1:15" ht="33.6" customHeight="1" x14ac:dyDescent="0.2">
      <c r="A16" s="485" t="str" cm="1">
        <f t="array" ref="A16">+IFERROR(INDEX('Conteo 18-02-26'!$B:$B,MATCH(1,('Conteo 18-02-26'!$E:$E=$B16)*('Conteo 18-02-26'!$A:$A="Melinox"),0)),"")</f>
        <v/>
      </c>
      <c r="B16" s="470">
        <f>+B14+1</f>
        <v>2</v>
      </c>
      <c r="C16" s="472" t="str" cm="1">
        <f t="array" ref="C16">+IFERROR(INDEX('Conteo 18-02-26'!$C:$C,MATCH(1,('Conteo 18-02-26'!$E:$E=$B16)*('Conteo 18-02-26'!$A:$A="Melinox"),0)),"")</f>
        <v/>
      </c>
      <c r="D16" s="470" t="str" cm="1">
        <f t="array" ref="D16">+IFERROR(INDEX('Conteo 18-02-26'!$D:$D,MATCH(1,('Conteo 18-02-26'!$E:$E=$B16)*('Conteo 18-02-26'!A:A:'Conteo 18-02-26'!$A:$A="Melinox"),0)),"")</f>
        <v/>
      </c>
      <c r="E16" s="427" t="str">
        <f t="shared" si="0"/>
        <v/>
      </c>
      <c r="F16" s="432" t="str">
        <f>+IF(OR(E16="LK"),ROUNDUP(D16*(VLOOKUP(B16,'Conteo 18-02-26'!$E:$AN,35,0))/100,0),IF(E16="CH",D15-F15,""))</f>
        <v/>
      </c>
      <c r="G16" s="470"/>
      <c r="H16" s="434"/>
      <c r="I16" s="434"/>
      <c r="J16" s="434"/>
      <c r="K16" s="434"/>
      <c r="L16" s="434"/>
      <c r="M16" s="435"/>
    </row>
    <row r="17" spans="1:13" ht="33.6" customHeight="1" x14ac:dyDescent="0.2">
      <c r="A17" s="485"/>
      <c r="B17" s="470"/>
      <c r="C17" s="472"/>
      <c r="D17" s="470"/>
      <c r="E17" s="427" t="str">
        <f t="shared" si="0"/>
        <v/>
      </c>
      <c r="F17" s="432" t="str">
        <f>+IF(OR(E17="LK"),ROUNDUP(D17*(VLOOKUP(B17,'Conteo 18-02-26'!$E:$AN,35,0))/100,0),IF(E17="CH",D16-F16,""))</f>
        <v/>
      </c>
      <c r="G17" s="470"/>
      <c r="H17" s="434"/>
      <c r="I17" s="434"/>
      <c r="J17" s="434"/>
      <c r="K17" s="434"/>
      <c r="L17" s="434"/>
      <c r="M17" s="435"/>
    </row>
    <row r="18" spans="1:13" ht="33.6" customHeight="1" x14ac:dyDescent="0.2">
      <c r="A18" s="485" t="str" cm="1">
        <f t="array" ref="A18">+IFERROR(INDEX('Conteo 18-02-26'!$B:$B,MATCH(1,('Conteo 18-02-26'!$E:$E=$B18)*('Conteo 18-02-26'!$A:$A="Melinox"),0)),"")</f>
        <v/>
      </c>
      <c r="B18" s="470">
        <f>+B16+1</f>
        <v>3</v>
      </c>
      <c r="C18" s="472" t="str" cm="1">
        <f t="array" ref="C18">+IFERROR(INDEX('Conteo 18-02-26'!$C:$C,MATCH(1,('Conteo 18-02-26'!$E:$E=$B18)*('Conteo 18-02-26'!$A:$A="Melinox"),0)),"")</f>
        <v/>
      </c>
      <c r="D18" s="470" t="str" cm="1">
        <f t="array" ref="D18">+IFERROR(INDEX('Conteo 18-02-26'!$D:$D,MATCH(1,('Conteo 18-02-26'!$E:$E=$B18)*('Conteo 18-02-26'!A:A:'Conteo 18-02-26'!$A:$A="Melinox"),0)),"")</f>
        <v/>
      </c>
      <c r="E18" s="427" t="str">
        <f t="shared" si="0"/>
        <v/>
      </c>
      <c r="F18" s="432" t="str">
        <f>+IF(OR(E18="LK"),ROUNDUP(D18*(VLOOKUP(B18,'Conteo 18-02-26'!$E:$AN,35,0))/100,0),IF(E18="CH",D17-F17,""))</f>
        <v/>
      </c>
      <c r="G18" s="470"/>
      <c r="H18" s="434"/>
      <c r="I18" s="434"/>
      <c r="J18" s="434"/>
      <c r="K18" s="434"/>
      <c r="L18" s="434"/>
      <c r="M18" s="435"/>
    </row>
    <row r="19" spans="1:13" ht="33.6" customHeight="1" x14ac:dyDescent="0.2">
      <c r="A19" s="485"/>
      <c r="B19" s="470"/>
      <c r="C19" s="472"/>
      <c r="D19" s="470"/>
      <c r="E19" s="427" t="str">
        <f t="shared" si="0"/>
        <v/>
      </c>
      <c r="F19" s="432" t="str">
        <f>+IF(OR(E19="LK"),ROUNDUP(D19*(VLOOKUP(B19,'Conteo 18-02-26'!$E:$AN,35,0))/100,0),IF(E19="CH",D18-F18,""))</f>
        <v/>
      </c>
      <c r="G19" s="470"/>
      <c r="H19" s="434"/>
      <c r="I19" s="434"/>
      <c r="J19" s="434"/>
      <c r="K19" s="434"/>
      <c r="L19" s="434"/>
      <c r="M19" s="435"/>
    </row>
    <row r="20" spans="1:13" ht="33.6" customHeight="1" x14ac:dyDescent="0.2">
      <c r="A20" s="485" t="str" cm="1">
        <f t="array" ref="A20">+IFERROR(INDEX('Conteo 18-02-26'!$B:$B,MATCH(1,('Conteo 18-02-26'!$E:$E=$B20)*('Conteo 18-02-26'!$A:$A="Melinox"),0)),"")</f>
        <v/>
      </c>
      <c r="B20" s="470">
        <f>+B18+1</f>
        <v>4</v>
      </c>
      <c r="C20" s="472" t="str" cm="1">
        <f t="array" ref="C20">+IFERROR(INDEX('Conteo 18-02-26'!$C:$C,MATCH(1,('Conteo 18-02-26'!$E:$E=$B20)*('Conteo 18-02-26'!$A:$A="Melinox"),0)),"")</f>
        <v/>
      </c>
      <c r="D20" s="470" t="str" cm="1">
        <f t="array" ref="D20">+IFERROR(INDEX('Conteo 18-02-26'!$D:$D,MATCH(1,('Conteo 18-02-26'!$E:$E=$B20)*('Conteo 18-02-26'!A:A:'Conteo 18-02-26'!$A:$A="Melinox"),0)),"")</f>
        <v/>
      </c>
      <c r="E20" s="427" t="str">
        <f t="shared" si="0"/>
        <v/>
      </c>
      <c r="F20" s="432" t="str">
        <f>+IF(OR(E20="LK"),ROUNDUP(D20*(VLOOKUP(B20,'Conteo 18-02-26'!$E:$AN,35,0))/100,0),IF(E20="CH",D19-F19,""))</f>
        <v/>
      </c>
      <c r="G20" s="470"/>
      <c r="H20" s="434"/>
      <c r="I20" s="434"/>
      <c r="J20" s="434"/>
      <c r="K20" s="434"/>
      <c r="L20" s="434"/>
      <c r="M20" s="435"/>
    </row>
    <row r="21" spans="1:13" ht="33.6" customHeight="1" x14ac:dyDescent="0.2">
      <c r="A21" s="485"/>
      <c r="B21" s="470"/>
      <c r="C21" s="472"/>
      <c r="D21" s="470"/>
      <c r="E21" s="427" t="str">
        <f t="shared" si="0"/>
        <v/>
      </c>
      <c r="F21" s="432" t="str">
        <f>+IF(OR(E21="LK"),ROUNDUP(D21*(VLOOKUP(B21,'Conteo 18-02-26'!$E:$AN,35,0))/100,0),IF(E21="CH",D20-F20,""))</f>
        <v/>
      </c>
      <c r="G21" s="470"/>
      <c r="H21" s="434"/>
      <c r="I21" s="434"/>
      <c r="J21" s="434"/>
      <c r="K21" s="434"/>
      <c r="L21" s="434"/>
      <c r="M21" s="435"/>
    </row>
    <row r="22" spans="1:13" ht="33.6" customHeight="1" x14ac:dyDescent="0.2">
      <c r="A22" s="485" t="str" cm="1">
        <f t="array" ref="A22">+IFERROR(INDEX('Conteo 18-02-26'!$B:$B,MATCH(1,('Conteo 18-02-26'!$E:$E=$B22)*('Conteo 18-02-26'!$A:$A="Melinox"),0)),"")</f>
        <v/>
      </c>
      <c r="B22" s="470">
        <f>+B20+1</f>
        <v>5</v>
      </c>
      <c r="C22" s="472" t="str" cm="1">
        <f t="array" ref="C22">+IFERROR(INDEX('Conteo 18-02-26'!$C:$C,MATCH(1,('Conteo 18-02-26'!$E:$E=$B22)*('Conteo 18-02-26'!$A:$A="Melinox"),0)),"")</f>
        <v/>
      </c>
      <c r="D22" s="470" t="str" cm="1">
        <f t="array" ref="D22">+IFERROR(INDEX('Conteo 18-02-26'!$D:$D,MATCH(1,('Conteo 18-02-26'!$E:$E=$B22)*('Conteo 18-02-26'!A:A:'Conteo 18-02-26'!$A:$A="Melinox"),0)),"")</f>
        <v/>
      </c>
      <c r="E22" s="427" t="str">
        <f t="shared" si="0"/>
        <v/>
      </c>
      <c r="F22" s="432" t="str">
        <f>+IF(OR(E22="LK"),ROUNDUP(D22*(VLOOKUP(B22,'Conteo 18-02-26'!$E:$AN,35,0))/100,0),IF(E22="CH",D21-F21,""))</f>
        <v/>
      </c>
      <c r="G22" s="470"/>
      <c r="H22" s="434"/>
      <c r="I22" s="434"/>
      <c r="J22" s="434"/>
      <c r="K22" s="434"/>
      <c r="L22" s="434"/>
      <c r="M22" s="435"/>
    </row>
    <row r="23" spans="1:13" ht="33.6" customHeight="1" x14ac:dyDescent="0.2">
      <c r="A23" s="485"/>
      <c r="B23" s="470"/>
      <c r="C23" s="472"/>
      <c r="D23" s="470"/>
      <c r="E23" s="427" t="str">
        <f t="shared" si="0"/>
        <v/>
      </c>
      <c r="F23" s="432" t="str">
        <f>+IF(OR(E23="LK"),ROUNDUP(D23*(VLOOKUP(B23,'Conteo 18-02-26'!$E:$AN,35,0))/100,0),IF(E23="CH",D22-F22,""))</f>
        <v/>
      </c>
      <c r="G23" s="470"/>
      <c r="H23" s="434"/>
      <c r="I23" s="434"/>
      <c r="J23" s="434"/>
      <c r="K23" s="434"/>
      <c r="L23" s="434"/>
      <c r="M23" s="435"/>
    </row>
    <row r="24" spans="1:13" ht="33.6" customHeight="1" x14ac:dyDescent="0.2">
      <c r="A24" s="485" t="str" cm="1">
        <f t="array" ref="A24">+IFERROR(INDEX('Conteo 18-02-26'!$B:$B,MATCH(1,('Conteo 18-02-26'!$E:$E=$B24)*('Conteo 18-02-26'!$A:$A="Melinox"),0)),"")</f>
        <v/>
      </c>
      <c r="B24" s="470">
        <f>+B22+1</f>
        <v>6</v>
      </c>
      <c r="C24" s="472" t="str" cm="1">
        <f t="array" ref="C24">+IFERROR(INDEX('Conteo 18-02-26'!$C:$C,MATCH(1,('Conteo 18-02-26'!$E:$E=$B24)*('Conteo 18-02-26'!$A:$A="Melinox"),0)),"")</f>
        <v/>
      </c>
      <c r="D24" s="470" t="str" cm="1">
        <f t="array" ref="D24">+IFERROR(INDEX('Conteo 18-02-26'!$D:$D,MATCH(1,('Conteo 18-02-26'!$E:$E=$B24)*('Conteo 18-02-26'!A:A:'Conteo 18-02-26'!$A:$A="Melinox"),0)),"")</f>
        <v/>
      </c>
      <c r="E24" s="427" t="str">
        <f t="shared" si="0"/>
        <v/>
      </c>
      <c r="F24" s="432" t="str">
        <f>+IF(OR(E24="LK"),ROUNDUP(D24*(VLOOKUP(B24,'Conteo 18-02-26'!$E:$AN,35,0))/100,0),IF(E24="CH",D23-F23,""))</f>
        <v/>
      </c>
      <c r="G24" s="470"/>
      <c r="H24" s="434"/>
      <c r="I24" s="434"/>
      <c r="J24" s="434"/>
      <c r="K24" s="434"/>
      <c r="L24" s="434"/>
      <c r="M24" s="435"/>
    </row>
    <row r="25" spans="1:13" ht="33.6" customHeight="1" x14ac:dyDescent="0.2">
      <c r="A25" s="485"/>
      <c r="B25" s="470"/>
      <c r="C25" s="472"/>
      <c r="D25" s="470"/>
      <c r="E25" s="427" t="str">
        <f t="shared" si="0"/>
        <v/>
      </c>
      <c r="F25" s="432" t="str">
        <f>+IF(OR(E25="LK"),ROUNDUP(D25*(VLOOKUP(B25,'Conteo 18-02-26'!$E:$AN,35,0))/100,0),IF(E25="CH",D24-F24,""))</f>
        <v/>
      </c>
      <c r="G25" s="470"/>
      <c r="H25" s="434"/>
      <c r="I25" s="434"/>
      <c r="J25" s="434"/>
      <c r="K25" s="434"/>
      <c r="L25" s="434"/>
      <c r="M25" s="435"/>
    </row>
    <row r="26" spans="1:13" ht="33.6" customHeight="1" x14ac:dyDescent="0.2">
      <c r="A26" s="485" t="str" cm="1">
        <f t="array" ref="A26">+IFERROR(INDEX('Conteo 18-02-26'!$B:$B,MATCH(1,('Conteo 18-02-26'!$E:$E=$B26)*('Conteo 18-02-26'!$A:$A="Melinox"),0)),"")</f>
        <v/>
      </c>
      <c r="B26" s="470">
        <f>+B24+1</f>
        <v>7</v>
      </c>
      <c r="C26" s="472" t="str" cm="1">
        <f t="array" ref="C26">+IFERROR(INDEX('Conteo 18-02-26'!$C:$C,MATCH(1,('Conteo 18-02-26'!$E:$E=$B26)*('Conteo 18-02-26'!$A:$A="Melinox"),0)),"")</f>
        <v/>
      </c>
      <c r="D26" s="470" t="str" cm="1">
        <f t="array" ref="D26">+IFERROR(INDEX('Conteo 18-02-26'!$D:$D,MATCH(1,('Conteo 18-02-26'!$E:$E=$B26)*('Conteo 18-02-26'!A:A:'Conteo 18-02-26'!$A:$A="Melinox"),0)),"")</f>
        <v/>
      </c>
      <c r="E26" s="427" t="str">
        <f t="shared" si="0"/>
        <v/>
      </c>
      <c r="F26" s="432" t="str">
        <f>+IF(OR(E26="LK"),ROUNDUP(D26*(VLOOKUP(B26,'Conteo 18-02-26'!$E:$AN,35,0))/100,0),IF(E26="CH",D25-F25,""))</f>
        <v/>
      </c>
      <c r="G26" s="470"/>
      <c r="H26" s="434"/>
      <c r="I26" s="434"/>
      <c r="J26" s="434"/>
      <c r="K26" s="434"/>
      <c r="L26" s="434"/>
      <c r="M26" s="435"/>
    </row>
    <row r="27" spans="1:13" ht="33.6" customHeight="1" x14ac:dyDescent="0.2">
      <c r="A27" s="485"/>
      <c r="B27" s="470"/>
      <c r="C27" s="472"/>
      <c r="D27" s="470"/>
      <c r="E27" s="427" t="str">
        <f t="shared" si="0"/>
        <v/>
      </c>
      <c r="F27" s="432" t="str">
        <f>+IF(OR(E27="LK"),ROUNDUP(D27*(VLOOKUP(B27,'Conteo 18-02-26'!$E:$AN,35,0))/100,0),IF(E27="CH",D26-F26,""))</f>
        <v/>
      </c>
      <c r="G27" s="470"/>
      <c r="H27" s="434"/>
      <c r="I27" s="434"/>
      <c r="J27" s="434"/>
      <c r="K27" s="434"/>
      <c r="L27" s="434"/>
      <c r="M27" s="435"/>
    </row>
    <row r="28" spans="1:13" ht="33.6" customHeight="1" x14ac:dyDescent="0.2">
      <c r="A28" s="485" t="str" cm="1">
        <f t="array" ref="A28">+IFERROR(INDEX('Conteo 18-02-26'!$B:$B,MATCH(1,('Conteo 18-02-26'!$E:$E=$B28)*('Conteo 18-02-26'!$A:$A="Melinox"),0)),"")</f>
        <v/>
      </c>
      <c r="B28" s="470">
        <f>+B26+1</f>
        <v>8</v>
      </c>
      <c r="C28" s="472" t="str" cm="1">
        <f t="array" ref="C28">+IFERROR(INDEX('Conteo 18-02-26'!$C:$C,MATCH(1,('Conteo 18-02-26'!$E:$E=$B28)*('Conteo 18-02-26'!$A:$A="Melinox"),0)),"")</f>
        <v/>
      </c>
      <c r="D28" s="470" t="str" cm="1">
        <f t="array" ref="D28">+IFERROR(INDEX('Conteo 18-02-26'!$D:$D,MATCH(1,('Conteo 18-02-26'!$E:$E=$B28)*('Conteo 18-02-26'!A:A:'Conteo 18-02-26'!$A:$A="Melinox"),0)),"")</f>
        <v/>
      </c>
      <c r="E28" s="427" t="str">
        <f t="shared" si="0"/>
        <v/>
      </c>
      <c r="F28" s="432" t="str">
        <f>+IF(OR(E28="LK"),ROUNDUP(D28*(VLOOKUP(B28,'Conteo 18-02-26'!$E:$AN,35,0))/100,0),IF(E28="CH",D27-F27,""))</f>
        <v/>
      </c>
      <c r="G28" s="470"/>
      <c r="H28" s="434"/>
      <c r="I28" s="434"/>
      <c r="J28" s="434"/>
      <c r="K28" s="434"/>
      <c r="L28" s="434"/>
      <c r="M28" s="435"/>
    </row>
    <row r="29" spans="1:13" ht="33.6" customHeight="1" x14ac:dyDescent="0.2">
      <c r="A29" s="485"/>
      <c r="B29" s="470"/>
      <c r="C29" s="472"/>
      <c r="D29" s="470"/>
      <c r="E29" s="427" t="str">
        <f t="shared" si="0"/>
        <v/>
      </c>
      <c r="F29" s="432" t="str">
        <f>+IF(OR(E29="LK"),ROUNDUP(D29*(VLOOKUP(B29,'Conteo 18-02-26'!$E:$AN,35,0))/100,0),IF(E29="CH",D28-F28,""))</f>
        <v/>
      </c>
      <c r="G29" s="470"/>
      <c r="H29" s="434"/>
      <c r="I29" s="434"/>
      <c r="J29" s="434"/>
      <c r="K29" s="434"/>
      <c r="L29" s="434"/>
      <c r="M29" s="435"/>
    </row>
    <row r="30" spans="1:13" ht="33.6" customHeight="1" x14ac:dyDescent="0.2">
      <c r="A30" s="485" t="str" cm="1">
        <f t="array" ref="A30">+IFERROR(INDEX('Conteo 18-02-26'!$B:$B,MATCH(1,('Conteo 18-02-26'!$E:$E=$B30)*('Conteo 18-02-26'!$A:$A="Melinox"),0)),"")</f>
        <v/>
      </c>
      <c r="B30" s="470">
        <f>+B28+1</f>
        <v>9</v>
      </c>
      <c r="C30" s="472" t="str" cm="1">
        <f t="array" ref="C30">+IFERROR(INDEX('Conteo 18-02-26'!$C:$C,MATCH(1,('Conteo 18-02-26'!$E:$E=$B30)*('Conteo 18-02-26'!$A:$A="Melinox"),0)),"")</f>
        <v/>
      </c>
      <c r="D30" s="470" t="str" cm="1">
        <f t="array" ref="D30">+IFERROR(INDEX('Conteo 18-02-26'!$D:$D,MATCH(1,('Conteo 18-02-26'!$E:$E=$B30)*('Conteo 18-02-26'!A:A:'Conteo 18-02-26'!$A:$A="Melinox"),0)),"")</f>
        <v/>
      </c>
      <c r="E30" s="427" t="str">
        <f t="shared" si="0"/>
        <v/>
      </c>
      <c r="F30" s="432" t="str">
        <f>+IF(OR(E30="LK"),ROUNDUP(D30*(VLOOKUP(B30,'Conteo 18-02-26'!$E:$AN,35,0))/100,0),IF(E30="CH",D29-F29,""))</f>
        <v/>
      </c>
      <c r="G30" s="470"/>
      <c r="H30" s="434"/>
      <c r="I30" s="434"/>
      <c r="J30" s="434"/>
      <c r="K30" s="434"/>
      <c r="L30" s="434"/>
      <c r="M30" s="435"/>
    </row>
    <row r="31" spans="1:13" ht="33.6" customHeight="1" x14ac:dyDescent="0.2">
      <c r="A31" s="485"/>
      <c r="B31" s="470"/>
      <c r="C31" s="472"/>
      <c r="D31" s="470"/>
      <c r="E31" s="427" t="str">
        <f t="shared" si="0"/>
        <v/>
      </c>
      <c r="F31" s="432" t="str">
        <f>+IF(OR(E31="LK"),ROUNDUP(D31*(VLOOKUP(B31,'Conteo 18-02-26'!$E:$AN,35,0))/100,0),IF(E31="CH",D30-F30,""))</f>
        <v/>
      </c>
      <c r="G31" s="470"/>
      <c r="H31" s="434"/>
      <c r="I31" s="434"/>
      <c r="J31" s="434"/>
      <c r="K31" s="434"/>
      <c r="L31" s="434"/>
      <c r="M31" s="435"/>
    </row>
    <row r="32" spans="1:13" ht="33.6" customHeight="1" x14ac:dyDescent="0.2">
      <c r="A32" s="485" t="str" cm="1">
        <f t="array" ref="A32">+IFERROR(INDEX('Conteo 18-02-26'!$B:$B,MATCH(1,('Conteo 18-02-26'!$E:$E=$B32)*('Conteo 18-02-26'!$A:$A="Melinox"),0)),"")</f>
        <v/>
      </c>
      <c r="B32" s="470">
        <f>+B30+1</f>
        <v>10</v>
      </c>
      <c r="C32" s="472" t="str" cm="1">
        <f t="array" ref="C32">+IFERROR(INDEX('Conteo 18-02-26'!$C:$C,MATCH(1,('Conteo 18-02-26'!$E:$E=$B32)*('Conteo 18-02-26'!$A:$A="Melinox"),0)),"")</f>
        <v/>
      </c>
      <c r="D32" s="470" t="str" cm="1">
        <f t="array" ref="D32">+IFERROR(INDEX('Conteo 18-02-26'!$D:$D,MATCH(1,('Conteo 18-02-26'!$E:$E=$B32)*('Conteo 18-02-26'!A:A:'Conteo 18-02-26'!$A:$A="Melinox"),0)),"")</f>
        <v/>
      </c>
      <c r="E32" s="427" t="str">
        <f t="shared" si="0"/>
        <v/>
      </c>
      <c r="F32" s="432" t="str">
        <f>+IF(OR(E32="LK"),ROUNDUP(D32*(VLOOKUP(B32,'Conteo 18-02-26'!$E:$AN,35,0))/100,0),IF(E32="CH",D31-F31,""))</f>
        <v/>
      </c>
      <c r="G32" s="470"/>
      <c r="H32" s="434"/>
      <c r="I32" s="434"/>
      <c r="J32" s="434"/>
      <c r="K32" s="434"/>
      <c r="L32" s="434"/>
      <c r="M32" s="435"/>
    </row>
    <row r="33" spans="1:13" ht="33.6" customHeight="1" x14ac:dyDescent="0.2">
      <c r="A33" s="485"/>
      <c r="B33" s="470"/>
      <c r="C33" s="472"/>
      <c r="D33" s="470"/>
      <c r="E33" s="427" t="str">
        <f t="shared" si="0"/>
        <v/>
      </c>
      <c r="F33" s="432" t="str">
        <f>+IF(OR(E33="LK"),ROUNDUP(D33*(VLOOKUP(B33,'Conteo 18-02-26'!$E:$AN,35,0))/100,0),IF(E33="CH",D32-F32,""))</f>
        <v/>
      </c>
      <c r="G33" s="470"/>
      <c r="H33" s="434"/>
      <c r="I33" s="434"/>
      <c r="J33" s="434"/>
      <c r="K33" s="434"/>
      <c r="L33" s="434"/>
      <c r="M33" s="435"/>
    </row>
    <row r="34" spans="1:13" ht="33.6" customHeight="1" x14ac:dyDescent="0.2">
      <c r="A34" s="485" t="str" cm="1">
        <f t="array" ref="A34">+IFERROR(INDEX('Conteo 18-02-26'!$B:$B,MATCH(1,('Conteo 18-02-26'!$E:$E=$B34)*('Conteo 18-02-26'!$A:$A="Melinox"),0)),"")</f>
        <v/>
      </c>
      <c r="B34" s="470">
        <f>+B32+1</f>
        <v>11</v>
      </c>
      <c r="C34" s="472" t="str" cm="1">
        <f t="array" ref="C34">+IFERROR(INDEX('Conteo 18-02-26'!$C:$C,MATCH(1,('Conteo 18-02-26'!$E:$E=$B34)*('Conteo 18-02-26'!$A:$A="Melinox"),0)),"")</f>
        <v/>
      </c>
      <c r="D34" s="470" t="str" cm="1">
        <f t="array" ref="D34">+IFERROR(INDEX('Conteo 18-02-26'!$D:$D,MATCH(1,('Conteo 18-02-26'!$E:$E=$B34)*('Conteo 18-02-26'!A:A:'Conteo 18-02-26'!$A:$A="Melinox"),0)),"")</f>
        <v/>
      </c>
      <c r="E34" s="427" t="str">
        <f t="shared" si="0"/>
        <v/>
      </c>
      <c r="F34" s="432" t="str">
        <f>+IF(OR(E34="LK"),ROUNDUP(D34*(VLOOKUP(B34,'Conteo 18-02-26'!$E:$AN,35,0))/100,0),IF(E34="CH",D33-F33,""))</f>
        <v/>
      </c>
      <c r="G34" s="470"/>
      <c r="H34" s="434"/>
      <c r="I34" s="434"/>
      <c r="J34" s="434"/>
      <c r="K34" s="434"/>
      <c r="L34" s="434"/>
      <c r="M34" s="435"/>
    </row>
    <row r="35" spans="1:13" ht="33.6" customHeight="1" thickBot="1" x14ac:dyDescent="0.25">
      <c r="A35" s="486"/>
      <c r="B35" s="487"/>
      <c r="C35" s="488"/>
      <c r="D35" s="487"/>
      <c r="E35" s="427" t="str">
        <f t="shared" si="0"/>
        <v/>
      </c>
      <c r="F35" s="432" t="str">
        <f>+IF(OR(E35="LK"),ROUNDUP(D35*(VLOOKUP(B35,'Conteo 18-02-26'!$E:$AN,35,0))/100,0),IF(E35="CH",D34-F34,""))</f>
        <v/>
      </c>
      <c r="G35" s="487"/>
      <c r="H35" s="436"/>
      <c r="I35" s="436"/>
      <c r="J35" s="436"/>
      <c r="K35" s="436"/>
      <c r="L35" s="436"/>
      <c r="M35" s="437"/>
    </row>
    <row r="36" spans="1:13" ht="33.6" customHeight="1" x14ac:dyDescent="0.2">
      <c r="A36" s="490" t="str" cm="1">
        <f t="array" ref="A36">+IFERROR(INDEX('Conteo 18-02-26'!$B:$B,MATCH(1,('Conteo 18-02-26'!$E:$E=$B36)*('Conteo 18-02-26'!$A:$A="Melinox"),0)),"")</f>
        <v/>
      </c>
      <c r="B36" s="491">
        <f>+B34+1</f>
        <v>12</v>
      </c>
      <c r="C36" s="492" t="str" cm="1">
        <f t="array" ref="C36">+IFERROR(INDEX('Conteo 18-02-26'!$C:$C,MATCH(1,('Conteo 18-02-26'!$E:$E=$B36)*('Conteo 18-02-26'!$A:$A="Melinox"),0)),"")</f>
        <v/>
      </c>
      <c r="D36" s="491" t="str" cm="1">
        <f t="array" ref="D36">+IFERROR(INDEX('Conteo 18-02-26'!$D:$D,MATCH(1,('Conteo 18-02-26'!$E:$E=$B36)*('Conteo 18-02-26'!A:A:'Conteo 18-02-26'!$A:$A="Melinox"),0)),"")</f>
        <v/>
      </c>
      <c r="E36" s="427" t="str">
        <f t="shared" si="0"/>
        <v/>
      </c>
      <c r="F36" s="432" t="str">
        <f>+IF(OR(E36="LK"),ROUNDUP(D36*(VLOOKUP(B36,'Conteo 18-02-26'!$E:$AN,35,0))/100,0),IF(E36="CH",D35-F35,""))</f>
        <v/>
      </c>
      <c r="G36" s="491"/>
      <c r="H36" s="438"/>
      <c r="I36" s="438"/>
      <c r="J36" s="438"/>
      <c r="K36" s="438"/>
      <c r="L36" s="438"/>
      <c r="M36" s="438"/>
    </row>
    <row r="37" spans="1:13" ht="33.6" customHeight="1" x14ac:dyDescent="0.2">
      <c r="A37" s="489"/>
      <c r="B37" s="470"/>
      <c r="C37" s="472"/>
      <c r="D37" s="470"/>
      <c r="E37" s="427" t="str">
        <f t="shared" si="0"/>
        <v/>
      </c>
      <c r="F37" s="432" t="str">
        <f>+IF(OR(E37="LK"),ROUNDUP(D37*(VLOOKUP(B37,'Conteo 18-02-26'!$E:$AN,35,0))/100,0),IF(E37="CH",D36-F36,""))</f>
        <v/>
      </c>
      <c r="G37" s="470"/>
      <c r="H37" s="434"/>
      <c r="I37" s="434"/>
      <c r="J37" s="434"/>
      <c r="K37" s="434"/>
      <c r="L37" s="434"/>
      <c r="M37" s="434"/>
    </row>
    <row r="38" spans="1:13" ht="33.6" customHeight="1" x14ac:dyDescent="0.2">
      <c r="A38" s="489" t="str" cm="1">
        <f t="array" ref="A38">+IFERROR(INDEX('Conteo 18-02-26'!$B:$B,MATCH(1,('Conteo 18-02-26'!$E:$E=$B38)*('Conteo 18-02-26'!$A:$A="Melinox"),0)),"")</f>
        <v/>
      </c>
      <c r="B38" s="470">
        <f>+B36+1</f>
        <v>13</v>
      </c>
      <c r="C38" s="472" t="str" cm="1">
        <f t="array" ref="C38">+IFERROR(INDEX('Conteo 18-02-26'!$C:$C,MATCH(1,('Conteo 18-02-26'!$E:$E=$B38)*('Conteo 18-02-26'!$A:$A="Melinox"),0)),"")</f>
        <v/>
      </c>
      <c r="D38" s="470" t="str" cm="1">
        <f t="array" ref="D38">+IFERROR(INDEX('Conteo 18-02-26'!$D:$D,MATCH(1,('Conteo 18-02-26'!$E:$E=$B38)*('Conteo 18-02-26'!A:A:'Conteo 18-02-26'!$A:$A="Melinox"),0)),"")</f>
        <v/>
      </c>
      <c r="E38" s="427" t="str">
        <f t="shared" si="0"/>
        <v/>
      </c>
      <c r="F38" s="432" t="str">
        <f>+IF(OR(E38="LK"),ROUNDUP(D38*(VLOOKUP(B38,'Conteo 18-02-26'!$E:$AN,35,0))/100,0),IF(E38="CH",D37-F37,""))</f>
        <v/>
      </c>
      <c r="G38" s="470"/>
      <c r="H38" s="434"/>
      <c r="I38" s="434"/>
      <c r="J38" s="434"/>
      <c r="K38" s="434"/>
      <c r="L38" s="434"/>
      <c r="M38" s="434"/>
    </row>
    <row r="39" spans="1:13" ht="33.6" customHeight="1" x14ac:dyDescent="0.2">
      <c r="A39" s="489"/>
      <c r="B39" s="470"/>
      <c r="C39" s="472"/>
      <c r="D39" s="470"/>
      <c r="E39" s="427" t="str">
        <f t="shared" si="0"/>
        <v/>
      </c>
      <c r="F39" s="432" t="str">
        <f>+IF(OR(E39="LK"),ROUNDUP(D39*(VLOOKUP(B39,'Conteo 18-02-26'!$E:$AN,35,0))/100,0),IF(E39="CH",D38-F38,""))</f>
        <v/>
      </c>
      <c r="G39" s="470"/>
      <c r="H39" s="434"/>
      <c r="I39" s="434"/>
      <c r="J39" s="434"/>
      <c r="K39" s="434"/>
      <c r="L39" s="434"/>
      <c r="M39" s="434"/>
    </row>
    <row r="40" spans="1:13" ht="33.6" customHeight="1" x14ac:dyDescent="0.2">
      <c r="A40" s="489" t="str" cm="1">
        <f t="array" ref="A40">+IFERROR(INDEX('Conteo 18-02-26'!$B:$B,MATCH(1,('Conteo 18-02-26'!$E:$E=$B40)*('Conteo 18-02-26'!$A:$A="Melinox"),0)),"")</f>
        <v/>
      </c>
      <c r="B40" s="470">
        <f>+B38+1</f>
        <v>14</v>
      </c>
      <c r="C40" s="472" t="str" cm="1">
        <f t="array" ref="C40">+IFERROR(INDEX('Conteo 18-02-26'!$C:$C,MATCH(1,('Conteo 18-02-26'!$E:$E=$B40)*('Conteo 18-02-26'!$A:$A="Melinox"),0)),"")</f>
        <v/>
      </c>
      <c r="D40" s="470" t="str" cm="1">
        <f t="array" ref="D40">+IFERROR(INDEX('Conteo 18-02-26'!$D:$D,MATCH(1,('Conteo 18-02-26'!$E:$E=$B40)*('Conteo 18-02-26'!A:A:'Conteo 18-02-26'!$A:$A="Melinox"),0)),"")</f>
        <v/>
      </c>
      <c r="E40" s="427" t="str">
        <f t="shared" si="0"/>
        <v/>
      </c>
      <c r="F40" s="432" t="str">
        <f>+IF(OR(E40="LK"),ROUNDUP(D40*(VLOOKUP(B40,'Conteo 18-02-26'!$E:$AN,35,0))/100,0),IF(E40="CH",D39-F39,""))</f>
        <v/>
      </c>
      <c r="G40" s="470"/>
      <c r="H40" s="434"/>
      <c r="I40" s="434"/>
      <c r="J40" s="434"/>
      <c r="K40" s="434"/>
      <c r="L40" s="434"/>
      <c r="M40" s="434"/>
    </row>
    <row r="41" spans="1:13" ht="33.6" customHeight="1" x14ac:dyDescent="0.2">
      <c r="A41" s="489"/>
      <c r="B41" s="470"/>
      <c r="C41" s="472"/>
      <c r="D41" s="470"/>
      <c r="E41" s="427" t="str">
        <f t="shared" si="0"/>
        <v/>
      </c>
      <c r="F41" s="432" t="str">
        <f>+IF(OR(E41="LK"),ROUNDUP(D41*(VLOOKUP(B41,'Conteo 18-02-26'!$E:$AN,35,0))/100,0),IF(E41="CH",D40-F40,""))</f>
        <v/>
      </c>
      <c r="G41" s="470"/>
      <c r="H41" s="434"/>
      <c r="I41" s="434"/>
      <c r="J41" s="434"/>
      <c r="K41" s="434"/>
      <c r="L41" s="434"/>
      <c r="M41" s="434"/>
    </row>
    <row r="42" spans="1:13" ht="33.6" customHeight="1" x14ac:dyDescent="0.2">
      <c r="A42" s="489" t="str" cm="1">
        <f t="array" ref="A42">+IFERROR(INDEX('Conteo 18-02-26'!$B:$B,MATCH(1,('Conteo 18-02-26'!$E:$E=$B42)*('Conteo 18-02-26'!$A:$A="Melinox"),0)),"")</f>
        <v/>
      </c>
      <c r="B42" s="470">
        <f>+B40+1</f>
        <v>15</v>
      </c>
      <c r="C42" s="472" t="str" cm="1">
        <f t="array" ref="C42">+IFERROR(INDEX('Conteo 18-02-26'!$C:$C,MATCH(1,('Conteo 18-02-26'!$E:$E=$B42)*('Conteo 18-02-26'!$A:$A="Melinox"),0)),"")</f>
        <v/>
      </c>
      <c r="D42" s="470" t="str" cm="1">
        <f t="array" ref="D42">+IFERROR(INDEX('Conteo 18-02-26'!$D:$D,MATCH(1,('Conteo 18-02-26'!$E:$E=$B42)*('Conteo 18-02-26'!A:A:'Conteo 18-02-26'!$A:$A="Melinox"),0)),"")</f>
        <v/>
      </c>
      <c r="E42" s="427" t="str">
        <f t="shared" si="0"/>
        <v/>
      </c>
      <c r="F42" s="432" t="str">
        <f>+IF(OR(E42="LK"),ROUNDUP(D42*(VLOOKUP(B42,'Conteo 18-02-26'!$E:$AN,35,0))/100,0),IF(E42="CH",D41-F41,""))</f>
        <v/>
      </c>
      <c r="G42" s="470"/>
      <c r="H42" s="434"/>
      <c r="I42" s="434"/>
      <c r="J42" s="434"/>
      <c r="K42" s="434"/>
      <c r="L42" s="434"/>
      <c r="M42" s="434"/>
    </row>
    <row r="43" spans="1:13" ht="33.6" customHeight="1" x14ac:dyDescent="0.2">
      <c r="A43" s="489"/>
      <c r="B43" s="470"/>
      <c r="C43" s="472"/>
      <c r="D43" s="470"/>
      <c r="E43" s="427" t="str">
        <f t="shared" si="0"/>
        <v/>
      </c>
      <c r="F43" s="432" t="str">
        <f>+IF(OR(E43="LK"),ROUNDUP(D43*(VLOOKUP(B43,'Conteo 18-02-26'!$E:$AN,35,0))/100,0),IF(E43="CH",D42-F42,""))</f>
        <v/>
      </c>
      <c r="G43" s="470"/>
      <c r="H43" s="434"/>
      <c r="I43" s="434"/>
      <c r="J43" s="434"/>
      <c r="K43" s="434"/>
      <c r="L43" s="434"/>
      <c r="M43" s="434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C14" sqref="C14:C15"/>
    </sheetView>
  </sheetViews>
  <sheetFormatPr baseColWidth="10" defaultColWidth="11.5703125" defaultRowHeight="12.75" x14ac:dyDescent="0.2"/>
  <cols>
    <col min="1" max="1" width="11.42578125" style="415" customWidth="1"/>
    <col min="2" max="2" width="6.140625" style="415" customWidth="1"/>
    <col min="3" max="3" width="21.7109375" style="415" customWidth="1"/>
    <col min="4" max="4" width="9.28515625" style="415" customWidth="1"/>
    <col min="5" max="5" width="8.28515625" style="415" customWidth="1"/>
    <col min="6" max="6" width="7.7109375" style="415" customWidth="1"/>
    <col min="7" max="7" width="9.7109375" style="415" customWidth="1"/>
    <col min="8" max="8" width="7.28515625" style="415" customWidth="1"/>
    <col min="9" max="9" width="7.5703125" style="415" customWidth="1"/>
    <col min="10" max="10" width="7.7109375" style="415" customWidth="1"/>
    <col min="11" max="11" width="7" style="415" customWidth="1"/>
    <col min="12" max="12" width="7.7109375" style="415" customWidth="1"/>
    <col min="13" max="13" width="7" style="415" customWidth="1"/>
    <col min="14" max="256" width="11.5703125" style="415"/>
    <col min="257" max="257" width="11.42578125" style="415" customWidth="1"/>
    <col min="258" max="258" width="6.140625" style="415" customWidth="1"/>
    <col min="259" max="259" width="21.7109375" style="415" customWidth="1"/>
    <col min="260" max="260" width="9.28515625" style="415" customWidth="1"/>
    <col min="261" max="261" width="8.28515625" style="415" customWidth="1"/>
    <col min="262" max="262" width="7.7109375" style="415" customWidth="1"/>
    <col min="263" max="263" width="9.7109375" style="415" customWidth="1"/>
    <col min="264" max="264" width="7.28515625" style="415" customWidth="1"/>
    <col min="265" max="265" width="7.5703125" style="415" customWidth="1"/>
    <col min="266" max="266" width="7.7109375" style="415" customWidth="1"/>
    <col min="267" max="267" width="7" style="415" customWidth="1"/>
    <col min="268" max="268" width="7.7109375" style="415" customWidth="1"/>
    <col min="269" max="269" width="7" style="415" customWidth="1"/>
    <col min="270" max="512" width="11.5703125" style="415"/>
    <col min="513" max="513" width="11.42578125" style="415" customWidth="1"/>
    <col min="514" max="514" width="6.140625" style="415" customWidth="1"/>
    <col min="515" max="515" width="21.7109375" style="415" customWidth="1"/>
    <col min="516" max="516" width="9.28515625" style="415" customWidth="1"/>
    <col min="517" max="517" width="8.28515625" style="415" customWidth="1"/>
    <col min="518" max="518" width="7.7109375" style="415" customWidth="1"/>
    <col min="519" max="519" width="9.7109375" style="415" customWidth="1"/>
    <col min="520" max="520" width="7.28515625" style="415" customWidth="1"/>
    <col min="521" max="521" width="7.5703125" style="415" customWidth="1"/>
    <col min="522" max="522" width="7.7109375" style="415" customWidth="1"/>
    <col min="523" max="523" width="7" style="415" customWidth="1"/>
    <col min="524" max="524" width="7.7109375" style="415" customWidth="1"/>
    <col min="525" max="525" width="7" style="415" customWidth="1"/>
    <col min="526" max="768" width="11.5703125" style="415"/>
    <col min="769" max="769" width="11.42578125" style="415" customWidth="1"/>
    <col min="770" max="770" width="6.140625" style="415" customWidth="1"/>
    <col min="771" max="771" width="21.7109375" style="415" customWidth="1"/>
    <col min="772" max="772" width="9.28515625" style="415" customWidth="1"/>
    <col min="773" max="773" width="8.28515625" style="415" customWidth="1"/>
    <col min="774" max="774" width="7.7109375" style="415" customWidth="1"/>
    <col min="775" max="775" width="9.7109375" style="415" customWidth="1"/>
    <col min="776" max="776" width="7.28515625" style="415" customWidth="1"/>
    <col min="777" max="777" width="7.5703125" style="415" customWidth="1"/>
    <col min="778" max="778" width="7.7109375" style="415" customWidth="1"/>
    <col min="779" max="779" width="7" style="415" customWidth="1"/>
    <col min="780" max="780" width="7.7109375" style="415" customWidth="1"/>
    <col min="781" max="781" width="7" style="415" customWidth="1"/>
    <col min="782" max="1024" width="11.5703125" style="415"/>
    <col min="1025" max="1025" width="11.42578125" style="415" customWidth="1"/>
    <col min="1026" max="1026" width="6.140625" style="415" customWidth="1"/>
    <col min="1027" max="1027" width="21.7109375" style="415" customWidth="1"/>
    <col min="1028" max="1028" width="9.28515625" style="415" customWidth="1"/>
    <col min="1029" max="1029" width="8.28515625" style="415" customWidth="1"/>
    <col min="1030" max="1030" width="7.7109375" style="415" customWidth="1"/>
    <col min="1031" max="1031" width="9.7109375" style="415" customWidth="1"/>
    <col min="1032" max="1032" width="7.28515625" style="415" customWidth="1"/>
    <col min="1033" max="1033" width="7.5703125" style="415" customWidth="1"/>
    <col min="1034" max="1034" width="7.7109375" style="415" customWidth="1"/>
    <col min="1035" max="1035" width="7" style="415" customWidth="1"/>
    <col min="1036" max="1036" width="7.7109375" style="415" customWidth="1"/>
    <col min="1037" max="1037" width="7" style="415" customWidth="1"/>
    <col min="1038" max="1280" width="11.5703125" style="415"/>
    <col min="1281" max="1281" width="11.42578125" style="415" customWidth="1"/>
    <col min="1282" max="1282" width="6.140625" style="415" customWidth="1"/>
    <col min="1283" max="1283" width="21.7109375" style="415" customWidth="1"/>
    <col min="1284" max="1284" width="9.28515625" style="415" customWidth="1"/>
    <col min="1285" max="1285" width="8.28515625" style="415" customWidth="1"/>
    <col min="1286" max="1286" width="7.7109375" style="415" customWidth="1"/>
    <col min="1287" max="1287" width="9.7109375" style="415" customWidth="1"/>
    <col min="1288" max="1288" width="7.28515625" style="415" customWidth="1"/>
    <col min="1289" max="1289" width="7.5703125" style="415" customWidth="1"/>
    <col min="1290" max="1290" width="7.7109375" style="415" customWidth="1"/>
    <col min="1291" max="1291" width="7" style="415" customWidth="1"/>
    <col min="1292" max="1292" width="7.7109375" style="415" customWidth="1"/>
    <col min="1293" max="1293" width="7" style="415" customWidth="1"/>
    <col min="1294" max="1536" width="11.5703125" style="415"/>
    <col min="1537" max="1537" width="11.42578125" style="415" customWidth="1"/>
    <col min="1538" max="1538" width="6.140625" style="415" customWidth="1"/>
    <col min="1539" max="1539" width="21.7109375" style="415" customWidth="1"/>
    <col min="1540" max="1540" width="9.28515625" style="415" customWidth="1"/>
    <col min="1541" max="1541" width="8.28515625" style="415" customWidth="1"/>
    <col min="1542" max="1542" width="7.7109375" style="415" customWidth="1"/>
    <col min="1543" max="1543" width="9.7109375" style="415" customWidth="1"/>
    <col min="1544" max="1544" width="7.28515625" style="415" customWidth="1"/>
    <col min="1545" max="1545" width="7.5703125" style="415" customWidth="1"/>
    <col min="1546" max="1546" width="7.7109375" style="415" customWidth="1"/>
    <col min="1547" max="1547" width="7" style="415" customWidth="1"/>
    <col min="1548" max="1548" width="7.7109375" style="415" customWidth="1"/>
    <col min="1549" max="1549" width="7" style="415" customWidth="1"/>
    <col min="1550" max="1792" width="11.5703125" style="415"/>
    <col min="1793" max="1793" width="11.42578125" style="415" customWidth="1"/>
    <col min="1794" max="1794" width="6.140625" style="415" customWidth="1"/>
    <col min="1795" max="1795" width="21.7109375" style="415" customWidth="1"/>
    <col min="1796" max="1796" width="9.28515625" style="415" customWidth="1"/>
    <col min="1797" max="1797" width="8.28515625" style="415" customWidth="1"/>
    <col min="1798" max="1798" width="7.7109375" style="415" customWidth="1"/>
    <col min="1799" max="1799" width="9.7109375" style="415" customWidth="1"/>
    <col min="1800" max="1800" width="7.28515625" style="415" customWidth="1"/>
    <col min="1801" max="1801" width="7.5703125" style="415" customWidth="1"/>
    <col min="1802" max="1802" width="7.7109375" style="415" customWidth="1"/>
    <col min="1803" max="1803" width="7" style="415" customWidth="1"/>
    <col min="1804" max="1804" width="7.7109375" style="415" customWidth="1"/>
    <col min="1805" max="1805" width="7" style="415" customWidth="1"/>
    <col min="1806" max="2048" width="11.5703125" style="415"/>
    <col min="2049" max="2049" width="11.42578125" style="415" customWidth="1"/>
    <col min="2050" max="2050" width="6.140625" style="415" customWidth="1"/>
    <col min="2051" max="2051" width="21.7109375" style="415" customWidth="1"/>
    <col min="2052" max="2052" width="9.28515625" style="415" customWidth="1"/>
    <col min="2053" max="2053" width="8.28515625" style="415" customWidth="1"/>
    <col min="2054" max="2054" width="7.7109375" style="415" customWidth="1"/>
    <col min="2055" max="2055" width="9.7109375" style="415" customWidth="1"/>
    <col min="2056" max="2056" width="7.28515625" style="415" customWidth="1"/>
    <col min="2057" max="2057" width="7.5703125" style="415" customWidth="1"/>
    <col min="2058" max="2058" width="7.7109375" style="415" customWidth="1"/>
    <col min="2059" max="2059" width="7" style="415" customWidth="1"/>
    <col min="2060" max="2060" width="7.7109375" style="415" customWidth="1"/>
    <col min="2061" max="2061" width="7" style="415" customWidth="1"/>
    <col min="2062" max="2304" width="11.5703125" style="415"/>
    <col min="2305" max="2305" width="11.42578125" style="415" customWidth="1"/>
    <col min="2306" max="2306" width="6.140625" style="415" customWidth="1"/>
    <col min="2307" max="2307" width="21.7109375" style="415" customWidth="1"/>
    <col min="2308" max="2308" width="9.28515625" style="415" customWidth="1"/>
    <col min="2309" max="2309" width="8.28515625" style="415" customWidth="1"/>
    <col min="2310" max="2310" width="7.7109375" style="415" customWidth="1"/>
    <col min="2311" max="2311" width="9.7109375" style="415" customWidth="1"/>
    <col min="2312" max="2312" width="7.28515625" style="415" customWidth="1"/>
    <col min="2313" max="2313" width="7.5703125" style="415" customWidth="1"/>
    <col min="2314" max="2314" width="7.7109375" style="415" customWidth="1"/>
    <col min="2315" max="2315" width="7" style="415" customWidth="1"/>
    <col min="2316" max="2316" width="7.7109375" style="415" customWidth="1"/>
    <col min="2317" max="2317" width="7" style="415" customWidth="1"/>
    <col min="2318" max="2560" width="11.5703125" style="415"/>
    <col min="2561" max="2561" width="11.42578125" style="415" customWidth="1"/>
    <col min="2562" max="2562" width="6.140625" style="415" customWidth="1"/>
    <col min="2563" max="2563" width="21.7109375" style="415" customWidth="1"/>
    <col min="2564" max="2564" width="9.28515625" style="415" customWidth="1"/>
    <col min="2565" max="2565" width="8.28515625" style="415" customWidth="1"/>
    <col min="2566" max="2566" width="7.7109375" style="415" customWidth="1"/>
    <col min="2567" max="2567" width="9.7109375" style="415" customWidth="1"/>
    <col min="2568" max="2568" width="7.28515625" style="415" customWidth="1"/>
    <col min="2569" max="2569" width="7.5703125" style="415" customWidth="1"/>
    <col min="2570" max="2570" width="7.7109375" style="415" customWidth="1"/>
    <col min="2571" max="2571" width="7" style="415" customWidth="1"/>
    <col min="2572" max="2572" width="7.7109375" style="415" customWidth="1"/>
    <col min="2573" max="2573" width="7" style="415" customWidth="1"/>
    <col min="2574" max="2816" width="11.5703125" style="415"/>
    <col min="2817" max="2817" width="11.42578125" style="415" customWidth="1"/>
    <col min="2818" max="2818" width="6.140625" style="415" customWidth="1"/>
    <col min="2819" max="2819" width="21.7109375" style="415" customWidth="1"/>
    <col min="2820" max="2820" width="9.28515625" style="415" customWidth="1"/>
    <col min="2821" max="2821" width="8.28515625" style="415" customWidth="1"/>
    <col min="2822" max="2822" width="7.7109375" style="415" customWidth="1"/>
    <col min="2823" max="2823" width="9.7109375" style="415" customWidth="1"/>
    <col min="2824" max="2824" width="7.28515625" style="415" customWidth="1"/>
    <col min="2825" max="2825" width="7.5703125" style="415" customWidth="1"/>
    <col min="2826" max="2826" width="7.7109375" style="415" customWidth="1"/>
    <col min="2827" max="2827" width="7" style="415" customWidth="1"/>
    <col min="2828" max="2828" width="7.7109375" style="415" customWidth="1"/>
    <col min="2829" max="2829" width="7" style="415" customWidth="1"/>
    <col min="2830" max="3072" width="11.5703125" style="415"/>
    <col min="3073" max="3073" width="11.42578125" style="415" customWidth="1"/>
    <col min="3074" max="3074" width="6.140625" style="415" customWidth="1"/>
    <col min="3075" max="3075" width="21.7109375" style="415" customWidth="1"/>
    <col min="3076" max="3076" width="9.28515625" style="415" customWidth="1"/>
    <col min="3077" max="3077" width="8.28515625" style="415" customWidth="1"/>
    <col min="3078" max="3078" width="7.7109375" style="415" customWidth="1"/>
    <col min="3079" max="3079" width="9.7109375" style="415" customWidth="1"/>
    <col min="3080" max="3080" width="7.28515625" style="415" customWidth="1"/>
    <col min="3081" max="3081" width="7.5703125" style="415" customWidth="1"/>
    <col min="3082" max="3082" width="7.7109375" style="415" customWidth="1"/>
    <col min="3083" max="3083" width="7" style="415" customWidth="1"/>
    <col min="3084" max="3084" width="7.7109375" style="415" customWidth="1"/>
    <col min="3085" max="3085" width="7" style="415" customWidth="1"/>
    <col min="3086" max="3328" width="11.5703125" style="415"/>
    <col min="3329" max="3329" width="11.42578125" style="415" customWidth="1"/>
    <col min="3330" max="3330" width="6.140625" style="415" customWidth="1"/>
    <col min="3331" max="3331" width="21.7109375" style="415" customWidth="1"/>
    <col min="3332" max="3332" width="9.28515625" style="415" customWidth="1"/>
    <col min="3333" max="3333" width="8.28515625" style="415" customWidth="1"/>
    <col min="3334" max="3334" width="7.7109375" style="415" customWidth="1"/>
    <col min="3335" max="3335" width="9.7109375" style="415" customWidth="1"/>
    <col min="3336" max="3336" width="7.28515625" style="415" customWidth="1"/>
    <col min="3337" max="3337" width="7.5703125" style="415" customWidth="1"/>
    <col min="3338" max="3338" width="7.7109375" style="415" customWidth="1"/>
    <col min="3339" max="3339" width="7" style="415" customWidth="1"/>
    <col min="3340" max="3340" width="7.7109375" style="415" customWidth="1"/>
    <col min="3341" max="3341" width="7" style="415" customWidth="1"/>
    <col min="3342" max="3584" width="11.5703125" style="415"/>
    <col min="3585" max="3585" width="11.42578125" style="415" customWidth="1"/>
    <col min="3586" max="3586" width="6.140625" style="415" customWidth="1"/>
    <col min="3587" max="3587" width="21.7109375" style="415" customWidth="1"/>
    <col min="3588" max="3588" width="9.28515625" style="415" customWidth="1"/>
    <col min="3589" max="3589" width="8.28515625" style="415" customWidth="1"/>
    <col min="3590" max="3590" width="7.7109375" style="415" customWidth="1"/>
    <col min="3591" max="3591" width="9.7109375" style="415" customWidth="1"/>
    <col min="3592" max="3592" width="7.28515625" style="415" customWidth="1"/>
    <col min="3593" max="3593" width="7.5703125" style="415" customWidth="1"/>
    <col min="3594" max="3594" width="7.7109375" style="415" customWidth="1"/>
    <col min="3595" max="3595" width="7" style="415" customWidth="1"/>
    <col min="3596" max="3596" width="7.7109375" style="415" customWidth="1"/>
    <col min="3597" max="3597" width="7" style="415" customWidth="1"/>
    <col min="3598" max="3840" width="11.5703125" style="415"/>
    <col min="3841" max="3841" width="11.42578125" style="415" customWidth="1"/>
    <col min="3842" max="3842" width="6.140625" style="415" customWidth="1"/>
    <col min="3843" max="3843" width="21.7109375" style="415" customWidth="1"/>
    <col min="3844" max="3844" width="9.28515625" style="415" customWidth="1"/>
    <col min="3845" max="3845" width="8.28515625" style="415" customWidth="1"/>
    <col min="3846" max="3846" width="7.7109375" style="415" customWidth="1"/>
    <col min="3847" max="3847" width="9.7109375" style="415" customWidth="1"/>
    <col min="3848" max="3848" width="7.28515625" style="415" customWidth="1"/>
    <col min="3849" max="3849" width="7.5703125" style="415" customWidth="1"/>
    <col min="3850" max="3850" width="7.7109375" style="415" customWidth="1"/>
    <col min="3851" max="3851" width="7" style="415" customWidth="1"/>
    <col min="3852" max="3852" width="7.7109375" style="415" customWidth="1"/>
    <col min="3853" max="3853" width="7" style="415" customWidth="1"/>
    <col min="3854" max="4096" width="11.5703125" style="415"/>
    <col min="4097" max="4097" width="11.42578125" style="415" customWidth="1"/>
    <col min="4098" max="4098" width="6.140625" style="415" customWidth="1"/>
    <col min="4099" max="4099" width="21.7109375" style="415" customWidth="1"/>
    <col min="4100" max="4100" width="9.28515625" style="415" customWidth="1"/>
    <col min="4101" max="4101" width="8.28515625" style="415" customWidth="1"/>
    <col min="4102" max="4102" width="7.7109375" style="415" customWidth="1"/>
    <col min="4103" max="4103" width="9.7109375" style="415" customWidth="1"/>
    <col min="4104" max="4104" width="7.28515625" style="415" customWidth="1"/>
    <col min="4105" max="4105" width="7.5703125" style="415" customWidth="1"/>
    <col min="4106" max="4106" width="7.7109375" style="415" customWidth="1"/>
    <col min="4107" max="4107" width="7" style="415" customWidth="1"/>
    <col min="4108" max="4108" width="7.7109375" style="415" customWidth="1"/>
    <col min="4109" max="4109" width="7" style="415" customWidth="1"/>
    <col min="4110" max="4352" width="11.5703125" style="415"/>
    <col min="4353" max="4353" width="11.42578125" style="415" customWidth="1"/>
    <col min="4354" max="4354" width="6.140625" style="415" customWidth="1"/>
    <col min="4355" max="4355" width="21.7109375" style="415" customWidth="1"/>
    <col min="4356" max="4356" width="9.28515625" style="415" customWidth="1"/>
    <col min="4357" max="4357" width="8.28515625" style="415" customWidth="1"/>
    <col min="4358" max="4358" width="7.7109375" style="415" customWidth="1"/>
    <col min="4359" max="4359" width="9.7109375" style="415" customWidth="1"/>
    <col min="4360" max="4360" width="7.28515625" style="415" customWidth="1"/>
    <col min="4361" max="4361" width="7.5703125" style="415" customWidth="1"/>
    <col min="4362" max="4362" width="7.7109375" style="415" customWidth="1"/>
    <col min="4363" max="4363" width="7" style="415" customWidth="1"/>
    <col min="4364" max="4364" width="7.7109375" style="415" customWidth="1"/>
    <col min="4365" max="4365" width="7" style="415" customWidth="1"/>
    <col min="4366" max="4608" width="11.5703125" style="415"/>
    <col min="4609" max="4609" width="11.42578125" style="415" customWidth="1"/>
    <col min="4610" max="4610" width="6.140625" style="415" customWidth="1"/>
    <col min="4611" max="4611" width="21.7109375" style="415" customWidth="1"/>
    <col min="4612" max="4612" width="9.28515625" style="415" customWidth="1"/>
    <col min="4613" max="4613" width="8.28515625" style="415" customWidth="1"/>
    <col min="4614" max="4614" width="7.7109375" style="415" customWidth="1"/>
    <col min="4615" max="4615" width="9.7109375" style="415" customWidth="1"/>
    <col min="4616" max="4616" width="7.28515625" style="415" customWidth="1"/>
    <col min="4617" max="4617" width="7.5703125" style="415" customWidth="1"/>
    <col min="4618" max="4618" width="7.7109375" style="415" customWidth="1"/>
    <col min="4619" max="4619" width="7" style="415" customWidth="1"/>
    <col min="4620" max="4620" width="7.7109375" style="415" customWidth="1"/>
    <col min="4621" max="4621" width="7" style="415" customWidth="1"/>
    <col min="4622" max="4864" width="11.5703125" style="415"/>
    <col min="4865" max="4865" width="11.42578125" style="415" customWidth="1"/>
    <col min="4866" max="4866" width="6.140625" style="415" customWidth="1"/>
    <col min="4867" max="4867" width="21.7109375" style="415" customWidth="1"/>
    <col min="4868" max="4868" width="9.28515625" style="415" customWidth="1"/>
    <col min="4869" max="4869" width="8.28515625" style="415" customWidth="1"/>
    <col min="4870" max="4870" width="7.7109375" style="415" customWidth="1"/>
    <col min="4871" max="4871" width="9.7109375" style="415" customWidth="1"/>
    <col min="4872" max="4872" width="7.28515625" style="415" customWidth="1"/>
    <col min="4873" max="4873" width="7.5703125" style="415" customWidth="1"/>
    <col min="4874" max="4874" width="7.7109375" style="415" customWidth="1"/>
    <col min="4875" max="4875" width="7" style="415" customWidth="1"/>
    <col min="4876" max="4876" width="7.7109375" style="415" customWidth="1"/>
    <col min="4877" max="4877" width="7" style="415" customWidth="1"/>
    <col min="4878" max="5120" width="11.5703125" style="415"/>
    <col min="5121" max="5121" width="11.42578125" style="415" customWidth="1"/>
    <col min="5122" max="5122" width="6.140625" style="415" customWidth="1"/>
    <col min="5123" max="5123" width="21.7109375" style="415" customWidth="1"/>
    <col min="5124" max="5124" width="9.28515625" style="415" customWidth="1"/>
    <col min="5125" max="5125" width="8.28515625" style="415" customWidth="1"/>
    <col min="5126" max="5126" width="7.7109375" style="415" customWidth="1"/>
    <col min="5127" max="5127" width="9.7109375" style="415" customWidth="1"/>
    <col min="5128" max="5128" width="7.28515625" style="415" customWidth="1"/>
    <col min="5129" max="5129" width="7.5703125" style="415" customWidth="1"/>
    <col min="5130" max="5130" width="7.7109375" style="415" customWidth="1"/>
    <col min="5131" max="5131" width="7" style="415" customWidth="1"/>
    <col min="5132" max="5132" width="7.7109375" style="415" customWidth="1"/>
    <col min="5133" max="5133" width="7" style="415" customWidth="1"/>
    <col min="5134" max="5376" width="11.5703125" style="415"/>
    <col min="5377" max="5377" width="11.42578125" style="415" customWidth="1"/>
    <col min="5378" max="5378" width="6.140625" style="415" customWidth="1"/>
    <col min="5379" max="5379" width="21.7109375" style="415" customWidth="1"/>
    <col min="5380" max="5380" width="9.28515625" style="415" customWidth="1"/>
    <col min="5381" max="5381" width="8.28515625" style="415" customWidth="1"/>
    <col min="5382" max="5382" width="7.7109375" style="415" customWidth="1"/>
    <col min="5383" max="5383" width="9.7109375" style="415" customWidth="1"/>
    <col min="5384" max="5384" width="7.28515625" style="415" customWidth="1"/>
    <col min="5385" max="5385" width="7.5703125" style="415" customWidth="1"/>
    <col min="5386" max="5386" width="7.7109375" style="415" customWidth="1"/>
    <col min="5387" max="5387" width="7" style="415" customWidth="1"/>
    <col min="5388" max="5388" width="7.7109375" style="415" customWidth="1"/>
    <col min="5389" max="5389" width="7" style="415" customWidth="1"/>
    <col min="5390" max="5632" width="11.5703125" style="415"/>
    <col min="5633" max="5633" width="11.42578125" style="415" customWidth="1"/>
    <col min="5634" max="5634" width="6.140625" style="415" customWidth="1"/>
    <col min="5635" max="5635" width="21.7109375" style="415" customWidth="1"/>
    <col min="5636" max="5636" width="9.28515625" style="415" customWidth="1"/>
    <col min="5637" max="5637" width="8.28515625" style="415" customWidth="1"/>
    <col min="5638" max="5638" width="7.7109375" style="415" customWidth="1"/>
    <col min="5639" max="5639" width="9.7109375" style="415" customWidth="1"/>
    <col min="5640" max="5640" width="7.28515625" style="415" customWidth="1"/>
    <col min="5641" max="5641" width="7.5703125" style="415" customWidth="1"/>
    <col min="5642" max="5642" width="7.7109375" style="415" customWidth="1"/>
    <col min="5643" max="5643" width="7" style="415" customWidth="1"/>
    <col min="5644" max="5644" width="7.7109375" style="415" customWidth="1"/>
    <col min="5645" max="5645" width="7" style="415" customWidth="1"/>
    <col min="5646" max="5888" width="11.5703125" style="415"/>
    <col min="5889" max="5889" width="11.42578125" style="415" customWidth="1"/>
    <col min="5890" max="5890" width="6.140625" style="415" customWidth="1"/>
    <col min="5891" max="5891" width="21.7109375" style="415" customWidth="1"/>
    <col min="5892" max="5892" width="9.28515625" style="415" customWidth="1"/>
    <col min="5893" max="5893" width="8.28515625" style="415" customWidth="1"/>
    <col min="5894" max="5894" width="7.7109375" style="415" customWidth="1"/>
    <col min="5895" max="5895" width="9.7109375" style="415" customWidth="1"/>
    <col min="5896" max="5896" width="7.28515625" style="415" customWidth="1"/>
    <col min="5897" max="5897" width="7.5703125" style="415" customWidth="1"/>
    <col min="5898" max="5898" width="7.7109375" style="415" customWidth="1"/>
    <col min="5899" max="5899" width="7" style="415" customWidth="1"/>
    <col min="5900" max="5900" width="7.7109375" style="415" customWidth="1"/>
    <col min="5901" max="5901" width="7" style="415" customWidth="1"/>
    <col min="5902" max="6144" width="11.5703125" style="415"/>
    <col min="6145" max="6145" width="11.42578125" style="415" customWidth="1"/>
    <col min="6146" max="6146" width="6.140625" style="415" customWidth="1"/>
    <col min="6147" max="6147" width="21.7109375" style="415" customWidth="1"/>
    <col min="6148" max="6148" width="9.28515625" style="415" customWidth="1"/>
    <col min="6149" max="6149" width="8.28515625" style="415" customWidth="1"/>
    <col min="6150" max="6150" width="7.7109375" style="415" customWidth="1"/>
    <col min="6151" max="6151" width="9.7109375" style="415" customWidth="1"/>
    <col min="6152" max="6152" width="7.28515625" style="415" customWidth="1"/>
    <col min="6153" max="6153" width="7.5703125" style="415" customWidth="1"/>
    <col min="6154" max="6154" width="7.7109375" style="415" customWidth="1"/>
    <col min="6155" max="6155" width="7" style="415" customWidth="1"/>
    <col min="6156" max="6156" width="7.7109375" style="415" customWidth="1"/>
    <col min="6157" max="6157" width="7" style="415" customWidth="1"/>
    <col min="6158" max="6400" width="11.5703125" style="415"/>
    <col min="6401" max="6401" width="11.42578125" style="415" customWidth="1"/>
    <col min="6402" max="6402" width="6.140625" style="415" customWidth="1"/>
    <col min="6403" max="6403" width="21.7109375" style="415" customWidth="1"/>
    <col min="6404" max="6404" width="9.28515625" style="415" customWidth="1"/>
    <col min="6405" max="6405" width="8.28515625" style="415" customWidth="1"/>
    <col min="6406" max="6406" width="7.7109375" style="415" customWidth="1"/>
    <col min="6407" max="6407" width="9.7109375" style="415" customWidth="1"/>
    <col min="6408" max="6408" width="7.28515625" style="415" customWidth="1"/>
    <col min="6409" max="6409" width="7.5703125" style="415" customWidth="1"/>
    <col min="6410" max="6410" width="7.7109375" style="415" customWidth="1"/>
    <col min="6411" max="6411" width="7" style="415" customWidth="1"/>
    <col min="6412" max="6412" width="7.7109375" style="415" customWidth="1"/>
    <col min="6413" max="6413" width="7" style="415" customWidth="1"/>
    <col min="6414" max="6656" width="11.5703125" style="415"/>
    <col min="6657" max="6657" width="11.42578125" style="415" customWidth="1"/>
    <col min="6658" max="6658" width="6.140625" style="415" customWidth="1"/>
    <col min="6659" max="6659" width="21.7109375" style="415" customWidth="1"/>
    <col min="6660" max="6660" width="9.28515625" style="415" customWidth="1"/>
    <col min="6661" max="6661" width="8.28515625" style="415" customWidth="1"/>
    <col min="6662" max="6662" width="7.7109375" style="415" customWidth="1"/>
    <col min="6663" max="6663" width="9.7109375" style="415" customWidth="1"/>
    <col min="6664" max="6664" width="7.28515625" style="415" customWidth="1"/>
    <col min="6665" max="6665" width="7.5703125" style="415" customWidth="1"/>
    <col min="6666" max="6666" width="7.7109375" style="415" customWidth="1"/>
    <col min="6667" max="6667" width="7" style="415" customWidth="1"/>
    <col min="6668" max="6668" width="7.7109375" style="415" customWidth="1"/>
    <col min="6669" max="6669" width="7" style="415" customWidth="1"/>
    <col min="6670" max="6912" width="11.5703125" style="415"/>
    <col min="6913" max="6913" width="11.42578125" style="415" customWidth="1"/>
    <col min="6914" max="6914" width="6.140625" style="415" customWidth="1"/>
    <col min="6915" max="6915" width="21.7109375" style="415" customWidth="1"/>
    <col min="6916" max="6916" width="9.28515625" style="415" customWidth="1"/>
    <col min="6917" max="6917" width="8.28515625" style="415" customWidth="1"/>
    <col min="6918" max="6918" width="7.7109375" style="415" customWidth="1"/>
    <col min="6919" max="6919" width="9.7109375" style="415" customWidth="1"/>
    <col min="6920" max="6920" width="7.28515625" style="415" customWidth="1"/>
    <col min="6921" max="6921" width="7.5703125" style="415" customWidth="1"/>
    <col min="6922" max="6922" width="7.7109375" style="415" customWidth="1"/>
    <col min="6923" max="6923" width="7" style="415" customWidth="1"/>
    <col min="6924" max="6924" width="7.7109375" style="415" customWidth="1"/>
    <col min="6925" max="6925" width="7" style="415" customWidth="1"/>
    <col min="6926" max="7168" width="11.5703125" style="415"/>
    <col min="7169" max="7169" width="11.42578125" style="415" customWidth="1"/>
    <col min="7170" max="7170" width="6.140625" style="415" customWidth="1"/>
    <col min="7171" max="7171" width="21.7109375" style="415" customWidth="1"/>
    <col min="7172" max="7172" width="9.28515625" style="415" customWidth="1"/>
    <col min="7173" max="7173" width="8.28515625" style="415" customWidth="1"/>
    <col min="7174" max="7174" width="7.7109375" style="415" customWidth="1"/>
    <col min="7175" max="7175" width="9.7109375" style="415" customWidth="1"/>
    <col min="7176" max="7176" width="7.28515625" style="415" customWidth="1"/>
    <col min="7177" max="7177" width="7.5703125" style="415" customWidth="1"/>
    <col min="7178" max="7178" width="7.7109375" style="415" customWidth="1"/>
    <col min="7179" max="7179" width="7" style="415" customWidth="1"/>
    <col min="7180" max="7180" width="7.7109375" style="415" customWidth="1"/>
    <col min="7181" max="7181" width="7" style="415" customWidth="1"/>
    <col min="7182" max="7424" width="11.5703125" style="415"/>
    <col min="7425" max="7425" width="11.42578125" style="415" customWidth="1"/>
    <col min="7426" max="7426" width="6.140625" style="415" customWidth="1"/>
    <col min="7427" max="7427" width="21.7109375" style="415" customWidth="1"/>
    <col min="7428" max="7428" width="9.28515625" style="415" customWidth="1"/>
    <col min="7429" max="7429" width="8.28515625" style="415" customWidth="1"/>
    <col min="7430" max="7430" width="7.7109375" style="415" customWidth="1"/>
    <col min="7431" max="7431" width="9.7109375" style="415" customWidth="1"/>
    <col min="7432" max="7432" width="7.28515625" style="415" customWidth="1"/>
    <col min="7433" max="7433" width="7.5703125" style="415" customWidth="1"/>
    <col min="7434" max="7434" width="7.7109375" style="415" customWidth="1"/>
    <col min="7435" max="7435" width="7" style="415" customWidth="1"/>
    <col min="7436" max="7436" width="7.7109375" style="415" customWidth="1"/>
    <col min="7437" max="7437" width="7" style="415" customWidth="1"/>
    <col min="7438" max="7680" width="11.5703125" style="415"/>
    <col min="7681" max="7681" width="11.42578125" style="415" customWidth="1"/>
    <col min="7682" max="7682" width="6.140625" style="415" customWidth="1"/>
    <col min="7683" max="7683" width="21.7109375" style="415" customWidth="1"/>
    <col min="7684" max="7684" width="9.28515625" style="415" customWidth="1"/>
    <col min="7685" max="7685" width="8.28515625" style="415" customWidth="1"/>
    <col min="7686" max="7686" width="7.7109375" style="415" customWidth="1"/>
    <col min="7687" max="7687" width="9.7109375" style="415" customWidth="1"/>
    <col min="7688" max="7688" width="7.28515625" style="415" customWidth="1"/>
    <col min="7689" max="7689" width="7.5703125" style="415" customWidth="1"/>
    <col min="7690" max="7690" width="7.7109375" style="415" customWidth="1"/>
    <col min="7691" max="7691" width="7" style="415" customWidth="1"/>
    <col min="7692" max="7692" width="7.7109375" style="415" customWidth="1"/>
    <col min="7693" max="7693" width="7" style="415" customWidth="1"/>
    <col min="7694" max="7936" width="11.5703125" style="415"/>
    <col min="7937" max="7937" width="11.42578125" style="415" customWidth="1"/>
    <col min="7938" max="7938" width="6.140625" style="415" customWidth="1"/>
    <col min="7939" max="7939" width="21.7109375" style="415" customWidth="1"/>
    <col min="7940" max="7940" width="9.28515625" style="415" customWidth="1"/>
    <col min="7941" max="7941" width="8.28515625" style="415" customWidth="1"/>
    <col min="7942" max="7942" width="7.7109375" style="415" customWidth="1"/>
    <col min="7943" max="7943" width="9.7109375" style="415" customWidth="1"/>
    <col min="7944" max="7944" width="7.28515625" style="415" customWidth="1"/>
    <col min="7945" max="7945" width="7.5703125" style="415" customWidth="1"/>
    <col min="7946" max="7946" width="7.7109375" style="415" customWidth="1"/>
    <col min="7947" max="7947" width="7" style="415" customWidth="1"/>
    <col min="7948" max="7948" width="7.7109375" style="415" customWidth="1"/>
    <col min="7949" max="7949" width="7" style="415" customWidth="1"/>
    <col min="7950" max="8192" width="11.5703125" style="415"/>
    <col min="8193" max="8193" width="11.42578125" style="415" customWidth="1"/>
    <col min="8194" max="8194" width="6.140625" style="415" customWidth="1"/>
    <col min="8195" max="8195" width="21.7109375" style="415" customWidth="1"/>
    <col min="8196" max="8196" width="9.28515625" style="415" customWidth="1"/>
    <col min="8197" max="8197" width="8.28515625" style="415" customWidth="1"/>
    <col min="8198" max="8198" width="7.7109375" style="415" customWidth="1"/>
    <col min="8199" max="8199" width="9.7109375" style="415" customWidth="1"/>
    <col min="8200" max="8200" width="7.28515625" style="415" customWidth="1"/>
    <col min="8201" max="8201" width="7.5703125" style="415" customWidth="1"/>
    <col min="8202" max="8202" width="7.7109375" style="415" customWidth="1"/>
    <col min="8203" max="8203" width="7" style="415" customWidth="1"/>
    <col min="8204" max="8204" width="7.7109375" style="415" customWidth="1"/>
    <col min="8205" max="8205" width="7" style="415" customWidth="1"/>
    <col min="8206" max="8448" width="11.5703125" style="415"/>
    <col min="8449" max="8449" width="11.42578125" style="415" customWidth="1"/>
    <col min="8450" max="8450" width="6.140625" style="415" customWidth="1"/>
    <col min="8451" max="8451" width="21.7109375" style="415" customWidth="1"/>
    <col min="8452" max="8452" width="9.28515625" style="415" customWidth="1"/>
    <col min="8453" max="8453" width="8.28515625" style="415" customWidth="1"/>
    <col min="8454" max="8454" width="7.7109375" style="415" customWidth="1"/>
    <col min="8455" max="8455" width="9.7109375" style="415" customWidth="1"/>
    <col min="8456" max="8456" width="7.28515625" style="415" customWidth="1"/>
    <col min="8457" max="8457" width="7.5703125" style="415" customWidth="1"/>
    <col min="8458" max="8458" width="7.7109375" style="415" customWidth="1"/>
    <col min="8459" max="8459" width="7" style="415" customWidth="1"/>
    <col min="8460" max="8460" width="7.7109375" style="415" customWidth="1"/>
    <col min="8461" max="8461" width="7" style="415" customWidth="1"/>
    <col min="8462" max="8704" width="11.5703125" style="415"/>
    <col min="8705" max="8705" width="11.42578125" style="415" customWidth="1"/>
    <col min="8706" max="8706" width="6.140625" style="415" customWidth="1"/>
    <col min="8707" max="8707" width="21.7109375" style="415" customWidth="1"/>
    <col min="8708" max="8708" width="9.28515625" style="415" customWidth="1"/>
    <col min="8709" max="8709" width="8.28515625" style="415" customWidth="1"/>
    <col min="8710" max="8710" width="7.7109375" style="415" customWidth="1"/>
    <col min="8711" max="8711" width="9.7109375" style="415" customWidth="1"/>
    <col min="8712" max="8712" width="7.28515625" style="415" customWidth="1"/>
    <col min="8713" max="8713" width="7.5703125" style="415" customWidth="1"/>
    <col min="8714" max="8714" width="7.7109375" style="415" customWidth="1"/>
    <col min="8715" max="8715" width="7" style="415" customWidth="1"/>
    <col min="8716" max="8716" width="7.7109375" style="415" customWidth="1"/>
    <col min="8717" max="8717" width="7" style="415" customWidth="1"/>
    <col min="8718" max="8960" width="11.5703125" style="415"/>
    <col min="8961" max="8961" width="11.42578125" style="415" customWidth="1"/>
    <col min="8962" max="8962" width="6.140625" style="415" customWidth="1"/>
    <col min="8963" max="8963" width="21.7109375" style="415" customWidth="1"/>
    <col min="8964" max="8964" width="9.28515625" style="415" customWidth="1"/>
    <col min="8965" max="8965" width="8.28515625" style="415" customWidth="1"/>
    <col min="8966" max="8966" width="7.7109375" style="415" customWidth="1"/>
    <col min="8967" max="8967" width="9.7109375" style="415" customWidth="1"/>
    <col min="8968" max="8968" width="7.28515625" style="415" customWidth="1"/>
    <col min="8969" max="8969" width="7.5703125" style="415" customWidth="1"/>
    <col min="8970" max="8970" width="7.7109375" style="415" customWidth="1"/>
    <col min="8971" max="8971" width="7" style="415" customWidth="1"/>
    <col min="8972" max="8972" width="7.7109375" style="415" customWidth="1"/>
    <col min="8973" max="8973" width="7" style="415" customWidth="1"/>
    <col min="8974" max="9216" width="11.5703125" style="415"/>
    <col min="9217" max="9217" width="11.42578125" style="415" customWidth="1"/>
    <col min="9218" max="9218" width="6.140625" style="415" customWidth="1"/>
    <col min="9219" max="9219" width="21.7109375" style="415" customWidth="1"/>
    <col min="9220" max="9220" width="9.28515625" style="415" customWidth="1"/>
    <col min="9221" max="9221" width="8.28515625" style="415" customWidth="1"/>
    <col min="9222" max="9222" width="7.7109375" style="415" customWidth="1"/>
    <col min="9223" max="9223" width="9.7109375" style="415" customWidth="1"/>
    <col min="9224" max="9224" width="7.28515625" style="415" customWidth="1"/>
    <col min="9225" max="9225" width="7.5703125" style="415" customWidth="1"/>
    <col min="9226" max="9226" width="7.7109375" style="415" customWidth="1"/>
    <col min="9227" max="9227" width="7" style="415" customWidth="1"/>
    <col min="9228" max="9228" width="7.7109375" style="415" customWidth="1"/>
    <col min="9229" max="9229" width="7" style="415" customWidth="1"/>
    <col min="9230" max="9472" width="11.5703125" style="415"/>
    <col min="9473" max="9473" width="11.42578125" style="415" customWidth="1"/>
    <col min="9474" max="9474" width="6.140625" style="415" customWidth="1"/>
    <col min="9475" max="9475" width="21.7109375" style="415" customWidth="1"/>
    <col min="9476" max="9476" width="9.28515625" style="415" customWidth="1"/>
    <col min="9477" max="9477" width="8.28515625" style="415" customWidth="1"/>
    <col min="9478" max="9478" width="7.7109375" style="415" customWidth="1"/>
    <col min="9479" max="9479" width="9.7109375" style="415" customWidth="1"/>
    <col min="9480" max="9480" width="7.28515625" style="415" customWidth="1"/>
    <col min="9481" max="9481" width="7.5703125" style="415" customWidth="1"/>
    <col min="9482" max="9482" width="7.7109375" style="415" customWidth="1"/>
    <col min="9483" max="9483" width="7" style="415" customWidth="1"/>
    <col min="9484" max="9484" width="7.7109375" style="415" customWidth="1"/>
    <col min="9485" max="9485" width="7" style="415" customWidth="1"/>
    <col min="9486" max="9728" width="11.5703125" style="415"/>
    <col min="9729" max="9729" width="11.42578125" style="415" customWidth="1"/>
    <col min="9730" max="9730" width="6.140625" style="415" customWidth="1"/>
    <col min="9731" max="9731" width="21.7109375" style="415" customWidth="1"/>
    <col min="9732" max="9732" width="9.28515625" style="415" customWidth="1"/>
    <col min="9733" max="9733" width="8.28515625" style="415" customWidth="1"/>
    <col min="9734" max="9734" width="7.7109375" style="415" customWidth="1"/>
    <col min="9735" max="9735" width="9.7109375" style="415" customWidth="1"/>
    <col min="9736" max="9736" width="7.28515625" style="415" customWidth="1"/>
    <col min="9737" max="9737" width="7.5703125" style="415" customWidth="1"/>
    <col min="9738" max="9738" width="7.7109375" style="415" customWidth="1"/>
    <col min="9739" max="9739" width="7" style="415" customWidth="1"/>
    <col min="9740" max="9740" width="7.7109375" style="415" customWidth="1"/>
    <col min="9741" max="9741" width="7" style="415" customWidth="1"/>
    <col min="9742" max="9984" width="11.5703125" style="415"/>
    <col min="9985" max="9985" width="11.42578125" style="415" customWidth="1"/>
    <col min="9986" max="9986" width="6.140625" style="415" customWidth="1"/>
    <col min="9987" max="9987" width="21.7109375" style="415" customWidth="1"/>
    <col min="9988" max="9988" width="9.28515625" style="415" customWidth="1"/>
    <col min="9989" max="9989" width="8.28515625" style="415" customWidth="1"/>
    <col min="9990" max="9990" width="7.7109375" style="415" customWidth="1"/>
    <col min="9991" max="9991" width="9.7109375" style="415" customWidth="1"/>
    <col min="9992" max="9992" width="7.28515625" style="415" customWidth="1"/>
    <col min="9993" max="9993" width="7.5703125" style="415" customWidth="1"/>
    <col min="9994" max="9994" width="7.7109375" style="415" customWidth="1"/>
    <col min="9995" max="9995" width="7" style="415" customWidth="1"/>
    <col min="9996" max="9996" width="7.7109375" style="415" customWidth="1"/>
    <col min="9997" max="9997" width="7" style="415" customWidth="1"/>
    <col min="9998" max="10240" width="11.5703125" style="415"/>
    <col min="10241" max="10241" width="11.42578125" style="415" customWidth="1"/>
    <col min="10242" max="10242" width="6.140625" style="415" customWidth="1"/>
    <col min="10243" max="10243" width="21.7109375" style="415" customWidth="1"/>
    <col min="10244" max="10244" width="9.28515625" style="415" customWidth="1"/>
    <col min="10245" max="10245" width="8.28515625" style="415" customWidth="1"/>
    <col min="10246" max="10246" width="7.7109375" style="415" customWidth="1"/>
    <col min="10247" max="10247" width="9.7109375" style="415" customWidth="1"/>
    <col min="10248" max="10248" width="7.28515625" style="415" customWidth="1"/>
    <col min="10249" max="10249" width="7.5703125" style="415" customWidth="1"/>
    <col min="10250" max="10250" width="7.7109375" style="415" customWidth="1"/>
    <col min="10251" max="10251" width="7" style="415" customWidth="1"/>
    <col min="10252" max="10252" width="7.7109375" style="415" customWidth="1"/>
    <col min="10253" max="10253" width="7" style="415" customWidth="1"/>
    <col min="10254" max="10496" width="11.5703125" style="415"/>
    <col min="10497" max="10497" width="11.42578125" style="415" customWidth="1"/>
    <col min="10498" max="10498" width="6.140625" style="415" customWidth="1"/>
    <col min="10499" max="10499" width="21.7109375" style="415" customWidth="1"/>
    <col min="10500" max="10500" width="9.28515625" style="415" customWidth="1"/>
    <col min="10501" max="10501" width="8.28515625" style="415" customWidth="1"/>
    <col min="10502" max="10502" width="7.7109375" style="415" customWidth="1"/>
    <col min="10503" max="10503" width="9.7109375" style="415" customWidth="1"/>
    <col min="10504" max="10504" width="7.28515625" style="415" customWidth="1"/>
    <col min="10505" max="10505" width="7.5703125" style="415" customWidth="1"/>
    <col min="10506" max="10506" width="7.7109375" style="415" customWidth="1"/>
    <col min="10507" max="10507" width="7" style="415" customWidth="1"/>
    <col min="10508" max="10508" width="7.7109375" style="415" customWidth="1"/>
    <col min="10509" max="10509" width="7" style="415" customWidth="1"/>
    <col min="10510" max="10752" width="11.5703125" style="415"/>
    <col min="10753" max="10753" width="11.42578125" style="415" customWidth="1"/>
    <col min="10754" max="10754" width="6.140625" style="415" customWidth="1"/>
    <col min="10755" max="10755" width="21.7109375" style="415" customWidth="1"/>
    <col min="10756" max="10756" width="9.28515625" style="415" customWidth="1"/>
    <col min="10757" max="10757" width="8.28515625" style="415" customWidth="1"/>
    <col min="10758" max="10758" width="7.7109375" style="415" customWidth="1"/>
    <col min="10759" max="10759" width="9.7109375" style="415" customWidth="1"/>
    <col min="10760" max="10760" width="7.28515625" style="415" customWidth="1"/>
    <col min="10761" max="10761" width="7.5703125" style="415" customWidth="1"/>
    <col min="10762" max="10762" width="7.7109375" style="415" customWidth="1"/>
    <col min="10763" max="10763" width="7" style="415" customWidth="1"/>
    <col min="10764" max="10764" width="7.7109375" style="415" customWidth="1"/>
    <col min="10765" max="10765" width="7" style="415" customWidth="1"/>
    <col min="10766" max="11008" width="11.5703125" style="415"/>
    <col min="11009" max="11009" width="11.42578125" style="415" customWidth="1"/>
    <col min="11010" max="11010" width="6.140625" style="415" customWidth="1"/>
    <col min="11011" max="11011" width="21.7109375" style="415" customWidth="1"/>
    <col min="11012" max="11012" width="9.28515625" style="415" customWidth="1"/>
    <col min="11013" max="11013" width="8.28515625" style="415" customWidth="1"/>
    <col min="11014" max="11014" width="7.7109375" style="415" customWidth="1"/>
    <col min="11015" max="11015" width="9.7109375" style="415" customWidth="1"/>
    <col min="11016" max="11016" width="7.28515625" style="415" customWidth="1"/>
    <col min="11017" max="11017" width="7.5703125" style="415" customWidth="1"/>
    <col min="11018" max="11018" width="7.7109375" style="415" customWidth="1"/>
    <col min="11019" max="11019" width="7" style="415" customWidth="1"/>
    <col min="11020" max="11020" width="7.7109375" style="415" customWidth="1"/>
    <col min="11021" max="11021" width="7" style="415" customWidth="1"/>
    <col min="11022" max="11264" width="11.5703125" style="415"/>
    <col min="11265" max="11265" width="11.42578125" style="415" customWidth="1"/>
    <col min="11266" max="11266" width="6.140625" style="415" customWidth="1"/>
    <col min="11267" max="11267" width="21.7109375" style="415" customWidth="1"/>
    <col min="11268" max="11268" width="9.28515625" style="415" customWidth="1"/>
    <col min="11269" max="11269" width="8.28515625" style="415" customWidth="1"/>
    <col min="11270" max="11270" width="7.7109375" style="415" customWidth="1"/>
    <col min="11271" max="11271" width="9.7109375" style="415" customWidth="1"/>
    <col min="11272" max="11272" width="7.28515625" style="415" customWidth="1"/>
    <col min="11273" max="11273" width="7.5703125" style="415" customWidth="1"/>
    <col min="11274" max="11274" width="7.7109375" style="415" customWidth="1"/>
    <col min="11275" max="11275" width="7" style="415" customWidth="1"/>
    <col min="11276" max="11276" width="7.7109375" style="415" customWidth="1"/>
    <col min="11277" max="11277" width="7" style="415" customWidth="1"/>
    <col min="11278" max="11520" width="11.5703125" style="415"/>
    <col min="11521" max="11521" width="11.42578125" style="415" customWidth="1"/>
    <col min="11522" max="11522" width="6.140625" style="415" customWidth="1"/>
    <col min="11523" max="11523" width="21.7109375" style="415" customWidth="1"/>
    <col min="11524" max="11524" width="9.28515625" style="415" customWidth="1"/>
    <col min="11525" max="11525" width="8.28515625" style="415" customWidth="1"/>
    <col min="11526" max="11526" width="7.7109375" style="415" customWidth="1"/>
    <col min="11527" max="11527" width="9.7109375" style="415" customWidth="1"/>
    <col min="11528" max="11528" width="7.28515625" style="415" customWidth="1"/>
    <col min="11529" max="11529" width="7.5703125" style="415" customWidth="1"/>
    <col min="11530" max="11530" width="7.7109375" style="415" customWidth="1"/>
    <col min="11531" max="11531" width="7" style="415" customWidth="1"/>
    <col min="11532" max="11532" width="7.7109375" style="415" customWidth="1"/>
    <col min="11533" max="11533" width="7" style="415" customWidth="1"/>
    <col min="11534" max="11776" width="11.5703125" style="415"/>
    <col min="11777" max="11777" width="11.42578125" style="415" customWidth="1"/>
    <col min="11778" max="11778" width="6.140625" style="415" customWidth="1"/>
    <col min="11779" max="11779" width="21.7109375" style="415" customWidth="1"/>
    <col min="11780" max="11780" width="9.28515625" style="415" customWidth="1"/>
    <col min="11781" max="11781" width="8.28515625" style="415" customWidth="1"/>
    <col min="11782" max="11782" width="7.7109375" style="415" customWidth="1"/>
    <col min="11783" max="11783" width="9.7109375" style="415" customWidth="1"/>
    <col min="11784" max="11784" width="7.28515625" style="415" customWidth="1"/>
    <col min="11785" max="11785" width="7.5703125" style="415" customWidth="1"/>
    <col min="11786" max="11786" width="7.7109375" style="415" customWidth="1"/>
    <col min="11787" max="11787" width="7" style="415" customWidth="1"/>
    <col min="11788" max="11788" width="7.7109375" style="415" customWidth="1"/>
    <col min="11789" max="11789" width="7" style="415" customWidth="1"/>
    <col min="11790" max="12032" width="11.5703125" style="415"/>
    <col min="12033" max="12033" width="11.42578125" style="415" customWidth="1"/>
    <col min="12034" max="12034" width="6.140625" style="415" customWidth="1"/>
    <col min="12035" max="12035" width="21.7109375" style="415" customWidth="1"/>
    <col min="12036" max="12036" width="9.28515625" style="415" customWidth="1"/>
    <col min="12037" max="12037" width="8.28515625" style="415" customWidth="1"/>
    <col min="12038" max="12038" width="7.7109375" style="415" customWidth="1"/>
    <col min="12039" max="12039" width="9.7109375" style="415" customWidth="1"/>
    <col min="12040" max="12040" width="7.28515625" style="415" customWidth="1"/>
    <col min="12041" max="12041" width="7.5703125" style="415" customWidth="1"/>
    <col min="12042" max="12042" width="7.7109375" style="415" customWidth="1"/>
    <col min="12043" max="12043" width="7" style="415" customWidth="1"/>
    <col min="12044" max="12044" width="7.7109375" style="415" customWidth="1"/>
    <col min="12045" max="12045" width="7" style="415" customWidth="1"/>
    <col min="12046" max="12288" width="11.5703125" style="415"/>
    <col min="12289" max="12289" width="11.42578125" style="415" customWidth="1"/>
    <col min="12290" max="12290" width="6.140625" style="415" customWidth="1"/>
    <col min="12291" max="12291" width="21.7109375" style="415" customWidth="1"/>
    <col min="12292" max="12292" width="9.28515625" style="415" customWidth="1"/>
    <col min="12293" max="12293" width="8.28515625" style="415" customWidth="1"/>
    <col min="12294" max="12294" width="7.7109375" style="415" customWidth="1"/>
    <col min="12295" max="12295" width="9.7109375" style="415" customWidth="1"/>
    <col min="12296" max="12296" width="7.28515625" style="415" customWidth="1"/>
    <col min="12297" max="12297" width="7.5703125" style="415" customWidth="1"/>
    <col min="12298" max="12298" width="7.7109375" style="415" customWidth="1"/>
    <col min="12299" max="12299" width="7" style="415" customWidth="1"/>
    <col min="12300" max="12300" width="7.7109375" style="415" customWidth="1"/>
    <col min="12301" max="12301" width="7" style="415" customWidth="1"/>
    <col min="12302" max="12544" width="11.5703125" style="415"/>
    <col min="12545" max="12545" width="11.42578125" style="415" customWidth="1"/>
    <col min="12546" max="12546" width="6.140625" style="415" customWidth="1"/>
    <col min="12547" max="12547" width="21.7109375" style="415" customWidth="1"/>
    <col min="12548" max="12548" width="9.28515625" style="415" customWidth="1"/>
    <col min="12549" max="12549" width="8.28515625" style="415" customWidth="1"/>
    <col min="12550" max="12550" width="7.7109375" style="415" customWidth="1"/>
    <col min="12551" max="12551" width="9.7109375" style="415" customWidth="1"/>
    <col min="12552" max="12552" width="7.28515625" style="415" customWidth="1"/>
    <col min="12553" max="12553" width="7.5703125" style="415" customWidth="1"/>
    <col min="12554" max="12554" width="7.7109375" style="415" customWidth="1"/>
    <col min="12555" max="12555" width="7" style="415" customWidth="1"/>
    <col min="12556" max="12556" width="7.7109375" style="415" customWidth="1"/>
    <col min="12557" max="12557" width="7" style="415" customWidth="1"/>
    <col min="12558" max="12800" width="11.5703125" style="415"/>
    <col min="12801" max="12801" width="11.42578125" style="415" customWidth="1"/>
    <col min="12802" max="12802" width="6.140625" style="415" customWidth="1"/>
    <col min="12803" max="12803" width="21.7109375" style="415" customWidth="1"/>
    <col min="12804" max="12804" width="9.28515625" style="415" customWidth="1"/>
    <col min="12805" max="12805" width="8.28515625" style="415" customWidth="1"/>
    <col min="12806" max="12806" width="7.7109375" style="415" customWidth="1"/>
    <col min="12807" max="12807" width="9.7109375" style="415" customWidth="1"/>
    <col min="12808" max="12808" width="7.28515625" style="415" customWidth="1"/>
    <col min="12809" max="12809" width="7.5703125" style="415" customWidth="1"/>
    <col min="12810" max="12810" width="7.7109375" style="415" customWidth="1"/>
    <col min="12811" max="12811" width="7" style="415" customWidth="1"/>
    <col min="12812" max="12812" width="7.7109375" style="415" customWidth="1"/>
    <col min="12813" max="12813" width="7" style="415" customWidth="1"/>
    <col min="12814" max="13056" width="11.5703125" style="415"/>
    <col min="13057" max="13057" width="11.42578125" style="415" customWidth="1"/>
    <col min="13058" max="13058" width="6.140625" style="415" customWidth="1"/>
    <col min="13059" max="13059" width="21.7109375" style="415" customWidth="1"/>
    <col min="13060" max="13060" width="9.28515625" style="415" customWidth="1"/>
    <col min="13061" max="13061" width="8.28515625" style="415" customWidth="1"/>
    <col min="13062" max="13062" width="7.7109375" style="415" customWidth="1"/>
    <col min="13063" max="13063" width="9.7109375" style="415" customWidth="1"/>
    <col min="13064" max="13064" width="7.28515625" style="415" customWidth="1"/>
    <col min="13065" max="13065" width="7.5703125" style="415" customWidth="1"/>
    <col min="13066" max="13066" width="7.7109375" style="415" customWidth="1"/>
    <col min="13067" max="13067" width="7" style="415" customWidth="1"/>
    <col min="13068" max="13068" width="7.7109375" style="415" customWidth="1"/>
    <col min="13069" max="13069" width="7" style="415" customWidth="1"/>
    <col min="13070" max="13312" width="11.5703125" style="415"/>
    <col min="13313" max="13313" width="11.42578125" style="415" customWidth="1"/>
    <col min="13314" max="13314" width="6.140625" style="415" customWidth="1"/>
    <col min="13315" max="13315" width="21.7109375" style="415" customWidth="1"/>
    <col min="13316" max="13316" width="9.28515625" style="415" customWidth="1"/>
    <col min="13317" max="13317" width="8.28515625" style="415" customWidth="1"/>
    <col min="13318" max="13318" width="7.7109375" style="415" customWidth="1"/>
    <col min="13319" max="13319" width="9.7109375" style="415" customWidth="1"/>
    <col min="13320" max="13320" width="7.28515625" style="415" customWidth="1"/>
    <col min="13321" max="13321" width="7.5703125" style="415" customWidth="1"/>
    <col min="13322" max="13322" width="7.7109375" style="415" customWidth="1"/>
    <col min="13323" max="13323" width="7" style="415" customWidth="1"/>
    <col min="13324" max="13324" width="7.7109375" style="415" customWidth="1"/>
    <col min="13325" max="13325" width="7" style="415" customWidth="1"/>
    <col min="13326" max="13568" width="11.5703125" style="415"/>
    <col min="13569" max="13569" width="11.42578125" style="415" customWidth="1"/>
    <col min="13570" max="13570" width="6.140625" style="415" customWidth="1"/>
    <col min="13571" max="13571" width="21.7109375" style="415" customWidth="1"/>
    <col min="13572" max="13572" width="9.28515625" style="415" customWidth="1"/>
    <col min="13573" max="13573" width="8.28515625" style="415" customWidth="1"/>
    <col min="13574" max="13574" width="7.7109375" style="415" customWidth="1"/>
    <col min="13575" max="13575" width="9.7109375" style="415" customWidth="1"/>
    <col min="13576" max="13576" width="7.28515625" style="415" customWidth="1"/>
    <col min="13577" max="13577" width="7.5703125" style="415" customWidth="1"/>
    <col min="13578" max="13578" width="7.7109375" style="415" customWidth="1"/>
    <col min="13579" max="13579" width="7" style="415" customWidth="1"/>
    <col min="13580" max="13580" width="7.7109375" style="415" customWidth="1"/>
    <col min="13581" max="13581" width="7" style="415" customWidth="1"/>
    <col min="13582" max="13824" width="11.5703125" style="415"/>
    <col min="13825" max="13825" width="11.42578125" style="415" customWidth="1"/>
    <col min="13826" max="13826" width="6.140625" style="415" customWidth="1"/>
    <col min="13827" max="13827" width="21.7109375" style="415" customWidth="1"/>
    <col min="13828" max="13828" width="9.28515625" style="415" customWidth="1"/>
    <col min="13829" max="13829" width="8.28515625" style="415" customWidth="1"/>
    <col min="13830" max="13830" width="7.7109375" style="415" customWidth="1"/>
    <col min="13831" max="13831" width="9.7109375" style="415" customWidth="1"/>
    <col min="13832" max="13832" width="7.28515625" style="415" customWidth="1"/>
    <col min="13833" max="13833" width="7.5703125" style="415" customWidth="1"/>
    <col min="13834" max="13834" width="7.7109375" style="415" customWidth="1"/>
    <col min="13835" max="13835" width="7" style="415" customWidth="1"/>
    <col min="13836" max="13836" width="7.7109375" style="415" customWidth="1"/>
    <col min="13837" max="13837" width="7" style="415" customWidth="1"/>
    <col min="13838" max="14080" width="11.5703125" style="415"/>
    <col min="14081" max="14081" width="11.42578125" style="415" customWidth="1"/>
    <col min="14082" max="14082" width="6.140625" style="415" customWidth="1"/>
    <col min="14083" max="14083" width="21.7109375" style="415" customWidth="1"/>
    <col min="14084" max="14084" width="9.28515625" style="415" customWidth="1"/>
    <col min="14085" max="14085" width="8.28515625" style="415" customWidth="1"/>
    <col min="14086" max="14086" width="7.7109375" style="415" customWidth="1"/>
    <col min="14087" max="14087" width="9.7109375" style="415" customWidth="1"/>
    <col min="14088" max="14088" width="7.28515625" style="415" customWidth="1"/>
    <col min="14089" max="14089" width="7.5703125" style="415" customWidth="1"/>
    <col min="14090" max="14090" width="7.7109375" style="415" customWidth="1"/>
    <col min="14091" max="14091" width="7" style="415" customWidth="1"/>
    <col min="14092" max="14092" width="7.7109375" style="415" customWidth="1"/>
    <col min="14093" max="14093" width="7" style="415" customWidth="1"/>
    <col min="14094" max="14336" width="11.5703125" style="415"/>
    <col min="14337" max="14337" width="11.42578125" style="415" customWidth="1"/>
    <col min="14338" max="14338" width="6.140625" style="415" customWidth="1"/>
    <col min="14339" max="14339" width="21.7109375" style="415" customWidth="1"/>
    <col min="14340" max="14340" width="9.28515625" style="415" customWidth="1"/>
    <col min="14341" max="14341" width="8.28515625" style="415" customWidth="1"/>
    <col min="14342" max="14342" width="7.7109375" style="415" customWidth="1"/>
    <col min="14343" max="14343" width="9.7109375" style="415" customWidth="1"/>
    <col min="14344" max="14344" width="7.28515625" style="415" customWidth="1"/>
    <col min="14345" max="14345" width="7.5703125" style="415" customWidth="1"/>
    <col min="14346" max="14346" width="7.7109375" style="415" customWidth="1"/>
    <col min="14347" max="14347" width="7" style="415" customWidth="1"/>
    <col min="14348" max="14348" width="7.7109375" style="415" customWidth="1"/>
    <col min="14349" max="14349" width="7" style="415" customWidth="1"/>
    <col min="14350" max="14592" width="11.5703125" style="415"/>
    <col min="14593" max="14593" width="11.42578125" style="415" customWidth="1"/>
    <col min="14594" max="14594" width="6.140625" style="415" customWidth="1"/>
    <col min="14595" max="14595" width="21.7109375" style="415" customWidth="1"/>
    <col min="14596" max="14596" width="9.28515625" style="415" customWidth="1"/>
    <col min="14597" max="14597" width="8.28515625" style="415" customWidth="1"/>
    <col min="14598" max="14598" width="7.7109375" style="415" customWidth="1"/>
    <col min="14599" max="14599" width="9.7109375" style="415" customWidth="1"/>
    <col min="14600" max="14600" width="7.28515625" style="415" customWidth="1"/>
    <col min="14601" max="14601" width="7.5703125" style="415" customWidth="1"/>
    <col min="14602" max="14602" width="7.7109375" style="415" customWidth="1"/>
    <col min="14603" max="14603" width="7" style="415" customWidth="1"/>
    <col min="14604" max="14604" width="7.7109375" style="415" customWidth="1"/>
    <col min="14605" max="14605" width="7" style="415" customWidth="1"/>
    <col min="14606" max="14848" width="11.5703125" style="415"/>
    <col min="14849" max="14849" width="11.42578125" style="415" customWidth="1"/>
    <col min="14850" max="14850" width="6.140625" style="415" customWidth="1"/>
    <col min="14851" max="14851" width="21.7109375" style="415" customWidth="1"/>
    <col min="14852" max="14852" width="9.28515625" style="415" customWidth="1"/>
    <col min="14853" max="14853" width="8.28515625" style="415" customWidth="1"/>
    <col min="14854" max="14854" width="7.7109375" style="415" customWidth="1"/>
    <col min="14855" max="14855" width="9.7109375" style="415" customWidth="1"/>
    <col min="14856" max="14856" width="7.28515625" style="415" customWidth="1"/>
    <col min="14857" max="14857" width="7.5703125" style="415" customWidth="1"/>
    <col min="14858" max="14858" width="7.7109375" style="415" customWidth="1"/>
    <col min="14859" max="14859" width="7" style="415" customWidth="1"/>
    <col min="14860" max="14860" width="7.7109375" style="415" customWidth="1"/>
    <col min="14861" max="14861" width="7" style="415" customWidth="1"/>
    <col min="14862" max="15104" width="11.5703125" style="415"/>
    <col min="15105" max="15105" width="11.42578125" style="415" customWidth="1"/>
    <col min="15106" max="15106" width="6.140625" style="415" customWidth="1"/>
    <col min="15107" max="15107" width="21.7109375" style="415" customWidth="1"/>
    <col min="15108" max="15108" width="9.28515625" style="415" customWidth="1"/>
    <col min="15109" max="15109" width="8.28515625" style="415" customWidth="1"/>
    <col min="15110" max="15110" width="7.7109375" style="415" customWidth="1"/>
    <col min="15111" max="15111" width="9.7109375" style="415" customWidth="1"/>
    <col min="15112" max="15112" width="7.28515625" style="415" customWidth="1"/>
    <col min="15113" max="15113" width="7.5703125" style="415" customWidth="1"/>
    <col min="15114" max="15114" width="7.7109375" style="415" customWidth="1"/>
    <col min="15115" max="15115" width="7" style="415" customWidth="1"/>
    <col min="15116" max="15116" width="7.7109375" style="415" customWidth="1"/>
    <col min="15117" max="15117" width="7" style="415" customWidth="1"/>
    <col min="15118" max="15360" width="11.5703125" style="415"/>
    <col min="15361" max="15361" width="11.42578125" style="415" customWidth="1"/>
    <col min="15362" max="15362" width="6.140625" style="415" customWidth="1"/>
    <col min="15363" max="15363" width="21.7109375" style="415" customWidth="1"/>
    <col min="15364" max="15364" width="9.28515625" style="415" customWidth="1"/>
    <col min="15365" max="15365" width="8.28515625" style="415" customWidth="1"/>
    <col min="15366" max="15366" width="7.7109375" style="415" customWidth="1"/>
    <col min="15367" max="15367" width="9.7109375" style="415" customWidth="1"/>
    <col min="15368" max="15368" width="7.28515625" style="415" customWidth="1"/>
    <col min="15369" max="15369" width="7.5703125" style="415" customWidth="1"/>
    <col min="15370" max="15370" width="7.7109375" style="415" customWidth="1"/>
    <col min="15371" max="15371" width="7" style="415" customWidth="1"/>
    <col min="15372" max="15372" width="7.7109375" style="415" customWidth="1"/>
    <col min="15373" max="15373" width="7" style="415" customWidth="1"/>
    <col min="15374" max="15616" width="11.5703125" style="415"/>
    <col min="15617" max="15617" width="11.42578125" style="415" customWidth="1"/>
    <col min="15618" max="15618" width="6.140625" style="415" customWidth="1"/>
    <col min="15619" max="15619" width="21.7109375" style="415" customWidth="1"/>
    <col min="15620" max="15620" width="9.28515625" style="415" customWidth="1"/>
    <col min="15621" max="15621" width="8.28515625" style="415" customWidth="1"/>
    <col min="15622" max="15622" width="7.7109375" style="415" customWidth="1"/>
    <col min="15623" max="15623" width="9.7109375" style="415" customWidth="1"/>
    <col min="15624" max="15624" width="7.28515625" style="415" customWidth="1"/>
    <col min="15625" max="15625" width="7.5703125" style="415" customWidth="1"/>
    <col min="15626" max="15626" width="7.7109375" style="415" customWidth="1"/>
    <col min="15627" max="15627" width="7" style="415" customWidth="1"/>
    <col min="15628" max="15628" width="7.7109375" style="415" customWidth="1"/>
    <col min="15629" max="15629" width="7" style="415" customWidth="1"/>
    <col min="15630" max="15872" width="11.5703125" style="415"/>
    <col min="15873" max="15873" width="11.42578125" style="415" customWidth="1"/>
    <col min="15874" max="15874" width="6.140625" style="415" customWidth="1"/>
    <col min="15875" max="15875" width="21.7109375" style="415" customWidth="1"/>
    <col min="15876" max="15876" width="9.28515625" style="415" customWidth="1"/>
    <col min="15877" max="15877" width="8.28515625" style="415" customWidth="1"/>
    <col min="15878" max="15878" width="7.7109375" style="415" customWidth="1"/>
    <col min="15879" max="15879" width="9.7109375" style="415" customWidth="1"/>
    <col min="15880" max="15880" width="7.28515625" style="415" customWidth="1"/>
    <col min="15881" max="15881" width="7.5703125" style="415" customWidth="1"/>
    <col min="15882" max="15882" width="7.7109375" style="415" customWidth="1"/>
    <col min="15883" max="15883" width="7" style="415" customWidth="1"/>
    <col min="15884" max="15884" width="7.7109375" style="415" customWidth="1"/>
    <col min="15885" max="15885" width="7" style="415" customWidth="1"/>
    <col min="15886" max="16128" width="11.5703125" style="415"/>
    <col min="16129" max="16129" width="11.42578125" style="415" customWidth="1"/>
    <col min="16130" max="16130" width="6.140625" style="415" customWidth="1"/>
    <col min="16131" max="16131" width="21.7109375" style="415" customWidth="1"/>
    <col min="16132" max="16132" width="9.28515625" style="415" customWidth="1"/>
    <col min="16133" max="16133" width="8.28515625" style="415" customWidth="1"/>
    <col min="16134" max="16134" width="7.7109375" style="415" customWidth="1"/>
    <col min="16135" max="16135" width="9.7109375" style="415" customWidth="1"/>
    <col min="16136" max="16136" width="7.28515625" style="415" customWidth="1"/>
    <col min="16137" max="16137" width="7.5703125" style="415" customWidth="1"/>
    <col min="16138" max="16138" width="7.7109375" style="415" customWidth="1"/>
    <col min="16139" max="16139" width="7" style="415" customWidth="1"/>
    <col min="16140" max="16140" width="7.7109375" style="415" customWidth="1"/>
    <col min="16141" max="16141" width="7" style="415" customWidth="1"/>
    <col min="16142" max="16384" width="11.5703125" style="415"/>
  </cols>
  <sheetData>
    <row r="1" spans="1:15" ht="26.25" customHeight="1" x14ac:dyDescent="0.4">
      <c r="A1" s="448" t="s">
        <v>534</v>
      </c>
      <c r="B1" s="449"/>
      <c r="C1" s="450"/>
      <c r="F1" s="451" t="s">
        <v>548</v>
      </c>
      <c r="G1" s="452"/>
      <c r="H1" s="452"/>
      <c r="I1" s="452"/>
      <c r="J1" s="452"/>
      <c r="K1" s="452"/>
      <c r="L1" s="453"/>
    </row>
    <row r="2" spans="1:15" ht="21" customHeight="1" x14ac:dyDescent="0.35">
      <c r="A2" s="444" t="s">
        <v>536</v>
      </c>
      <c r="B2" s="445"/>
      <c r="C2" s="416" t="s">
        <v>537</v>
      </c>
      <c r="F2" s="444" t="s">
        <v>536</v>
      </c>
      <c r="G2" s="445"/>
      <c r="H2" s="446" t="s">
        <v>549</v>
      </c>
      <c r="I2" s="446"/>
      <c r="J2" s="446"/>
      <c r="K2" s="446"/>
      <c r="L2" s="447"/>
    </row>
    <row r="3" spans="1:15" ht="21.75" customHeight="1" x14ac:dyDescent="0.35">
      <c r="A3" s="444" t="s">
        <v>538</v>
      </c>
      <c r="B3" s="445"/>
      <c r="C3" s="416" t="s">
        <v>539</v>
      </c>
      <c r="F3" s="444" t="s">
        <v>538</v>
      </c>
      <c r="G3" s="445"/>
      <c r="H3" s="446" t="s">
        <v>550</v>
      </c>
      <c r="I3" s="446"/>
      <c r="J3" s="446"/>
      <c r="K3" s="446"/>
      <c r="L3" s="447"/>
    </row>
    <row r="4" spans="1:15" ht="21.75" thickBot="1" x14ac:dyDescent="0.4">
      <c r="A4" s="454" t="s">
        <v>540</v>
      </c>
      <c r="B4" s="455"/>
      <c r="C4" s="417" t="s">
        <v>541</v>
      </c>
      <c r="F4" s="454" t="s">
        <v>540</v>
      </c>
      <c r="G4" s="455"/>
      <c r="H4" s="456" t="s">
        <v>551</v>
      </c>
      <c r="I4" s="456"/>
      <c r="J4" s="456"/>
      <c r="K4" s="456"/>
      <c r="L4" s="457"/>
    </row>
    <row r="5" spans="1:15" ht="7.5" customHeight="1" thickBot="1" x14ac:dyDescent="0.4">
      <c r="A5" s="418"/>
      <c r="C5" s="418"/>
    </row>
    <row r="6" spans="1:15" ht="35.450000000000003" customHeight="1" thickBot="1" x14ac:dyDescent="0.25">
      <c r="A6" s="458" t="s">
        <v>535</v>
      </c>
      <c r="B6" s="459"/>
      <c r="C6" s="460"/>
      <c r="F6" s="461" t="s">
        <v>542</v>
      </c>
      <c r="G6" s="462"/>
      <c r="H6" s="463"/>
      <c r="I6" s="464">
        <f ca="1">+TODAY()</f>
        <v>46099</v>
      </c>
      <c r="J6" s="465"/>
      <c r="K6" s="465"/>
      <c r="L6" s="465"/>
      <c r="M6" s="466"/>
    </row>
    <row r="7" spans="1:15" ht="3" customHeight="1" thickBot="1" x14ac:dyDescent="0.25"/>
    <row r="8" spans="1:15" ht="42.75" customHeight="1" thickBot="1" x14ac:dyDescent="0.25">
      <c r="A8" s="473" t="s">
        <v>543</v>
      </c>
      <c r="B8" s="474"/>
      <c r="C8" s="419" t="s">
        <v>569</v>
      </c>
      <c r="D8" s="420" t="s">
        <v>544</v>
      </c>
      <c r="E8" s="421">
        <v>3372</v>
      </c>
      <c r="F8" s="473" t="s">
        <v>545</v>
      </c>
      <c r="G8" s="475"/>
      <c r="H8" s="474"/>
      <c r="I8" s="476" t="s">
        <v>539</v>
      </c>
      <c r="J8" s="477"/>
      <c r="K8" s="477"/>
      <c r="L8" s="477"/>
      <c r="M8" s="478"/>
    </row>
    <row r="9" spans="1:15" ht="7.5" customHeight="1" thickBot="1" x14ac:dyDescent="0.4">
      <c r="A9" s="418"/>
      <c r="C9" s="418"/>
    </row>
    <row r="10" spans="1:15" ht="39.6" customHeight="1" thickBot="1" x14ac:dyDescent="0.25">
      <c r="A10" s="479" t="s">
        <v>552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1"/>
    </row>
    <row r="11" spans="1:15" ht="6" customHeight="1" thickBot="1" x14ac:dyDescent="0.4">
      <c r="A11" s="418"/>
      <c r="C11" s="418"/>
    </row>
    <row r="12" spans="1:15" ht="27" thickBot="1" x14ac:dyDescent="0.25">
      <c r="A12" s="482" t="s">
        <v>553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</row>
    <row r="13" spans="1:15" ht="38.25" thickBot="1" x14ac:dyDescent="0.25">
      <c r="A13" s="422" t="s">
        <v>311</v>
      </c>
      <c r="B13" s="423" t="s">
        <v>533</v>
      </c>
      <c r="C13" s="424" t="s">
        <v>554</v>
      </c>
      <c r="D13" s="425" t="s">
        <v>555</v>
      </c>
      <c r="E13" s="426" t="s">
        <v>285</v>
      </c>
      <c r="F13" s="426" t="s">
        <v>556</v>
      </c>
      <c r="G13" s="423" t="s">
        <v>557</v>
      </c>
      <c r="H13" s="423" t="s">
        <v>558</v>
      </c>
      <c r="I13" s="423" t="s">
        <v>559</v>
      </c>
      <c r="J13" s="423" t="s">
        <v>558</v>
      </c>
      <c r="K13" s="423" t="s">
        <v>559</v>
      </c>
      <c r="L13" s="423" t="s">
        <v>558</v>
      </c>
      <c r="M13" s="423" t="s">
        <v>559</v>
      </c>
    </row>
    <row r="14" spans="1:15" ht="33.6" customHeight="1" x14ac:dyDescent="0.2">
      <c r="A14" s="467" t="str" cm="1">
        <f t="array" ref="A14">+IFERROR(INDEX('Conteo 18-02-26'!$B:$B,MATCH(1,('Conteo 18-02-26'!$E:$E=$B14)*('Conteo 18-02-26'!$A:$A="Rueda y Cia"),0)),"")</f>
        <v/>
      </c>
      <c r="B14" s="469">
        <v>1</v>
      </c>
      <c r="C14" s="471" t="str" cm="1">
        <f t="array" ref="C14">+IFERROR(INDEX('Conteo 18-02-26'!$C:$C,MATCH(1,('Conteo 18-02-26'!$E:$E=$B14)*('Conteo 18-02-26'!$A:$A="Rueda y Cia"),0)),"")</f>
        <v/>
      </c>
      <c r="D14" s="471" t="str" cm="1">
        <f t="array" ref="D14">+IFERROR(INDEX('Conteo 18-02-26'!$D:$D,MATCH(1,('Conteo 18-02-26'!$E:$E=$B14)*('Conteo 18-02-26'!A:A:'Conteo 18-02-26'!$A:$A="Rueda y Cia"),0)),"")</f>
        <v/>
      </c>
      <c r="E14" s="427" t="str">
        <f>+IF(E13="LK","CH",IF(D14="","",IF(D14&gt;0,"LK","CH")))</f>
        <v/>
      </c>
      <c r="F14" s="427" t="str">
        <f>+IF(OR(E14="LK"),ROUNDUP(D14*(VLOOKUP(B14,'Conteo 18-02-26'!$E:$AN,35,0))/100,0),IF(E14="CH",D13-F13,""))</f>
        <v/>
      </c>
      <c r="G14" s="469"/>
      <c r="H14" s="428"/>
      <c r="I14" s="429"/>
      <c r="J14" s="428"/>
      <c r="K14" s="429"/>
      <c r="L14" s="428"/>
      <c r="M14" s="430"/>
      <c r="O14" s="431"/>
    </row>
    <row r="15" spans="1:15" ht="33.6" customHeight="1" x14ac:dyDescent="0.2">
      <c r="A15" s="468"/>
      <c r="B15" s="470"/>
      <c r="C15" s="472"/>
      <c r="D15" s="472"/>
      <c r="E15" s="427" t="str">
        <f t="shared" ref="E15:E43" si="0">+IF(E14="LK","CH",IF(D15="","",IF(D15&gt;0,"LK","CH")))</f>
        <v/>
      </c>
      <c r="F15" s="432" t="str">
        <f>+IF(OR(E15="LK"),ROUNDUP(D15*(VLOOKUP(B15,'Conteo 18-02-26'!$E:$AN,35,0))/100,0),IF(E15="CH",D14-F14,""))</f>
        <v/>
      </c>
      <c r="G15" s="470"/>
      <c r="H15" s="433"/>
      <c r="I15" s="434"/>
      <c r="J15" s="433"/>
      <c r="K15" s="434"/>
      <c r="L15" s="433"/>
      <c r="M15" s="435"/>
    </row>
    <row r="16" spans="1:15" ht="33.6" customHeight="1" x14ac:dyDescent="0.2">
      <c r="A16" s="485" t="str" cm="1">
        <f t="array" ref="A16">+IFERROR(INDEX('Conteo 18-02-26'!$B:$B,MATCH(1,('Conteo 18-02-26'!$E:$E=$B16)*('Conteo 18-02-26'!$A:$A="Rueda y Cia"),0)),"")</f>
        <v/>
      </c>
      <c r="B16" s="470">
        <f>+B14+1</f>
        <v>2</v>
      </c>
      <c r="C16" s="472" t="str" cm="1">
        <f t="array" ref="C16">+IFERROR(INDEX('Conteo 18-02-26'!$C:$C,MATCH(1,('Conteo 18-02-26'!$E:$E=$B16)*('Conteo 18-02-26'!$A:$A="Rueda y Cia"),0)),"")</f>
        <v/>
      </c>
      <c r="D16" s="470" t="str" cm="1">
        <f t="array" ref="D16">+IFERROR(INDEX('Conteo 18-02-26'!$D:$D,MATCH(1,('Conteo 18-02-26'!$E:$E=$B16)*('Conteo 18-02-26'!A:A:'Conteo 18-02-26'!$A:$A="Rueda y Cia"),0)),"")</f>
        <v/>
      </c>
      <c r="E16" s="427" t="str">
        <f t="shared" si="0"/>
        <v/>
      </c>
      <c r="F16" s="432" t="str">
        <f>+IF(OR(E16="LK"),ROUNDUP(D16*(VLOOKUP(B16,'Conteo 18-02-26'!$E:$AN,35,0))/100,0),IF(E16="CH",D15-F15,""))</f>
        <v/>
      </c>
      <c r="G16" s="470"/>
      <c r="H16" s="434"/>
      <c r="I16" s="434"/>
      <c r="J16" s="434"/>
      <c r="K16" s="434"/>
      <c r="L16" s="434"/>
      <c r="M16" s="435"/>
    </row>
    <row r="17" spans="1:13" ht="33.6" customHeight="1" x14ac:dyDescent="0.2">
      <c r="A17" s="485"/>
      <c r="B17" s="470"/>
      <c r="C17" s="472"/>
      <c r="D17" s="470"/>
      <c r="E17" s="427" t="str">
        <f t="shared" si="0"/>
        <v/>
      </c>
      <c r="F17" s="432" t="str">
        <f>+IF(OR(E17="LK"),ROUNDUP(D17*(VLOOKUP(B17,'Conteo 18-02-26'!$E:$AN,35,0))/100,0),IF(E17="CH",D16-F16,""))</f>
        <v/>
      </c>
      <c r="G17" s="470"/>
      <c r="H17" s="434"/>
      <c r="I17" s="434"/>
      <c r="J17" s="434"/>
      <c r="K17" s="434"/>
      <c r="L17" s="434"/>
      <c r="M17" s="435"/>
    </row>
    <row r="18" spans="1:13" ht="33.6" customHeight="1" x14ac:dyDescent="0.2">
      <c r="A18" s="485" t="str" cm="1">
        <f t="array" ref="A18">+IFERROR(INDEX('Conteo 18-02-26'!$B:$B,MATCH(1,('Conteo 18-02-26'!$E:$E=$B18)*('Conteo 18-02-26'!$A:$A="Rueda y Cia"),0)),"")</f>
        <v/>
      </c>
      <c r="B18" s="470">
        <f>+B16+1</f>
        <v>3</v>
      </c>
      <c r="C18" s="472" t="str" cm="1">
        <f t="array" ref="C18">+IFERROR(INDEX('Conteo 18-02-26'!$C:$C,MATCH(1,('Conteo 18-02-26'!$E:$E=$B18)*('Conteo 18-02-26'!$A:$A="Rueda y Cia"),0)),"")</f>
        <v/>
      </c>
      <c r="D18" s="470" t="str" cm="1">
        <f t="array" ref="D18">+IFERROR(INDEX('Conteo 18-02-26'!$D:$D,MATCH(1,('Conteo 18-02-26'!$E:$E=$B18)*('Conteo 18-02-26'!A:A:'Conteo 18-02-26'!$A:$A="Rueda y Cia"),0)),"")</f>
        <v/>
      </c>
      <c r="E18" s="427" t="str">
        <f t="shared" si="0"/>
        <v/>
      </c>
      <c r="F18" s="432" t="str">
        <f>+IF(OR(E18="LK"),ROUNDUP(D18*(VLOOKUP(B18,'Conteo 18-02-26'!$E:$AN,35,0))/100,0),IF(E18="CH",D17-F17,""))</f>
        <v/>
      </c>
      <c r="G18" s="470"/>
      <c r="H18" s="434"/>
      <c r="I18" s="434"/>
      <c r="J18" s="434"/>
      <c r="K18" s="434"/>
      <c r="L18" s="434"/>
      <c r="M18" s="435"/>
    </row>
    <row r="19" spans="1:13" ht="33.6" customHeight="1" x14ac:dyDescent="0.2">
      <c r="A19" s="485"/>
      <c r="B19" s="470"/>
      <c r="C19" s="472"/>
      <c r="D19" s="470"/>
      <c r="E19" s="427" t="str">
        <f t="shared" si="0"/>
        <v/>
      </c>
      <c r="F19" s="432" t="str">
        <f>+IF(OR(E19="LK"),ROUNDUP(D19*(VLOOKUP(B19,'Conteo 18-02-26'!$E:$AN,35,0))/100,0),IF(E19="CH",D18-F18,""))</f>
        <v/>
      </c>
      <c r="G19" s="470"/>
      <c r="H19" s="434"/>
      <c r="I19" s="434"/>
      <c r="J19" s="434"/>
      <c r="K19" s="434"/>
      <c r="L19" s="434"/>
      <c r="M19" s="435"/>
    </row>
    <row r="20" spans="1:13" ht="33.6" customHeight="1" x14ac:dyDescent="0.2">
      <c r="A20" s="485" t="str" cm="1">
        <f t="array" ref="A20">+IFERROR(INDEX('Conteo 18-02-26'!$B:$B,MATCH(1,('Conteo 18-02-26'!$E:$E=$B20)*('Conteo 18-02-26'!$A:$A="Rueda y Cia"),0)),"")</f>
        <v/>
      </c>
      <c r="B20" s="470">
        <f>+B18+1</f>
        <v>4</v>
      </c>
      <c r="C20" s="472" t="str" cm="1">
        <f t="array" ref="C20">+IFERROR(INDEX('Conteo 18-02-26'!$C:$C,MATCH(1,('Conteo 18-02-26'!$E:$E=$B20)*('Conteo 18-02-26'!$A:$A="Rueda y Cia"),0)),"")</f>
        <v/>
      </c>
      <c r="D20" s="470" t="str" cm="1">
        <f t="array" ref="D20">+IFERROR(INDEX('Conteo 18-02-26'!$D:$D,MATCH(1,('Conteo 18-02-26'!$E:$E=$B20)*('Conteo 18-02-26'!A:A:'Conteo 18-02-26'!$A:$A="Rueda y Cia"),0)),"")</f>
        <v/>
      </c>
      <c r="E20" s="427" t="str">
        <f t="shared" si="0"/>
        <v/>
      </c>
      <c r="F20" s="432" t="str">
        <f>+IF(OR(E20="LK"),ROUNDUP(D20*(VLOOKUP(B20,'Conteo 18-02-26'!$E:$AN,35,0))/100,0),IF(E20="CH",D19-F19,""))</f>
        <v/>
      </c>
      <c r="G20" s="470"/>
      <c r="H20" s="434"/>
      <c r="I20" s="434"/>
      <c r="J20" s="434"/>
      <c r="K20" s="434"/>
      <c r="L20" s="434"/>
      <c r="M20" s="435"/>
    </row>
    <row r="21" spans="1:13" ht="33.6" customHeight="1" x14ac:dyDescent="0.2">
      <c r="A21" s="485"/>
      <c r="B21" s="470"/>
      <c r="C21" s="472"/>
      <c r="D21" s="470"/>
      <c r="E21" s="427" t="str">
        <f t="shared" si="0"/>
        <v/>
      </c>
      <c r="F21" s="432" t="str">
        <f>+IF(OR(E21="LK"),ROUNDUP(D21*(VLOOKUP(B21,'Conteo 18-02-26'!$E:$AN,35,0))/100,0),IF(E21="CH",D20-F20,""))</f>
        <v/>
      </c>
      <c r="G21" s="470"/>
      <c r="H21" s="434"/>
      <c r="I21" s="434"/>
      <c r="J21" s="434"/>
      <c r="K21" s="434"/>
      <c r="L21" s="434"/>
      <c r="M21" s="435"/>
    </row>
    <row r="22" spans="1:13" ht="33.6" customHeight="1" x14ac:dyDescent="0.2">
      <c r="A22" s="485" t="str" cm="1">
        <f t="array" ref="A22">+IFERROR(INDEX('Conteo 18-02-26'!$B:$B,MATCH(1,('Conteo 18-02-26'!$E:$E=$B22)*('Conteo 18-02-26'!$A:$A="Rueda y Cia"),0)),"")</f>
        <v/>
      </c>
      <c r="B22" s="470">
        <f>+B20+1</f>
        <v>5</v>
      </c>
      <c r="C22" s="472" t="str" cm="1">
        <f t="array" ref="C22">+IFERROR(INDEX('Conteo 18-02-26'!$C:$C,MATCH(1,('Conteo 18-02-26'!$E:$E=$B22)*('Conteo 18-02-26'!$A:$A="Rueda y Cia"),0)),"")</f>
        <v/>
      </c>
      <c r="D22" s="470" t="str" cm="1">
        <f t="array" ref="D22">+IFERROR(INDEX('Conteo 18-02-26'!$D:$D,MATCH(1,('Conteo 18-02-26'!$E:$E=$B22)*('Conteo 18-02-26'!A:A:'Conteo 18-02-26'!$A:$A="Rueda y Cia"),0)),"")</f>
        <v/>
      </c>
      <c r="E22" s="427" t="str">
        <f t="shared" si="0"/>
        <v/>
      </c>
      <c r="F22" s="432" t="str">
        <f>+IF(OR(E22="LK"),ROUNDUP(D22*(VLOOKUP(B22,'Conteo 18-02-26'!$E:$AN,35,0))/100,0),IF(E22="CH",D21-F21,""))</f>
        <v/>
      </c>
      <c r="G22" s="470"/>
      <c r="H22" s="434"/>
      <c r="I22" s="434"/>
      <c r="J22" s="434"/>
      <c r="K22" s="434"/>
      <c r="L22" s="434"/>
      <c r="M22" s="435"/>
    </row>
    <row r="23" spans="1:13" ht="33.6" customHeight="1" x14ac:dyDescent="0.2">
      <c r="A23" s="485"/>
      <c r="B23" s="470"/>
      <c r="C23" s="472"/>
      <c r="D23" s="470"/>
      <c r="E23" s="427" t="str">
        <f t="shared" si="0"/>
        <v/>
      </c>
      <c r="F23" s="432" t="str">
        <f>+IF(OR(E23="LK"),ROUNDUP(D23*(VLOOKUP(B23,'Conteo 18-02-26'!$E:$AN,35,0))/100,0),IF(E23="CH",D22-F22,""))</f>
        <v/>
      </c>
      <c r="G23" s="470"/>
      <c r="H23" s="434"/>
      <c r="I23" s="434"/>
      <c r="J23" s="434"/>
      <c r="K23" s="434"/>
      <c r="L23" s="434"/>
      <c r="M23" s="435"/>
    </row>
    <row r="24" spans="1:13" ht="33.6" customHeight="1" x14ac:dyDescent="0.2">
      <c r="A24" s="485" t="str" cm="1">
        <f t="array" ref="A24">+IFERROR(INDEX('Conteo 18-02-26'!$B:$B,MATCH(1,('Conteo 18-02-26'!$E:$E=$B24)*('Conteo 18-02-26'!$A:$A="Rueda y Cia"),0)),"")</f>
        <v/>
      </c>
      <c r="B24" s="470">
        <f>+B22+1</f>
        <v>6</v>
      </c>
      <c r="C24" s="472" t="str" cm="1">
        <f t="array" ref="C24">+IFERROR(INDEX('Conteo 18-02-26'!$C:$C,MATCH(1,('Conteo 18-02-26'!$E:$E=$B24)*('Conteo 18-02-26'!$A:$A="Rueda y Cia"),0)),"")</f>
        <v/>
      </c>
      <c r="D24" s="470" t="str" cm="1">
        <f t="array" ref="D24">+IFERROR(INDEX('Conteo 18-02-26'!$D:$D,MATCH(1,('Conteo 18-02-26'!$E:$E=$B24)*('Conteo 18-02-26'!A:A:'Conteo 18-02-26'!$A:$A="Rueda y Cia"),0)),"")</f>
        <v/>
      </c>
      <c r="E24" s="427" t="str">
        <f t="shared" si="0"/>
        <v/>
      </c>
      <c r="F24" s="432" t="str">
        <f>+IF(OR(E24="LK"),ROUNDUP(D24*(VLOOKUP(B24,'Conteo 18-02-26'!$E:$AN,35,0))/100,0),IF(E24="CH",D23-F23,""))</f>
        <v/>
      </c>
      <c r="G24" s="470"/>
      <c r="H24" s="434"/>
      <c r="I24" s="434"/>
      <c r="J24" s="434"/>
      <c r="K24" s="434"/>
      <c r="L24" s="434"/>
      <c r="M24" s="435"/>
    </row>
    <row r="25" spans="1:13" ht="33.6" customHeight="1" x14ac:dyDescent="0.2">
      <c r="A25" s="485"/>
      <c r="B25" s="470"/>
      <c r="C25" s="472"/>
      <c r="D25" s="470"/>
      <c r="E25" s="427" t="str">
        <f t="shared" si="0"/>
        <v/>
      </c>
      <c r="F25" s="432" t="str">
        <f>+IF(OR(E25="LK"),ROUNDUP(D25*(VLOOKUP(B25,'Conteo 18-02-26'!$E:$AN,35,0))/100,0),IF(E25="CH",D24-F24,""))</f>
        <v/>
      </c>
      <c r="G25" s="470"/>
      <c r="H25" s="434"/>
      <c r="I25" s="434"/>
      <c r="J25" s="434"/>
      <c r="K25" s="434"/>
      <c r="L25" s="434"/>
      <c r="M25" s="435"/>
    </row>
    <row r="26" spans="1:13" ht="33.6" customHeight="1" x14ac:dyDescent="0.2">
      <c r="A26" s="485" t="str" cm="1">
        <f t="array" ref="A26">+IFERROR(INDEX('Conteo 18-02-26'!$B:$B,MATCH(1,('Conteo 18-02-26'!$E:$E=$B26)*('Conteo 18-02-26'!$A:$A="Rueda y Cia"),0)),"")</f>
        <v/>
      </c>
      <c r="B26" s="470">
        <f>+B24+1</f>
        <v>7</v>
      </c>
      <c r="C26" s="472" t="str" cm="1">
        <f t="array" ref="C26">+IFERROR(INDEX('Conteo 18-02-26'!$C:$C,MATCH(1,('Conteo 18-02-26'!$E:$E=$B26)*('Conteo 18-02-26'!$A:$A="Rueda y Cia"),0)),"")</f>
        <v/>
      </c>
      <c r="D26" s="470" t="str" cm="1">
        <f t="array" ref="D26">+IFERROR(INDEX('Conteo 18-02-26'!$D:$D,MATCH(1,('Conteo 18-02-26'!$E:$E=$B26)*('Conteo 18-02-26'!A:A:'Conteo 18-02-26'!$A:$A="Rueda y Cia"),0)),"")</f>
        <v/>
      </c>
      <c r="E26" s="427" t="str">
        <f t="shared" si="0"/>
        <v/>
      </c>
      <c r="F26" s="432" t="str">
        <f>+IF(OR(E26="LK"),ROUNDUP(D26*(VLOOKUP(B26,'Conteo 18-02-26'!$E:$AN,35,0))/100,0),IF(E26="CH",D25-F25,""))</f>
        <v/>
      </c>
      <c r="G26" s="470"/>
      <c r="H26" s="434"/>
      <c r="I26" s="434"/>
      <c r="J26" s="434"/>
      <c r="K26" s="434"/>
      <c r="L26" s="434"/>
      <c r="M26" s="435"/>
    </row>
    <row r="27" spans="1:13" ht="33.6" customHeight="1" x14ac:dyDescent="0.2">
      <c r="A27" s="485"/>
      <c r="B27" s="470"/>
      <c r="C27" s="472"/>
      <c r="D27" s="470"/>
      <c r="E27" s="427" t="str">
        <f t="shared" si="0"/>
        <v/>
      </c>
      <c r="F27" s="432" t="str">
        <f>+IF(OR(E27="LK"),ROUNDUP(D27*(VLOOKUP(B27,'Conteo 18-02-26'!$E:$AN,35,0))/100,0),IF(E27="CH",D26-F26,""))</f>
        <v/>
      </c>
      <c r="G27" s="470"/>
      <c r="H27" s="434"/>
      <c r="I27" s="434"/>
      <c r="J27" s="434"/>
      <c r="K27" s="434"/>
      <c r="L27" s="434"/>
      <c r="M27" s="435"/>
    </row>
    <row r="28" spans="1:13" ht="33.6" customHeight="1" x14ac:dyDescent="0.2">
      <c r="A28" s="485" t="str" cm="1">
        <f t="array" ref="A28">+IFERROR(INDEX('Conteo 18-02-26'!$B:$B,MATCH(1,('Conteo 18-02-26'!$E:$E=$B28)*('Conteo 18-02-26'!$A:$A="Rueda y Cia"),0)),"")</f>
        <v/>
      </c>
      <c r="B28" s="470">
        <f>+B26+1</f>
        <v>8</v>
      </c>
      <c r="C28" s="472" t="str" cm="1">
        <f t="array" ref="C28">+IFERROR(INDEX('Conteo 18-02-26'!$C:$C,MATCH(1,('Conteo 18-02-26'!$E:$E=$B28)*('Conteo 18-02-26'!$A:$A="Rueda y Cia"),0)),"")</f>
        <v/>
      </c>
      <c r="D28" s="470" t="str" cm="1">
        <f t="array" ref="D28">+IFERROR(INDEX('Conteo 18-02-26'!$D:$D,MATCH(1,('Conteo 18-02-26'!$E:$E=$B28)*('Conteo 18-02-26'!A:A:'Conteo 18-02-26'!$A:$A="Rueda y Cia"),0)),"")</f>
        <v/>
      </c>
      <c r="E28" s="427" t="str">
        <f t="shared" si="0"/>
        <v/>
      </c>
      <c r="F28" s="432" t="str">
        <f>+IF(OR(E28="LK"),ROUNDUP(D28*(VLOOKUP(B28,'Conteo 18-02-26'!$E:$AN,35,0))/100,0),IF(E28="CH",D27-F27,""))</f>
        <v/>
      </c>
      <c r="G28" s="470"/>
      <c r="H28" s="434"/>
      <c r="I28" s="434"/>
      <c r="J28" s="434"/>
      <c r="K28" s="434"/>
      <c r="L28" s="434"/>
      <c r="M28" s="435"/>
    </row>
    <row r="29" spans="1:13" ht="33.6" customHeight="1" x14ac:dyDescent="0.2">
      <c r="A29" s="485"/>
      <c r="B29" s="470"/>
      <c r="C29" s="472"/>
      <c r="D29" s="470"/>
      <c r="E29" s="427" t="str">
        <f t="shared" si="0"/>
        <v/>
      </c>
      <c r="F29" s="432" t="str">
        <f>+IF(OR(E29="LK"),ROUNDUP(D29*(VLOOKUP(B29,'Conteo 18-02-26'!$E:$AN,35,0))/100,0),IF(E29="CH",D28-F28,""))</f>
        <v/>
      </c>
      <c r="G29" s="470"/>
      <c r="H29" s="434"/>
      <c r="I29" s="434"/>
      <c r="J29" s="434"/>
      <c r="K29" s="434"/>
      <c r="L29" s="434"/>
      <c r="M29" s="435"/>
    </row>
    <row r="30" spans="1:13" ht="33.6" customHeight="1" x14ac:dyDescent="0.2">
      <c r="A30" s="485" t="str" cm="1">
        <f t="array" ref="A30">+IFERROR(INDEX('Conteo 18-02-26'!$B:$B,MATCH(1,('Conteo 18-02-26'!$E:$E=$B30)*('Conteo 18-02-26'!$A:$A="Rueda y Cia"),0)),"")</f>
        <v/>
      </c>
      <c r="B30" s="470">
        <f>+B28+1</f>
        <v>9</v>
      </c>
      <c r="C30" s="472" t="str" cm="1">
        <f t="array" ref="C30">+IFERROR(INDEX('Conteo 18-02-26'!$C:$C,MATCH(1,('Conteo 18-02-26'!$E:$E=$B30)*('Conteo 18-02-26'!$A:$A="Rueda y Cia"),0)),"")</f>
        <v/>
      </c>
      <c r="D30" s="470" t="str" cm="1">
        <f t="array" ref="D30">+IFERROR(INDEX('Conteo 18-02-26'!$D:$D,MATCH(1,('Conteo 18-02-26'!$E:$E=$B30)*('Conteo 18-02-26'!A:A:'Conteo 18-02-26'!$A:$A="Rueda y Cia"),0)),"")</f>
        <v/>
      </c>
      <c r="E30" s="427" t="str">
        <f t="shared" si="0"/>
        <v/>
      </c>
      <c r="F30" s="432" t="str">
        <f>+IF(OR(E30="LK"),ROUNDUP(D30*(VLOOKUP(B30,'Conteo 18-02-26'!$E:$AN,35,0))/100,0),IF(E30="CH",D29-F29,""))</f>
        <v/>
      </c>
      <c r="G30" s="470"/>
      <c r="H30" s="434"/>
      <c r="I30" s="434"/>
      <c r="J30" s="434"/>
      <c r="K30" s="434"/>
      <c r="L30" s="434"/>
      <c r="M30" s="435"/>
    </row>
    <row r="31" spans="1:13" ht="33.6" customHeight="1" x14ac:dyDescent="0.2">
      <c r="A31" s="485"/>
      <c r="B31" s="470"/>
      <c r="C31" s="472"/>
      <c r="D31" s="470"/>
      <c r="E31" s="427" t="str">
        <f t="shared" si="0"/>
        <v/>
      </c>
      <c r="F31" s="432" t="str">
        <f>+IF(OR(E31="LK"),ROUNDUP(D31*(VLOOKUP(B31,'Conteo 18-02-26'!$E:$AN,35,0))/100,0),IF(E31="CH",D30-F30,""))</f>
        <v/>
      </c>
      <c r="G31" s="470"/>
      <c r="H31" s="434"/>
      <c r="I31" s="434"/>
      <c r="J31" s="434"/>
      <c r="K31" s="434"/>
      <c r="L31" s="434"/>
      <c r="M31" s="435"/>
    </row>
    <row r="32" spans="1:13" ht="33.6" customHeight="1" x14ac:dyDescent="0.2">
      <c r="A32" s="485" t="str" cm="1">
        <f t="array" ref="A32">+IFERROR(INDEX('Conteo 18-02-26'!$B:$B,MATCH(1,('Conteo 18-02-26'!$E:$E=$B32)*('Conteo 18-02-26'!$A:$A="Rueda y Cia"),0)),"")</f>
        <v/>
      </c>
      <c r="B32" s="470">
        <f>+B30+1</f>
        <v>10</v>
      </c>
      <c r="C32" s="472" t="str" cm="1">
        <f t="array" ref="C32">+IFERROR(INDEX('Conteo 18-02-26'!$C:$C,MATCH(1,('Conteo 18-02-26'!$E:$E=$B32)*('Conteo 18-02-26'!$A:$A="Rueda y Cia"),0)),"")</f>
        <v/>
      </c>
      <c r="D32" s="470" t="str" cm="1">
        <f t="array" ref="D32">+IFERROR(INDEX('Conteo 18-02-26'!$D:$D,MATCH(1,('Conteo 18-02-26'!$E:$E=$B32)*('Conteo 18-02-26'!A:A:'Conteo 18-02-26'!$A:$A="Rueda y Cia"),0)),"")</f>
        <v/>
      </c>
      <c r="E32" s="427" t="str">
        <f t="shared" si="0"/>
        <v/>
      </c>
      <c r="F32" s="432" t="str">
        <f>+IF(OR(E32="LK"),ROUNDUP(D32*(VLOOKUP(B32,'Conteo 18-02-26'!$E:$AN,35,0))/100,0),IF(E32="CH",D31-F31,""))</f>
        <v/>
      </c>
      <c r="G32" s="470"/>
      <c r="H32" s="434"/>
      <c r="I32" s="434"/>
      <c r="J32" s="434"/>
      <c r="K32" s="434"/>
      <c r="L32" s="434"/>
      <c r="M32" s="435"/>
    </row>
    <row r="33" spans="1:13" ht="33.6" customHeight="1" x14ac:dyDescent="0.2">
      <c r="A33" s="485"/>
      <c r="B33" s="470"/>
      <c r="C33" s="472"/>
      <c r="D33" s="470"/>
      <c r="E33" s="427" t="str">
        <f t="shared" si="0"/>
        <v/>
      </c>
      <c r="F33" s="432" t="str">
        <f>+IF(OR(E33="LK"),ROUNDUP(D33*(VLOOKUP(B33,'Conteo 18-02-26'!$E:$AN,35,0))/100,0),IF(E33="CH",D32-F32,""))</f>
        <v/>
      </c>
      <c r="G33" s="470"/>
      <c r="H33" s="434"/>
      <c r="I33" s="434"/>
      <c r="J33" s="434"/>
      <c r="K33" s="434"/>
      <c r="L33" s="434"/>
      <c r="M33" s="435"/>
    </row>
    <row r="34" spans="1:13" ht="33.6" customHeight="1" x14ac:dyDescent="0.2">
      <c r="A34" s="485" t="str" cm="1">
        <f t="array" ref="A34">+IFERROR(INDEX('Conteo 18-02-26'!$B:$B,MATCH(1,('Conteo 18-02-26'!$E:$E=$B34)*('Conteo 18-02-26'!$A:$A="Rueda y Cia"),0)),"")</f>
        <v/>
      </c>
      <c r="B34" s="470">
        <f>+B32+1</f>
        <v>11</v>
      </c>
      <c r="C34" s="472" t="str" cm="1">
        <f t="array" ref="C34">+IFERROR(INDEX('Conteo 18-02-26'!$C:$C,MATCH(1,('Conteo 18-02-26'!$E:$E=$B34)*('Conteo 18-02-26'!$A:$A="Rueda y Cia"),0)),"")</f>
        <v/>
      </c>
      <c r="D34" s="470" t="str" cm="1">
        <f t="array" ref="D34">+IFERROR(INDEX('Conteo 18-02-26'!$D:$D,MATCH(1,('Conteo 18-02-26'!$E:$E=$B34)*('Conteo 18-02-26'!A:A:'Conteo 18-02-26'!$A:$A="Rueda y Cia"),0)),"")</f>
        <v/>
      </c>
      <c r="E34" s="427" t="str">
        <f t="shared" si="0"/>
        <v/>
      </c>
      <c r="F34" s="432" t="str">
        <f>+IF(OR(E34="LK"),ROUNDUP(D34*(VLOOKUP(B34,'Conteo 18-02-26'!$E:$AN,35,0))/100,0),IF(E34="CH",D33-F33,""))</f>
        <v/>
      </c>
      <c r="G34" s="470"/>
      <c r="H34" s="434"/>
      <c r="I34" s="434"/>
      <c r="J34" s="434"/>
      <c r="K34" s="434"/>
      <c r="L34" s="434"/>
      <c r="M34" s="435"/>
    </row>
    <row r="35" spans="1:13" ht="33.6" customHeight="1" thickBot="1" x14ac:dyDescent="0.25">
      <c r="A35" s="486"/>
      <c r="B35" s="487"/>
      <c r="C35" s="488"/>
      <c r="D35" s="487"/>
      <c r="E35" s="427" t="str">
        <f t="shared" si="0"/>
        <v/>
      </c>
      <c r="F35" s="432" t="str">
        <f>+IF(OR(E35="LK"),ROUNDUP(D35*(VLOOKUP(B35,'Conteo 18-02-26'!$E:$AN,35,0))/100,0),IF(E35="CH",D34-F34,""))</f>
        <v/>
      </c>
      <c r="G35" s="487"/>
      <c r="H35" s="436"/>
      <c r="I35" s="436"/>
      <c r="J35" s="436"/>
      <c r="K35" s="436"/>
      <c r="L35" s="436"/>
      <c r="M35" s="437"/>
    </row>
    <row r="36" spans="1:13" ht="33.6" customHeight="1" x14ac:dyDescent="0.2">
      <c r="A36" s="490" t="str" cm="1">
        <f t="array" ref="A36">+IFERROR(INDEX('Conteo 18-02-26'!$B:$B,MATCH(1,('Conteo 18-02-26'!$E:$E=$B36)*('Conteo 18-02-26'!$A:$A="Rueda y Cia"),0)),"")</f>
        <v/>
      </c>
      <c r="B36" s="491">
        <f>+B34+1</f>
        <v>12</v>
      </c>
      <c r="C36" s="492" t="str" cm="1">
        <f t="array" ref="C36">+IFERROR(INDEX('Conteo 18-02-26'!$C:$C,MATCH(1,('Conteo 18-02-26'!$E:$E=$B36)*('Conteo 18-02-26'!$A:$A="Rueda y Cia"),0)),"")</f>
        <v/>
      </c>
      <c r="D36" s="491" t="str" cm="1">
        <f t="array" ref="D36">+IFERROR(INDEX('Conteo 18-02-26'!$D:$D,MATCH(1,('Conteo 18-02-26'!$E:$E=$B36)*('Conteo 18-02-26'!A:A:'Conteo 18-02-26'!$A:$A="Rueda y Cia"),0)),"")</f>
        <v/>
      </c>
      <c r="E36" s="427" t="str">
        <f t="shared" si="0"/>
        <v/>
      </c>
      <c r="F36" s="432" t="str">
        <f>+IF(OR(E36="LK"),ROUNDUP(D36*(VLOOKUP(B36,'Conteo 18-02-26'!$E:$AN,35,0))/100,0),IF(E36="CH",D35-F35,""))</f>
        <v/>
      </c>
      <c r="G36" s="491"/>
      <c r="H36" s="438"/>
      <c r="I36" s="438"/>
      <c r="J36" s="438"/>
      <c r="K36" s="438"/>
      <c r="L36" s="438"/>
      <c r="M36" s="438"/>
    </row>
    <row r="37" spans="1:13" ht="33.6" customHeight="1" x14ac:dyDescent="0.2">
      <c r="A37" s="489"/>
      <c r="B37" s="470"/>
      <c r="C37" s="472"/>
      <c r="D37" s="470"/>
      <c r="E37" s="427" t="str">
        <f t="shared" si="0"/>
        <v/>
      </c>
      <c r="F37" s="432" t="str">
        <f>+IF(OR(E37="LK"),ROUNDUP(D37*(VLOOKUP(B37,'Conteo 18-02-26'!$E:$AN,35,0))/100,0),IF(E37="CH",D36-F36,""))</f>
        <v/>
      </c>
      <c r="G37" s="470"/>
      <c r="H37" s="434"/>
      <c r="I37" s="434"/>
      <c r="J37" s="434"/>
      <c r="K37" s="434"/>
      <c r="L37" s="434"/>
      <c r="M37" s="434"/>
    </row>
    <row r="38" spans="1:13" ht="33.6" customHeight="1" x14ac:dyDescent="0.2">
      <c r="A38" s="489" t="str" cm="1">
        <f t="array" ref="A38">+IFERROR(INDEX('Conteo 18-02-26'!$B:$B,MATCH(1,('Conteo 18-02-26'!$E:$E=$B38)*('Conteo 18-02-26'!$A:$A="Rueda y Cia"),0)),"")</f>
        <v/>
      </c>
      <c r="B38" s="470">
        <f>+B36+1</f>
        <v>13</v>
      </c>
      <c r="C38" s="472" t="str" cm="1">
        <f t="array" ref="C38">+IFERROR(INDEX('Conteo 18-02-26'!$C:$C,MATCH(1,('Conteo 18-02-26'!$E:$E=$B38)*('Conteo 18-02-26'!$A:$A="Rueda y Cia"),0)),"")</f>
        <v/>
      </c>
      <c r="D38" s="470" t="str" cm="1">
        <f t="array" ref="D38">+IFERROR(INDEX('Conteo 18-02-26'!$D:$D,MATCH(1,('Conteo 18-02-26'!$E:$E=$B38)*('Conteo 18-02-26'!A:A:'Conteo 18-02-26'!$A:$A="Rueda y Cia"),0)),"")</f>
        <v/>
      </c>
      <c r="E38" s="427" t="str">
        <f t="shared" si="0"/>
        <v/>
      </c>
      <c r="F38" s="432" t="str">
        <f>+IF(OR(E38="LK"),ROUNDUP(D38*(VLOOKUP(B38,'Conteo 18-02-26'!$E:$AN,35,0))/100,0),IF(E38="CH",D37-F37,""))</f>
        <v/>
      </c>
      <c r="G38" s="470"/>
      <c r="H38" s="434"/>
      <c r="I38" s="434"/>
      <c r="J38" s="434"/>
      <c r="K38" s="434"/>
      <c r="L38" s="434"/>
      <c r="M38" s="434"/>
    </row>
    <row r="39" spans="1:13" ht="33.6" customHeight="1" x14ac:dyDescent="0.2">
      <c r="A39" s="489"/>
      <c r="B39" s="470"/>
      <c r="C39" s="472"/>
      <c r="D39" s="470"/>
      <c r="E39" s="427" t="str">
        <f t="shared" si="0"/>
        <v/>
      </c>
      <c r="F39" s="432" t="str">
        <f>+IF(OR(E39="LK"),ROUNDUP(D39*(VLOOKUP(B39,'Conteo 18-02-26'!$E:$AN,35,0))/100,0),IF(E39="CH",D38-F38,""))</f>
        <v/>
      </c>
      <c r="G39" s="470"/>
      <c r="H39" s="434"/>
      <c r="I39" s="434"/>
      <c r="J39" s="434"/>
      <c r="K39" s="434"/>
      <c r="L39" s="434"/>
      <c r="M39" s="434"/>
    </row>
    <row r="40" spans="1:13" ht="33.6" customHeight="1" x14ac:dyDescent="0.2">
      <c r="A40" s="489" t="str" cm="1">
        <f t="array" ref="A40">+IFERROR(INDEX('Conteo 18-02-26'!$B:$B,MATCH(1,('Conteo 18-02-26'!$E:$E=$B40)*('Conteo 18-02-26'!$A:$A="Rueda y Cia"),0)),"")</f>
        <v/>
      </c>
      <c r="B40" s="470">
        <f>+B38+1</f>
        <v>14</v>
      </c>
      <c r="C40" s="472" t="str" cm="1">
        <f t="array" ref="C40">+IFERROR(INDEX('Conteo 18-02-26'!$C:$C,MATCH(1,('Conteo 18-02-26'!$E:$E=$B40)*('Conteo 18-02-26'!$A:$A="Rueda y Cia"),0)),"")</f>
        <v/>
      </c>
      <c r="D40" s="470" t="str" cm="1">
        <f t="array" ref="D40">+IFERROR(INDEX('Conteo 18-02-26'!$D:$D,MATCH(1,('Conteo 18-02-26'!$E:$E=$B40)*('Conteo 18-02-26'!A:A:'Conteo 18-02-26'!$A:$A="Rueda y Cia"),0)),"")</f>
        <v/>
      </c>
      <c r="E40" s="427" t="str">
        <f t="shared" si="0"/>
        <v/>
      </c>
      <c r="F40" s="432" t="str">
        <f>+IF(OR(E40="LK"),ROUNDUP(D40*(VLOOKUP(B40,'Conteo 18-02-26'!$E:$AN,35,0))/100,0),IF(E40="CH",D39-F39,""))</f>
        <v/>
      </c>
      <c r="G40" s="470"/>
      <c r="H40" s="434"/>
      <c r="I40" s="434"/>
      <c r="J40" s="434"/>
      <c r="K40" s="434"/>
      <c r="L40" s="434"/>
      <c r="M40" s="434"/>
    </row>
    <row r="41" spans="1:13" ht="33.6" customHeight="1" x14ac:dyDescent="0.2">
      <c r="A41" s="489"/>
      <c r="B41" s="470"/>
      <c r="C41" s="472"/>
      <c r="D41" s="470"/>
      <c r="E41" s="427" t="str">
        <f t="shared" si="0"/>
        <v/>
      </c>
      <c r="F41" s="432" t="str">
        <f>+IF(OR(E41="LK"),ROUNDUP(D41*(VLOOKUP(B41,'Conteo 18-02-26'!$E:$AN,35,0))/100,0),IF(E41="CH",D40-F40,""))</f>
        <v/>
      </c>
      <c r="G41" s="470"/>
      <c r="H41" s="434"/>
      <c r="I41" s="434"/>
      <c r="J41" s="434"/>
      <c r="K41" s="434"/>
      <c r="L41" s="434"/>
      <c r="M41" s="434"/>
    </row>
    <row r="42" spans="1:13" ht="33.6" customHeight="1" x14ac:dyDescent="0.2">
      <c r="A42" s="489" t="str" cm="1">
        <f t="array" ref="A42">+IFERROR(INDEX('Conteo 18-02-26'!$B:$B,MATCH(1,('Conteo 18-02-26'!$E:$E=$B42)*('Conteo 18-02-26'!$A:$A="Rueda y Cia"),0)),"")</f>
        <v/>
      </c>
      <c r="B42" s="470">
        <f>+B40+1</f>
        <v>15</v>
      </c>
      <c r="C42" s="472" t="str" cm="1">
        <f t="array" ref="C42">+IFERROR(INDEX('Conteo 18-02-26'!$C:$C,MATCH(1,('Conteo 18-02-26'!$E:$E=$B42)*('Conteo 18-02-26'!$A:$A="Rueda y Cia"),0)),"")</f>
        <v/>
      </c>
      <c r="D42" s="470" t="str" cm="1">
        <f t="array" ref="D42">+IFERROR(INDEX('Conteo 18-02-26'!$D:$D,MATCH(1,('Conteo 18-02-26'!$E:$E=$B42)*('Conteo 18-02-26'!A:A:'Conteo 18-02-26'!$A:$A="Rueda y Cia"),0)),"")</f>
        <v/>
      </c>
      <c r="E42" s="427" t="str">
        <f t="shared" si="0"/>
        <v/>
      </c>
      <c r="F42" s="432" t="str">
        <f>+IF(OR(E42="LK"),ROUNDUP(D42*(VLOOKUP(B42,'Conteo 18-02-26'!$E:$AN,35,0))/100,0),IF(E42="CH",D41-F41,""))</f>
        <v/>
      </c>
      <c r="G42" s="470"/>
      <c r="H42" s="434"/>
      <c r="I42" s="434"/>
      <c r="J42" s="434"/>
      <c r="K42" s="434"/>
      <c r="L42" s="434"/>
      <c r="M42" s="434"/>
    </row>
    <row r="43" spans="1:13" ht="33.6" customHeight="1" x14ac:dyDescent="0.2">
      <c r="A43" s="489"/>
      <c r="B43" s="470"/>
      <c r="C43" s="472"/>
      <c r="D43" s="470"/>
      <c r="E43" s="427" t="str">
        <f t="shared" si="0"/>
        <v/>
      </c>
      <c r="F43" s="432" t="str">
        <f>+IF(OR(E43="LK"),ROUNDUP(D43*(VLOOKUP(B43,'Conteo 18-02-26'!$E:$AN,35,0))/100,0),IF(E43="CH",D42-F42,""))</f>
        <v/>
      </c>
      <c r="G43" s="470"/>
      <c r="H43" s="434"/>
      <c r="I43" s="434"/>
      <c r="J43" s="434"/>
      <c r="K43" s="434"/>
      <c r="L43" s="434"/>
      <c r="M43" s="434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A14" sqref="A14:A15"/>
    </sheetView>
  </sheetViews>
  <sheetFormatPr baseColWidth="10" defaultColWidth="11.5703125" defaultRowHeight="12.75" x14ac:dyDescent="0.2"/>
  <cols>
    <col min="1" max="1" width="11.42578125" style="415" customWidth="1"/>
    <col min="2" max="2" width="6.140625" style="415" customWidth="1"/>
    <col min="3" max="3" width="21.7109375" style="415" customWidth="1"/>
    <col min="4" max="4" width="9.28515625" style="415" customWidth="1"/>
    <col min="5" max="5" width="8.28515625" style="415" customWidth="1"/>
    <col min="6" max="6" width="7.7109375" style="415" customWidth="1"/>
    <col min="7" max="7" width="9.7109375" style="415" customWidth="1"/>
    <col min="8" max="8" width="7.28515625" style="415" customWidth="1"/>
    <col min="9" max="9" width="7.5703125" style="415" customWidth="1"/>
    <col min="10" max="10" width="7.7109375" style="415" customWidth="1"/>
    <col min="11" max="11" width="7" style="415" customWidth="1"/>
    <col min="12" max="12" width="7.7109375" style="415" customWidth="1"/>
    <col min="13" max="13" width="7" style="415" customWidth="1"/>
    <col min="14" max="256" width="11.5703125" style="415"/>
    <col min="257" max="257" width="11.42578125" style="415" customWidth="1"/>
    <col min="258" max="258" width="6.140625" style="415" customWidth="1"/>
    <col min="259" max="259" width="21.7109375" style="415" customWidth="1"/>
    <col min="260" max="260" width="9.28515625" style="415" customWidth="1"/>
    <col min="261" max="261" width="8.28515625" style="415" customWidth="1"/>
    <col min="262" max="262" width="7.7109375" style="415" customWidth="1"/>
    <col min="263" max="263" width="9.7109375" style="415" customWidth="1"/>
    <col min="264" max="264" width="7.28515625" style="415" customWidth="1"/>
    <col min="265" max="265" width="7.5703125" style="415" customWidth="1"/>
    <col min="266" max="266" width="7.7109375" style="415" customWidth="1"/>
    <col min="267" max="267" width="7" style="415" customWidth="1"/>
    <col min="268" max="268" width="7.7109375" style="415" customWidth="1"/>
    <col min="269" max="269" width="7" style="415" customWidth="1"/>
    <col min="270" max="512" width="11.5703125" style="415"/>
    <col min="513" max="513" width="11.42578125" style="415" customWidth="1"/>
    <col min="514" max="514" width="6.140625" style="415" customWidth="1"/>
    <col min="515" max="515" width="21.7109375" style="415" customWidth="1"/>
    <col min="516" max="516" width="9.28515625" style="415" customWidth="1"/>
    <col min="517" max="517" width="8.28515625" style="415" customWidth="1"/>
    <col min="518" max="518" width="7.7109375" style="415" customWidth="1"/>
    <col min="519" max="519" width="9.7109375" style="415" customWidth="1"/>
    <col min="520" max="520" width="7.28515625" style="415" customWidth="1"/>
    <col min="521" max="521" width="7.5703125" style="415" customWidth="1"/>
    <col min="522" max="522" width="7.7109375" style="415" customWidth="1"/>
    <col min="523" max="523" width="7" style="415" customWidth="1"/>
    <col min="524" max="524" width="7.7109375" style="415" customWidth="1"/>
    <col min="525" max="525" width="7" style="415" customWidth="1"/>
    <col min="526" max="768" width="11.5703125" style="415"/>
    <col min="769" max="769" width="11.42578125" style="415" customWidth="1"/>
    <col min="770" max="770" width="6.140625" style="415" customWidth="1"/>
    <col min="771" max="771" width="21.7109375" style="415" customWidth="1"/>
    <col min="772" max="772" width="9.28515625" style="415" customWidth="1"/>
    <col min="773" max="773" width="8.28515625" style="415" customWidth="1"/>
    <col min="774" max="774" width="7.7109375" style="415" customWidth="1"/>
    <col min="775" max="775" width="9.7109375" style="415" customWidth="1"/>
    <col min="776" max="776" width="7.28515625" style="415" customWidth="1"/>
    <col min="777" max="777" width="7.5703125" style="415" customWidth="1"/>
    <col min="778" max="778" width="7.7109375" style="415" customWidth="1"/>
    <col min="779" max="779" width="7" style="415" customWidth="1"/>
    <col min="780" max="780" width="7.7109375" style="415" customWidth="1"/>
    <col min="781" max="781" width="7" style="415" customWidth="1"/>
    <col min="782" max="1024" width="11.5703125" style="415"/>
    <col min="1025" max="1025" width="11.42578125" style="415" customWidth="1"/>
    <col min="1026" max="1026" width="6.140625" style="415" customWidth="1"/>
    <col min="1027" max="1027" width="21.7109375" style="415" customWidth="1"/>
    <col min="1028" max="1028" width="9.28515625" style="415" customWidth="1"/>
    <col min="1029" max="1029" width="8.28515625" style="415" customWidth="1"/>
    <col min="1030" max="1030" width="7.7109375" style="415" customWidth="1"/>
    <col min="1031" max="1031" width="9.7109375" style="415" customWidth="1"/>
    <col min="1032" max="1032" width="7.28515625" style="415" customWidth="1"/>
    <col min="1033" max="1033" width="7.5703125" style="415" customWidth="1"/>
    <col min="1034" max="1034" width="7.7109375" style="415" customWidth="1"/>
    <col min="1035" max="1035" width="7" style="415" customWidth="1"/>
    <col min="1036" max="1036" width="7.7109375" style="415" customWidth="1"/>
    <col min="1037" max="1037" width="7" style="415" customWidth="1"/>
    <col min="1038" max="1280" width="11.5703125" style="415"/>
    <col min="1281" max="1281" width="11.42578125" style="415" customWidth="1"/>
    <col min="1282" max="1282" width="6.140625" style="415" customWidth="1"/>
    <col min="1283" max="1283" width="21.7109375" style="415" customWidth="1"/>
    <col min="1284" max="1284" width="9.28515625" style="415" customWidth="1"/>
    <col min="1285" max="1285" width="8.28515625" style="415" customWidth="1"/>
    <col min="1286" max="1286" width="7.7109375" style="415" customWidth="1"/>
    <col min="1287" max="1287" width="9.7109375" style="415" customWidth="1"/>
    <col min="1288" max="1288" width="7.28515625" style="415" customWidth="1"/>
    <col min="1289" max="1289" width="7.5703125" style="415" customWidth="1"/>
    <col min="1290" max="1290" width="7.7109375" style="415" customWidth="1"/>
    <col min="1291" max="1291" width="7" style="415" customWidth="1"/>
    <col min="1292" max="1292" width="7.7109375" style="415" customWidth="1"/>
    <col min="1293" max="1293" width="7" style="415" customWidth="1"/>
    <col min="1294" max="1536" width="11.5703125" style="415"/>
    <col min="1537" max="1537" width="11.42578125" style="415" customWidth="1"/>
    <col min="1538" max="1538" width="6.140625" style="415" customWidth="1"/>
    <col min="1539" max="1539" width="21.7109375" style="415" customWidth="1"/>
    <col min="1540" max="1540" width="9.28515625" style="415" customWidth="1"/>
    <col min="1541" max="1541" width="8.28515625" style="415" customWidth="1"/>
    <col min="1542" max="1542" width="7.7109375" style="415" customWidth="1"/>
    <col min="1543" max="1543" width="9.7109375" style="415" customWidth="1"/>
    <col min="1544" max="1544" width="7.28515625" style="415" customWidth="1"/>
    <col min="1545" max="1545" width="7.5703125" style="415" customWidth="1"/>
    <col min="1546" max="1546" width="7.7109375" style="415" customWidth="1"/>
    <col min="1547" max="1547" width="7" style="415" customWidth="1"/>
    <col min="1548" max="1548" width="7.7109375" style="415" customWidth="1"/>
    <col min="1549" max="1549" width="7" style="415" customWidth="1"/>
    <col min="1550" max="1792" width="11.5703125" style="415"/>
    <col min="1793" max="1793" width="11.42578125" style="415" customWidth="1"/>
    <col min="1794" max="1794" width="6.140625" style="415" customWidth="1"/>
    <col min="1795" max="1795" width="21.7109375" style="415" customWidth="1"/>
    <col min="1796" max="1796" width="9.28515625" style="415" customWidth="1"/>
    <col min="1797" max="1797" width="8.28515625" style="415" customWidth="1"/>
    <col min="1798" max="1798" width="7.7109375" style="415" customWidth="1"/>
    <col min="1799" max="1799" width="9.7109375" style="415" customWidth="1"/>
    <col min="1800" max="1800" width="7.28515625" style="415" customWidth="1"/>
    <col min="1801" max="1801" width="7.5703125" style="415" customWidth="1"/>
    <col min="1802" max="1802" width="7.7109375" style="415" customWidth="1"/>
    <col min="1803" max="1803" width="7" style="415" customWidth="1"/>
    <col min="1804" max="1804" width="7.7109375" style="415" customWidth="1"/>
    <col min="1805" max="1805" width="7" style="415" customWidth="1"/>
    <col min="1806" max="2048" width="11.5703125" style="415"/>
    <col min="2049" max="2049" width="11.42578125" style="415" customWidth="1"/>
    <col min="2050" max="2050" width="6.140625" style="415" customWidth="1"/>
    <col min="2051" max="2051" width="21.7109375" style="415" customWidth="1"/>
    <col min="2052" max="2052" width="9.28515625" style="415" customWidth="1"/>
    <col min="2053" max="2053" width="8.28515625" style="415" customWidth="1"/>
    <col min="2054" max="2054" width="7.7109375" style="415" customWidth="1"/>
    <col min="2055" max="2055" width="9.7109375" style="415" customWidth="1"/>
    <col min="2056" max="2056" width="7.28515625" style="415" customWidth="1"/>
    <col min="2057" max="2057" width="7.5703125" style="415" customWidth="1"/>
    <col min="2058" max="2058" width="7.7109375" style="415" customWidth="1"/>
    <col min="2059" max="2059" width="7" style="415" customWidth="1"/>
    <col min="2060" max="2060" width="7.7109375" style="415" customWidth="1"/>
    <col min="2061" max="2061" width="7" style="415" customWidth="1"/>
    <col min="2062" max="2304" width="11.5703125" style="415"/>
    <col min="2305" max="2305" width="11.42578125" style="415" customWidth="1"/>
    <col min="2306" max="2306" width="6.140625" style="415" customWidth="1"/>
    <col min="2307" max="2307" width="21.7109375" style="415" customWidth="1"/>
    <col min="2308" max="2308" width="9.28515625" style="415" customWidth="1"/>
    <col min="2309" max="2309" width="8.28515625" style="415" customWidth="1"/>
    <col min="2310" max="2310" width="7.7109375" style="415" customWidth="1"/>
    <col min="2311" max="2311" width="9.7109375" style="415" customWidth="1"/>
    <col min="2312" max="2312" width="7.28515625" style="415" customWidth="1"/>
    <col min="2313" max="2313" width="7.5703125" style="415" customWidth="1"/>
    <col min="2314" max="2314" width="7.7109375" style="415" customWidth="1"/>
    <col min="2315" max="2315" width="7" style="415" customWidth="1"/>
    <col min="2316" max="2316" width="7.7109375" style="415" customWidth="1"/>
    <col min="2317" max="2317" width="7" style="415" customWidth="1"/>
    <col min="2318" max="2560" width="11.5703125" style="415"/>
    <col min="2561" max="2561" width="11.42578125" style="415" customWidth="1"/>
    <col min="2562" max="2562" width="6.140625" style="415" customWidth="1"/>
    <col min="2563" max="2563" width="21.7109375" style="415" customWidth="1"/>
    <col min="2564" max="2564" width="9.28515625" style="415" customWidth="1"/>
    <col min="2565" max="2565" width="8.28515625" style="415" customWidth="1"/>
    <col min="2566" max="2566" width="7.7109375" style="415" customWidth="1"/>
    <col min="2567" max="2567" width="9.7109375" style="415" customWidth="1"/>
    <col min="2568" max="2568" width="7.28515625" style="415" customWidth="1"/>
    <col min="2569" max="2569" width="7.5703125" style="415" customWidth="1"/>
    <col min="2570" max="2570" width="7.7109375" style="415" customWidth="1"/>
    <col min="2571" max="2571" width="7" style="415" customWidth="1"/>
    <col min="2572" max="2572" width="7.7109375" style="415" customWidth="1"/>
    <col min="2573" max="2573" width="7" style="415" customWidth="1"/>
    <col min="2574" max="2816" width="11.5703125" style="415"/>
    <col min="2817" max="2817" width="11.42578125" style="415" customWidth="1"/>
    <col min="2818" max="2818" width="6.140625" style="415" customWidth="1"/>
    <col min="2819" max="2819" width="21.7109375" style="415" customWidth="1"/>
    <col min="2820" max="2820" width="9.28515625" style="415" customWidth="1"/>
    <col min="2821" max="2821" width="8.28515625" style="415" customWidth="1"/>
    <col min="2822" max="2822" width="7.7109375" style="415" customWidth="1"/>
    <col min="2823" max="2823" width="9.7109375" style="415" customWidth="1"/>
    <col min="2824" max="2824" width="7.28515625" style="415" customWidth="1"/>
    <col min="2825" max="2825" width="7.5703125" style="415" customWidth="1"/>
    <col min="2826" max="2826" width="7.7109375" style="415" customWidth="1"/>
    <col min="2827" max="2827" width="7" style="415" customWidth="1"/>
    <col min="2828" max="2828" width="7.7109375" style="415" customWidth="1"/>
    <col min="2829" max="2829" width="7" style="415" customWidth="1"/>
    <col min="2830" max="3072" width="11.5703125" style="415"/>
    <col min="3073" max="3073" width="11.42578125" style="415" customWidth="1"/>
    <col min="3074" max="3074" width="6.140625" style="415" customWidth="1"/>
    <col min="3075" max="3075" width="21.7109375" style="415" customWidth="1"/>
    <col min="3076" max="3076" width="9.28515625" style="415" customWidth="1"/>
    <col min="3077" max="3077" width="8.28515625" style="415" customWidth="1"/>
    <col min="3078" max="3078" width="7.7109375" style="415" customWidth="1"/>
    <col min="3079" max="3079" width="9.7109375" style="415" customWidth="1"/>
    <col min="3080" max="3080" width="7.28515625" style="415" customWidth="1"/>
    <col min="3081" max="3081" width="7.5703125" style="415" customWidth="1"/>
    <col min="3082" max="3082" width="7.7109375" style="415" customWidth="1"/>
    <col min="3083" max="3083" width="7" style="415" customWidth="1"/>
    <col min="3084" max="3084" width="7.7109375" style="415" customWidth="1"/>
    <col min="3085" max="3085" width="7" style="415" customWidth="1"/>
    <col min="3086" max="3328" width="11.5703125" style="415"/>
    <col min="3329" max="3329" width="11.42578125" style="415" customWidth="1"/>
    <col min="3330" max="3330" width="6.140625" style="415" customWidth="1"/>
    <col min="3331" max="3331" width="21.7109375" style="415" customWidth="1"/>
    <col min="3332" max="3332" width="9.28515625" style="415" customWidth="1"/>
    <col min="3333" max="3333" width="8.28515625" style="415" customWidth="1"/>
    <col min="3334" max="3334" width="7.7109375" style="415" customWidth="1"/>
    <col min="3335" max="3335" width="9.7109375" style="415" customWidth="1"/>
    <col min="3336" max="3336" width="7.28515625" style="415" customWidth="1"/>
    <col min="3337" max="3337" width="7.5703125" style="415" customWidth="1"/>
    <col min="3338" max="3338" width="7.7109375" style="415" customWidth="1"/>
    <col min="3339" max="3339" width="7" style="415" customWidth="1"/>
    <col min="3340" max="3340" width="7.7109375" style="415" customWidth="1"/>
    <col min="3341" max="3341" width="7" style="415" customWidth="1"/>
    <col min="3342" max="3584" width="11.5703125" style="415"/>
    <col min="3585" max="3585" width="11.42578125" style="415" customWidth="1"/>
    <col min="3586" max="3586" width="6.140625" style="415" customWidth="1"/>
    <col min="3587" max="3587" width="21.7109375" style="415" customWidth="1"/>
    <col min="3588" max="3588" width="9.28515625" style="415" customWidth="1"/>
    <col min="3589" max="3589" width="8.28515625" style="415" customWidth="1"/>
    <col min="3590" max="3590" width="7.7109375" style="415" customWidth="1"/>
    <col min="3591" max="3591" width="9.7109375" style="415" customWidth="1"/>
    <col min="3592" max="3592" width="7.28515625" style="415" customWidth="1"/>
    <col min="3593" max="3593" width="7.5703125" style="415" customWidth="1"/>
    <col min="3594" max="3594" width="7.7109375" style="415" customWidth="1"/>
    <col min="3595" max="3595" width="7" style="415" customWidth="1"/>
    <col min="3596" max="3596" width="7.7109375" style="415" customWidth="1"/>
    <col min="3597" max="3597" width="7" style="415" customWidth="1"/>
    <col min="3598" max="3840" width="11.5703125" style="415"/>
    <col min="3841" max="3841" width="11.42578125" style="415" customWidth="1"/>
    <col min="3842" max="3842" width="6.140625" style="415" customWidth="1"/>
    <col min="3843" max="3843" width="21.7109375" style="415" customWidth="1"/>
    <col min="3844" max="3844" width="9.28515625" style="415" customWidth="1"/>
    <col min="3845" max="3845" width="8.28515625" style="415" customWidth="1"/>
    <col min="3846" max="3846" width="7.7109375" style="415" customWidth="1"/>
    <col min="3847" max="3847" width="9.7109375" style="415" customWidth="1"/>
    <col min="3848" max="3848" width="7.28515625" style="415" customWidth="1"/>
    <col min="3849" max="3849" width="7.5703125" style="415" customWidth="1"/>
    <col min="3850" max="3850" width="7.7109375" style="415" customWidth="1"/>
    <col min="3851" max="3851" width="7" style="415" customWidth="1"/>
    <col min="3852" max="3852" width="7.7109375" style="415" customWidth="1"/>
    <col min="3853" max="3853" width="7" style="415" customWidth="1"/>
    <col min="3854" max="4096" width="11.5703125" style="415"/>
    <col min="4097" max="4097" width="11.42578125" style="415" customWidth="1"/>
    <col min="4098" max="4098" width="6.140625" style="415" customWidth="1"/>
    <col min="4099" max="4099" width="21.7109375" style="415" customWidth="1"/>
    <col min="4100" max="4100" width="9.28515625" style="415" customWidth="1"/>
    <col min="4101" max="4101" width="8.28515625" style="415" customWidth="1"/>
    <col min="4102" max="4102" width="7.7109375" style="415" customWidth="1"/>
    <col min="4103" max="4103" width="9.7109375" style="415" customWidth="1"/>
    <col min="4104" max="4104" width="7.28515625" style="415" customWidth="1"/>
    <col min="4105" max="4105" width="7.5703125" style="415" customWidth="1"/>
    <col min="4106" max="4106" width="7.7109375" style="415" customWidth="1"/>
    <col min="4107" max="4107" width="7" style="415" customWidth="1"/>
    <col min="4108" max="4108" width="7.7109375" style="415" customWidth="1"/>
    <col min="4109" max="4109" width="7" style="415" customWidth="1"/>
    <col min="4110" max="4352" width="11.5703125" style="415"/>
    <col min="4353" max="4353" width="11.42578125" style="415" customWidth="1"/>
    <col min="4354" max="4354" width="6.140625" style="415" customWidth="1"/>
    <col min="4355" max="4355" width="21.7109375" style="415" customWidth="1"/>
    <col min="4356" max="4356" width="9.28515625" style="415" customWidth="1"/>
    <col min="4357" max="4357" width="8.28515625" style="415" customWidth="1"/>
    <col min="4358" max="4358" width="7.7109375" style="415" customWidth="1"/>
    <col min="4359" max="4359" width="9.7109375" style="415" customWidth="1"/>
    <col min="4360" max="4360" width="7.28515625" style="415" customWidth="1"/>
    <col min="4361" max="4361" width="7.5703125" style="415" customWidth="1"/>
    <col min="4362" max="4362" width="7.7109375" style="415" customWidth="1"/>
    <col min="4363" max="4363" width="7" style="415" customWidth="1"/>
    <col min="4364" max="4364" width="7.7109375" style="415" customWidth="1"/>
    <col min="4365" max="4365" width="7" style="415" customWidth="1"/>
    <col min="4366" max="4608" width="11.5703125" style="415"/>
    <col min="4609" max="4609" width="11.42578125" style="415" customWidth="1"/>
    <col min="4610" max="4610" width="6.140625" style="415" customWidth="1"/>
    <col min="4611" max="4611" width="21.7109375" style="415" customWidth="1"/>
    <col min="4612" max="4612" width="9.28515625" style="415" customWidth="1"/>
    <col min="4613" max="4613" width="8.28515625" style="415" customWidth="1"/>
    <col min="4614" max="4614" width="7.7109375" style="415" customWidth="1"/>
    <col min="4615" max="4615" width="9.7109375" style="415" customWidth="1"/>
    <col min="4616" max="4616" width="7.28515625" style="415" customWidth="1"/>
    <col min="4617" max="4617" width="7.5703125" style="415" customWidth="1"/>
    <col min="4618" max="4618" width="7.7109375" style="415" customWidth="1"/>
    <col min="4619" max="4619" width="7" style="415" customWidth="1"/>
    <col min="4620" max="4620" width="7.7109375" style="415" customWidth="1"/>
    <col min="4621" max="4621" width="7" style="415" customWidth="1"/>
    <col min="4622" max="4864" width="11.5703125" style="415"/>
    <col min="4865" max="4865" width="11.42578125" style="415" customWidth="1"/>
    <col min="4866" max="4866" width="6.140625" style="415" customWidth="1"/>
    <col min="4867" max="4867" width="21.7109375" style="415" customWidth="1"/>
    <col min="4868" max="4868" width="9.28515625" style="415" customWidth="1"/>
    <col min="4869" max="4869" width="8.28515625" style="415" customWidth="1"/>
    <col min="4870" max="4870" width="7.7109375" style="415" customWidth="1"/>
    <col min="4871" max="4871" width="9.7109375" style="415" customWidth="1"/>
    <col min="4872" max="4872" width="7.28515625" style="415" customWidth="1"/>
    <col min="4873" max="4873" width="7.5703125" style="415" customWidth="1"/>
    <col min="4874" max="4874" width="7.7109375" style="415" customWidth="1"/>
    <col min="4875" max="4875" width="7" style="415" customWidth="1"/>
    <col min="4876" max="4876" width="7.7109375" style="415" customWidth="1"/>
    <col min="4877" max="4877" width="7" style="415" customWidth="1"/>
    <col min="4878" max="5120" width="11.5703125" style="415"/>
    <col min="5121" max="5121" width="11.42578125" style="415" customWidth="1"/>
    <col min="5122" max="5122" width="6.140625" style="415" customWidth="1"/>
    <col min="5123" max="5123" width="21.7109375" style="415" customWidth="1"/>
    <col min="5124" max="5124" width="9.28515625" style="415" customWidth="1"/>
    <col min="5125" max="5125" width="8.28515625" style="415" customWidth="1"/>
    <col min="5126" max="5126" width="7.7109375" style="415" customWidth="1"/>
    <col min="5127" max="5127" width="9.7109375" style="415" customWidth="1"/>
    <col min="5128" max="5128" width="7.28515625" style="415" customWidth="1"/>
    <col min="5129" max="5129" width="7.5703125" style="415" customWidth="1"/>
    <col min="5130" max="5130" width="7.7109375" style="415" customWidth="1"/>
    <col min="5131" max="5131" width="7" style="415" customWidth="1"/>
    <col min="5132" max="5132" width="7.7109375" style="415" customWidth="1"/>
    <col min="5133" max="5133" width="7" style="415" customWidth="1"/>
    <col min="5134" max="5376" width="11.5703125" style="415"/>
    <col min="5377" max="5377" width="11.42578125" style="415" customWidth="1"/>
    <col min="5378" max="5378" width="6.140625" style="415" customWidth="1"/>
    <col min="5379" max="5379" width="21.7109375" style="415" customWidth="1"/>
    <col min="5380" max="5380" width="9.28515625" style="415" customWidth="1"/>
    <col min="5381" max="5381" width="8.28515625" style="415" customWidth="1"/>
    <col min="5382" max="5382" width="7.7109375" style="415" customWidth="1"/>
    <col min="5383" max="5383" width="9.7109375" style="415" customWidth="1"/>
    <col min="5384" max="5384" width="7.28515625" style="415" customWidth="1"/>
    <col min="5385" max="5385" width="7.5703125" style="415" customWidth="1"/>
    <col min="5386" max="5386" width="7.7109375" style="415" customWidth="1"/>
    <col min="5387" max="5387" width="7" style="415" customWidth="1"/>
    <col min="5388" max="5388" width="7.7109375" style="415" customWidth="1"/>
    <col min="5389" max="5389" width="7" style="415" customWidth="1"/>
    <col min="5390" max="5632" width="11.5703125" style="415"/>
    <col min="5633" max="5633" width="11.42578125" style="415" customWidth="1"/>
    <col min="5634" max="5634" width="6.140625" style="415" customWidth="1"/>
    <col min="5635" max="5635" width="21.7109375" style="415" customWidth="1"/>
    <col min="5636" max="5636" width="9.28515625" style="415" customWidth="1"/>
    <col min="5637" max="5637" width="8.28515625" style="415" customWidth="1"/>
    <col min="5638" max="5638" width="7.7109375" style="415" customWidth="1"/>
    <col min="5639" max="5639" width="9.7109375" style="415" customWidth="1"/>
    <col min="5640" max="5640" width="7.28515625" style="415" customWidth="1"/>
    <col min="5641" max="5641" width="7.5703125" style="415" customWidth="1"/>
    <col min="5642" max="5642" width="7.7109375" style="415" customWidth="1"/>
    <col min="5643" max="5643" width="7" style="415" customWidth="1"/>
    <col min="5644" max="5644" width="7.7109375" style="415" customWidth="1"/>
    <col min="5645" max="5645" width="7" style="415" customWidth="1"/>
    <col min="5646" max="5888" width="11.5703125" style="415"/>
    <col min="5889" max="5889" width="11.42578125" style="415" customWidth="1"/>
    <col min="5890" max="5890" width="6.140625" style="415" customWidth="1"/>
    <col min="5891" max="5891" width="21.7109375" style="415" customWidth="1"/>
    <col min="5892" max="5892" width="9.28515625" style="415" customWidth="1"/>
    <col min="5893" max="5893" width="8.28515625" style="415" customWidth="1"/>
    <col min="5894" max="5894" width="7.7109375" style="415" customWidth="1"/>
    <col min="5895" max="5895" width="9.7109375" style="415" customWidth="1"/>
    <col min="5896" max="5896" width="7.28515625" style="415" customWidth="1"/>
    <col min="5897" max="5897" width="7.5703125" style="415" customWidth="1"/>
    <col min="5898" max="5898" width="7.7109375" style="415" customWidth="1"/>
    <col min="5899" max="5899" width="7" style="415" customWidth="1"/>
    <col min="5900" max="5900" width="7.7109375" style="415" customWidth="1"/>
    <col min="5901" max="5901" width="7" style="415" customWidth="1"/>
    <col min="5902" max="6144" width="11.5703125" style="415"/>
    <col min="6145" max="6145" width="11.42578125" style="415" customWidth="1"/>
    <col min="6146" max="6146" width="6.140625" style="415" customWidth="1"/>
    <col min="6147" max="6147" width="21.7109375" style="415" customWidth="1"/>
    <col min="6148" max="6148" width="9.28515625" style="415" customWidth="1"/>
    <col min="6149" max="6149" width="8.28515625" style="415" customWidth="1"/>
    <col min="6150" max="6150" width="7.7109375" style="415" customWidth="1"/>
    <col min="6151" max="6151" width="9.7109375" style="415" customWidth="1"/>
    <col min="6152" max="6152" width="7.28515625" style="415" customWidth="1"/>
    <col min="6153" max="6153" width="7.5703125" style="415" customWidth="1"/>
    <col min="6154" max="6154" width="7.7109375" style="415" customWidth="1"/>
    <col min="6155" max="6155" width="7" style="415" customWidth="1"/>
    <col min="6156" max="6156" width="7.7109375" style="415" customWidth="1"/>
    <col min="6157" max="6157" width="7" style="415" customWidth="1"/>
    <col min="6158" max="6400" width="11.5703125" style="415"/>
    <col min="6401" max="6401" width="11.42578125" style="415" customWidth="1"/>
    <col min="6402" max="6402" width="6.140625" style="415" customWidth="1"/>
    <col min="6403" max="6403" width="21.7109375" style="415" customWidth="1"/>
    <col min="6404" max="6404" width="9.28515625" style="415" customWidth="1"/>
    <col min="6405" max="6405" width="8.28515625" style="415" customWidth="1"/>
    <col min="6406" max="6406" width="7.7109375" style="415" customWidth="1"/>
    <col min="6407" max="6407" width="9.7109375" style="415" customWidth="1"/>
    <col min="6408" max="6408" width="7.28515625" style="415" customWidth="1"/>
    <col min="6409" max="6409" width="7.5703125" style="415" customWidth="1"/>
    <col min="6410" max="6410" width="7.7109375" style="415" customWidth="1"/>
    <col min="6411" max="6411" width="7" style="415" customWidth="1"/>
    <col min="6412" max="6412" width="7.7109375" style="415" customWidth="1"/>
    <col min="6413" max="6413" width="7" style="415" customWidth="1"/>
    <col min="6414" max="6656" width="11.5703125" style="415"/>
    <col min="6657" max="6657" width="11.42578125" style="415" customWidth="1"/>
    <col min="6658" max="6658" width="6.140625" style="415" customWidth="1"/>
    <col min="6659" max="6659" width="21.7109375" style="415" customWidth="1"/>
    <col min="6660" max="6660" width="9.28515625" style="415" customWidth="1"/>
    <col min="6661" max="6661" width="8.28515625" style="415" customWidth="1"/>
    <col min="6662" max="6662" width="7.7109375" style="415" customWidth="1"/>
    <col min="6663" max="6663" width="9.7109375" style="415" customWidth="1"/>
    <col min="6664" max="6664" width="7.28515625" style="415" customWidth="1"/>
    <col min="6665" max="6665" width="7.5703125" style="415" customWidth="1"/>
    <col min="6666" max="6666" width="7.7109375" style="415" customWidth="1"/>
    <col min="6667" max="6667" width="7" style="415" customWidth="1"/>
    <col min="6668" max="6668" width="7.7109375" style="415" customWidth="1"/>
    <col min="6669" max="6669" width="7" style="415" customWidth="1"/>
    <col min="6670" max="6912" width="11.5703125" style="415"/>
    <col min="6913" max="6913" width="11.42578125" style="415" customWidth="1"/>
    <col min="6914" max="6914" width="6.140625" style="415" customWidth="1"/>
    <col min="6915" max="6915" width="21.7109375" style="415" customWidth="1"/>
    <col min="6916" max="6916" width="9.28515625" style="415" customWidth="1"/>
    <col min="6917" max="6917" width="8.28515625" style="415" customWidth="1"/>
    <col min="6918" max="6918" width="7.7109375" style="415" customWidth="1"/>
    <col min="6919" max="6919" width="9.7109375" style="415" customWidth="1"/>
    <col min="6920" max="6920" width="7.28515625" style="415" customWidth="1"/>
    <col min="6921" max="6921" width="7.5703125" style="415" customWidth="1"/>
    <col min="6922" max="6922" width="7.7109375" style="415" customWidth="1"/>
    <col min="6923" max="6923" width="7" style="415" customWidth="1"/>
    <col min="6924" max="6924" width="7.7109375" style="415" customWidth="1"/>
    <col min="6925" max="6925" width="7" style="415" customWidth="1"/>
    <col min="6926" max="7168" width="11.5703125" style="415"/>
    <col min="7169" max="7169" width="11.42578125" style="415" customWidth="1"/>
    <col min="7170" max="7170" width="6.140625" style="415" customWidth="1"/>
    <col min="7171" max="7171" width="21.7109375" style="415" customWidth="1"/>
    <col min="7172" max="7172" width="9.28515625" style="415" customWidth="1"/>
    <col min="7173" max="7173" width="8.28515625" style="415" customWidth="1"/>
    <col min="7174" max="7174" width="7.7109375" style="415" customWidth="1"/>
    <col min="7175" max="7175" width="9.7109375" style="415" customWidth="1"/>
    <col min="7176" max="7176" width="7.28515625" style="415" customWidth="1"/>
    <col min="7177" max="7177" width="7.5703125" style="415" customWidth="1"/>
    <col min="7178" max="7178" width="7.7109375" style="415" customWidth="1"/>
    <col min="7179" max="7179" width="7" style="415" customWidth="1"/>
    <col min="7180" max="7180" width="7.7109375" style="415" customWidth="1"/>
    <col min="7181" max="7181" width="7" style="415" customWidth="1"/>
    <col min="7182" max="7424" width="11.5703125" style="415"/>
    <col min="7425" max="7425" width="11.42578125" style="415" customWidth="1"/>
    <col min="7426" max="7426" width="6.140625" style="415" customWidth="1"/>
    <col min="7427" max="7427" width="21.7109375" style="415" customWidth="1"/>
    <col min="7428" max="7428" width="9.28515625" style="415" customWidth="1"/>
    <col min="7429" max="7429" width="8.28515625" style="415" customWidth="1"/>
    <col min="7430" max="7430" width="7.7109375" style="415" customWidth="1"/>
    <col min="7431" max="7431" width="9.7109375" style="415" customWidth="1"/>
    <col min="7432" max="7432" width="7.28515625" style="415" customWidth="1"/>
    <col min="7433" max="7433" width="7.5703125" style="415" customWidth="1"/>
    <col min="7434" max="7434" width="7.7109375" style="415" customWidth="1"/>
    <col min="7435" max="7435" width="7" style="415" customWidth="1"/>
    <col min="7436" max="7436" width="7.7109375" style="415" customWidth="1"/>
    <col min="7437" max="7437" width="7" style="415" customWidth="1"/>
    <col min="7438" max="7680" width="11.5703125" style="415"/>
    <col min="7681" max="7681" width="11.42578125" style="415" customWidth="1"/>
    <col min="7682" max="7682" width="6.140625" style="415" customWidth="1"/>
    <col min="7683" max="7683" width="21.7109375" style="415" customWidth="1"/>
    <col min="7684" max="7684" width="9.28515625" style="415" customWidth="1"/>
    <col min="7685" max="7685" width="8.28515625" style="415" customWidth="1"/>
    <col min="7686" max="7686" width="7.7109375" style="415" customWidth="1"/>
    <col min="7687" max="7687" width="9.7109375" style="415" customWidth="1"/>
    <col min="7688" max="7688" width="7.28515625" style="415" customWidth="1"/>
    <col min="7689" max="7689" width="7.5703125" style="415" customWidth="1"/>
    <col min="7690" max="7690" width="7.7109375" style="415" customWidth="1"/>
    <col min="7691" max="7691" width="7" style="415" customWidth="1"/>
    <col min="7692" max="7692" width="7.7109375" style="415" customWidth="1"/>
    <col min="7693" max="7693" width="7" style="415" customWidth="1"/>
    <col min="7694" max="7936" width="11.5703125" style="415"/>
    <col min="7937" max="7937" width="11.42578125" style="415" customWidth="1"/>
    <col min="7938" max="7938" width="6.140625" style="415" customWidth="1"/>
    <col min="7939" max="7939" width="21.7109375" style="415" customWidth="1"/>
    <col min="7940" max="7940" width="9.28515625" style="415" customWidth="1"/>
    <col min="7941" max="7941" width="8.28515625" style="415" customWidth="1"/>
    <col min="7942" max="7942" width="7.7109375" style="415" customWidth="1"/>
    <col min="7943" max="7943" width="9.7109375" style="415" customWidth="1"/>
    <col min="7944" max="7944" width="7.28515625" style="415" customWidth="1"/>
    <col min="7945" max="7945" width="7.5703125" style="415" customWidth="1"/>
    <col min="7946" max="7946" width="7.7109375" style="415" customWidth="1"/>
    <col min="7947" max="7947" width="7" style="415" customWidth="1"/>
    <col min="7948" max="7948" width="7.7109375" style="415" customWidth="1"/>
    <col min="7949" max="7949" width="7" style="415" customWidth="1"/>
    <col min="7950" max="8192" width="11.5703125" style="415"/>
    <col min="8193" max="8193" width="11.42578125" style="415" customWidth="1"/>
    <col min="8194" max="8194" width="6.140625" style="415" customWidth="1"/>
    <col min="8195" max="8195" width="21.7109375" style="415" customWidth="1"/>
    <col min="8196" max="8196" width="9.28515625" style="415" customWidth="1"/>
    <col min="8197" max="8197" width="8.28515625" style="415" customWidth="1"/>
    <col min="8198" max="8198" width="7.7109375" style="415" customWidth="1"/>
    <col min="8199" max="8199" width="9.7109375" style="415" customWidth="1"/>
    <col min="8200" max="8200" width="7.28515625" style="415" customWidth="1"/>
    <col min="8201" max="8201" width="7.5703125" style="415" customWidth="1"/>
    <col min="8202" max="8202" width="7.7109375" style="415" customWidth="1"/>
    <col min="8203" max="8203" width="7" style="415" customWidth="1"/>
    <col min="8204" max="8204" width="7.7109375" style="415" customWidth="1"/>
    <col min="8205" max="8205" width="7" style="415" customWidth="1"/>
    <col min="8206" max="8448" width="11.5703125" style="415"/>
    <col min="8449" max="8449" width="11.42578125" style="415" customWidth="1"/>
    <col min="8450" max="8450" width="6.140625" style="415" customWidth="1"/>
    <col min="8451" max="8451" width="21.7109375" style="415" customWidth="1"/>
    <col min="8452" max="8452" width="9.28515625" style="415" customWidth="1"/>
    <col min="8453" max="8453" width="8.28515625" style="415" customWidth="1"/>
    <col min="8454" max="8454" width="7.7109375" style="415" customWidth="1"/>
    <col min="8455" max="8455" width="9.7109375" style="415" customWidth="1"/>
    <col min="8456" max="8456" width="7.28515625" style="415" customWidth="1"/>
    <col min="8457" max="8457" width="7.5703125" style="415" customWidth="1"/>
    <col min="8458" max="8458" width="7.7109375" style="415" customWidth="1"/>
    <col min="8459" max="8459" width="7" style="415" customWidth="1"/>
    <col min="8460" max="8460" width="7.7109375" style="415" customWidth="1"/>
    <col min="8461" max="8461" width="7" style="415" customWidth="1"/>
    <col min="8462" max="8704" width="11.5703125" style="415"/>
    <col min="8705" max="8705" width="11.42578125" style="415" customWidth="1"/>
    <col min="8706" max="8706" width="6.140625" style="415" customWidth="1"/>
    <col min="8707" max="8707" width="21.7109375" style="415" customWidth="1"/>
    <col min="8708" max="8708" width="9.28515625" style="415" customWidth="1"/>
    <col min="8709" max="8709" width="8.28515625" style="415" customWidth="1"/>
    <col min="8710" max="8710" width="7.7109375" style="415" customWidth="1"/>
    <col min="8711" max="8711" width="9.7109375" style="415" customWidth="1"/>
    <col min="8712" max="8712" width="7.28515625" style="415" customWidth="1"/>
    <col min="8713" max="8713" width="7.5703125" style="415" customWidth="1"/>
    <col min="8714" max="8714" width="7.7109375" style="415" customWidth="1"/>
    <col min="8715" max="8715" width="7" style="415" customWidth="1"/>
    <col min="8716" max="8716" width="7.7109375" style="415" customWidth="1"/>
    <col min="8717" max="8717" width="7" style="415" customWidth="1"/>
    <col min="8718" max="8960" width="11.5703125" style="415"/>
    <col min="8961" max="8961" width="11.42578125" style="415" customWidth="1"/>
    <col min="8962" max="8962" width="6.140625" style="415" customWidth="1"/>
    <col min="8963" max="8963" width="21.7109375" style="415" customWidth="1"/>
    <col min="8964" max="8964" width="9.28515625" style="415" customWidth="1"/>
    <col min="8965" max="8965" width="8.28515625" style="415" customWidth="1"/>
    <col min="8966" max="8966" width="7.7109375" style="415" customWidth="1"/>
    <col min="8967" max="8967" width="9.7109375" style="415" customWidth="1"/>
    <col min="8968" max="8968" width="7.28515625" style="415" customWidth="1"/>
    <col min="8969" max="8969" width="7.5703125" style="415" customWidth="1"/>
    <col min="8970" max="8970" width="7.7109375" style="415" customWidth="1"/>
    <col min="8971" max="8971" width="7" style="415" customWidth="1"/>
    <col min="8972" max="8972" width="7.7109375" style="415" customWidth="1"/>
    <col min="8973" max="8973" width="7" style="415" customWidth="1"/>
    <col min="8974" max="9216" width="11.5703125" style="415"/>
    <col min="9217" max="9217" width="11.42578125" style="415" customWidth="1"/>
    <col min="9218" max="9218" width="6.140625" style="415" customWidth="1"/>
    <col min="9219" max="9219" width="21.7109375" style="415" customWidth="1"/>
    <col min="9220" max="9220" width="9.28515625" style="415" customWidth="1"/>
    <col min="9221" max="9221" width="8.28515625" style="415" customWidth="1"/>
    <col min="9222" max="9222" width="7.7109375" style="415" customWidth="1"/>
    <col min="9223" max="9223" width="9.7109375" style="415" customWidth="1"/>
    <col min="9224" max="9224" width="7.28515625" style="415" customWidth="1"/>
    <col min="9225" max="9225" width="7.5703125" style="415" customWidth="1"/>
    <col min="9226" max="9226" width="7.7109375" style="415" customWidth="1"/>
    <col min="9227" max="9227" width="7" style="415" customWidth="1"/>
    <col min="9228" max="9228" width="7.7109375" style="415" customWidth="1"/>
    <col min="9229" max="9229" width="7" style="415" customWidth="1"/>
    <col min="9230" max="9472" width="11.5703125" style="415"/>
    <col min="9473" max="9473" width="11.42578125" style="415" customWidth="1"/>
    <col min="9474" max="9474" width="6.140625" style="415" customWidth="1"/>
    <col min="9475" max="9475" width="21.7109375" style="415" customWidth="1"/>
    <col min="9476" max="9476" width="9.28515625" style="415" customWidth="1"/>
    <col min="9477" max="9477" width="8.28515625" style="415" customWidth="1"/>
    <col min="9478" max="9478" width="7.7109375" style="415" customWidth="1"/>
    <col min="9479" max="9479" width="9.7109375" style="415" customWidth="1"/>
    <col min="9480" max="9480" width="7.28515625" style="415" customWidth="1"/>
    <col min="9481" max="9481" width="7.5703125" style="415" customWidth="1"/>
    <col min="9482" max="9482" width="7.7109375" style="415" customWidth="1"/>
    <col min="9483" max="9483" width="7" style="415" customWidth="1"/>
    <col min="9484" max="9484" width="7.7109375" style="415" customWidth="1"/>
    <col min="9485" max="9485" width="7" style="415" customWidth="1"/>
    <col min="9486" max="9728" width="11.5703125" style="415"/>
    <col min="9729" max="9729" width="11.42578125" style="415" customWidth="1"/>
    <col min="9730" max="9730" width="6.140625" style="415" customWidth="1"/>
    <col min="9731" max="9731" width="21.7109375" style="415" customWidth="1"/>
    <col min="9732" max="9732" width="9.28515625" style="415" customWidth="1"/>
    <col min="9733" max="9733" width="8.28515625" style="415" customWidth="1"/>
    <col min="9734" max="9734" width="7.7109375" style="415" customWidth="1"/>
    <col min="9735" max="9735" width="9.7109375" style="415" customWidth="1"/>
    <col min="9736" max="9736" width="7.28515625" style="415" customWidth="1"/>
    <col min="9737" max="9737" width="7.5703125" style="415" customWidth="1"/>
    <col min="9738" max="9738" width="7.7109375" style="415" customWidth="1"/>
    <col min="9739" max="9739" width="7" style="415" customWidth="1"/>
    <col min="9740" max="9740" width="7.7109375" style="415" customWidth="1"/>
    <col min="9741" max="9741" width="7" style="415" customWidth="1"/>
    <col min="9742" max="9984" width="11.5703125" style="415"/>
    <col min="9985" max="9985" width="11.42578125" style="415" customWidth="1"/>
    <col min="9986" max="9986" width="6.140625" style="415" customWidth="1"/>
    <col min="9987" max="9987" width="21.7109375" style="415" customWidth="1"/>
    <col min="9988" max="9988" width="9.28515625" style="415" customWidth="1"/>
    <col min="9989" max="9989" width="8.28515625" style="415" customWidth="1"/>
    <col min="9990" max="9990" width="7.7109375" style="415" customWidth="1"/>
    <col min="9991" max="9991" width="9.7109375" style="415" customWidth="1"/>
    <col min="9992" max="9992" width="7.28515625" style="415" customWidth="1"/>
    <col min="9993" max="9993" width="7.5703125" style="415" customWidth="1"/>
    <col min="9994" max="9994" width="7.7109375" style="415" customWidth="1"/>
    <col min="9995" max="9995" width="7" style="415" customWidth="1"/>
    <col min="9996" max="9996" width="7.7109375" style="415" customWidth="1"/>
    <col min="9997" max="9997" width="7" style="415" customWidth="1"/>
    <col min="9998" max="10240" width="11.5703125" style="415"/>
    <col min="10241" max="10241" width="11.42578125" style="415" customWidth="1"/>
    <col min="10242" max="10242" width="6.140625" style="415" customWidth="1"/>
    <col min="10243" max="10243" width="21.7109375" style="415" customWidth="1"/>
    <col min="10244" max="10244" width="9.28515625" style="415" customWidth="1"/>
    <col min="10245" max="10245" width="8.28515625" style="415" customWidth="1"/>
    <col min="10246" max="10246" width="7.7109375" style="415" customWidth="1"/>
    <col min="10247" max="10247" width="9.7109375" style="415" customWidth="1"/>
    <col min="10248" max="10248" width="7.28515625" style="415" customWidth="1"/>
    <col min="10249" max="10249" width="7.5703125" style="415" customWidth="1"/>
    <col min="10250" max="10250" width="7.7109375" style="415" customWidth="1"/>
    <col min="10251" max="10251" width="7" style="415" customWidth="1"/>
    <col min="10252" max="10252" width="7.7109375" style="415" customWidth="1"/>
    <col min="10253" max="10253" width="7" style="415" customWidth="1"/>
    <col min="10254" max="10496" width="11.5703125" style="415"/>
    <col min="10497" max="10497" width="11.42578125" style="415" customWidth="1"/>
    <col min="10498" max="10498" width="6.140625" style="415" customWidth="1"/>
    <col min="10499" max="10499" width="21.7109375" style="415" customWidth="1"/>
    <col min="10500" max="10500" width="9.28515625" style="415" customWidth="1"/>
    <col min="10501" max="10501" width="8.28515625" style="415" customWidth="1"/>
    <col min="10502" max="10502" width="7.7109375" style="415" customWidth="1"/>
    <col min="10503" max="10503" width="9.7109375" style="415" customWidth="1"/>
    <col min="10504" max="10504" width="7.28515625" style="415" customWidth="1"/>
    <col min="10505" max="10505" width="7.5703125" style="415" customWidth="1"/>
    <col min="10506" max="10506" width="7.7109375" style="415" customWidth="1"/>
    <col min="10507" max="10507" width="7" style="415" customWidth="1"/>
    <col min="10508" max="10508" width="7.7109375" style="415" customWidth="1"/>
    <col min="10509" max="10509" width="7" style="415" customWidth="1"/>
    <col min="10510" max="10752" width="11.5703125" style="415"/>
    <col min="10753" max="10753" width="11.42578125" style="415" customWidth="1"/>
    <col min="10754" max="10754" width="6.140625" style="415" customWidth="1"/>
    <col min="10755" max="10755" width="21.7109375" style="415" customWidth="1"/>
    <col min="10756" max="10756" width="9.28515625" style="415" customWidth="1"/>
    <col min="10757" max="10757" width="8.28515625" style="415" customWidth="1"/>
    <col min="10758" max="10758" width="7.7109375" style="415" customWidth="1"/>
    <col min="10759" max="10759" width="9.7109375" style="415" customWidth="1"/>
    <col min="10760" max="10760" width="7.28515625" style="415" customWidth="1"/>
    <col min="10761" max="10761" width="7.5703125" style="415" customWidth="1"/>
    <col min="10762" max="10762" width="7.7109375" style="415" customWidth="1"/>
    <col min="10763" max="10763" width="7" style="415" customWidth="1"/>
    <col min="10764" max="10764" width="7.7109375" style="415" customWidth="1"/>
    <col min="10765" max="10765" width="7" style="415" customWidth="1"/>
    <col min="10766" max="11008" width="11.5703125" style="415"/>
    <col min="11009" max="11009" width="11.42578125" style="415" customWidth="1"/>
    <col min="11010" max="11010" width="6.140625" style="415" customWidth="1"/>
    <col min="11011" max="11011" width="21.7109375" style="415" customWidth="1"/>
    <col min="11012" max="11012" width="9.28515625" style="415" customWidth="1"/>
    <col min="11013" max="11013" width="8.28515625" style="415" customWidth="1"/>
    <col min="11014" max="11014" width="7.7109375" style="415" customWidth="1"/>
    <col min="11015" max="11015" width="9.7109375" style="415" customWidth="1"/>
    <col min="11016" max="11016" width="7.28515625" style="415" customWidth="1"/>
    <col min="11017" max="11017" width="7.5703125" style="415" customWidth="1"/>
    <col min="11018" max="11018" width="7.7109375" style="415" customWidth="1"/>
    <col min="11019" max="11019" width="7" style="415" customWidth="1"/>
    <col min="11020" max="11020" width="7.7109375" style="415" customWidth="1"/>
    <col min="11021" max="11021" width="7" style="415" customWidth="1"/>
    <col min="11022" max="11264" width="11.5703125" style="415"/>
    <col min="11265" max="11265" width="11.42578125" style="415" customWidth="1"/>
    <col min="11266" max="11266" width="6.140625" style="415" customWidth="1"/>
    <col min="11267" max="11267" width="21.7109375" style="415" customWidth="1"/>
    <col min="11268" max="11268" width="9.28515625" style="415" customWidth="1"/>
    <col min="11269" max="11269" width="8.28515625" style="415" customWidth="1"/>
    <col min="11270" max="11270" width="7.7109375" style="415" customWidth="1"/>
    <col min="11271" max="11271" width="9.7109375" style="415" customWidth="1"/>
    <col min="11272" max="11272" width="7.28515625" style="415" customWidth="1"/>
    <col min="11273" max="11273" width="7.5703125" style="415" customWidth="1"/>
    <col min="11274" max="11274" width="7.7109375" style="415" customWidth="1"/>
    <col min="11275" max="11275" width="7" style="415" customWidth="1"/>
    <col min="11276" max="11276" width="7.7109375" style="415" customWidth="1"/>
    <col min="11277" max="11277" width="7" style="415" customWidth="1"/>
    <col min="11278" max="11520" width="11.5703125" style="415"/>
    <col min="11521" max="11521" width="11.42578125" style="415" customWidth="1"/>
    <col min="11522" max="11522" width="6.140625" style="415" customWidth="1"/>
    <col min="11523" max="11523" width="21.7109375" style="415" customWidth="1"/>
    <col min="11524" max="11524" width="9.28515625" style="415" customWidth="1"/>
    <col min="11525" max="11525" width="8.28515625" style="415" customWidth="1"/>
    <col min="11526" max="11526" width="7.7109375" style="415" customWidth="1"/>
    <col min="11527" max="11527" width="9.7109375" style="415" customWidth="1"/>
    <col min="11528" max="11528" width="7.28515625" style="415" customWidth="1"/>
    <col min="11529" max="11529" width="7.5703125" style="415" customWidth="1"/>
    <col min="11530" max="11530" width="7.7109375" style="415" customWidth="1"/>
    <col min="11531" max="11531" width="7" style="415" customWidth="1"/>
    <col min="11532" max="11532" width="7.7109375" style="415" customWidth="1"/>
    <col min="11533" max="11533" width="7" style="415" customWidth="1"/>
    <col min="11534" max="11776" width="11.5703125" style="415"/>
    <col min="11777" max="11777" width="11.42578125" style="415" customWidth="1"/>
    <col min="11778" max="11778" width="6.140625" style="415" customWidth="1"/>
    <col min="11779" max="11779" width="21.7109375" style="415" customWidth="1"/>
    <col min="11780" max="11780" width="9.28515625" style="415" customWidth="1"/>
    <col min="11781" max="11781" width="8.28515625" style="415" customWidth="1"/>
    <col min="11782" max="11782" width="7.7109375" style="415" customWidth="1"/>
    <col min="11783" max="11783" width="9.7109375" style="415" customWidth="1"/>
    <col min="11784" max="11784" width="7.28515625" style="415" customWidth="1"/>
    <col min="11785" max="11785" width="7.5703125" style="415" customWidth="1"/>
    <col min="11786" max="11786" width="7.7109375" style="415" customWidth="1"/>
    <col min="11787" max="11787" width="7" style="415" customWidth="1"/>
    <col min="11788" max="11788" width="7.7109375" style="415" customWidth="1"/>
    <col min="11789" max="11789" width="7" style="415" customWidth="1"/>
    <col min="11790" max="12032" width="11.5703125" style="415"/>
    <col min="12033" max="12033" width="11.42578125" style="415" customWidth="1"/>
    <col min="12034" max="12034" width="6.140625" style="415" customWidth="1"/>
    <col min="12035" max="12035" width="21.7109375" style="415" customWidth="1"/>
    <col min="12036" max="12036" width="9.28515625" style="415" customWidth="1"/>
    <col min="12037" max="12037" width="8.28515625" style="415" customWidth="1"/>
    <col min="12038" max="12038" width="7.7109375" style="415" customWidth="1"/>
    <col min="12039" max="12039" width="9.7109375" style="415" customWidth="1"/>
    <col min="12040" max="12040" width="7.28515625" style="415" customWidth="1"/>
    <col min="12041" max="12041" width="7.5703125" style="415" customWidth="1"/>
    <col min="12042" max="12042" width="7.7109375" style="415" customWidth="1"/>
    <col min="12043" max="12043" width="7" style="415" customWidth="1"/>
    <col min="12044" max="12044" width="7.7109375" style="415" customWidth="1"/>
    <col min="12045" max="12045" width="7" style="415" customWidth="1"/>
    <col min="12046" max="12288" width="11.5703125" style="415"/>
    <col min="12289" max="12289" width="11.42578125" style="415" customWidth="1"/>
    <col min="12290" max="12290" width="6.140625" style="415" customWidth="1"/>
    <col min="12291" max="12291" width="21.7109375" style="415" customWidth="1"/>
    <col min="12292" max="12292" width="9.28515625" style="415" customWidth="1"/>
    <col min="12293" max="12293" width="8.28515625" style="415" customWidth="1"/>
    <col min="12294" max="12294" width="7.7109375" style="415" customWidth="1"/>
    <col min="12295" max="12295" width="9.7109375" style="415" customWidth="1"/>
    <col min="12296" max="12296" width="7.28515625" style="415" customWidth="1"/>
    <col min="12297" max="12297" width="7.5703125" style="415" customWidth="1"/>
    <col min="12298" max="12298" width="7.7109375" style="415" customWidth="1"/>
    <col min="12299" max="12299" width="7" style="415" customWidth="1"/>
    <col min="12300" max="12300" width="7.7109375" style="415" customWidth="1"/>
    <col min="12301" max="12301" width="7" style="415" customWidth="1"/>
    <col min="12302" max="12544" width="11.5703125" style="415"/>
    <col min="12545" max="12545" width="11.42578125" style="415" customWidth="1"/>
    <col min="12546" max="12546" width="6.140625" style="415" customWidth="1"/>
    <col min="12547" max="12547" width="21.7109375" style="415" customWidth="1"/>
    <col min="12548" max="12548" width="9.28515625" style="415" customWidth="1"/>
    <col min="12549" max="12549" width="8.28515625" style="415" customWidth="1"/>
    <col min="12550" max="12550" width="7.7109375" style="415" customWidth="1"/>
    <col min="12551" max="12551" width="9.7109375" style="415" customWidth="1"/>
    <col min="12552" max="12552" width="7.28515625" style="415" customWidth="1"/>
    <col min="12553" max="12553" width="7.5703125" style="415" customWidth="1"/>
    <col min="12554" max="12554" width="7.7109375" style="415" customWidth="1"/>
    <col min="12555" max="12555" width="7" style="415" customWidth="1"/>
    <col min="12556" max="12556" width="7.7109375" style="415" customWidth="1"/>
    <col min="12557" max="12557" width="7" style="415" customWidth="1"/>
    <col min="12558" max="12800" width="11.5703125" style="415"/>
    <col min="12801" max="12801" width="11.42578125" style="415" customWidth="1"/>
    <col min="12802" max="12802" width="6.140625" style="415" customWidth="1"/>
    <col min="12803" max="12803" width="21.7109375" style="415" customWidth="1"/>
    <col min="12804" max="12804" width="9.28515625" style="415" customWidth="1"/>
    <col min="12805" max="12805" width="8.28515625" style="415" customWidth="1"/>
    <col min="12806" max="12806" width="7.7109375" style="415" customWidth="1"/>
    <col min="12807" max="12807" width="9.7109375" style="415" customWidth="1"/>
    <col min="12808" max="12808" width="7.28515625" style="415" customWidth="1"/>
    <col min="12809" max="12809" width="7.5703125" style="415" customWidth="1"/>
    <col min="12810" max="12810" width="7.7109375" style="415" customWidth="1"/>
    <col min="12811" max="12811" width="7" style="415" customWidth="1"/>
    <col min="12812" max="12812" width="7.7109375" style="415" customWidth="1"/>
    <col min="12813" max="12813" width="7" style="415" customWidth="1"/>
    <col min="12814" max="13056" width="11.5703125" style="415"/>
    <col min="13057" max="13057" width="11.42578125" style="415" customWidth="1"/>
    <col min="13058" max="13058" width="6.140625" style="415" customWidth="1"/>
    <col min="13059" max="13059" width="21.7109375" style="415" customWidth="1"/>
    <col min="13060" max="13060" width="9.28515625" style="415" customWidth="1"/>
    <col min="13061" max="13061" width="8.28515625" style="415" customWidth="1"/>
    <col min="13062" max="13062" width="7.7109375" style="415" customWidth="1"/>
    <col min="13063" max="13063" width="9.7109375" style="415" customWidth="1"/>
    <col min="13064" max="13064" width="7.28515625" style="415" customWidth="1"/>
    <col min="13065" max="13065" width="7.5703125" style="415" customWidth="1"/>
    <col min="13066" max="13066" width="7.7109375" style="415" customWidth="1"/>
    <col min="13067" max="13067" width="7" style="415" customWidth="1"/>
    <col min="13068" max="13068" width="7.7109375" style="415" customWidth="1"/>
    <col min="13069" max="13069" width="7" style="415" customWidth="1"/>
    <col min="13070" max="13312" width="11.5703125" style="415"/>
    <col min="13313" max="13313" width="11.42578125" style="415" customWidth="1"/>
    <col min="13314" max="13314" width="6.140625" style="415" customWidth="1"/>
    <col min="13315" max="13315" width="21.7109375" style="415" customWidth="1"/>
    <col min="13316" max="13316" width="9.28515625" style="415" customWidth="1"/>
    <col min="13317" max="13317" width="8.28515625" style="415" customWidth="1"/>
    <col min="13318" max="13318" width="7.7109375" style="415" customWidth="1"/>
    <col min="13319" max="13319" width="9.7109375" style="415" customWidth="1"/>
    <col min="13320" max="13320" width="7.28515625" style="415" customWidth="1"/>
    <col min="13321" max="13321" width="7.5703125" style="415" customWidth="1"/>
    <col min="13322" max="13322" width="7.7109375" style="415" customWidth="1"/>
    <col min="13323" max="13323" width="7" style="415" customWidth="1"/>
    <col min="13324" max="13324" width="7.7109375" style="415" customWidth="1"/>
    <col min="13325" max="13325" width="7" style="415" customWidth="1"/>
    <col min="13326" max="13568" width="11.5703125" style="415"/>
    <col min="13569" max="13569" width="11.42578125" style="415" customWidth="1"/>
    <col min="13570" max="13570" width="6.140625" style="415" customWidth="1"/>
    <col min="13571" max="13571" width="21.7109375" style="415" customWidth="1"/>
    <col min="13572" max="13572" width="9.28515625" style="415" customWidth="1"/>
    <col min="13573" max="13573" width="8.28515625" style="415" customWidth="1"/>
    <col min="13574" max="13574" width="7.7109375" style="415" customWidth="1"/>
    <col min="13575" max="13575" width="9.7109375" style="415" customWidth="1"/>
    <col min="13576" max="13576" width="7.28515625" style="415" customWidth="1"/>
    <col min="13577" max="13577" width="7.5703125" style="415" customWidth="1"/>
    <col min="13578" max="13578" width="7.7109375" style="415" customWidth="1"/>
    <col min="13579" max="13579" width="7" style="415" customWidth="1"/>
    <col min="13580" max="13580" width="7.7109375" style="415" customWidth="1"/>
    <col min="13581" max="13581" width="7" style="415" customWidth="1"/>
    <col min="13582" max="13824" width="11.5703125" style="415"/>
    <col min="13825" max="13825" width="11.42578125" style="415" customWidth="1"/>
    <col min="13826" max="13826" width="6.140625" style="415" customWidth="1"/>
    <col min="13827" max="13827" width="21.7109375" style="415" customWidth="1"/>
    <col min="13828" max="13828" width="9.28515625" style="415" customWidth="1"/>
    <col min="13829" max="13829" width="8.28515625" style="415" customWidth="1"/>
    <col min="13830" max="13830" width="7.7109375" style="415" customWidth="1"/>
    <col min="13831" max="13831" width="9.7109375" style="415" customWidth="1"/>
    <col min="13832" max="13832" width="7.28515625" style="415" customWidth="1"/>
    <col min="13833" max="13833" width="7.5703125" style="415" customWidth="1"/>
    <col min="13834" max="13834" width="7.7109375" style="415" customWidth="1"/>
    <col min="13835" max="13835" width="7" style="415" customWidth="1"/>
    <col min="13836" max="13836" width="7.7109375" style="415" customWidth="1"/>
    <col min="13837" max="13837" width="7" style="415" customWidth="1"/>
    <col min="13838" max="14080" width="11.5703125" style="415"/>
    <col min="14081" max="14081" width="11.42578125" style="415" customWidth="1"/>
    <col min="14082" max="14082" width="6.140625" style="415" customWidth="1"/>
    <col min="14083" max="14083" width="21.7109375" style="415" customWidth="1"/>
    <col min="14084" max="14084" width="9.28515625" style="415" customWidth="1"/>
    <col min="14085" max="14085" width="8.28515625" style="415" customWidth="1"/>
    <col min="14086" max="14086" width="7.7109375" style="415" customWidth="1"/>
    <col min="14087" max="14087" width="9.7109375" style="415" customWidth="1"/>
    <col min="14088" max="14088" width="7.28515625" style="415" customWidth="1"/>
    <col min="14089" max="14089" width="7.5703125" style="415" customWidth="1"/>
    <col min="14090" max="14090" width="7.7109375" style="415" customWidth="1"/>
    <col min="14091" max="14091" width="7" style="415" customWidth="1"/>
    <col min="14092" max="14092" width="7.7109375" style="415" customWidth="1"/>
    <col min="14093" max="14093" width="7" style="415" customWidth="1"/>
    <col min="14094" max="14336" width="11.5703125" style="415"/>
    <col min="14337" max="14337" width="11.42578125" style="415" customWidth="1"/>
    <col min="14338" max="14338" width="6.140625" style="415" customWidth="1"/>
    <col min="14339" max="14339" width="21.7109375" style="415" customWidth="1"/>
    <col min="14340" max="14340" width="9.28515625" style="415" customWidth="1"/>
    <col min="14341" max="14341" width="8.28515625" style="415" customWidth="1"/>
    <col min="14342" max="14342" width="7.7109375" style="415" customWidth="1"/>
    <col min="14343" max="14343" width="9.7109375" style="415" customWidth="1"/>
    <col min="14344" max="14344" width="7.28515625" style="415" customWidth="1"/>
    <col min="14345" max="14345" width="7.5703125" style="415" customWidth="1"/>
    <col min="14346" max="14346" width="7.7109375" style="415" customWidth="1"/>
    <col min="14347" max="14347" width="7" style="415" customWidth="1"/>
    <col min="14348" max="14348" width="7.7109375" style="415" customWidth="1"/>
    <col min="14349" max="14349" width="7" style="415" customWidth="1"/>
    <col min="14350" max="14592" width="11.5703125" style="415"/>
    <col min="14593" max="14593" width="11.42578125" style="415" customWidth="1"/>
    <col min="14594" max="14594" width="6.140625" style="415" customWidth="1"/>
    <col min="14595" max="14595" width="21.7109375" style="415" customWidth="1"/>
    <col min="14596" max="14596" width="9.28515625" style="415" customWidth="1"/>
    <col min="14597" max="14597" width="8.28515625" style="415" customWidth="1"/>
    <col min="14598" max="14598" width="7.7109375" style="415" customWidth="1"/>
    <col min="14599" max="14599" width="9.7109375" style="415" customWidth="1"/>
    <col min="14600" max="14600" width="7.28515625" style="415" customWidth="1"/>
    <col min="14601" max="14601" width="7.5703125" style="415" customWidth="1"/>
    <col min="14602" max="14602" width="7.7109375" style="415" customWidth="1"/>
    <col min="14603" max="14603" width="7" style="415" customWidth="1"/>
    <col min="14604" max="14604" width="7.7109375" style="415" customWidth="1"/>
    <col min="14605" max="14605" width="7" style="415" customWidth="1"/>
    <col min="14606" max="14848" width="11.5703125" style="415"/>
    <col min="14849" max="14849" width="11.42578125" style="415" customWidth="1"/>
    <col min="14850" max="14850" width="6.140625" style="415" customWidth="1"/>
    <col min="14851" max="14851" width="21.7109375" style="415" customWidth="1"/>
    <col min="14852" max="14852" width="9.28515625" style="415" customWidth="1"/>
    <col min="14853" max="14853" width="8.28515625" style="415" customWidth="1"/>
    <col min="14854" max="14854" width="7.7109375" style="415" customWidth="1"/>
    <col min="14855" max="14855" width="9.7109375" style="415" customWidth="1"/>
    <col min="14856" max="14856" width="7.28515625" style="415" customWidth="1"/>
    <col min="14857" max="14857" width="7.5703125" style="415" customWidth="1"/>
    <col min="14858" max="14858" width="7.7109375" style="415" customWidth="1"/>
    <col min="14859" max="14859" width="7" style="415" customWidth="1"/>
    <col min="14860" max="14860" width="7.7109375" style="415" customWidth="1"/>
    <col min="14861" max="14861" width="7" style="415" customWidth="1"/>
    <col min="14862" max="15104" width="11.5703125" style="415"/>
    <col min="15105" max="15105" width="11.42578125" style="415" customWidth="1"/>
    <col min="15106" max="15106" width="6.140625" style="415" customWidth="1"/>
    <col min="15107" max="15107" width="21.7109375" style="415" customWidth="1"/>
    <col min="15108" max="15108" width="9.28515625" style="415" customWidth="1"/>
    <col min="15109" max="15109" width="8.28515625" style="415" customWidth="1"/>
    <col min="15110" max="15110" width="7.7109375" style="415" customWidth="1"/>
    <col min="15111" max="15111" width="9.7109375" style="415" customWidth="1"/>
    <col min="15112" max="15112" width="7.28515625" style="415" customWidth="1"/>
    <col min="15113" max="15113" width="7.5703125" style="415" customWidth="1"/>
    <col min="15114" max="15114" width="7.7109375" style="415" customWidth="1"/>
    <col min="15115" max="15115" width="7" style="415" customWidth="1"/>
    <col min="15116" max="15116" width="7.7109375" style="415" customWidth="1"/>
    <col min="15117" max="15117" width="7" style="415" customWidth="1"/>
    <col min="15118" max="15360" width="11.5703125" style="415"/>
    <col min="15361" max="15361" width="11.42578125" style="415" customWidth="1"/>
    <col min="15362" max="15362" width="6.140625" style="415" customWidth="1"/>
    <col min="15363" max="15363" width="21.7109375" style="415" customWidth="1"/>
    <col min="15364" max="15364" width="9.28515625" style="415" customWidth="1"/>
    <col min="15365" max="15365" width="8.28515625" style="415" customWidth="1"/>
    <col min="15366" max="15366" width="7.7109375" style="415" customWidth="1"/>
    <col min="15367" max="15367" width="9.7109375" style="415" customWidth="1"/>
    <col min="15368" max="15368" width="7.28515625" style="415" customWidth="1"/>
    <col min="15369" max="15369" width="7.5703125" style="415" customWidth="1"/>
    <col min="15370" max="15370" width="7.7109375" style="415" customWidth="1"/>
    <col min="15371" max="15371" width="7" style="415" customWidth="1"/>
    <col min="15372" max="15372" width="7.7109375" style="415" customWidth="1"/>
    <col min="15373" max="15373" width="7" style="415" customWidth="1"/>
    <col min="15374" max="15616" width="11.5703125" style="415"/>
    <col min="15617" max="15617" width="11.42578125" style="415" customWidth="1"/>
    <col min="15618" max="15618" width="6.140625" style="415" customWidth="1"/>
    <col min="15619" max="15619" width="21.7109375" style="415" customWidth="1"/>
    <col min="15620" max="15620" width="9.28515625" style="415" customWidth="1"/>
    <col min="15621" max="15621" width="8.28515625" style="415" customWidth="1"/>
    <col min="15622" max="15622" width="7.7109375" style="415" customWidth="1"/>
    <col min="15623" max="15623" width="9.7109375" style="415" customWidth="1"/>
    <col min="15624" max="15624" width="7.28515625" style="415" customWidth="1"/>
    <col min="15625" max="15625" width="7.5703125" style="415" customWidth="1"/>
    <col min="15626" max="15626" width="7.7109375" style="415" customWidth="1"/>
    <col min="15627" max="15627" width="7" style="415" customWidth="1"/>
    <col min="15628" max="15628" width="7.7109375" style="415" customWidth="1"/>
    <col min="15629" max="15629" width="7" style="415" customWidth="1"/>
    <col min="15630" max="15872" width="11.5703125" style="415"/>
    <col min="15873" max="15873" width="11.42578125" style="415" customWidth="1"/>
    <col min="15874" max="15874" width="6.140625" style="415" customWidth="1"/>
    <col min="15875" max="15875" width="21.7109375" style="415" customWidth="1"/>
    <col min="15876" max="15876" width="9.28515625" style="415" customWidth="1"/>
    <col min="15877" max="15877" width="8.28515625" style="415" customWidth="1"/>
    <col min="15878" max="15878" width="7.7109375" style="415" customWidth="1"/>
    <col min="15879" max="15879" width="9.7109375" style="415" customWidth="1"/>
    <col min="15880" max="15880" width="7.28515625" style="415" customWidth="1"/>
    <col min="15881" max="15881" width="7.5703125" style="415" customWidth="1"/>
    <col min="15882" max="15882" width="7.7109375" style="415" customWidth="1"/>
    <col min="15883" max="15883" width="7" style="415" customWidth="1"/>
    <col min="15884" max="15884" width="7.7109375" style="415" customWidth="1"/>
    <col min="15885" max="15885" width="7" style="415" customWidth="1"/>
    <col min="15886" max="16128" width="11.5703125" style="415"/>
    <col min="16129" max="16129" width="11.42578125" style="415" customWidth="1"/>
    <col min="16130" max="16130" width="6.140625" style="415" customWidth="1"/>
    <col min="16131" max="16131" width="21.7109375" style="415" customWidth="1"/>
    <col min="16132" max="16132" width="9.28515625" style="415" customWidth="1"/>
    <col min="16133" max="16133" width="8.28515625" style="415" customWidth="1"/>
    <col min="16134" max="16134" width="7.7109375" style="415" customWidth="1"/>
    <col min="16135" max="16135" width="9.7109375" style="415" customWidth="1"/>
    <col min="16136" max="16136" width="7.28515625" style="415" customWidth="1"/>
    <col min="16137" max="16137" width="7.5703125" style="415" customWidth="1"/>
    <col min="16138" max="16138" width="7.7109375" style="415" customWidth="1"/>
    <col min="16139" max="16139" width="7" style="415" customWidth="1"/>
    <col min="16140" max="16140" width="7.7109375" style="415" customWidth="1"/>
    <col min="16141" max="16141" width="7" style="415" customWidth="1"/>
    <col min="16142" max="16384" width="11.5703125" style="415"/>
  </cols>
  <sheetData>
    <row r="1" spans="1:15" ht="26.25" customHeight="1" x14ac:dyDescent="0.4">
      <c r="A1" s="448" t="s">
        <v>534</v>
      </c>
      <c r="B1" s="449"/>
      <c r="C1" s="450"/>
      <c r="F1" s="451" t="s">
        <v>548</v>
      </c>
      <c r="G1" s="452"/>
      <c r="H1" s="452"/>
      <c r="I1" s="452"/>
      <c r="J1" s="452"/>
      <c r="K1" s="452"/>
      <c r="L1" s="453"/>
    </row>
    <row r="2" spans="1:15" ht="21" customHeight="1" x14ac:dyDescent="0.35">
      <c r="A2" s="444" t="s">
        <v>536</v>
      </c>
      <c r="B2" s="445"/>
      <c r="C2" s="416" t="s">
        <v>537</v>
      </c>
      <c r="F2" s="444" t="s">
        <v>536</v>
      </c>
      <c r="G2" s="445"/>
      <c r="H2" s="446" t="s">
        <v>549</v>
      </c>
      <c r="I2" s="446"/>
      <c r="J2" s="446"/>
      <c r="K2" s="446"/>
      <c r="L2" s="447"/>
    </row>
    <row r="3" spans="1:15" ht="21.75" customHeight="1" x14ac:dyDescent="0.35">
      <c r="A3" s="444" t="s">
        <v>538</v>
      </c>
      <c r="B3" s="445"/>
      <c r="C3" s="416" t="s">
        <v>539</v>
      </c>
      <c r="F3" s="444" t="s">
        <v>538</v>
      </c>
      <c r="G3" s="445"/>
      <c r="H3" s="446" t="s">
        <v>550</v>
      </c>
      <c r="I3" s="446"/>
      <c r="J3" s="446"/>
      <c r="K3" s="446"/>
      <c r="L3" s="447"/>
    </row>
    <row r="4" spans="1:15" ht="21.75" thickBot="1" x14ac:dyDescent="0.4">
      <c r="A4" s="454" t="s">
        <v>540</v>
      </c>
      <c r="B4" s="455"/>
      <c r="C4" s="417" t="s">
        <v>541</v>
      </c>
      <c r="F4" s="454" t="s">
        <v>540</v>
      </c>
      <c r="G4" s="455"/>
      <c r="H4" s="456" t="s">
        <v>551</v>
      </c>
      <c r="I4" s="456"/>
      <c r="J4" s="456"/>
      <c r="K4" s="456"/>
      <c r="L4" s="457"/>
    </row>
    <row r="5" spans="1:15" ht="7.5" customHeight="1" thickBot="1" x14ac:dyDescent="0.4">
      <c r="A5" s="418"/>
      <c r="C5" s="418"/>
    </row>
    <row r="6" spans="1:15" ht="35.450000000000003" customHeight="1" thickBot="1" x14ac:dyDescent="0.25">
      <c r="A6" s="458" t="s">
        <v>535</v>
      </c>
      <c r="B6" s="459"/>
      <c r="C6" s="460"/>
      <c r="F6" s="461" t="s">
        <v>542</v>
      </c>
      <c r="G6" s="462"/>
      <c r="H6" s="463"/>
      <c r="I6" s="464">
        <f ca="1">+TODAY()</f>
        <v>46099</v>
      </c>
      <c r="J6" s="465"/>
      <c r="K6" s="465"/>
      <c r="L6" s="465"/>
      <c r="M6" s="466"/>
    </row>
    <row r="7" spans="1:15" ht="3" customHeight="1" thickBot="1" x14ac:dyDescent="0.25"/>
    <row r="8" spans="1:15" ht="42.75" customHeight="1" thickBot="1" x14ac:dyDescent="0.25">
      <c r="A8" s="473" t="s">
        <v>543</v>
      </c>
      <c r="B8" s="474"/>
      <c r="C8" s="419" t="s">
        <v>568</v>
      </c>
      <c r="D8" s="420" t="s">
        <v>544</v>
      </c>
      <c r="E8" s="421">
        <v>1857</v>
      </c>
      <c r="F8" s="473" t="s">
        <v>545</v>
      </c>
      <c r="G8" s="475"/>
      <c r="H8" s="474"/>
      <c r="I8" s="476" t="s">
        <v>539</v>
      </c>
      <c r="J8" s="477"/>
      <c r="K8" s="477"/>
      <c r="L8" s="477"/>
      <c r="M8" s="478"/>
    </row>
    <row r="9" spans="1:15" ht="7.5" customHeight="1" thickBot="1" x14ac:dyDescent="0.4">
      <c r="A9" s="418"/>
      <c r="C9" s="418"/>
    </row>
    <row r="10" spans="1:15" ht="39.6" customHeight="1" thickBot="1" x14ac:dyDescent="0.25">
      <c r="A10" s="479" t="s">
        <v>552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1"/>
    </row>
    <row r="11" spans="1:15" ht="6" customHeight="1" thickBot="1" x14ac:dyDescent="0.4">
      <c r="A11" s="418"/>
      <c r="C11" s="418"/>
    </row>
    <row r="12" spans="1:15" ht="27" thickBot="1" x14ac:dyDescent="0.25">
      <c r="A12" s="482" t="s">
        <v>553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</row>
    <row r="13" spans="1:15" ht="38.25" thickBot="1" x14ac:dyDescent="0.25">
      <c r="A13" s="422" t="s">
        <v>311</v>
      </c>
      <c r="B13" s="423" t="s">
        <v>533</v>
      </c>
      <c r="C13" s="424" t="s">
        <v>554</v>
      </c>
      <c r="D13" s="425" t="s">
        <v>555</v>
      </c>
      <c r="E13" s="426" t="s">
        <v>285</v>
      </c>
      <c r="F13" s="426" t="s">
        <v>556</v>
      </c>
      <c r="G13" s="423" t="s">
        <v>557</v>
      </c>
      <c r="H13" s="423" t="s">
        <v>558</v>
      </c>
      <c r="I13" s="423" t="s">
        <v>559</v>
      </c>
      <c r="J13" s="423" t="s">
        <v>558</v>
      </c>
      <c r="K13" s="423" t="s">
        <v>559</v>
      </c>
      <c r="L13" s="423" t="s">
        <v>558</v>
      </c>
      <c r="M13" s="423" t="s">
        <v>559</v>
      </c>
    </row>
    <row r="14" spans="1:15" ht="33.6" customHeight="1" x14ac:dyDescent="0.2">
      <c r="A14" s="467" t="str" cm="1">
        <f t="array" ref="A14">+IFERROR(INDEX('Conteo 18-02-26'!$B:$B,MATCH(1,('Conteo 18-02-26'!$E:$E=$B14)*('Conteo 18-02-26'!$A:$A="Rumbo"),0)),"")</f>
        <v/>
      </c>
      <c r="B14" s="469">
        <v>1</v>
      </c>
      <c r="C14" s="471" t="str" cm="1">
        <f t="array" ref="C14">+IFERROR(INDEX('Conteo 18-02-26'!$C:$C,MATCH(1,('Conteo 18-02-26'!$E:$E=$B14)*('Conteo 18-02-26'!$A:$A="Rumbo"),0)),"")</f>
        <v/>
      </c>
      <c r="D14" s="471" t="str" cm="1">
        <f t="array" ref="D14">+IFERROR(INDEX('Conteo 18-02-26'!$D:$D,MATCH(1,('Conteo 18-02-26'!$E:$E=$B14)*('Conteo 18-02-26'!A:A:'Conteo 18-02-26'!$A:$A="Rumbo"),0)),"")</f>
        <v/>
      </c>
      <c r="E14" s="427" t="str">
        <f>+IF(E13="LK","CH",IF(D14="","",IF(D14&gt;0,"LK","CH")))</f>
        <v/>
      </c>
      <c r="F14" s="427" t="str">
        <f>+IF(OR(E14="LK"),ROUNDUP(D14*(VLOOKUP(B14,'Conteo 18-02-26'!$E:$AN,35,0))/100,0),IF(E14="CH",D13-F13,""))</f>
        <v/>
      </c>
      <c r="G14" s="469"/>
      <c r="H14" s="428"/>
      <c r="I14" s="429"/>
      <c r="J14" s="428"/>
      <c r="K14" s="429"/>
      <c r="L14" s="428"/>
      <c r="M14" s="430"/>
      <c r="O14" s="431"/>
    </row>
    <row r="15" spans="1:15" ht="33.6" customHeight="1" x14ac:dyDescent="0.2">
      <c r="A15" s="468"/>
      <c r="B15" s="470"/>
      <c r="C15" s="472"/>
      <c r="D15" s="472"/>
      <c r="E15" s="427" t="str">
        <f t="shared" ref="E15:E43" si="0">+IF(E14="LK","CH",IF(D15="","",IF(D15&gt;0,"LK","CH")))</f>
        <v/>
      </c>
      <c r="F15" s="432" t="str">
        <f>+IF(OR(E15="LK"),ROUNDUP(D15*(VLOOKUP(B15,'Conteo 18-02-26'!$E:$AN,35,0))/100,0),IF(E15="CH",D14-F14,""))</f>
        <v/>
      </c>
      <c r="G15" s="470"/>
      <c r="H15" s="433"/>
      <c r="I15" s="434"/>
      <c r="J15" s="433"/>
      <c r="K15" s="434"/>
      <c r="L15" s="433"/>
      <c r="M15" s="435"/>
    </row>
    <row r="16" spans="1:15" ht="33.6" customHeight="1" x14ac:dyDescent="0.2">
      <c r="A16" s="485" t="str" cm="1">
        <f t="array" ref="A16">+IFERROR(INDEX('Conteo 18-02-26'!$B:$B,MATCH(1,('Conteo 18-02-26'!$E:$E=$B16)*('Conteo 18-02-26'!$A:$A="Rumbo"),0)),"")</f>
        <v/>
      </c>
      <c r="B16" s="470">
        <f>+B14+1</f>
        <v>2</v>
      </c>
      <c r="C16" s="472" t="str" cm="1">
        <f t="array" ref="C16">+IFERROR(INDEX('Conteo 18-02-26'!$C:$C,MATCH(1,('Conteo 18-02-26'!$E:$E=$B16)*('Conteo 18-02-26'!$A:$A="Rumbo"),0)),"")</f>
        <v/>
      </c>
      <c r="D16" s="470" t="str" cm="1">
        <f t="array" ref="D16">+IFERROR(INDEX('Conteo 18-02-26'!$D:$D,MATCH(1,('Conteo 18-02-26'!$E:$E=$B16)*('Conteo 18-02-26'!A:A:'Conteo 18-02-26'!$A:$A="Rumbo"),0)),"")</f>
        <v/>
      </c>
      <c r="E16" s="427" t="str">
        <f t="shared" si="0"/>
        <v/>
      </c>
      <c r="F16" s="432" t="str">
        <f>+IF(OR(E16="LK"),ROUNDUP(D16*(VLOOKUP(B16,'Conteo 18-02-26'!$E:$AN,35,0))/100,0),IF(E16="CH",D15-F15,""))</f>
        <v/>
      </c>
      <c r="G16" s="470"/>
      <c r="H16" s="434"/>
      <c r="I16" s="434"/>
      <c r="J16" s="434"/>
      <c r="K16" s="434"/>
      <c r="L16" s="434"/>
      <c r="M16" s="435"/>
    </row>
    <row r="17" spans="1:13" ht="33.6" customHeight="1" x14ac:dyDescent="0.2">
      <c r="A17" s="485"/>
      <c r="B17" s="470"/>
      <c r="C17" s="472"/>
      <c r="D17" s="470"/>
      <c r="E17" s="427" t="str">
        <f t="shared" si="0"/>
        <v/>
      </c>
      <c r="F17" s="432" t="str">
        <f>+IF(OR(E17="LK"),ROUNDUP(D17*(VLOOKUP(B17,'Conteo 18-02-26'!$E:$AN,35,0))/100,0),IF(E17="CH",D16-F16,""))</f>
        <v/>
      </c>
      <c r="G17" s="470"/>
      <c r="H17" s="434"/>
      <c r="I17" s="434"/>
      <c r="J17" s="434"/>
      <c r="K17" s="434"/>
      <c r="L17" s="434"/>
      <c r="M17" s="435"/>
    </row>
    <row r="18" spans="1:13" ht="33.6" customHeight="1" x14ac:dyDescent="0.2">
      <c r="A18" s="485" t="str" cm="1">
        <f t="array" ref="A18">+IFERROR(INDEX('Conteo 18-02-26'!$B:$B,MATCH(1,('Conteo 18-02-26'!$E:$E=$B18)*('Conteo 18-02-26'!$A:$A="Rumbo"),0)),"")</f>
        <v/>
      </c>
      <c r="B18" s="470">
        <f>+B16+1</f>
        <v>3</v>
      </c>
      <c r="C18" s="472" t="str" cm="1">
        <f t="array" ref="C18">+IFERROR(INDEX('Conteo 18-02-26'!$C:$C,MATCH(1,('Conteo 18-02-26'!$E:$E=$B18)*('Conteo 18-02-26'!$A:$A="Rumbo"),0)),"")</f>
        <v/>
      </c>
      <c r="D18" s="470" t="str" cm="1">
        <f t="array" ref="D18">+IFERROR(INDEX('Conteo 18-02-26'!$D:$D,MATCH(1,('Conteo 18-02-26'!$E:$E=$B18)*('Conteo 18-02-26'!A:A:'Conteo 18-02-26'!$A:$A="Rumbo"),0)),"")</f>
        <v/>
      </c>
      <c r="E18" s="427" t="str">
        <f t="shared" si="0"/>
        <v/>
      </c>
      <c r="F18" s="432" t="str">
        <f>+IF(OR(E18="LK"),ROUNDUP(D18*(VLOOKUP(B18,'Conteo 18-02-26'!$E:$AN,35,0))/100,0),IF(E18="CH",D17-F17,""))</f>
        <v/>
      </c>
      <c r="G18" s="470"/>
      <c r="H18" s="434"/>
      <c r="I18" s="434"/>
      <c r="J18" s="434"/>
      <c r="K18" s="434"/>
      <c r="L18" s="434"/>
      <c r="M18" s="435"/>
    </row>
    <row r="19" spans="1:13" ht="33.6" customHeight="1" x14ac:dyDescent="0.2">
      <c r="A19" s="485"/>
      <c r="B19" s="470"/>
      <c r="C19" s="472"/>
      <c r="D19" s="470"/>
      <c r="E19" s="427" t="str">
        <f t="shared" si="0"/>
        <v/>
      </c>
      <c r="F19" s="432" t="str">
        <f>+IF(OR(E19="LK"),ROUNDUP(D19*(VLOOKUP(B19,'Conteo 18-02-26'!$E:$AN,35,0))/100,0),IF(E19="CH",D18-F18,""))</f>
        <v/>
      </c>
      <c r="G19" s="470"/>
      <c r="H19" s="434"/>
      <c r="I19" s="434"/>
      <c r="J19" s="434"/>
      <c r="K19" s="434"/>
      <c r="L19" s="434"/>
      <c r="M19" s="435"/>
    </row>
    <row r="20" spans="1:13" ht="33.6" customHeight="1" x14ac:dyDescent="0.2">
      <c r="A20" s="485" t="str" cm="1">
        <f t="array" ref="A20">+IFERROR(INDEX('Conteo 18-02-26'!$B:$B,MATCH(1,('Conteo 18-02-26'!$E:$E=$B20)*('Conteo 18-02-26'!$A:$A="Rumbo"),0)),"")</f>
        <v/>
      </c>
      <c r="B20" s="470">
        <f>+B18+1</f>
        <v>4</v>
      </c>
      <c r="C20" s="472" t="str" cm="1">
        <f t="array" ref="C20">+IFERROR(INDEX('Conteo 18-02-26'!$C:$C,MATCH(1,('Conteo 18-02-26'!$E:$E=$B20)*('Conteo 18-02-26'!$A:$A="Rumbo"),0)),"")</f>
        <v/>
      </c>
      <c r="D20" s="470" t="str" cm="1">
        <f t="array" ref="D20">+IFERROR(INDEX('Conteo 18-02-26'!$D:$D,MATCH(1,('Conteo 18-02-26'!$E:$E=$B20)*('Conteo 18-02-26'!A:A:'Conteo 18-02-26'!$A:$A="Rumbo"),0)),"")</f>
        <v/>
      </c>
      <c r="E20" s="427" t="str">
        <f t="shared" si="0"/>
        <v/>
      </c>
      <c r="F20" s="432" t="str">
        <f>+IF(OR(E20="LK"),ROUNDUP(D20*(VLOOKUP(B20,'Conteo 18-02-26'!$E:$AN,35,0))/100,0),IF(E20="CH",D19-F19,""))</f>
        <v/>
      </c>
      <c r="G20" s="470"/>
      <c r="H20" s="434"/>
      <c r="I20" s="434"/>
      <c r="J20" s="434"/>
      <c r="K20" s="434"/>
      <c r="L20" s="434"/>
      <c r="M20" s="435"/>
    </row>
    <row r="21" spans="1:13" ht="33.6" customHeight="1" x14ac:dyDescent="0.2">
      <c r="A21" s="485"/>
      <c r="B21" s="470"/>
      <c r="C21" s="472"/>
      <c r="D21" s="470"/>
      <c r="E21" s="427" t="str">
        <f t="shared" si="0"/>
        <v/>
      </c>
      <c r="F21" s="432" t="str">
        <f>+IF(OR(E21="LK"),ROUNDUP(D21*(VLOOKUP(B21,'Conteo 18-02-26'!$E:$AN,35,0))/100,0),IF(E21="CH",D20-F20,""))</f>
        <v/>
      </c>
      <c r="G21" s="470"/>
      <c r="H21" s="434"/>
      <c r="I21" s="434"/>
      <c r="J21" s="434"/>
      <c r="K21" s="434"/>
      <c r="L21" s="434"/>
      <c r="M21" s="435"/>
    </row>
    <row r="22" spans="1:13" ht="33.6" customHeight="1" x14ac:dyDescent="0.2">
      <c r="A22" s="485" t="str" cm="1">
        <f t="array" ref="A22">+IFERROR(INDEX('Conteo 18-02-26'!$B:$B,MATCH(1,('Conteo 18-02-26'!$E:$E=$B22)*('Conteo 18-02-26'!$A:$A="Rumbo"),0)),"")</f>
        <v/>
      </c>
      <c r="B22" s="470">
        <f>+B20+1</f>
        <v>5</v>
      </c>
      <c r="C22" s="472" t="str" cm="1">
        <f t="array" ref="C22">+IFERROR(INDEX('Conteo 18-02-26'!$C:$C,MATCH(1,('Conteo 18-02-26'!$E:$E=$B22)*('Conteo 18-02-26'!$A:$A="Rumbo"),0)),"")</f>
        <v/>
      </c>
      <c r="D22" s="470" t="str" cm="1">
        <f t="array" ref="D22">+IFERROR(INDEX('Conteo 18-02-26'!$D:$D,MATCH(1,('Conteo 18-02-26'!$E:$E=$B22)*('Conteo 18-02-26'!A:A:'Conteo 18-02-26'!$A:$A="Rumbo"),0)),"")</f>
        <v/>
      </c>
      <c r="E22" s="427" t="str">
        <f t="shared" si="0"/>
        <v/>
      </c>
      <c r="F22" s="432" t="str">
        <f>+IF(OR(E22="LK"),ROUNDUP(D22*(VLOOKUP(B22,'Conteo 18-02-26'!$E:$AN,35,0))/100,0),IF(E22="CH",D21-F21,""))</f>
        <v/>
      </c>
      <c r="G22" s="470"/>
      <c r="H22" s="434"/>
      <c r="I22" s="434"/>
      <c r="J22" s="434"/>
      <c r="K22" s="434"/>
      <c r="L22" s="434"/>
      <c r="M22" s="435"/>
    </row>
    <row r="23" spans="1:13" ht="33.6" customHeight="1" x14ac:dyDescent="0.2">
      <c r="A23" s="485"/>
      <c r="B23" s="470"/>
      <c r="C23" s="472"/>
      <c r="D23" s="470"/>
      <c r="E23" s="427" t="str">
        <f t="shared" si="0"/>
        <v/>
      </c>
      <c r="F23" s="432" t="str">
        <f>+IF(OR(E23="LK"),ROUNDUP(D23*(VLOOKUP(B23,'Conteo 18-02-26'!$E:$AN,35,0))/100,0),IF(E23="CH",D22-F22,""))</f>
        <v/>
      </c>
      <c r="G23" s="470"/>
      <c r="H23" s="434"/>
      <c r="I23" s="434"/>
      <c r="J23" s="434"/>
      <c r="K23" s="434"/>
      <c r="L23" s="434"/>
      <c r="M23" s="435"/>
    </row>
    <row r="24" spans="1:13" ht="33.6" customHeight="1" x14ac:dyDescent="0.2">
      <c r="A24" s="485" t="str" cm="1">
        <f t="array" ref="A24">+IFERROR(INDEX('Conteo 18-02-26'!$B:$B,MATCH(1,('Conteo 18-02-26'!$E:$E=$B24)*('Conteo 18-02-26'!$A:$A="Rumbo"),0)),"")</f>
        <v/>
      </c>
      <c r="B24" s="470">
        <f>+B22+1</f>
        <v>6</v>
      </c>
      <c r="C24" s="472" t="str" cm="1">
        <f t="array" ref="C24">+IFERROR(INDEX('Conteo 18-02-26'!$C:$C,MATCH(1,('Conteo 18-02-26'!$E:$E=$B24)*('Conteo 18-02-26'!$A:$A="Rumbo"),0)),"")</f>
        <v/>
      </c>
      <c r="D24" s="470" t="str" cm="1">
        <f t="array" ref="D24">+IFERROR(INDEX('Conteo 18-02-26'!$D:$D,MATCH(1,('Conteo 18-02-26'!$E:$E=$B24)*('Conteo 18-02-26'!A:A:'Conteo 18-02-26'!$A:$A="Rumbo"),0)),"")</f>
        <v/>
      </c>
      <c r="E24" s="427" t="str">
        <f t="shared" si="0"/>
        <v/>
      </c>
      <c r="F24" s="432" t="str">
        <f>+IF(OR(E24="LK"),ROUNDUP(D24*(VLOOKUP(B24,'Conteo 18-02-26'!$E:$AN,35,0))/100,0),IF(E24="CH",D23-F23,""))</f>
        <v/>
      </c>
      <c r="G24" s="470"/>
      <c r="H24" s="434"/>
      <c r="I24" s="434"/>
      <c r="J24" s="434"/>
      <c r="K24" s="434"/>
      <c r="L24" s="434"/>
      <c r="M24" s="435"/>
    </row>
    <row r="25" spans="1:13" ht="33.6" customHeight="1" x14ac:dyDescent="0.2">
      <c r="A25" s="485"/>
      <c r="B25" s="470"/>
      <c r="C25" s="472"/>
      <c r="D25" s="470"/>
      <c r="E25" s="427" t="str">
        <f t="shared" si="0"/>
        <v/>
      </c>
      <c r="F25" s="432" t="str">
        <f>+IF(OR(E25="LK"),ROUNDUP(D25*(VLOOKUP(B25,'Conteo 18-02-26'!$E:$AN,35,0))/100,0),IF(E25="CH",D24-F24,""))</f>
        <v/>
      </c>
      <c r="G25" s="470"/>
      <c r="H25" s="434"/>
      <c r="I25" s="434"/>
      <c r="J25" s="434"/>
      <c r="K25" s="434"/>
      <c r="L25" s="434"/>
      <c r="M25" s="435"/>
    </row>
    <row r="26" spans="1:13" ht="33.6" customHeight="1" x14ac:dyDescent="0.2">
      <c r="A26" s="485" t="str" cm="1">
        <f t="array" ref="A26">+IFERROR(INDEX('Conteo 18-02-26'!$B:$B,MATCH(1,('Conteo 18-02-26'!$E:$E=$B26)*('Conteo 18-02-26'!$A:$A="Rumbo"),0)),"")</f>
        <v/>
      </c>
      <c r="B26" s="470">
        <f>+B24+1</f>
        <v>7</v>
      </c>
      <c r="C26" s="472" t="str" cm="1">
        <f t="array" ref="C26">+IFERROR(INDEX('Conteo 18-02-26'!$C:$C,MATCH(1,('Conteo 18-02-26'!$E:$E=$B26)*('Conteo 18-02-26'!$A:$A="Rumbo"),0)),"")</f>
        <v/>
      </c>
      <c r="D26" s="470" t="str" cm="1">
        <f t="array" ref="D26">+IFERROR(INDEX('Conteo 18-02-26'!$D:$D,MATCH(1,('Conteo 18-02-26'!$E:$E=$B26)*('Conteo 18-02-26'!A:A:'Conteo 18-02-26'!$A:$A="Rumbo"),0)),"")</f>
        <v/>
      </c>
      <c r="E26" s="427" t="str">
        <f t="shared" si="0"/>
        <v/>
      </c>
      <c r="F26" s="432" t="str">
        <f>+IF(OR(E26="LK"),ROUNDUP(D26*(VLOOKUP(B26,'Conteo 18-02-26'!$E:$AN,35,0))/100,0),IF(E26="CH",D25-F25,""))</f>
        <v/>
      </c>
      <c r="G26" s="470"/>
      <c r="H26" s="434"/>
      <c r="I26" s="434"/>
      <c r="J26" s="434"/>
      <c r="K26" s="434"/>
      <c r="L26" s="434"/>
      <c r="M26" s="435"/>
    </row>
    <row r="27" spans="1:13" ht="33.6" customHeight="1" x14ac:dyDescent="0.2">
      <c r="A27" s="485"/>
      <c r="B27" s="470"/>
      <c r="C27" s="472"/>
      <c r="D27" s="470"/>
      <c r="E27" s="427" t="str">
        <f t="shared" si="0"/>
        <v/>
      </c>
      <c r="F27" s="432" t="str">
        <f>+IF(OR(E27="LK"),ROUNDUP(D27*(VLOOKUP(B27,'Conteo 18-02-26'!$E:$AN,35,0))/100,0),IF(E27="CH",D26-F26,""))</f>
        <v/>
      </c>
      <c r="G27" s="470"/>
      <c r="H27" s="434"/>
      <c r="I27" s="434"/>
      <c r="J27" s="434"/>
      <c r="K27" s="434"/>
      <c r="L27" s="434"/>
      <c r="M27" s="435"/>
    </row>
    <row r="28" spans="1:13" ht="33.6" customHeight="1" x14ac:dyDescent="0.2">
      <c r="A28" s="485" t="str" cm="1">
        <f t="array" ref="A28">+IFERROR(INDEX('Conteo 18-02-26'!$B:$B,MATCH(1,('Conteo 18-02-26'!$E:$E=$B28)*('Conteo 18-02-26'!$A:$A="Rumbo"),0)),"")</f>
        <v/>
      </c>
      <c r="B28" s="470">
        <f>+B26+1</f>
        <v>8</v>
      </c>
      <c r="C28" s="472" t="str" cm="1">
        <f t="array" ref="C28">+IFERROR(INDEX('Conteo 18-02-26'!$C:$C,MATCH(1,('Conteo 18-02-26'!$E:$E=$B28)*('Conteo 18-02-26'!$A:$A="Rumbo"),0)),"")</f>
        <v/>
      </c>
      <c r="D28" s="470" t="str" cm="1">
        <f t="array" ref="D28">+IFERROR(INDEX('Conteo 18-02-26'!$D:$D,MATCH(1,('Conteo 18-02-26'!$E:$E=$B28)*('Conteo 18-02-26'!A:A:'Conteo 18-02-26'!$A:$A="Rumbo"),0)),"")</f>
        <v/>
      </c>
      <c r="E28" s="427" t="str">
        <f t="shared" si="0"/>
        <v/>
      </c>
      <c r="F28" s="432" t="str">
        <f>+IF(OR(E28="LK"),ROUNDUP(D28*(VLOOKUP(B28,'Conteo 18-02-26'!$E:$AN,35,0))/100,0),IF(E28="CH",D27-F27,""))</f>
        <v/>
      </c>
      <c r="G28" s="470"/>
      <c r="H28" s="434"/>
      <c r="I28" s="434"/>
      <c r="J28" s="434"/>
      <c r="K28" s="434"/>
      <c r="L28" s="434"/>
      <c r="M28" s="435"/>
    </row>
    <row r="29" spans="1:13" ht="33.6" customHeight="1" x14ac:dyDescent="0.2">
      <c r="A29" s="485"/>
      <c r="B29" s="470"/>
      <c r="C29" s="472"/>
      <c r="D29" s="470"/>
      <c r="E29" s="427" t="str">
        <f t="shared" si="0"/>
        <v/>
      </c>
      <c r="F29" s="432" t="str">
        <f>+IF(OR(E29="LK"),ROUNDUP(D29*(VLOOKUP(B29,'Conteo 18-02-26'!$E:$AN,35,0))/100,0),IF(E29="CH",D28-F28,""))</f>
        <v/>
      </c>
      <c r="G29" s="470"/>
      <c r="H29" s="434"/>
      <c r="I29" s="434"/>
      <c r="J29" s="434"/>
      <c r="K29" s="434"/>
      <c r="L29" s="434"/>
      <c r="M29" s="435"/>
    </row>
    <row r="30" spans="1:13" ht="33.6" customHeight="1" x14ac:dyDescent="0.2">
      <c r="A30" s="485" t="str" cm="1">
        <f t="array" ref="A30">+IFERROR(INDEX('Conteo 18-02-26'!$B:$B,MATCH(1,('Conteo 18-02-26'!$E:$E=$B30)*('Conteo 18-02-26'!$A:$A="Rumbo"),0)),"")</f>
        <v/>
      </c>
      <c r="B30" s="470">
        <f>+B28+1</f>
        <v>9</v>
      </c>
      <c r="C30" s="472" t="str" cm="1">
        <f t="array" ref="C30">+IFERROR(INDEX('Conteo 18-02-26'!$C:$C,MATCH(1,('Conteo 18-02-26'!$E:$E=$B30)*('Conteo 18-02-26'!$A:$A="Rumbo"),0)),"")</f>
        <v/>
      </c>
      <c r="D30" s="470" t="str" cm="1">
        <f t="array" ref="D30">+IFERROR(INDEX('Conteo 18-02-26'!$D:$D,MATCH(1,('Conteo 18-02-26'!$E:$E=$B30)*('Conteo 18-02-26'!A:A:'Conteo 18-02-26'!$A:$A="Rumbo"),0)),"")</f>
        <v/>
      </c>
      <c r="E30" s="427" t="str">
        <f t="shared" si="0"/>
        <v/>
      </c>
      <c r="F30" s="432" t="str">
        <f>+IF(OR(E30="LK"),ROUNDUP(D30*(VLOOKUP(B30,'Conteo 18-02-26'!$E:$AN,35,0))/100,0),IF(E30="CH",D29-F29,""))</f>
        <v/>
      </c>
      <c r="G30" s="470"/>
      <c r="H30" s="434"/>
      <c r="I30" s="434"/>
      <c r="J30" s="434"/>
      <c r="K30" s="434"/>
      <c r="L30" s="434"/>
      <c r="M30" s="435"/>
    </row>
    <row r="31" spans="1:13" ht="33.6" customHeight="1" x14ac:dyDescent="0.2">
      <c r="A31" s="485"/>
      <c r="B31" s="470"/>
      <c r="C31" s="472"/>
      <c r="D31" s="470"/>
      <c r="E31" s="427" t="str">
        <f t="shared" si="0"/>
        <v/>
      </c>
      <c r="F31" s="432" t="str">
        <f>+IF(OR(E31="LK"),ROUNDUP(D31*(VLOOKUP(B31,'Conteo 18-02-26'!$E:$AN,35,0))/100,0),IF(E31="CH",D30-F30,""))</f>
        <v/>
      </c>
      <c r="G31" s="470"/>
      <c r="H31" s="434"/>
      <c r="I31" s="434"/>
      <c r="J31" s="434"/>
      <c r="K31" s="434"/>
      <c r="L31" s="434"/>
      <c r="M31" s="435"/>
    </row>
    <row r="32" spans="1:13" ht="33.6" customHeight="1" x14ac:dyDescent="0.2">
      <c r="A32" s="485" t="str" cm="1">
        <f t="array" ref="A32">+IFERROR(INDEX('Conteo 18-02-26'!$B:$B,MATCH(1,('Conteo 18-02-26'!$E:$E=$B32)*('Conteo 18-02-26'!$A:$A="Rumbo"),0)),"")</f>
        <v/>
      </c>
      <c r="B32" s="470">
        <f>+B30+1</f>
        <v>10</v>
      </c>
      <c r="C32" s="472" t="str" cm="1">
        <f t="array" ref="C32">+IFERROR(INDEX('Conteo 18-02-26'!$C:$C,MATCH(1,('Conteo 18-02-26'!$E:$E=$B32)*('Conteo 18-02-26'!$A:$A="Rumbo"),0)),"")</f>
        <v/>
      </c>
      <c r="D32" s="470" t="str" cm="1">
        <f t="array" ref="D32">+IFERROR(INDEX('Conteo 18-02-26'!$D:$D,MATCH(1,('Conteo 18-02-26'!$E:$E=$B32)*('Conteo 18-02-26'!A:A:'Conteo 18-02-26'!$A:$A="Rumbo"),0)),"")</f>
        <v/>
      </c>
      <c r="E32" s="427" t="str">
        <f t="shared" si="0"/>
        <v/>
      </c>
      <c r="F32" s="432" t="str">
        <f>+IF(OR(E32="LK"),ROUNDUP(D32*(VLOOKUP(B32,'Conteo 18-02-26'!$E:$AN,35,0))/100,0),IF(E32="CH",D31-F31,""))</f>
        <v/>
      </c>
      <c r="G32" s="470"/>
      <c r="H32" s="434"/>
      <c r="I32" s="434"/>
      <c r="J32" s="434"/>
      <c r="K32" s="434"/>
      <c r="L32" s="434"/>
      <c r="M32" s="435"/>
    </row>
    <row r="33" spans="1:13" ht="33.6" customHeight="1" x14ac:dyDescent="0.2">
      <c r="A33" s="485"/>
      <c r="B33" s="470"/>
      <c r="C33" s="472"/>
      <c r="D33" s="470"/>
      <c r="E33" s="427" t="str">
        <f t="shared" si="0"/>
        <v/>
      </c>
      <c r="F33" s="432" t="str">
        <f>+IF(OR(E33="LK"),ROUNDUP(D33*(VLOOKUP(B33,'Conteo 18-02-26'!$E:$AN,35,0))/100,0),IF(E33="CH",D32-F32,""))</f>
        <v/>
      </c>
      <c r="G33" s="470"/>
      <c r="H33" s="434"/>
      <c r="I33" s="434"/>
      <c r="J33" s="434"/>
      <c r="K33" s="434"/>
      <c r="L33" s="434"/>
      <c r="M33" s="435"/>
    </row>
    <row r="34" spans="1:13" ht="33.6" customHeight="1" x14ac:dyDescent="0.2">
      <c r="A34" s="485" t="str" cm="1">
        <f t="array" ref="A34">+IFERROR(INDEX('Conteo 18-02-26'!$B:$B,MATCH(1,('Conteo 18-02-26'!$E:$E=$B34)*('Conteo 18-02-26'!$A:$A="Rumbo"),0)),"")</f>
        <v/>
      </c>
      <c r="B34" s="470">
        <f>+B32+1</f>
        <v>11</v>
      </c>
      <c r="C34" s="472" t="str" cm="1">
        <f t="array" ref="C34">+IFERROR(INDEX('Conteo 18-02-26'!$C:$C,MATCH(1,('Conteo 18-02-26'!$E:$E=$B34)*('Conteo 18-02-26'!$A:$A="Rumbo"),0)),"")</f>
        <v/>
      </c>
      <c r="D34" s="470" t="str" cm="1">
        <f t="array" ref="D34">+IFERROR(INDEX('Conteo 18-02-26'!$D:$D,MATCH(1,('Conteo 18-02-26'!$E:$E=$B34)*('Conteo 18-02-26'!A:A:'Conteo 18-02-26'!$A:$A="Rumbo"),0)),"")</f>
        <v/>
      </c>
      <c r="E34" s="427" t="str">
        <f t="shared" si="0"/>
        <v/>
      </c>
      <c r="F34" s="432" t="str">
        <f>+IF(OR(E34="LK"),ROUNDUP(D34*(VLOOKUP(B34,'Conteo 18-02-26'!$E:$AN,35,0))/100,0),IF(E34="CH",D33-F33,""))</f>
        <v/>
      </c>
      <c r="G34" s="470"/>
      <c r="H34" s="434"/>
      <c r="I34" s="434"/>
      <c r="J34" s="434"/>
      <c r="K34" s="434"/>
      <c r="L34" s="434"/>
      <c r="M34" s="435"/>
    </row>
    <row r="35" spans="1:13" ht="33.6" customHeight="1" thickBot="1" x14ac:dyDescent="0.25">
      <c r="A35" s="486"/>
      <c r="B35" s="487"/>
      <c r="C35" s="488"/>
      <c r="D35" s="487"/>
      <c r="E35" s="427" t="str">
        <f t="shared" si="0"/>
        <v/>
      </c>
      <c r="F35" s="432" t="str">
        <f>+IF(OR(E35="LK"),ROUNDUP(D35*(VLOOKUP(B35,'Conteo 18-02-26'!$E:$AN,35,0))/100,0),IF(E35="CH",D34-F34,""))</f>
        <v/>
      </c>
      <c r="G35" s="487"/>
      <c r="H35" s="436"/>
      <c r="I35" s="436"/>
      <c r="J35" s="436"/>
      <c r="K35" s="436"/>
      <c r="L35" s="436"/>
      <c r="M35" s="437"/>
    </row>
    <row r="36" spans="1:13" ht="33.6" customHeight="1" x14ac:dyDescent="0.2">
      <c r="A36" s="490" t="str" cm="1">
        <f t="array" ref="A36">+IFERROR(INDEX('Conteo 18-02-26'!$B:$B,MATCH(1,('Conteo 18-02-26'!$E:$E=$B36)*('Conteo 18-02-26'!$A:$A="Rumbo"),0)),"")</f>
        <v/>
      </c>
      <c r="B36" s="491">
        <f>+B34+1</f>
        <v>12</v>
      </c>
      <c r="C36" s="492" t="str" cm="1">
        <f t="array" ref="C36">+IFERROR(INDEX('Conteo 18-02-26'!$C:$C,MATCH(1,('Conteo 18-02-26'!$E:$E=$B36)*('Conteo 18-02-26'!$A:$A="Rumbo"),0)),"")</f>
        <v/>
      </c>
      <c r="D36" s="491" t="str" cm="1">
        <f t="array" ref="D36">+IFERROR(INDEX('Conteo 18-02-26'!$D:$D,MATCH(1,('Conteo 18-02-26'!$E:$E=$B36)*('Conteo 18-02-26'!A:A:'Conteo 18-02-26'!$A:$A="Rumbo"),0)),"")</f>
        <v/>
      </c>
      <c r="E36" s="427" t="str">
        <f t="shared" si="0"/>
        <v/>
      </c>
      <c r="F36" s="432" t="str">
        <f>+IF(OR(E36="LK"),ROUNDUP(D36*(VLOOKUP(B36,'Conteo 18-02-26'!$E:$AN,35,0))/100,0),IF(E36="CH",D35-F35,""))</f>
        <v/>
      </c>
      <c r="G36" s="491"/>
      <c r="H36" s="438"/>
      <c r="I36" s="438"/>
      <c r="J36" s="438"/>
      <c r="K36" s="438"/>
      <c r="L36" s="438"/>
      <c r="M36" s="438"/>
    </row>
    <row r="37" spans="1:13" ht="33.6" customHeight="1" x14ac:dyDescent="0.2">
      <c r="A37" s="489"/>
      <c r="B37" s="470"/>
      <c r="C37" s="472"/>
      <c r="D37" s="470"/>
      <c r="E37" s="427" t="str">
        <f t="shared" si="0"/>
        <v/>
      </c>
      <c r="F37" s="432" t="str">
        <f>+IF(OR(E37="LK"),ROUNDUP(D37*(VLOOKUP(B37,'Conteo 18-02-26'!$E:$AN,35,0))/100,0),IF(E37="CH",D36-F36,""))</f>
        <v/>
      </c>
      <c r="G37" s="470"/>
      <c r="H37" s="434"/>
      <c r="I37" s="434"/>
      <c r="J37" s="434"/>
      <c r="K37" s="434"/>
      <c r="L37" s="434"/>
      <c r="M37" s="434"/>
    </row>
    <row r="38" spans="1:13" ht="33.6" customHeight="1" x14ac:dyDescent="0.2">
      <c r="A38" s="489" t="str" cm="1">
        <f t="array" ref="A38">+IFERROR(INDEX('Conteo 18-02-26'!$B:$B,MATCH(1,('Conteo 18-02-26'!$E:$E=$B38)*('Conteo 18-02-26'!$A:$A="Rumbo"),0)),"")</f>
        <v/>
      </c>
      <c r="B38" s="470">
        <f>+B36+1</f>
        <v>13</v>
      </c>
      <c r="C38" s="472" t="str" cm="1">
        <f t="array" ref="C38">+IFERROR(INDEX('Conteo 18-02-26'!$C:$C,MATCH(1,('Conteo 18-02-26'!$E:$E=$B38)*('Conteo 18-02-26'!$A:$A="Rumbo"),0)),"")</f>
        <v/>
      </c>
      <c r="D38" s="470" t="str" cm="1">
        <f t="array" ref="D38">+IFERROR(INDEX('Conteo 18-02-26'!$D:$D,MATCH(1,('Conteo 18-02-26'!$E:$E=$B38)*('Conteo 18-02-26'!A:A:'Conteo 18-02-26'!$A:$A="Rumbo"),0)),"")</f>
        <v/>
      </c>
      <c r="E38" s="427" t="str">
        <f t="shared" si="0"/>
        <v/>
      </c>
      <c r="F38" s="432" t="str">
        <f>+IF(OR(E38="LK"),ROUNDUP(D38*(VLOOKUP(B38,'Conteo 18-02-26'!$E:$AN,35,0))/100,0),IF(E38="CH",D37-F37,""))</f>
        <v/>
      </c>
      <c r="G38" s="470"/>
      <c r="H38" s="434"/>
      <c r="I38" s="434"/>
      <c r="J38" s="434"/>
      <c r="K38" s="434"/>
      <c r="L38" s="434"/>
      <c r="M38" s="434"/>
    </row>
    <row r="39" spans="1:13" ht="33.6" customHeight="1" x14ac:dyDescent="0.2">
      <c r="A39" s="489"/>
      <c r="B39" s="470"/>
      <c r="C39" s="472"/>
      <c r="D39" s="470"/>
      <c r="E39" s="427" t="str">
        <f t="shared" si="0"/>
        <v/>
      </c>
      <c r="F39" s="432" t="str">
        <f>+IF(OR(E39="LK"),ROUNDUP(D39*(VLOOKUP(B39,'Conteo 18-02-26'!$E:$AN,35,0))/100,0),IF(E39="CH",D38-F38,""))</f>
        <v/>
      </c>
      <c r="G39" s="470"/>
      <c r="H39" s="434"/>
      <c r="I39" s="434"/>
      <c r="J39" s="434"/>
      <c r="K39" s="434"/>
      <c r="L39" s="434"/>
      <c r="M39" s="434"/>
    </row>
    <row r="40" spans="1:13" ht="33.6" customHeight="1" x14ac:dyDescent="0.2">
      <c r="A40" s="489" t="str" cm="1">
        <f t="array" ref="A40">+IFERROR(INDEX('Conteo 18-02-26'!$B:$B,MATCH(1,('Conteo 18-02-26'!$E:$E=$B40)*('Conteo 18-02-26'!$A:$A="Rumbo"),0)),"")</f>
        <v/>
      </c>
      <c r="B40" s="470">
        <f>+B38+1</f>
        <v>14</v>
      </c>
      <c r="C40" s="472" t="str" cm="1">
        <f t="array" ref="C40">+IFERROR(INDEX('Conteo 18-02-26'!$C:$C,MATCH(1,('Conteo 18-02-26'!$E:$E=$B40)*('Conteo 18-02-26'!$A:$A="Rumbo"),0)),"")</f>
        <v/>
      </c>
      <c r="D40" s="470" t="str" cm="1">
        <f t="array" ref="D40">+IFERROR(INDEX('Conteo 18-02-26'!$D:$D,MATCH(1,('Conteo 18-02-26'!$E:$E=$B40)*('Conteo 18-02-26'!A:A:'Conteo 18-02-26'!$A:$A="Rumbo"),0)),"")</f>
        <v/>
      </c>
      <c r="E40" s="427" t="str">
        <f t="shared" si="0"/>
        <v/>
      </c>
      <c r="F40" s="432" t="str">
        <f>+IF(OR(E40="LK"),ROUNDUP(D40*(VLOOKUP(B40,'Conteo 18-02-26'!$E:$AN,35,0))/100,0),IF(E40="CH",D39-F39,""))</f>
        <v/>
      </c>
      <c r="G40" s="470"/>
      <c r="H40" s="434"/>
      <c r="I40" s="434"/>
      <c r="J40" s="434"/>
      <c r="K40" s="434"/>
      <c r="L40" s="434"/>
      <c r="M40" s="434"/>
    </row>
    <row r="41" spans="1:13" ht="33.6" customHeight="1" x14ac:dyDescent="0.2">
      <c r="A41" s="489"/>
      <c r="B41" s="470"/>
      <c r="C41" s="472"/>
      <c r="D41" s="470"/>
      <c r="E41" s="427" t="str">
        <f t="shared" si="0"/>
        <v/>
      </c>
      <c r="F41" s="432" t="str">
        <f>+IF(OR(E41="LK"),ROUNDUP(D41*(VLOOKUP(B41,'Conteo 18-02-26'!$E:$AN,35,0))/100,0),IF(E41="CH",D40-F40,""))</f>
        <v/>
      </c>
      <c r="G41" s="470"/>
      <c r="H41" s="434"/>
      <c r="I41" s="434"/>
      <c r="J41" s="434"/>
      <c r="K41" s="434"/>
      <c r="L41" s="434"/>
      <c r="M41" s="434"/>
    </row>
    <row r="42" spans="1:13" ht="33.6" customHeight="1" x14ac:dyDescent="0.2">
      <c r="A42" s="489" t="str" cm="1">
        <f t="array" ref="A42">+IFERROR(INDEX('Conteo 18-02-26'!$B:$B,MATCH(1,('Conteo 18-02-26'!$E:$E=$B42)*('Conteo 18-02-26'!$A:$A="Rumbo"),0)),"")</f>
        <v/>
      </c>
      <c r="B42" s="470">
        <f>+B40+1</f>
        <v>15</v>
      </c>
      <c r="C42" s="472" t="str" cm="1">
        <f t="array" ref="C42">+IFERROR(INDEX('Conteo 18-02-26'!$C:$C,MATCH(1,('Conteo 18-02-26'!$E:$E=$B42)*('Conteo 18-02-26'!$A:$A="Rumbo"),0)),"")</f>
        <v/>
      </c>
      <c r="D42" s="470" t="str" cm="1">
        <f t="array" ref="D42">+IFERROR(INDEX('Conteo 18-02-26'!$D:$D,MATCH(1,('Conteo 18-02-26'!$E:$E=$B42)*('Conteo 18-02-26'!A:A:'Conteo 18-02-26'!$A:$A="Rumbo"),0)),"")</f>
        <v/>
      </c>
      <c r="E42" s="427" t="str">
        <f t="shared" si="0"/>
        <v/>
      </c>
      <c r="F42" s="432" t="str">
        <f>+IF(OR(E42="LK"),ROUNDUP(D42*(VLOOKUP(B42,'Conteo 18-02-26'!$E:$AN,35,0))/100,0),IF(E42="CH",D41-F41,""))</f>
        <v/>
      </c>
      <c r="G42" s="470"/>
      <c r="H42" s="434"/>
      <c r="I42" s="434"/>
      <c r="J42" s="434"/>
      <c r="K42" s="434"/>
      <c r="L42" s="434"/>
      <c r="M42" s="434"/>
    </row>
    <row r="43" spans="1:13" ht="33.6" customHeight="1" x14ac:dyDescent="0.2">
      <c r="A43" s="489"/>
      <c r="B43" s="470"/>
      <c r="C43" s="472"/>
      <c r="D43" s="470"/>
      <c r="E43" s="427" t="str">
        <f t="shared" si="0"/>
        <v/>
      </c>
      <c r="F43" s="432" t="str">
        <f>+IF(OR(E43="LK"),ROUNDUP(D43*(VLOOKUP(B43,'Conteo 18-02-26'!$E:$AN,35,0))/100,0),IF(E43="CH",D42-F42,""))</f>
        <v/>
      </c>
      <c r="G43" s="470"/>
      <c r="H43" s="434"/>
      <c r="I43" s="434"/>
      <c r="J43" s="434"/>
      <c r="K43" s="434"/>
      <c r="L43" s="434"/>
      <c r="M43" s="434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E15" sqref="E15"/>
    </sheetView>
  </sheetViews>
  <sheetFormatPr baseColWidth="10" defaultColWidth="11.5703125" defaultRowHeight="12.75" x14ac:dyDescent="0.2"/>
  <cols>
    <col min="1" max="1" width="11.42578125" style="415" customWidth="1"/>
    <col min="2" max="2" width="6.140625" style="415" customWidth="1"/>
    <col min="3" max="3" width="21.7109375" style="415" customWidth="1"/>
    <col min="4" max="4" width="9.28515625" style="415" customWidth="1"/>
    <col min="5" max="5" width="8.28515625" style="415" customWidth="1"/>
    <col min="6" max="6" width="7.7109375" style="415" customWidth="1"/>
    <col min="7" max="7" width="9.7109375" style="415" customWidth="1"/>
    <col min="8" max="8" width="7.28515625" style="415" customWidth="1"/>
    <col min="9" max="9" width="7.5703125" style="415" customWidth="1"/>
    <col min="10" max="10" width="7.7109375" style="415" customWidth="1"/>
    <col min="11" max="11" width="7" style="415" customWidth="1"/>
    <col min="12" max="12" width="7.7109375" style="415" customWidth="1"/>
    <col min="13" max="13" width="7" style="415" customWidth="1"/>
    <col min="14" max="256" width="11.5703125" style="415"/>
    <col min="257" max="257" width="11.42578125" style="415" customWidth="1"/>
    <col min="258" max="258" width="6.140625" style="415" customWidth="1"/>
    <col min="259" max="259" width="21.7109375" style="415" customWidth="1"/>
    <col min="260" max="260" width="9.28515625" style="415" customWidth="1"/>
    <col min="261" max="261" width="8.28515625" style="415" customWidth="1"/>
    <col min="262" max="262" width="7.7109375" style="415" customWidth="1"/>
    <col min="263" max="263" width="9.7109375" style="415" customWidth="1"/>
    <col min="264" max="264" width="7.28515625" style="415" customWidth="1"/>
    <col min="265" max="265" width="7.5703125" style="415" customWidth="1"/>
    <col min="266" max="266" width="7.7109375" style="415" customWidth="1"/>
    <col min="267" max="267" width="7" style="415" customWidth="1"/>
    <col min="268" max="268" width="7.7109375" style="415" customWidth="1"/>
    <col min="269" max="269" width="7" style="415" customWidth="1"/>
    <col min="270" max="512" width="11.5703125" style="415"/>
    <col min="513" max="513" width="11.42578125" style="415" customWidth="1"/>
    <col min="514" max="514" width="6.140625" style="415" customWidth="1"/>
    <col min="515" max="515" width="21.7109375" style="415" customWidth="1"/>
    <col min="516" max="516" width="9.28515625" style="415" customWidth="1"/>
    <col min="517" max="517" width="8.28515625" style="415" customWidth="1"/>
    <col min="518" max="518" width="7.7109375" style="415" customWidth="1"/>
    <col min="519" max="519" width="9.7109375" style="415" customWidth="1"/>
    <col min="520" max="520" width="7.28515625" style="415" customWidth="1"/>
    <col min="521" max="521" width="7.5703125" style="415" customWidth="1"/>
    <col min="522" max="522" width="7.7109375" style="415" customWidth="1"/>
    <col min="523" max="523" width="7" style="415" customWidth="1"/>
    <col min="524" max="524" width="7.7109375" style="415" customWidth="1"/>
    <col min="525" max="525" width="7" style="415" customWidth="1"/>
    <col min="526" max="768" width="11.5703125" style="415"/>
    <col min="769" max="769" width="11.42578125" style="415" customWidth="1"/>
    <col min="770" max="770" width="6.140625" style="415" customWidth="1"/>
    <col min="771" max="771" width="21.7109375" style="415" customWidth="1"/>
    <col min="772" max="772" width="9.28515625" style="415" customWidth="1"/>
    <col min="773" max="773" width="8.28515625" style="415" customWidth="1"/>
    <col min="774" max="774" width="7.7109375" style="415" customWidth="1"/>
    <col min="775" max="775" width="9.7109375" style="415" customWidth="1"/>
    <col min="776" max="776" width="7.28515625" style="415" customWidth="1"/>
    <col min="777" max="777" width="7.5703125" style="415" customWidth="1"/>
    <col min="778" max="778" width="7.7109375" style="415" customWidth="1"/>
    <col min="779" max="779" width="7" style="415" customWidth="1"/>
    <col min="780" max="780" width="7.7109375" style="415" customWidth="1"/>
    <col min="781" max="781" width="7" style="415" customWidth="1"/>
    <col min="782" max="1024" width="11.5703125" style="415"/>
    <col min="1025" max="1025" width="11.42578125" style="415" customWidth="1"/>
    <col min="1026" max="1026" width="6.140625" style="415" customWidth="1"/>
    <col min="1027" max="1027" width="21.7109375" style="415" customWidth="1"/>
    <col min="1028" max="1028" width="9.28515625" style="415" customWidth="1"/>
    <col min="1029" max="1029" width="8.28515625" style="415" customWidth="1"/>
    <col min="1030" max="1030" width="7.7109375" style="415" customWidth="1"/>
    <col min="1031" max="1031" width="9.7109375" style="415" customWidth="1"/>
    <col min="1032" max="1032" width="7.28515625" style="415" customWidth="1"/>
    <col min="1033" max="1033" width="7.5703125" style="415" customWidth="1"/>
    <col min="1034" max="1034" width="7.7109375" style="415" customWidth="1"/>
    <col min="1035" max="1035" width="7" style="415" customWidth="1"/>
    <col min="1036" max="1036" width="7.7109375" style="415" customWidth="1"/>
    <col min="1037" max="1037" width="7" style="415" customWidth="1"/>
    <col min="1038" max="1280" width="11.5703125" style="415"/>
    <col min="1281" max="1281" width="11.42578125" style="415" customWidth="1"/>
    <col min="1282" max="1282" width="6.140625" style="415" customWidth="1"/>
    <col min="1283" max="1283" width="21.7109375" style="415" customWidth="1"/>
    <col min="1284" max="1284" width="9.28515625" style="415" customWidth="1"/>
    <col min="1285" max="1285" width="8.28515625" style="415" customWidth="1"/>
    <col min="1286" max="1286" width="7.7109375" style="415" customWidth="1"/>
    <col min="1287" max="1287" width="9.7109375" style="415" customWidth="1"/>
    <col min="1288" max="1288" width="7.28515625" style="415" customWidth="1"/>
    <col min="1289" max="1289" width="7.5703125" style="415" customWidth="1"/>
    <col min="1290" max="1290" width="7.7109375" style="415" customWidth="1"/>
    <col min="1291" max="1291" width="7" style="415" customWidth="1"/>
    <col min="1292" max="1292" width="7.7109375" style="415" customWidth="1"/>
    <col min="1293" max="1293" width="7" style="415" customWidth="1"/>
    <col min="1294" max="1536" width="11.5703125" style="415"/>
    <col min="1537" max="1537" width="11.42578125" style="415" customWidth="1"/>
    <col min="1538" max="1538" width="6.140625" style="415" customWidth="1"/>
    <col min="1539" max="1539" width="21.7109375" style="415" customWidth="1"/>
    <col min="1540" max="1540" width="9.28515625" style="415" customWidth="1"/>
    <col min="1541" max="1541" width="8.28515625" style="415" customWidth="1"/>
    <col min="1542" max="1542" width="7.7109375" style="415" customWidth="1"/>
    <col min="1543" max="1543" width="9.7109375" style="415" customWidth="1"/>
    <col min="1544" max="1544" width="7.28515625" style="415" customWidth="1"/>
    <col min="1545" max="1545" width="7.5703125" style="415" customWidth="1"/>
    <col min="1546" max="1546" width="7.7109375" style="415" customWidth="1"/>
    <col min="1547" max="1547" width="7" style="415" customWidth="1"/>
    <col min="1548" max="1548" width="7.7109375" style="415" customWidth="1"/>
    <col min="1549" max="1549" width="7" style="415" customWidth="1"/>
    <col min="1550" max="1792" width="11.5703125" style="415"/>
    <col min="1793" max="1793" width="11.42578125" style="415" customWidth="1"/>
    <col min="1794" max="1794" width="6.140625" style="415" customWidth="1"/>
    <col min="1795" max="1795" width="21.7109375" style="415" customWidth="1"/>
    <col min="1796" max="1796" width="9.28515625" style="415" customWidth="1"/>
    <col min="1797" max="1797" width="8.28515625" style="415" customWidth="1"/>
    <col min="1798" max="1798" width="7.7109375" style="415" customWidth="1"/>
    <col min="1799" max="1799" width="9.7109375" style="415" customWidth="1"/>
    <col min="1800" max="1800" width="7.28515625" style="415" customWidth="1"/>
    <col min="1801" max="1801" width="7.5703125" style="415" customWidth="1"/>
    <col min="1802" max="1802" width="7.7109375" style="415" customWidth="1"/>
    <col min="1803" max="1803" width="7" style="415" customWidth="1"/>
    <col min="1804" max="1804" width="7.7109375" style="415" customWidth="1"/>
    <col min="1805" max="1805" width="7" style="415" customWidth="1"/>
    <col min="1806" max="2048" width="11.5703125" style="415"/>
    <col min="2049" max="2049" width="11.42578125" style="415" customWidth="1"/>
    <col min="2050" max="2050" width="6.140625" style="415" customWidth="1"/>
    <col min="2051" max="2051" width="21.7109375" style="415" customWidth="1"/>
    <col min="2052" max="2052" width="9.28515625" style="415" customWidth="1"/>
    <col min="2053" max="2053" width="8.28515625" style="415" customWidth="1"/>
    <col min="2054" max="2054" width="7.7109375" style="415" customWidth="1"/>
    <col min="2055" max="2055" width="9.7109375" style="415" customWidth="1"/>
    <col min="2056" max="2056" width="7.28515625" style="415" customWidth="1"/>
    <col min="2057" max="2057" width="7.5703125" style="415" customWidth="1"/>
    <col min="2058" max="2058" width="7.7109375" style="415" customWidth="1"/>
    <col min="2059" max="2059" width="7" style="415" customWidth="1"/>
    <col min="2060" max="2060" width="7.7109375" style="415" customWidth="1"/>
    <col min="2061" max="2061" width="7" style="415" customWidth="1"/>
    <col min="2062" max="2304" width="11.5703125" style="415"/>
    <col min="2305" max="2305" width="11.42578125" style="415" customWidth="1"/>
    <col min="2306" max="2306" width="6.140625" style="415" customWidth="1"/>
    <col min="2307" max="2307" width="21.7109375" style="415" customWidth="1"/>
    <col min="2308" max="2308" width="9.28515625" style="415" customWidth="1"/>
    <col min="2309" max="2309" width="8.28515625" style="415" customWidth="1"/>
    <col min="2310" max="2310" width="7.7109375" style="415" customWidth="1"/>
    <col min="2311" max="2311" width="9.7109375" style="415" customWidth="1"/>
    <col min="2312" max="2312" width="7.28515625" style="415" customWidth="1"/>
    <col min="2313" max="2313" width="7.5703125" style="415" customWidth="1"/>
    <col min="2314" max="2314" width="7.7109375" style="415" customWidth="1"/>
    <col min="2315" max="2315" width="7" style="415" customWidth="1"/>
    <col min="2316" max="2316" width="7.7109375" style="415" customWidth="1"/>
    <col min="2317" max="2317" width="7" style="415" customWidth="1"/>
    <col min="2318" max="2560" width="11.5703125" style="415"/>
    <col min="2561" max="2561" width="11.42578125" style="415" customWidth="1"/>
    <col min="2562" max="2562" width="6.140625" style="415" customWidth="1"/>
    <col min="2563" max="2563" width="21.7109375" style="415" customWidth="1"/>
    <col min="2564" max="2564" width="9.28515625" style="415" customWidth="1"/>
    <col min="2565" max="2565" width="8.28515625" style="415" customWidth="1"/>
    <col min="2566" max="2566" width="7.7109375" style="415" customWidth="1"/>
    <col min="2567" max="2567" width="9.7109375" style="415" customWidth="1"/>
    <col min="2568" max="2568" width="7.28515625" style="415" customWidth="1"/>
    <col min="2569" max="2569" width="7.5703125" style="415" customWidth="1"/>
    <col min="2570" max="2570" width="7.7109375" style="415" customWidth="1"/>
    <col min="2571" max="2571" width="7" style="415" customWidth="1"/>
    <col min="2572" max="2572" width="7.7109375" style="415" customWidth="1"/>
    <col min="2573" max="2573" width="7" style="415" customWidth="1"/>
    <col min="2574" max="2816" width="11.5703125" style="415"/>
    <col min="2817" max="2817" width="11.42578125" style="415" customWidth="1"/>
    <col min="2818" max="2818" width="6.140625" style="415" customWidth="1"/>
    <col min="2819" max="2819" width="21.7109375" style="415" customWidth="1"/>
    <col min="2820" max="2820" width="9.28515625" style="415" customWidth="1"/>
    <col min="2821" max="2821" width="8.28515625" style="415" customWidth="1"/>
    <col min="2822" max="2822" width="7.7109375" style="415" customWidth="1"/>
    <col min="2823" max="2823" width="9.7109375" style="415" customWidth="1"/>
    <col min="2824" max="2824" width="7.28515625" style="415" customWidth="1"/>
    <col min="2825" max="2825" width="7.5703125" style="415" customWidth="1"/>
    <col min="2826" max="2826" width="7.7109375" style="415" customWidth="1"/>
    <col min="2827" max="2827" width="7" style="415" customWidth="1"/>
    <col min="2828" max="2828" width="7.7109375" style="415" customWidth="1"/>
    <col min="2829" max="2829" width="7" style="415" customWidth="1"/>
    <col min="2830" max="3072" width="11.5703125" style="415"/>
    <col min="3073" max="3073" width="11.42578125" style="415" customWidth="1"/>
    <col min="3074" max="3074" width="6.140625" style="415" customWidth="1"/>
    <col min="3075" max="3075" width="21.7109375" style="415" customWidth="1"/>
    <col min="3076" max="3076" width="9.28515625" style="415" customWidth="1"/>
    <col min="3077" max="3077" width="8.28515625" style="415" customWidth="1"/>
    <col min="3078" max="3078" width="7.7109375" style="415" customWidth="1"/>
    <col min="3079" max="3079" width="9.7109375" style="415" customWidth="1"/>
    <col min="3080" max="3080" width="7.28515625" style="415" customWidth="1"/>
    <col min="3081" max="3081" width="7.5703125" style="415" customWidth="1"/>
    <col min="3082" max="3082" width="7.7109375" style="415" customWidth="1"/>
    <col min="3083" max="3083" width="7" style="415" customWidth="1"/>
    <col min="3084" max="3084" width="7.7109375" style="415" customWidth="1"/>
    <col min="3085" max="3085" width="7" style="415" customWidth="1"/>
    <col min="3086" max="3328" width="11.5703125" style="415"/>
    <col min="3329" max="3329" width="11.42578125" style="415" customWidth="1"/>
    <col min="3330" max="3330" width="6.140625" style="415" customWidth="1"/>
    <col min="3331" max="3331" width="21.7109375" style="415" customWidth="1"/>
    <col min="3332" max="3332" width="9.28515625" style="415" customWidth="1"/>
    <col min="3333" max="3333" width="8.28515625" style="415" customWidth="1"/>
    <col min="3334" max="3334" width="7.7109375" style="415" customWidth="1"/>
    <col min="3335" max="3335" width="9.7109375" style="415" customWidth="1"/>
    <col min="3336" max="3336" width="7.28515625" style="415" customWidth="1"/>
    <col min="3337" max="3337" width="7.5703125" style="415" customWidth="1"/>
    <col min="3338" max="3338" width="7.7109375" style="415" customWidth="1"/>
    <col min="3339" max="3339" width="7" style="415" customWidth="1"/>
    <col min="3340" max="3340" width="7.7109375" style="415" customWidth="1"/>
    <col min="3341" max="3341" width="7" style="415" customWidth="1"/>
    <col min="3342" max="3584" width="11.5703125" style="415"/>
    <col min="3585" max="3585" width="11.42578125" style="415" customWidth="1"/>
    <col min="3586" max="3586" width="6.140625" style="415" customWidth="1"/>
    <col min="3587" max="3587" width="21.7109375" style="415" customWidth="1"/>
    <col min="3588" max="3588" width="9.28515625" style="415" customWidth="1"/>
    <col min="3589" max="3589" width="8.28515625" style="415" customWidth="1"/>
    <col min="3590" max="3590" width="7.7109375" style="415" customWidth="1"/>
    <col min="3591" max="3591" width="9.7109375" style="415" customWidth="1"/>
    <col min="3592" max="3592" width="7.28515625" style="415" customWidth="1"/>
    <col min="3593" max="3593" width="7.5703125" style="415" customWidth="1"/>
    <col min="3594" max="3594" width="7.7109375" style="415" customWidth="1"/>
    <col min="3595" max="3595" width="7" style="415" customWidth="1"/>
    <col min="3596" max="3596" width="7.7109375" style="415" customWidth="1"/>
    <col min="3597" max="3597" width="7" style="415" customWidth="1"/>
    <col min="3598" max="3840" width="11.5703125" style="415"/>
    <col min="3841" max="3841" width="11.42578125" style="415" customWidth="1"/>
    <col min="3842" max="3842" width="6.140625" style="415" customWidth="1"/>
    <col min="3843" max="3843" width="21.7109375" style="415" customWidth="1"/>
    <col min="3844" max="3844" width="9.28515625" style="415" customWidth="1"/>
    <col min="3845" max="3845" width="8.28515625" style="415" customWidth="1"/>
    <col min="3846" max="3846" width="7.7109375" style="415" customWidth="1"/>
    <col min="3847" max="3847" width="9.7109375" style="415" customWidth="1"/>
    <col min="3848" max="3848" width="7.28515625" style="415" customWidth="1"/>
    <col min="3849" max="3849" width="7.5703125" style="415" customWidth="1"/>
    <col min="3850" max="3850" width="7.7109375" style="415" customWidth="1"/>
    <col min="3851" max="3851" width="7" style="415" customWidth="1"/>
    <col min="3852" max="3852" width="7.7109375" style="415" customWidth="1"/>
    <col min="3853" max="3853" width="7" style="415" customWidth="1"/>
    <col min="3854" max="4096" width="11.5703125" style="415"/>
    <col min="4097" max="4097" width="11.42578125" style="415" customWidth="1"/>
    <col min="4098" max="4098" width="6.140625" style="415" customWidth="1"/>
    <col min="4099" max="4099" width="21.7109375" style="415" customWidth="1"/>
    <col min="4100" max="4100" width="9.28515625" style="415" customWidth="1"/>
    <col min="4101" max="4101" width="8.28515625" style="415" customWidth="1"/>
    <col min="4102" max="4102" width="7.7109375" style="415" customWidth="1"/>
    <col min="4103" max="4103" width="9.7109375" style="415" customWidth="1"/>
    <col min="4104" max="4104" width="7.28515625" style="415" customWidth="1"/>
    <col min="4105" max="4105" width="7.5703125" style="415" customWidth="1"/>
    <col min="4106" max="4106" width="7.7109375" style="415" customWidth="1"/>
    <col min="4107" max="4107" width="7" style="415" customWidth="1"/>
    <col min="4108" max="4108" width="7.7109375" style="415" customWidth="1"/>
    <col min="4109" max="4109" width="7" style="415" customWidth="1"/>
    <col min="4110" max="4352" width="11.5703125" style="415"/>
    <col min="4353" max="4353" width="11.42578125" style="415" customWidth="1"/>
    <col min="4354" max="4354" width="6.140625" style="415" customWidth="1"/>
    <col min="4355" max="4355" width="21.7109375" style="415" customWidth="1"/>
    <col min="4356" max="4356" width="9.28515625" style="415" customWidth="1"/>
    <col min="4357" max="4357" width="8.28515625" style="415" customWidth="1"/>
    <col min="4358" max="4358" width="7.7109375" style="415" customWidth="1"/>
    <col min="4359" max="4359" width="9.7109375" style="415" customWidth="1"/>
    <col min="4360" max="4360" width="7.28515625" style="415" customWidth="1"/>
    <col min="4361" max="4361" width="7.5703125" style="415" customWidth="1"/>
    <col min="4362" max="4362" width="7.7109375" style="415" customWidth="1"/>
    <col min="4363" max="4363" width="7" style="415" customWidth="1"/>
    <col min="4364" max="4364" width="7.7109375" style="415" customWidth="1"/>
    <col min="4365" max="4365" width="7" style="415" customWidth="1"/>
    <col min="4366" max="4608" width="11.5703125" style="415"/>
    <col min="4609" max="4609" width="11.42578125" style="415" customWidth="1"/>
    <col min="4610" max="4610" width="6.140625" style="415" customWidth="1"/>
    <col min="4611" max="4611" width="21.7109375" style="415" customWidth="1"/>
    <col min="4612" max="4612" width="9.28515625" style="415" customWidth="1"/>
    <col min="4613" max="4613" width="8.28515625" style="415" customWidth="1"/>
    <col min="4614" max="4614" width="7.7109375" style="415" customWidth="1"/>
    <col min="4615" max="4615" width="9.7109375" style="415" customWidth="1"/>
    <col min="4616" max="4616" width="7.28515625" style="415" customWidth="1"/>
    <col min="4617" max="4617" width="7.5703125" style="415" customWidth="1"/>
    <col min="4618" max="4618" width="7.7109375" style="415" customWidth="1"/>
    <col min="4619" max="4619" width="7" style="415" customWidth="1"/>
    <col min="4620" max="4620" width="7.7109375" style="415" customWidth="1"/>
    <col min="4621" max="4621" width="7" style="415" customWidth="1"/>
    <col min="4622" max="4864" width="11.5703125" style="415"/>
    <col min="4865" max="4865" width="11.42578125" style="415" customWidth="1"/>
    <col min="4866" max="4866" width="6.140625" style="415" customWidth="1"/>
    <col min="4867" max="4867" width="21.7109375" style="415" customWidth="1"/>
    <col min="4868" max="4868" width="9.28515625" style="415" customWidth="1"/>
    <col min="4869" max="4869" width="8.28515625" style="415" customWidth="1"/>
    <col min="4870" max="4870" width="7.7109375" style="415" customWidth="1"/>
    <col min="4871" max="4871" width="9.7109375" style="415" customWidth="1"/>
    <col min="4872" max="4872" width="7.28515625" style="415" customWidth="1"/>
    <col min="4873" max="4873" width="7.5703125" style="415" customWidth="1"/>
    <col min="4874" max="4874" width="7.7109375" style="415" customWidth="1"/>
    <col min="4875" max="4875" width="7" style="415" customWidth="1"/>
    <col min="4876" max="4876" width="7.7109375" style="415" customWidth="1"/>
    <col min="4877" max="4877" width="7" style="415" customWidth="1"/>
    <col min="4878" max="5120" width="11.5703125" style="415"/>
    <col min="5121" max="5121" width="11.42578125" style="415" customWidth="1"/>
    <col min="5122" max="5122" width="6.140625" style="415" customWidth="1"/>
    <col min="5123" max="5123" width="21.7109375" style="415" customWidth="1"/>
    <col min="5124" max="5124" width="9.28515625" style="415" customWidth="1"/>
    <col min="5125" max="5125" width="8.28515625" style="415" customWidth="1"/>
    <col min="5126" max="5126" width="7.7109375" style="415" customWidth="1"/>
    <col min="5127" max="5127" width="9.7109375" style="415" customWidth="1"/>
    <col min="5128" max="5128" width="7.28515625" style="415" customWidth="1"/>
    <col min="5129" max="5129" width="7.5703125" style="415" customWidth="1"/>
    <col min="5130" max="5130" width="7.7109375" style="415" customWidth="1"/>
    <col min="5131" max="5131" width="7" style="415" customWidth="1"/>
    <col min="5132" max="5132" width="7.7109375" style="415" customWidth="1"/>
    <col min="5133" max="5133" width="7" style="415" customWidth="1"/>
    <col min="5134" max="5376" width="11.5703125" style="415"/>
    <col min="5377" max="5377" width="11.42578125" style="415" customWidth="1"/>
    <col min="5378" max="5378" width="6.140625" style="415" customWidth="1"/>
    <col min="5379" max="5379" width="21.7109375" style="415" customWidth="1"/>
    <col min="5380" max="5380" width="9.28515625" style="415" customWidth="1"/>
    <col min="5381" max="5381" width="8.28515625" style="415" customWidth="1"/>
    <col min="5382" max="5382" width="7.7109375" style="415" customWidth="1"/>
    <col min="5383" max="5383" width="9.7109375" style="415" customWidth="1"/>
    <col min="5384" max="5384" width="7.28515625" style="415" customWidth="1"/>
    <col min="5385" max="5385" width="7.5703125" style="415" customWidth="1"/>
    <col min="5386" max="5386" width="7.7109375" style="415" customWidth="1"/>
    <col min="5387" max="5387" width="7" style="415" customWidth="1"/>
    <col min="5388" max="5388" width="7.7109375" style="415" customWidth="1"/>
    <col min="5389" max="5389" width="7" style="415" customWidth="1"/>
    <col min="5390" max="5632" width="11.5703125" style="415"/>
    <col min="5633" max="5633" width="11.42578125" style="415" customWidth="1"/>
    <col min="5634" max="5634" width="6.140625" style="415" customWidth="1"/>
    <col min="5635" max="5635" width="21.7109375" style="415" customWidth="1"/>
    <col min="5636" max="5636" width="9.28515625" style="415" customWidth="1"/>
    <col min="5637" max="5637" width="8.28515625" style="415" customWidth="1"/>
    <col min="5638" max="5638" width="7.7109375" style="415" customWidth="1"/>
    <col min="5639" max="5639" width="9.7109375" style="415" customWidth="1"/>
    <col min="5640" max="5640" width="7.28515625" style="415" customWidth="1"/>
    <col min="5641" max="5641" width="7.5703125" style="415" customWidth="1"/>
    <col min="5642" max="5642" width="7.7109375" style="415" customWidth="1"/>
    <col min="5643" max="5643" width="7" style="415" customWidth="1"/>
    <col min="5644" max="5644" width="7.7109375" style="415" customWidth="1"/>
    <col min="5645" max="5645" width="7" style="415" customWidth="1"/>
    <col min="5646" max="5888" width="11.5703125" style="415"/>
    <col min="5889" max="5889" width="11.42578125" style="415" customWidth="1"/>
    <col min="5890" max="5890" width="6.140625" style="415" customWidth="1"/>
    <col min="5891" max="5891" width="21.7109375" style="415" customWidth="1"/>
    <col min="5892" max="5892" width="9.28515625" style="415" customWidth="1"/>
    <col min="5893" max="5893" width="8.28515625" style="415" customWidth="1"/>
    <col min="5894" max="5894" width="7.7109375" style="415" customWidth="1"/>
    <col min="5895" max="5895" width="9.7109375" style="415" customWidth="1"/>
    <col min="5896" max="5896" width="7.28515625" style="415" customWidth="1"/>
    <col min="5897" max="5897" width="7.5703125" style="415" customWidth="1"/>
    <col min="5898" max="5898" width="7.7109375" style="415" customWidth="1"/>
    <col min="5899" max="5899" width="7" style="415" customWidth="1"/>
    <col min="5900" max="5900" width="7.7109375" style="415" customWidth="1"/>
    <col min="5901" max="5901" width="7" style="415" customWidth="1"/>
    <col min="5902" max="6144" width="11.5703125" style="415"/>
    <col min="6145" max="6145" width="11.42578125" style="415" customWidth="1"/>
    <col min="6146" max="6146" width="6.140625" style="415" customWidth="1"/>
    <col min="6147" max="6147" width="21.7109375" style="415" customWidth="1"/>
    <col min="6148" max="6148" width="9.28515625" style="415" customWidth="1"/>
    <col min="6149" max="6149" width="8.28515625" style="415" customWidth="1"/>
    <col min="6150" max="6150" width="7.7109375" style="415" customWidth="1"/>
    <col min="6151" max="6151" width="9.7109375" style="415" customWidth="1"/>
    <col min="6152" max="6152" width="7.28515625" style="415" customWidth="1"/>
    <col min="6153" max="6153" width="7.5703125" style="415" customWidth="1"/>
    <col min="6154" max="6154" width="7.7109375" style="415" customWidth="1"/>
    <col min="6155" max="6155" width="7" style="415" customWidth="1"/>
    <col min="6156" max="6156" width="7.7109375" style="415" customWidth="1"/>
    <col min="6157" max="6157" width="7" style="415" customWidth="1"/>
    <col min="6158" max="6400" width="11.5703125" style="415"/>
    <col min="6401" max="6401" width="11.42578125" style="415" customWidth="1"/>
    <col min="6402" max="6402" width="6.140625" style="415" customWidth="1"/>
    <col min="6403" max="6403" width="21.7109375" style="415" customWidth="1"/>
    <col min="6404" max="6404" width="9.28515625" style="415" customWidth="1"/>
    <col min="6405" max="6405" width="8.28515625" style="415" customWidth="1"/>
    <col min="6406" max="6406" width="7.7109375" style="415" customWidth="1"/>
    <col min="6407" max="6407" width="9.7109375" style="415" customWidth="1"/>
    <col min="6408" max="6408" width="7.28515625" style="415" customWidth="1"/>
    <col min="6409" max="6409" width="7.5703125" style="415" customWidth="1"/>
    <col min="6410" max="6410" width="7.7109375" style="415" customWidth="1"/>
    <col min="6411" max="6411" width="7" style="415" customWidth="1"/>
    <col min="6412" max="6412" width="7.7109375" style="415" customWidth="1"/>
    <col min="6413" max="6413" width="7" style="415" customWidth="1"/>
    <col min="6414" max="6656" width="11.5703125" style="415"/>
    <col min="6657" max="6657" width="11.42578125" style="415" customWidth="1"/>
    <col min="6658" max="6658" width="6.140625" style="415" customWidth="1"/>
    <col min="6659" max="6659" width="21.7109375" style="415" customWidth="1"/>
    <col min="6660" max="6660" width="9.28515625" style="415" customWidth="1"/>
    <col min="6661" max="6661" width="8.28515625" style="415" customWidth="1"/>
    <col min="6662" max="6662" width="7.7109375" style="415" customWidth="1"/>
    <col min="6663" max="6663" width="9.7109375" style="415" customWidth="1"/>
    <col min="6664" max="6664" width="7.28515625" style="415" customWidth="1"/>
    <col min="6665" max="6665" width="7.5703125" style="415" customWidth="1"/>
    <col min="6666" max="6666" width="7.7109375" style="415" customWidth="1"/>
    <col min="6667" max="6667" width="7" style="415" customWidth="1"/>
    <col min="6668" max="6668" width="7.7109375" style="415" customWidth="1"/>
    <col min="6669" max="6669" width="7" style="415" customWidth="1"/>
    <col min="6670" max="6912" width="11.5703125" style="415"/>
    <col min="6913" max="6913" width="11.42578125" style="415" customWidth="1"/>
    <col min="6914" max="6914" width="6.140625" style="415" customWidth="1"/>
    <col min="6915" max="6915" width="21.7109375" style="415" customWidth="1"/>
    <col min="6916" max="6916" width="9.28515625" style="415" customWidth="1"/>
    <col min="6917" max="6917" width="8.28515625" style="415" customWidth="1"/>
    <col min="6918" max="6918" width="7.7109375" style="415" customWidth="1"/>
    <col min="6919" max="6919" width="9.7109375" style="415" customWidth="1"/>
    <col min="6920" max="6920" width="7.28515625" style="415" customWidth="1"/>
    <col min="6921" max="6921" width="7.5703125" style="415" customWidth="1"/>
    <col min="6922" max="6922" width="7.7109375" style="415" customWidth="1"/>
    <col min="6923" max="6923" width="7" style="415" customWidth="1"/>
    <col min="6924" max="6924" width="7.7109375" style="415" customWidth="1"/>
    <col min="6925" max="6925" width="7" style="415" customWidth="1"/>
    <col min="6926" max="7168" width="11.5703125" style="415"/>
    <col min="7169" max="7169" width="11.42578125" style="415" customWidth="1"/>
    <col min="7170" max="7170" width="6.140625" style="415" customWidth="1"/>
    <col min="7171" max="7171" width="21.7109375" style="415" customWidth="1"/>
    <col min="7172" max="7172" width="9.28515625" style="415" customWidth="1"/>
    <col min="7173" max="7173" width="8.28515625" style="415" customWidth="1"/>
    <col min="7174" max="7174" width="7.7109375" style="415" customWidth="1"/>
    <col min="7175" max="7175" width="9.7109375" style="415" customWidth="1"/>
    <col min="7176" max="7176" width="7.28515625" style="415" customWidth="1"/>
    <col min="7177" max="7177" width="7.5703125" style="415" customWidth="1"/>
    <col min="7178" max="7178" width="7.7109375" style="415" customWidth="1"/>
    <col min="7179" max="7179" width="7" style="415" customWidth="1"/>
    <col min="7180" max="7180" width="7.7109375" style="415" customWidth="1"/>
    <col min="7181" max="7181" width="7" style="415" customWidth="1"/>
    <col min="7182" max="7424" width="11.5703125" style="415"/>
    <col min="7425" max="7425" width="11.42578125" style="415" customWidth="1"/>
    <col min="7426" max="7426" width="6.140625" style="415" customWidth="1"/>
    <col min="7427" max="7427" width="21.7109375" style="415" customWidth="1"/>
    <col min="7428" max="7428" width="9.28515625" style="415" customWidth="1"/>
    <col min="7429" max="7429" width="8.28515625" style="415" customWidth="1"/>
    <col min="7430" max="7430" width="7.7109375" style="415" customWidth="1"/>
    <col min="7431" max="7431" width="9.7109375" style="415" customWidth="1"/>
    <col min="7432" max="7432" width="7.28515625" style="415" customWidth="1"/>
    <col min="7433" max="7433" width="7.5703125" style="415" customWidth="1"/>
    <col min="7434" max="7434" width="7.7109375" style="415" customWidth="1"/>
    <col min="7435" max="7435" width="7" style="415" customWidth="1"/>
    <col min="7436" max="7436" width="7.7109375" style="415" customWidth="1"/>
    <col min="7437" max="7437" width="7" style="415" customWidth="1"/>
    <col min="7438" max="7680" width="11.5703125" style="415"/>
    <col min="7681" max="7681" width="11.42578125" style="415" customWidth="1"/>
    <col min="7682" max="7682" width="6.140625" style="415" customWidth="1"/>
    <col min="7683" max="7683" width="21.7109375" style="415" customWidth="1"/>
    <col min="7684" max="7684" width="9.28515625" style="415" customWidth="1"/>
    <col min="7685" max="7685" width="8.28515625" style="415" customWidth="1"/>
    <col min="7686" max="7686" width="7.7109375" style="415" customWidth="1"/>
    <col min="7687" max="7687" width="9.7109375" style="415" customWidth="1"/>
    <col min="7688" max="7688" width="7.28515625" style="415" customWidth="1"/>
    <col min="7689" max="7689" width="7.5703125" style="415" customWidth="1"/>
    <col min="7690" max="7690" width="7.7109375" style="415" customWidth="1"/>
    <col min="7691" max="7691" width="7" style="415" customWidth="1"/>
    <col min="7692" max="7692" width="7.7109375" style="415" customWidth="1"/>
    <col min="7693" max="7693" width="7" style="415" customWidth="1"/>
    <col min="7694" max="7936" width="11.5703125" style="415"/>
    <col min="7937" max="7937" width="11.42578125" style="415" customWidth="1"/>
    <col min="7938" max="7938" width="6.140625" style="415" customWidth="1"/>
    <col min="7939" max="7939" width="21.7109375" style="415" customWidth="1"/>
    <col min="7940" max="7940" width="9.28515625" style="415" customWidth="1"/>
    <col min="7941" max="7941" width="8.28515625" style="415" customWidth="1"/>
    <col min="7942" max="7942" width="7.7109375" style="415" customWidth="1"/>
    <col min="7943" max="7943" width="9.7109375" style="415" customWidth="1"/>
    <col min="7944" max="7944" width="7.28515625" style="415" customWidth="1"/>
    <col min="7945" max="7945" width="7.5703125" style="415" customWidth="1"/>
    <col min="7946" max="7946" width="7.7109375" style="415" customWidth="1"/>
    <col min="7947" max="7947" width="7" style="415" customWidth="1"/>
    <col min="7948" max="7948" width="7.7109375" style="415" customWidth="1"/>
    <col min="7949" max="7949" width="7" style="415" customWidth="1"/>
    <col min="7950" max="8192" width="11.5703125" style="415"/>
    <col min="8193" max="8193" width="11.42578125" style="415" customWidth="1"/>
    <col min="8194" max="8194" width="6.140625" style="415" customWidth="1"/>
    <col min="8195" max="8195" width="21.7109375" style="415" customWidth="1"/>
    <col min="8196" max="8196" width="9.28515625" style="415" customWidth="1"/>
    <col min="8197" max="8197" width="8.28515625" style="415" customWidth="1"/>
    <col min="8198" max="8198" width="7.7109375" style="415" customWidth="1"/>
    <col min="8199" max="8199" width="9.7109375" style="415" customWidth="1"/>
    <col min="8200" max="8200" width="7.28515625" style="415" customWidth="1"/>
    <col min="8201" max="8201" width="7.5703125" style="415" customWidth="1"/>
    <col min="8202" max="8202" width="7.7109375" style="415" customWidth="1"/>
    <col min="8203" max="8203" width="7" style="415" customWidth="1"/>
    <col min="8204" max="8204" width="7.7109375" style="415" customWidth="1"/>
    <col min="8205" max="8205" width="7" style="415" customWidth="1"/>
    <col min="8206" max="8448" width="11.5703125" style="415"/>
    <col min="8449" max="8449" width="11.42578125" style="415" customWidth="1"/>
    <col min="8450" max="8450" width="6.140625" style="415" customWidth="1"/>
    <col min="8451" max="8451" width="21.7109375" style="415" customWidth="1"/>
    <col min="8452" max="8452" width="9.28515625" style="415" customWidth="1"/>
    <col min="8453" max="8453" width="8.28515625" style="415" customWidth="1"/>
    <col min="8454" max="8454" width="7.7109375" style="415" customWidth="1"/>
    <col min="8455" max="8455" width="9.7109375" style="415" customWidth="1"/>
    <col min="8456" max="8456" width="7.28515625" style="415" customWidth="1"/>
    <col min="8457" max="8457" width="7.5703125" style="415" customWidth="1"/>
    <col min="8458" max="8458" width="7.7109375" style="415" customWidth="1"/>
    <col min="8459" max="8459" width="7" style="415" customWidth="1"/>
    <col min="8460" max="8460" width="7.7109375" style="415" customWidth="1"/>
    <col min="8461" max="8461" width="7" style="415" customWidth="1"/>
    <col min="8462" max="8704" width="11.5703125" style="415"/>
    <col min="8705" max="8705" width="11.42578125" style="415" customWidth="1"/>
    <col min="8706" max="8706" width="6.140625" style="415" customWidth="1"/>
    <col min="8707" max="8707" width="21.7109375" style="415" customWidth="1"/>
    <col min="8708" max="8708" width="9.28515625" style="415" customWidth="1"/>
    <col min="8709" max="8709" width="8.28515625" style="415" customWidth="1"/>
    <col min="8710" max="8710" width="7.7109375" style="415" customWidth="1"/>
    <col min="8711" max="8711" width="9.7109375" style="415" customWidth="1"/>
    <col min="8712" max="8712" width="7.28515625" style="415" customWidth="1"/>
    <col min="8713" max="8713" width="7.5703125" style="415" customWidth="1"/>
    <col min="8714" max="8714" width="7.7109375" style="415" customWidth="1"/>
    <col min="8715" max="8715" width="7" style="415" customWidth="1"/>
    <col min="8716" max="8716" width="7.7109375" style="415" customWidth="1"/>
    <col min="8717" max="8717" width="7" style="415" customWidth="1"/>
    <col min="8718" max="8960" width="11.5703125" style="415"/>
    <col min="8961" max="8961" width="11.42578125" style="415" customWidth="1"/>
    <col min="8962" max="8962" width="6.140625" style="415" customWidth="1"/>
    <col min="8963" max="8963" width="21.7109375" style="415" customWidth="1"/>
    <col min="8964" max="8964" width="9.28515625" style="415" customWidth="1"/>
    <col min="8965" max="8965" width="8.28515625" style="415" customWidth="1"/>
    <col min="8966" max="8966" width="7.7109375" style="415" customWidth="1"/>
    <col min="8967" max="8967" width="9.7109375" style="415" customWidth="1"/>
    <col min="8968" max="8968" width="7.28515625" style="415" customWidth="1"/>
    <col min="8969" max="8969" width="7.5703125" style="415" customWidth="1"/>
    <col min="8970" max="8970" width="7.7109375" style="415" customWidth="1"/>
    <col min="8971" max="8971" width="7" style="415" customWidth="1"/>
    <col min="8972" max="8972" width="7.7109375" style="415" customWidth="1"/>
    <col min="8973" max="8973" width="7" style="415" customWidth="1"/>
    <col min="8974" max="9216" width="11.5703125" style="415"/>
    <col min="9217" max="9217" width="11.42578125" style="415" customWidth="1"/>
    <col min="9218" max="9218" width="6.140625" style="415" customWidth="1"/>
    <col min="9219" max="9219" width="21.7109375" style="415" customWidth="1"/>
    <col min="9220" max="9220" width="9.28515625" style="415" customWidth="1"/>
    <col min="9221" max="9221" width="8.28515625" style="415" customWidth="1"/>
    <col min="9222" max="9222" width="7.7109375" style="415" customWidth="1"/>
    <col min="9223" max="9223" width="9.7109375" style="415" customWidth="1"/>
    <col min="9224" max="9224" width="7.28515625" style="415" customWidth="1"/>
    <col min="9225" max="9225" width="7.5703125" style="415" customWidth="1"/>
    <col min="9226" max="9226" width="7.7109375" style="415" customWidth="1"/>
    <col min="9227" max="9227" width="7" style="415" customWidth="1"/>
    <col min="9228" max="9228" width="7.7109375" style="415" customWidth="1"/>
    <col min="9229" max="9229" width="7" style="415" customWidth="1"/>
    <col min="9230" max="9472" width="11.5703125" style="415"/>
    <col min="9473" max="9473" width="11.42578125" style="415" customWidth="1"/>
    <col min="9474" max="9474" width="6.140625" style="415" customWidth="1"/>
    <col min="9475" max="9475" width="21.7109375" style="415" customWidth="1"/>
    <col min="9476" max="9476" width="9.28515625" style="415" customWidth="1"/>
    <col min="9477" max="9477" width="8.28515625" style="415" customWidth="1"/>
    <col min="9478" max="9478" width="7.7109375" style="415" customWidth="1"/>
    <col min="9479" max="9479" width="9.7109375" style="415" customWidth="1"/>
    <col min="9480" max="9480" width="7.28515625" style="415" customWidth="1"/>
    <col min="9481" max="9481" width="7.5703125" style="415" customWidth="1"/>
    <col min="9482" max="9482" width="7.7109375" style="415" customWidth="1"/>
    <col min="9483" max="9483" width="7" style="415" customWidth="1"/>
    <col min="9484" max="9484" width="7.7109375" style="415" customWidth="1"/>
    <col min="9485" max="9485" width="7" style="415" customWidth="1"/>
    <col min="9486" max="9728" width="11.5703125" style="415"/>
    <col min="9729" max="9729" width="11.42578125" style="415" customWidth="1"/>
    <col min="9730" max="9730" width="6.140625" style="415" customWidth="1"/>
    <col min="9731" max="9731" width="21.7109375" style="415" customWidth="1"/>
    <col min="9732" max="9732" width="9.28515625" style="415" customWidth="1"/>
    <col min="9733" max="9733" width="8.28515625" style="415" customWidth="1"/>
    <col min="9734" max="9734" width="7.7109375" style="415" customWidth="1"/>
    <col min="9735" max="9735" width="9.7109375" style="415" customWidth="1"/>
    <col min="9736" max="9736" width="7.28515625" style="415" customWidth="1"/>
    <col min="9737" max="9737" width="7.5703125" style="415" customWidth="1"/>
    <col min="9738" max="9738" width="7.7109375" style="415" customWidth="1"/>
    <col min="9739" max="9739" width="7" style="415" customWidth="1"/>
    <col min="9740" max="9740" width="7.7109375" style="415" customWidth="1"/>
    <col min="9741" max="9741" width="7" style="415" customWidth="1"/>
    <col min="9742" max="9984" width="11.5703125" style="415"/>
    <col min="9985" max="9985" width="11.42578125" style="415" customWidth="1"/>
    <col min="9986" max="9986" width="6.140625" style="415" customWidth="1"/>
    <col min="9987" max="9987" width="21.7109375" style="415" customWidth="1"/>
    <col min="9988" max="9988" width="9.28515625" style="415" customWidth="1"/>
    <col min="9989" max="9989" width="8.28515625" style="415" customWidth="1"/>
    <col min="9990" max="9990" width="7.7109375" style="415" customWidth="1"/>
    <col min="9991" max="9991" width="9.7109375" style="415" customWidth="1"/>
    <col min="9992" max="9992" width="7.28515625" style="415" customWidth="1"/>
    <col min="9993" max="9993" width="7.5703125" style="415" customWidth="1"/>
    <col min="9994" max="9994" width="7.7109375" style="415" customWidth="1"/>
    <col min="9995" max="9995" width="7" style="415" customWidth="1"/>
    <col min="9996" max="9996" width="7.7109375" style="415" customWidth="1"/>
    <col min="9997" max="9997" width="7" style="415" customWidth="1"/>
    <col min="9998" max="10240" width="11.5703125" style="415"/>
    <col min="10241" max="10241" width="11.42578125" style="415" customWidth="1"/>
    <col min="10242" max="10242" width="6.140625" style="415" customWidth="1"/>
    <col min="10243" max="10243" width="21.7109375" style="415" customWidth="1"/>
    <col min="10244" max="10244" width="9.28515625" style="415" customWidth="1"/>
    <col min="10245" max="10245" width="8.28515625" style="415" customWidth="1"/>
    <col min="10246" max="10246" width="7.7109375" style="415" customWidth="1"/>
    <col min="10247" max="10247" width="9.7109375" style="415" customWidth="1"/>
    <col min="10248" max="10248" width="7.28515625" style="415" customWidth="1"/>
    <col min="10249" max="10249" width="7.5703125" style="415" customWidth="1"/>
    <col min="10250" max="10250" width="7.7109375" style="415" customWidth="1"/>
    <col min="10251" max="10251" width="7" style="415" customWidth="1"/>
    <col min="10252" max="10252" width="7.7109375" style="415" customWidth="1"/>
    <col min="10253" max="10253" width="7" style="415" customWidth="1"/>
    <col min="10254" max="10496" width="11.5703125" style="415"/>
    <col min="10497" max="10497" width="11.42578125" style="415" customWidth="1"/>
    <col min="10498" max="10498" width="6.140625" style="415" customWidth="1"/>
    <col min="10499" max="10499" width="21.7109375" style="415" customWidth="1"/>
    <col min="10500" max="10500" width="9.28515625" style="415" customWidth="1"/>
    <col min="10501" max="10501" width="8.28515625" style="415" customWidth="1"/>
    <col min="10502" max="10502" width="7.7109375" style="415" customWidth="1"/>
    <col min="10503" max="10503" width="9.7109375" style="415" customWidth="1"/>
    <col min="10504" max="10504" width="7.28515625" style="415" customWidth="1"/>
    <col min="10505" max="10505" width="7.5703125" style="415" customWidth="1"/>
    <col min="10506" max="10506" width="7.7109375" style="415" customWidth="1"/>
    <col min="10507" max="10507" width="7" style="415" customWidth="1"/>
    <col min="10508" max="10508" width="7.7109375" style="415" customWidth="1"/>
    <col min="10509" max="10509" width="7" style="415" customWidth="1"/>
    <col min="10510" max="10752" width="11.5703125" style="415"/>
    <col min="10753" max="10753" width="11.42578125" style="415" customWidth="1"/>
    <col min="10754" max="10754" width="6.140625" style="415" customWidth="1"/>
    <col min="10755" max="10755" width="21.7109375" style="415" customWidth="1"/>
    <col min="10756" max="10756" width="9.28515625" style="415" customWidth="1"/>
    <col min="10757" max="10757" width="8.28515625" style="415" customWidth="1"/>
    <col min="10758" max="10758" width="7.7109375" style="415" customWidth="1"/>
    <col min="10759" max="10759" width="9.7109375" style="415" customWidth="1"/>
    <col min="10760" max="10760" width="7.28515625" style="415" customWidth="1"/>
    <col min="10761" max="10761" width="7.5703125" style="415" customWidth="1"/>
    <col min="10762" max="10762" width="7.7109375" style="415" customWidth="1"/>
    <col min="10763" max="10763" width="7" style="415" customWidth="1"/>
    <col min="10764" max="10764" width="7.7109375" style="415" customWidth="1"/>
    <col min="10765" max="10765" width="7" style="415" customWidth="1"/>
    <col min="10766" max="11008" width="11.5703125" style="415"/>
    <col min="11009" max="11009" width="11.42578125" style="415" customWidth="1"/>
    <col min="11010" max="11010" width="6.140625" style="415" customWidth="1"/>
    <col min="11011" max="11011" width="21.7109375" style="415" customWidth="1"/>
    <col min="11012" max="11012" width="9.28515625" style="415" customWidth="1"/>
    <col min="11013" max="11013" width="8.28515625" style="415" customWidth="1"/>
    <col min="11014" max="11014" width="7.7109375" style="415" customWidth="1"/>
    <col min="11015" max="11015" width="9.7109375" style="415" customWidth="1"/>
    <col min="11016" max="11016" width="7.28515625" style="415" customWidth="1"/>
    <col min="11017" max="11017" width="7.5703125" style="415" customWidth="1"/>
    <col min="11018" max="11018" width="7.7109375" style="415" customWidth="1"/>
    <col min="11019" max="11019" width="7" style="415" customWidth="1"/>
    <col min="11020" max="11020" width="7.7109375" style="415" customWidth="1"/>
    <col min="11021" max="11021" width="7" style="415" customWidth="1"/>
    <col min="11022" max="11264" width="11.5703125" style="415"/>
    <col min="11265" max="11265" width="11.42578125" style="415" customWidth="1"/>
    <col min="11266" max="11266" width="6.140625" style="415" customWidth="1"/>
    <col min="11267" max="11267" width="21.7109375" style="415" customWidth="1"/>
    <col min="11268" max="11268" width="9.28515625" style="415" customWidth="1"/>
    <col min="11269" max="11269" width="8.28515625" style="415" customWidth="1"/>
    <col min="11270" max="11270" width="7.7109375" style="415" customWidth="1"/>
    <col min="11271" max="11271" width="9.7109375" style="415" customWidth="1"/>
    <col min="11272" max="11272" width="7.28515625" style="415" customWidth="1"/>
    <col min="11273" max="11273" width="7.5703125" style="415" customWidth="1"/>
    <col min="11274" max="11274" width="7.7109375" style="415" customWidth="1"/>
    <col min="11275" max="11275" width="7" style="415" customWidth="1"/>
    <col min="11276" max="11276" width="7.7109375" style="415" customWidth="1"/>
    <col min="11277" max="11277" width="7" style="415" customWidth="1"/>
    <col min="11278" max="11520" width="11.5703125" style="415"/>
    <col min="11521" max="11521" width="11.42578125" style="415" customWidth="1"/>
    <col min="11522" max="11522" width="6.140625" style="415" customWidth="1"/>
    <col min="11523" max="11523" width="21.7109375" style="415" customWidth="1"/>
    <col min="11524" max="11524" width="9.28515625" style="415" customWidth="1"/>
    <col min="11525" max="11525" width="8.28515625" style="415" customWidth="1"/>
    <col min="11526" max="11526" width="7.7109375" style="415" customWidth="1"/>
    <col min="11527" max="11527" width="9.7109375" style="415" customWidth="1"/>
    <col min="11528" max="11528" width="7.28515625" style="415" customWidth="1"/>
    <col min="11529" max="11529" width="7.5703125" style="415" customWidth="1"/>
    <col min="11530" max="11530" width="7.7109375" style="415" customWidth="1"/>
    <col min="11531" max="11531" width="7" style="415" customWidth="1"/>
    <col min="11532" max="11532" width="7.7109375" style="415" customWidth="1"/>
    <col min="11533" max="11533" width="7" style="415" customWidth="1"/>
    <col min="11534" max="11776" width="11.5703125" style="415"/>
    <col min="11777" max="11777" width="11.42578125" style="415" customWidth="1"/>
    <col min="11778" max="11778" width="6.140625" style="415" customWidth="1"/>
    <col min="11779" max="11779" width="21.7109375" style="415" customWidth="1"/>
    <col min="11780" max="11780" width="9.28515625" style="415" customWidth="1"/>
    <col min="11781" max="11781" width="8.28515625" style="415" customWidth="1"/>
    <col min="11782" max="11782" width="7.7109375" style="415" customWidth="1"/>
    <col min="11783" max="11783" width="9.7109375" style="415" customWidth="1"/>
    <col min="11784" max="11784" width="7.28515625" style="415" customWidth="1"/>
    <col min="11785" max="11785" width="7.5703125" style="415" customWidth="1"/>
    <col min="11786" max="11786" width="7.7109375" style="415" customWidth="1"/>
    <col min="11787" max="11787" width="7" style="415" customWidth="1"/>
    <col min="11788" max="11788" width="7.7109375" style="415" customWidth="1"/>
    <col min="11789" max="11789" width="7" style="415" customWidth="1"/>
    <col min="11790" max="12032" width="11.5703125" style="415"/>
    <col min="12033" max="12033" width="11.42578125" style="415" customWidth="1"/>
    <col min="12034" max="12034" width="6.140625" style="415" customWidth="1"/>
    <col min="12035" max="12035" width="21.7109375" style="415" customWidth="1"/>
    <col min="12036" max="12036" width="9.28515625" style="415" customWidth="1"/>
    <col min="12037" max="12037" width="8.28515625" style="415" customWidth="1"/>
    <col min="12038" max="12038" width="7.7109375" style="415" customWidth="1"/>
    <col min="12039" max="12039" width="9.7109375" style="415" customWidth="1"/>
    <col min="12040" max="12040" width="7.28515625" style="415" customWidth="1"/>
    <col min="12041" max="12041" width="7.5703125" style="415" customWidth="1"/>
    <col min="12042" max="12042" width="7.7109375" style="415" customWidth="1"/>
    <col min="12043" max="12043" width="7" style="415" customWidth="1"/>
    <col min="12044" max="12044" width="7.7109375" style="415" customWidth="1"/>
    <col min="12045" max="12045" width="7" style="415" customWidth="1"/>
    <col min="12046" max="12288" width="11.5703125" style="415"/>
    <col min="12289" max="12289" width="11.42578125" style="415" customWidth="1"/>
    <col min="12290" max="12290" width="6.140625" style="415" customWidth="1"/>
    <col min="12291" max="12291" width="21.7109375" style="415" customWidth="1"/>
    <col min="12292" max="12292" width="9.28515625" style="415" customWidth="1"/>
    <col min="12293" max="12293" width="8.28515625" style="415" customWidth="1"/>
    <col min="12294" max="12294" width="7.7109375" style="415" customWidth="1"/>
    <col min="12295" max="12295" width="9.7109375" style="415" customWidth="1"/>
    <col min="12296" max="12296" width="7.28515625" style="415" customWidth="1"/>
    <col min="12297" max="12297" width="7.5703125" style="415" customWidth="1"/>
    <col min="12298" max="12298" width="7.7109375" style="415" customWidth="1"/>
    <col min="12299" max="12299" width="7" style="415" customWidth="1"/>
    <col min="12300" max="12300" width="7.7109375" style="415" customWidth="1"/>
    <col min="12301" max="12301" width="7" style="415" customWidth="1"/>
    <col min="12302" max="12544" width="11.5703125" style="415"/>
    <col min="12545" max="12545" width="11.42578125" style="415" customWidth="1"/>
    <col min="12546" max="12546" width="6.140625" style="415" customWidth="1"/>
    <col min="12547" max="12547" width="21.7109375" style="415" customWidth="1"/>
    <col min="12548" max="12548" width="9.28515625" style="415" customWidth="1"/>
    <col min="12549" max="12549" width="8.28515625" style="415" customWidth="1"/>
    <col min="12550" max="12550" width="7.7109375" style="415" customWidth="1"/>
    <col min="12551" max="12551" width="9.7109375" style="415" customWidth="1"/>
    <col min="12552" max="12552" width="7.28515625" style="415" customWidth="1"/>
    <col min="12553" max="12553" width="7.5703125" style="415" customWidth="1"/>
    <col min="12554" max="12554" width="7.7109375" style="415" customWidth="1"/>
    <col min="12555" max="12555" width="7" style="415" customWidth="1"/>
    <col min="12556" max="12556" width="7.7109375" style="415" customWidth="1"/>
    <col min="12557" max="12557" width="7" style="415" customWidth="1"/>
    <col min="12558" max="12800" width="11.5703125" style="415"/>
    <col min="12801" max="12801" width="11.42578125" style="415" customWidth="1"/>
    <col min="12802" max="12802" width="6.140625" style="415" customWidth="1"/>
    <col min="12803" max="12803" width="21.7109375" style="415" customWidth="1"/>
    <col min="12804" max="12804" width="9.28515625" style="415" customWidth="1"/>
    <col min="12805" max="12805" width="8.28515625" style="415" customWidth="1"/>
    <col min="12806" max="12806" width="7.7109375" style="415" customWidth="1"/>
    <col min="12807" max="12807" width="9.7109375" style="415" customWidth="1"/>
    <col min="12808" max="12808" width="7.28515625" style="415" customWidth="1"/>
    <col min="12809" max="12809" width="7.5703125" style="415" customWidth="1"/>
    <col min="12810" max="12810" width="7.7109375" style="415" customWidth="1"/>
    <col min="12811" max="12811" width="7" style="415" customWidth="1"/>
    <col min="12812" max="12812" width="7.7109375" style="415" customWidth="1"/>
    <col min="12813" max="12813" width="7" style="415" customWidth="1"/>
    <col min="12814" max="13056" width="11.5703125" style="415"/>
    <col min="13057" max="13057" width="11.42578125" style="415" customWidth="1"/>
    <col min="13058" max="13058" width="6.140625" style="415" customWidth="1"/>
    <col min="13059" max="13059" width="21.7109375" style="415" customWidth="1"/>
    <col min="13060" max="13060" width="9.28515625" style="415" customWidth="1"/>
    <col min="13061" max="13061" width="8.28515625" style="415" customWidth="1"/>
    <col min="13062" max="13062" width="7.7109375" style="415" customWidth="1"/>
    <col min="13063" max="13063" width="9.7109375" style="415" customWidth="1"/>
    <col min="13064" max="13064" width="7.28515625" style="415" customWidth="1"/>
    <col min="13065" max="13065" width="7.5703125" style="415" customWidth="1"/>
    <col min="13066" max="13066" width="7.7109375" style="415" customWidth="1"/>
    <col min="13067" max="13067" width="7" style="415" customWidth="1"/>
    <col min="13068" max="13068" width="7.7109375" style="415" customWidth="1"/>
    <col min="13069" max="13069" width="7" style="415" customWidth="1"/>
    <col min="13070" max="13312" width="11.5703125" style="415"/>
    <col min="13313" max="13313" width="11.42578125" style="415" customWidth="1"/>
    <col min="13314" max="13314" width="6.140625" style="415" customWidth="1"/>
    <col min="13315" max="13315" width="21.7109375" style="415" customWidth="1"/>
    <col min="13316" max="13316" width="9.28515625" style="415" customWidth="1"/>
    <col min="13317" max="13317" width="8.28515625" style="415" customWidth="1"/>
    <col min="13318" max="13318" width="7.7109375" style="415" customWidth="1"/>
    <col min="13319" max="13319" width="9.7109375" style="415" customWidth="1"/>
    <col min="13320" max="13320" width="7.28515625" style="415" customWidth="1"/>
    <col min="13321" max="13321" width="7.5703125" style="415" customWidth="1"/>
    <col min="13322" max="13322" width="7.7109375" style="415" customWidth="1"/>
    <col min="13323" max="13323" width="7" style="415" customWidth="1"/>
    <col min="13324" max="13324" width="7.7109375" style="415" customWidth="1"/>
    <col min="13325" max="13325" width="7" style="415" customWidth="1"/>
    <col min="13326" max="13568" width="11.5703125" style="415"/>
    <col min="13569" max="13569" width="11.42578125" style="415" customWidth="1"/>
    <col min="13570" max="13570" width="6.140625" style="415" customWidth="1"/>
    <col min="13571" max="13571" width="21.7109375" style="415" customWidth="1"/>
    <col min="13572" max="13572" width="9.28515625" style="415" customWidth="1"/>
    <col min="13573" max="13573" width="8.28515625" style="415" customWidth="1"/>
    <col min="13574" max="13574" width="7.7109375" style="415" customWidth="1"/>
    <col min="13575" max="13575" width="9.7109375" style="415" customWidth="1"/>
    <col min="13576" max="13576" width="7.28515625" style="415" customWidth="1"/>
    <col min="13577" max="13577" width="7.5703125" style="415" customWidth="1"/>
    <col min="13578" max="13578" width="7.7109375" style="415" customWidth="1"/>
    <col min="13579" max="13579" width="7" style="415" customWidth="1"/>
    <col min="13580" max="13580" width="7.7109375" style="415" customWidth="1"/>
    <col min="13581" max="13581" width="7" style="415" customWidth="1"/>
    <col min="13582" max="13824" width="11.5703125" style="415"/>
    <col min="13825" max="13825" width="11.42578125" style="415" customWidth="1"/>
    <col min="13826" max="13826" width="6.140625" style="415" customWidth="1"/>
    <col min="13827" max="13827" width="21.7109375" style="415" customWidth="1"/>
    <col min="13828" max="13828" width="9.28515625" style="415" customWidth="1"/>
    <col min="13829" max="13829" width="8.28515625" style="415" customWidth="1"/>
    <col min="13830" max="13830" width="7.7109375" style="415" customWidth="1"/>
    <col min="13831" max="13831" width="9.7109375" style="415" customWidth="1"/>
    <col min="13832" max="13832" width="7.28515625" style="415" customWidth="1"/>
    <col min="13833" max="13833" width="7.5703125" style="415" customWidth="1"/>
    <col min="13834" max="13834" width="7.7109375" style="415" customWidth="1"/>
    <col min="13835" max="13835" width="7" style="415" customWidth="1"/>
    <col min="13836" max="13836" width="7.7109375" style="415" customWidth="1"/>
    <col min="13837" max="13837" width="7" style="415" customWidth="1"/>
    <col min="13838" max="14080" width="11.5703125" style="415"/>
    <col min="14081" max="14081" width="11.42578125" style="415" customWidth="1"/>
    <col min="14082" max="14082" width="6.140625" style="415" customWidth="1"/>
    <col min="14083" max="14083" width="21.7109375" style="415" customWidth="1"/>
    <col min="14084" max="14084" width="9.28515625" style="415" customWidth="1"/>
    <col min="14085" max="14085" width="8.28515625" style="415" customWidth="1"/>
    <col min="14086" max="14086" width="7.7109375" style="415" customWidth="1"/>
    <col min="14087" max="14087" width="9.7109375" style="415" customWidth="1"/>
    <col min="14088" max="14088" width="7.28515625" style="415" customWidth="1"/>
    <col min="14089" max="14089" width="7.5703125" style="415" customWidth="1"/>
    <col min="14090" max="14090" width="7.7109375" style="415" customWidth="1"/>
    <col min="14091" max="14091" width="7" style="415" customWidth="1"/>
    <col min="14092" max="14092" width="7.7109375" style="415" customWidth="1"/>
    <col min="14093" max="14093" width="7" style="415" customWidth="1"/>
    <col min="14094" max="14336" width="11.5703125" style="415"/>
    <col min="14337" max="14337" width="11.42578125" style="415" customWidth="1"/>
    <col min="14338" max="14338" width="6.140625" style="415" customWidth="1"/>
    <col min="14339" max="14339" width="21.7109375" style="415" customWidth="1"/>
    <col min="14340" max="14340" width="9.28515625" style="415" customWidth="1"/>
    <col min="14341" max="14341" width="8.28515625" style="415" customWidth="1"/>
    <col min="14342" max="14342" width="7.7109375" style="415" customWidth="1"/>
    <col min="14343" max="14343" width="9.7109375" style="415" customWidth="1"/>
    <col min="14344" max="14344" width="7.28515625" style="415" customWidth="1"/>
    <col min="14345" max="14345" width="7.5703125" style="415" customWidth="1"/>
    <col min="14346" max="14346" width="7.7109375" style="415" customWidth="1"/>
    <col min="14347" max="14347" width="7" style="415" customWidth="1"/>
    <col min="14348" max="14348" width="7.7109375" style="415" customWidth="1"/>
    <col min="14349" max="14349" width="7" style="415" customWidth="1"/>
    <col min="14350" max="14592" width="11.5703125" style="415"/>
    <col min="14593" max="14593" width="11.42578125" style="415" customWidth="1"/>
    <col min="14594" max="14594" width="6.140625" style="415" customWidth="1"/>
    <col min="14595" max="14595" width="21.7109375" style="415" customWidth="1"/>
    <col min="14596" max="14596" width="9.28515625" style="415" customWidth="1"/>
    <col min="14597" max="14597" width="8.28515625" style="415" customWidth="1"/>
    <col min="14598" max="14598" width="7.7109375" style="415" customWidth="1"/>
    <col min="14599" max="14599" width="9.7109375" style="415" customWidth="1"/>
    <col min="14600" max="14600" width="7.28515625" style="415" customWidth="1"/>
    <col min="14601" max="14601" width="7.5703125" style="415" customWidth="1"/>
    <col min="14602" max="14602" width="7.7109375" style="415" customWidth="1"/>
    <col min="14603" max="14603" width="7" style="415" customWidth="1"/>
    <col min="14604" max="14604" width="7.7109375" style="415" customWidth="1"/>
    <col min="14605" max="14605" width="7" style="415" customWidth="1"/>
    <col min="14606" max="14848" width="11.5703125" style="415"/>
    <col min="14849" max="14849" width="11.42578125" style="415" customWidth="1"/>
    <col min="14850" max="14850" width="6.140625" style="415" customWidth="1"/>
    <col min="14851" max="14851" width="21.7109375" style="415" customWidth="1"/>
    <col min="14852" max="14852" width="9.28515625" style="415" customWidth="1"/>
    <col min="14853" max="14853" width="8.28515625" style="415" customWidth="1"/>
    <col min="14854" max="14854" width="7.7109375" style="415" customWidth="1"/>
    <col min="14855" max="14855" width="9.7109375" style="415" customWidth="1"/>
    <col min="14856" max="14856" width="7.28515625" style="415" customWidth="1"/>
    <col min="14857" max="14857" width="7.5703125" style="415" customWidth="1"/>
    <col min="14858" max="14858" width="7.7109375" style="415" customWidth="1"/>
    <col min="14859" max="14859" width="7" style="415" customWidth="1"/>
    <col min="14860" max="14860" width="7.7109375" style="415" customWidth="1"/>
    <col min="14861" max="14861" width="7" style="415" customWidth="1"/>
    <col min="14862" max="15104" width="11.5703125" style="415"/>
    <col min="15105" max="15105" width="11.42578125" style="415" customWidth="1"/>
    <col min="15106" max="15106" width="6.140625" style="415" customWidth="1"/>
    <col min="15107" max="15107" width="21.7109375" style="415" customWidth="1"/>
    <col min="15108" max="15108" width="9.28515625" style="415" customWidth="1"/>
    <col min="15109" max="15109" width="8.28515625" style="415" customWidth="1"/>
    <col min="15110" max="15110" width="7.7109375" style="415" customWidth="1"/>
    <col min="15111" max="15111" width="9.7109375" style="415" customWidth="1"/>
    <col min="15112" max="15112" width="7.28515625" style="415" customWidth="1"/>
    <col min="15113" max="15113" width="7.5703125" style="415" customWidth="1"/>
    <col min="15114" max="15114" width="7.7109375" style="415" customWidth="1"/>
    <col min="15115" max="15115" width="7" style="415" customWidth="1"/>
    <col min="15116" max="15116" width="7.7109375" style="415" customWidth="1"/>
    <col min="15117" max="15117" width="7" style="415" customWidth="1"/>
    <col min="15118" max="15360" width="11.5703125" style="415"/>
    <col min="15361" max="15361" width="11.42578125" style="415" customWidth="1"/>
    <col min="15362" max="15362" width="6.140625" style="415" customWidth="1"/>
    <col min="15363" max="15363" width="21.7109375" style="415" customWidth="1"/>
    <col min="15364" max="15364" width="9.28515625" style="415" customWidth="1"/>
    <col min="15365" max="15365" width="8.28515625" style="415" customWidth="1"/>
    <col min="15366" max="15366" width="7.7109375" style="415" customWidth="1"/>
    <col min="15367" max="15367" width="9.7109375" style="415" customWidth="1"/>
    <col min="15368" max="15368" width="7.28515625" style="415" customWidth="1"/>
    <col min="15369" max="15369" width="7.5703125" style="415" customWidth="1"/>
    <col min="15370" max="15370" width="7.7109375" style="415" customWidth="1"/>
    <col min="15371" max="15371" width="7" style="415" customWidth="1"/>
    <col min="15372" max="15372" width="7.7109375" style="415" customWidth="1"/>
    <col min="15373" max="15373" width="7" style="415" customWidth="1"/>
    <col min="15374" max="15616" width="11.5703125" style="415"/>
    <col min="15617" max="15617" width="11.42578125" style="415" customWidth="1"/>
    <col min="15618" max="15618" width="6.140625" style="415" customWidth="1"/>
    <col min="15619" max="15619" width="21.7109375" style="415" customWidth="1"/>
    <col min="15620" max="15620" width="9.28515625" style="415" customWidth="1"/>
    <col min="15621" max="15621" width="8.28515625" style="415" customWidth="1"/>
    <col min="15622" max="15622" width="7.7109375" style="415" customWidth="1"/>
    <col min="15623" max="15623" width="9.7109375" style="415" customWidth="1"/>
    <col min="15624" max="15624" width="7.28515625" style="415" customWidth="1"/>
    <col min="15625" max="15625" width="7.5703125" style="415" customWidth="1"/>
    <col min="15626" max="15626" width="7.7109375" style="415" customWidth="1"/>
    <col min="15627" max="15627" width="7" style="415" customWidth="1"/>
    <col min="15628" max="15628" width="7.7109375" style="415" customWidth="1"/>
    <col min="15629" max="15629" width="7" style="415" customWidth="1"/>
    <col min="15630" max="15872" width="11.5703125" style="415"/>
    <col min="15873" max="15873" width="11.42578125" style="415" customWidth="1"/>
    <col min="15874" max="15874" width="6.140625" style="415" customWidth="1"/>
    <col min="15875" max="15875" width="21.7109375" style="415" customWidth="1"/>
    <col min="15876" max="15876" width="9.28515625" style="415" customWidth="1"/>
    <col min="15877" max="15877" width="8.28515625" style="415" customWidth="1"/>
    <col min="15878" max="15878" width="7.7109375" style="415" customWidth="1"/>
    <col min="15879" max="15879" width="9.7109375" style="415" customWidth="1"/>
    <col min="15880" max="15880" width="7.28515625" style="415" customWidth="1"/>
    <col min="15881" max="15881" width="7.5703125" style="415" customWidth="1"/>
    <col min="15882" max="15882" width="7.7109375" style="415" customWidth="1"/>
    <col min="15883" max="15883" width="7" style="415" customWidth="1"/>
    <col min="15884" max="15884" width="7.7109375" style="415" customWidth="1"/>
    <col min="15885" max="15885" width="7" style="415" customWidth="1"/>
    <col min="15886" max="16128" width="11.5703125" style="415"/>
    <col min="16129" max="16129" width="11.42578125" style="415" customWidth="1"/>
    <col min="16130" max="16130" width="6.140625" style="415" customWidth="1"/>
    <col min="16131" max="16131" width="21.7109375" style="415" customWidth="1"/>
    <col min="16132" max="16132" width="9.28515625" style="415" customWidth="1"/>
    <col min="16133" max="16133" width="8.28515625" style="415" customWidth="1"/>
    <col min="16134" max="16134" width="7.7109375" style="415" customWidth="1"/>
    <col min="16135" max="16135" width="9.7109375" style="415" customWidth="1"/>
    <col min="16136" max="16136" width="7.28515625" style="415" customWidth="1"/>
    <col min="16137" max="16137" width="7.5703125" style="415" customWidth="1"/>
    <col min="16138" max="16138" width="7.7109375" style="415" customWidth="1"/>
    <col min="16139" max="16139" width="7" style="415" customWidth="1"/>
    <col min="16140" max="16140" width="7.7109375" style="415" customWidth="1"/>
    <col min="16141" max="16141" width="7" style="415" customWidth="1"/>
    <col min="16142" max="16384" width="11.5703125" style="415"/>
  </cols>
  <sheetData>
    <row r="1" spans="1:15" ht="26.25" customHeight="1" x14ac:dyDescent="0.4">
      <c r="A1" s="448" t="s">
        <v>534</v>
      </c>
      <c r="B1" s="449"/>
      <c r="C1" s="450"/>
      <c r="F1" s="451" t="s">
        <v>548</v>
      </c>
      <c r="G1" s="452"/>
      <c r="H1" s="452"/>
      <c r="I1" s="452"/>
      <c r="J1" s="452"/>
      <c r="K1" s="452"/>
      <c r="L1" s="453"/>
    </row>
    <row r="2" spans="1:15" ht="21" customHeight="1" x14ac:dyDescent="0.35">
      <c r="A2" s="444" t="s">
        <v>536</v>
      </c>
      <c r="B2" s="445"/>
      <c r="C2" s="416" t="s">
        <v>537</v>
      </c>
      <c r="F2" s="444" t="s">
        <v>536</v>
      </c>
      <c r="G2" s="445"/>
      <c r="H2" s="446" t="s">
        <v>549</v>
      </c>
      <c r="I2" s="446"/>
      <c r="J2" s="446"/>
      <c r="K2" s="446"/>
      <c r="L2" s="447"/>
    </row>
    <row r="3" spans="1:15" ht="21.75" customHeight="1" x14ac:dyDescent="0.35">
      <c r="A3" s="444" t="s">
        <v>538</v>
      </c>
      <c r="B3" s="445"/>
      <c r="C3" s="416" t="s">
        <v>539</v>
      </c>
      <c r="F3" s="444" t="s">
        <v>538</v>
      </c>
      <c r="G3" s="445"/>
      <c r="H3" s="446" t="s">
        <v>550</v>
      </c>
      <c r="I3" s="446"/>
      <c r="J3" s="446"/>
      <c r="K3" s="446"/>
      <c r="L3" s="447"/>
    </row>
    <row r="4" spans="1:15" ht="21.75" thickBot="1" x14ac:dyDescent="0.4">
      <c r="A4" s="454" t="s">
        <v>540</v>
      </c>
      <c r="B4" s="455"/>
      <c r="C4" s="417" t="s">
        <v>541</v>
      </c>
      <c r="F4" s="454" t="s">
        <v>540</v>
      </c>
      <c r="G4" s="455"/>
      <c r="H4" s="456" t="s">
        <v>551</v>
      </c>
      <c r="I4" s="456"/>
      <c r="J4" s="456"/>
      <c r="K4" s="456"/>
      <c r="L4" s="457"/>
    </row>
    <row r="5" spans="1:15" ht="7.5" customHeight="1" thickBot="1" x14ac:dyDescent="0.4">
      <c r="A5" s="418"/>
      <c r="C5" s="418"/>
    </row>
    <row r="6" spans="1:15" ht="35.450000000000003" customHeight="1" thickBot="1" x14ac:dyDescent="0.25">
      <c r="A6" s="458" t="s">
        <v>535</v>
      </c>
      <c r="B6" s="459"/>
      <c r="C6" s="460"/>
      <c r="F6" s="461" t="s">
        <v>542</v>
      </c>
      <c r="G6" s="462"/>
      <c r="H6" s="463"/>
      <c r="I6" s="464">
        <f ca="1">+TODAY()</f>
        <v>46099</v>
      </c>
      <c r="J6" s="465"/>
      <c r="K6" s="465"/>
      <c r="L6" s="465"/>
      <c r="M6" s="466"/>
    </row>
    <row r="7" spans="1:15" ht="3" customHeight="1" thickBot="1" x14ac:dyDescent="0.25"/>
    <row r="8" spans="1:15" ht="42.75" customHeight="1" thickBot="1" x14ac:dyDescent="0.25">
      <c r="A8" s="473" t="s">
        <v>543</v>
      </c>
      <c r="B8" s="474"/>
      <c r="C8" s="419" t="s">
        <v>567</v>
      </c>
      <c r="D8" s="420" t="s">
        <v>544</v>
      </c>
      <c r="E8" s="421">
        <v>3228</v>
      </c>
      <c r="F8" s="473" t="s">
        <v>545</v>
      </c>
      <c r="G8" s="475"/>
      <c r="H8" s="474"/>
      <c r="I8" s="476" t="s">
        <v>539</v>
      </c>
      <c r="J8" s="477"/>
      <c r="K8" s="477"/>
      <c r="L8" s="477"/>
      <c r="M8" s="478"/>
    </row>
    <row r="9" spans="1:15" ht="7.5" customHeight="1" thickBot="1" x14ac:dyDescent="0.4">
      <c r="A9" s="418"/>
      <c r="C9" s="418"/>
    </row>
    <row r="10" spans="1:15" ht="39.6" customHeight="1" thickBot="1" x14ac:dyDescent="0.25">
      <c r="A10" s="479" t="s">
        <v>552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1"/>
    </row>
    <row r="11" spans="1:15" ht="6" customHeight="1" thickBot="1" x14ac:dyDescent="0.4">
      <c r="A11" s="418"/>
      <c r="C11" s="418"/>
    </row>
    <row r="12" spans="1:15" ht="27" thickBot="1" x14ac:dyDescent="0.25">
      <c r="A12" s="482" t="s">
        <v>553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</row>
    <row r="13" spans="1:15" ht="38.25" thickBot="1" x14ac:dyDescent="0.25">
      <c r="A13" s="422" t="s">
        <v>311</v>
      </c>
      <c r="B13" s="423" t="s">
        <v>533</v>
      </c>
      <c r="C13" s="424" t="s">
        <v>554</v>
      </c>
      <c r="D13" s="425" t="s">
        <v>555</v>
      </c>
      <c r="E13" s="426" t="s">
        <v>285</v>
      </c>
      <c r="F13" s="426" t="s">
        <v>556</v>
      </c>
      <c r="G13" s="423" t="s">
        <v>557</v>
      </c>
      <c r="H13" s="423" t="s">
        <v>558</v>
      </c>
      <c r="I13" s="423" t="s">
        <v>559</v>
      </c>
      <c r="J13" s="423" t="s">
        <v>558</v>
      </c>
      <c r="K13" s="423" t="s">
        <v>559</v>
      </c>
      <c r="L13" s="423" t="s">
        <v>558</v>
      </c>
      <c r="M13" s="423" t="s">
        <v>559</v>
      </c>
    </row>
    <row r="14" spans="1:15" ht="33.6" customHeight="1" x14ac:dyDescent="0.2">
      <c r="A14" s="467" cm="1">
        <f t="array" ref="A14">+IFERROR(INDEX('Conteo 18-02-26'!$B:$B,MATCH(1,('Conteo 18-02-26'!$E:$E=$B14)*('Conteo 18-02-26'!$A:$A="Casa Landau"),0)),"")</f>
        <v>1130500</v>
      </c>
      <c r="B14" s="469">
        <v>1</v>
      </c>
      <c r="C14" s="471" t="str" cm="1">
        <f t="array" ref="C14">+IFERROR(INDEX('Conteo 18-02-26'!$C:$C,MATCH(1,('Conteo 18-02-26'!$E:$E=$B14)*('Conteo 18-02-26'!$A:$A="Casa Landau"),0)),"")</f>
        <v>Aro p/Llavero Grande</v>
      </c>
      <c r="D14" s="471" cm="1">
        <f t="array" ref="D14">+IFERROR(INDEX('Conteo 18-02-26'!$D:$D,MATCH(1,('Conteo 18-02-26'!$E:$E=$B14)*('Conteo 18-02-26'!A:A:'Conteo 18-02-26'!$A:$A="Casa Landau"),0)),"")</f>
        <v>1000</v>
      </c>
      <c r="E14" s="427" t="str">
        <f>+IF(E13="LK","CH",IF(D14="","",IF(D14&gt;0,"LK","CH")))</f>
        <v>LK</v>
      </c>
      <c r="F14" s="427">
        <f>+IF(OR(E14="LK"),ROUNDUP(D14*(VLOOKUP(B14,'Conteo 18-02-26'!$E:$AN,35,0))/100,0),IF(E14="CH",D13-F13,""))</f>
        <v>700</v>
      </c>
      <c r="G14" s="469"/>
      <c r="H14" s="428"/>
      <c r="I14" s="429"/>
      <c r="J14" s="428"/>
      <c r="K14" s="429"/>
      <c r="L14" s="428"/>
      <c r="M14" s="430"/>
      <c r="O14" s="431"/>
    </row>
    <row r="15" spans="1:15" ht="33.6" customHeight="1" x14ac:dyDescent="0.2">
      <c r="A15" s="468"/>
      <c r="B15" s="470"/>
      <c r="C15" s="472"/>
      <c r="D15" s="472"/>
      <c r="E15" s="427" t="str">
        <f t="shared" ref="E15:E43" si="0">+IF(E14="LK","CH",IF(D15="","",IF(D15&gt;0,"LK","CH")))</f>
        <v>CH</v>
      </c>
      <c r="F15" s="432">
        <f>+IF(OR(E15="LK"),ROUNDUP(D15*(VLOOKUP(B15,'Conteo 18-02-26'!$E:$AN,35,0))/100,0),IF(E15="CH",D14-F14,""))</f>
        <v>300</v>
      </c>
      <c r="G15" s="470"/>
      <c r="H15" s="433"/>
      <c r="I15" s="434"/>
      <c r="J15" s="433"/>
      <c r="K15" s="434"/>
      <c r="L15" s="433"/>
      <c r="M15" s="435"/>
    </row>
    <row r="16" spans="1:15" ht="33.6" customHeight="1" x14ac:dyDescent="0.2">
      <c r="A16" s="485" t="str" cm="1">
        <f t="array" ref="A16">+IFERROR(INDEX('Conteo 18-02-26'!$B:$B,MATCH(1,('Conteo 18-02-26'!$E:$E=$B16)*('Conteo 18-02-26'!$A:$A="Casa Landau"),0)),"")</f>
        <v/>
      </c>
      <c r="B16" s="470">
        <f>+B14+1</f>
        <v>2</v>
      </c>
      <c r="C16" s="472" t="str" cm="1">
        <f t="array" ref="C16">+IFERROR(INDEX('Conteo 18-02-26'!$C:$C,MATCH(1,('Conteo 18-02-26'!$E:$E=$B16)*('Conteo 18-02-26'!$A:$A="Casa Landau"),0)),"")</f>
        <v/>
      </c>
      <c r="D16" s="470" t="str" cm="1">
        <f t="array" ref="D16">+IFERROR(INDEX('Conteo 18-02-26'!$D:$D,MATCH(1,('Conteo 18-02-26'!$E:$E=$B16)*('Conteo 18-02-26'!A:A:'Conteo 18-02-26'!$A:$A="Casa Landau"),0)),"")</f>
        <v/>
      </c>
      <c r="E16" s="427" t="str">
        <f t="shared" si="0"/>
        <v/>
      </c>
      <c r="F16" s="432" t="str">
        <f>+IF(OR(E16="LK"),ROUNDUP(D16*(VLOOKUP(B16,'Conteo 18-02-26'!$E:$AN,35,0))/100,0),IF(E16="CH",D15-F15,""))</f>
        <v/>
      </c>
      <c r="G16" s="470"/>
      <c r="H16" s="434"/>
      <c r="I16" s="434"/>
      <c r="J16" s="434"/>
      <c r="K16" s="434"/>
      <c r="L16" s="434"/>
      <c r="M16" s="435"/>
    </row>
    <row r="17" spans="1:13" ht="33.6" customHeight="1" x14ac:dyDescent="0.2">
      <c r="A17" s="485"/>
      <c r="B17" s="470"/>
      <c r="C17" s="472"/>
      <c r="D17" s="470"/>
      <c r="E17" s="427" t="str">
        <f t="shared" si="0"/>
        <v/>
      </c>
      <c r="F17" s="432" t="str">
        <f>+IF(OR(E17="LK"),ROUNDUP(D17*(VLOOKUP(B17,'Conteo 18-02-26'!$E:$AN,35,0))/100,0),IF(E17="CH",D16-F16,""))</f>
        <v/>
      </c>
      <c r="G17" s="470"/>
      <c r="H17" s="434"/>
      <c r="I17" s="434"/>
      <c r="J17" s="434"/>
      <c r="K17" s="434"/>
      <c r="L17" s="434"/>
      <c r="M17" s="435"/>
    </row>
    <row r="18" spans="1:13" ht="33.6" customHeight="1" x14ac:dyDescent="0.2">
      <c r="A18" s="485" t="str" cm="1">
        <f t="array" ref="A18">+IFERROR(INDEX('Conteo 18-02-26'!$B:$B,MATCH(1,('Conteo 18-02-26'!$E:$E=$B18)*('Conteo 18-02-26'!$A:$A="Casa Landau"),0)),"")</f>
        <v/>
      </c>
      <c r="B18" s="470">
        <f>+B16+1</f>
        <v>3</v>
      </c>
      <c r="C18" s="472" t="str" cm="1">
        <f t="array" ref="C18">+IFERROR(INDEX('Conteo 18-02-26'!$C:$C,MATCH(1,('Conteo 18-02-26'!$E:$E=$B18)*('Conteo 18-02-26'!$A:$A="Casa Landau"),0)),"")</f>
        <v/>
      </c>
      <c r="D18" s="470" t="str" cm="1">
        <f t="array" ref="D18">+IFERROR(INDEX('Conteo 18-02-26'!$D:$D,MATCH(1,('Conteo 18-02-26'!$E:$E=$B18)*('Conteo 18-02-26'!A:A:'Conteo 18-02-26'!$A:$A="Casa Landau"),0)),"")</f>
        <v/>
      </c>
      <c r="E18" s="427" t="str">
        <f t="shared" si="0"/>
        <v/>
      </c>
      <c r="F18" s="432" t="str">
        <f>+IF(OR(E18="LK"),ROUNDUP(D18*(VLOOKUP(B18,'Conteo 18-02-26'!$E:$AN,35,0))/100,0),IF(E18="CH",D17-F17,""))</f>
        <v/>
      </c>
      <c r="G18" s="470"/>
      <c r="H18" s="434"/>
      <c r="I18" s="434"/>
      <c r="J18" s="434"/>
      <c r="K18" s="434"/>
      <c r="L18" s="434"/>
      <c r="M18" s="435"/>
    </row>
    <row r="19" spans="1:13" ht="33.6" customHeight="1" x14ac:dyDescent="0.2">
      <c r="A19" s="485"/>
      <c r="B19" s="470"/>
      <c r="C19" s="472"/>
      <c r="D19" s="470"/>
      <c r="E19" s="427" t="str">
        <f t="shared" si="0"/>
        <v/>
      </c>
      <c r="F19" s="432" t="str">
        <f>+IF(OR(E19="LK"),ROUNDUP(D19*(VLOOKUP(B19,'Conteo 18-02-26'!$E:$AN,35,0))/100,0),IF(E19="CH",D18-F18,""))</f>
        <v/>
      </c>
      <c r="G19" s="470"/>
      <c r="H19" s="434"/>
      <c r="I19" s="434"/>
      <c r="J19" s="434"/>
      <c r="K19" s="434"/>
      <c r="L19" s="434"/>
      <c r="M19" s="435"/>
    </row>
    <row r="20" spans="1:13" ht="33.6" customHeight="1" x14ac:dyDescent="0.2">
      <c r="A20" s="485" t="str" cm="1">
        <f t="array" ref="A20">+IFERROR(INDEX('Conteo 18-02-26'!$B:$B,MATCH(1,('Conteo 18-02-26'!$E:$E=$B20)*('Conteo 18-02-26'!$A:$A="Casa Landau"),0)),"")</f>
        <v/>
      </c>
      <c r="B20" s="470">
        <f>+B18+1</f>
        <v>4</v>
      </c>
      <c r="C20" s="472" t="str" cm="1">
        <f t="array" ref="C20">+IFERROR(INDEX('Conteo 18-02-26'!$C:$C,MATCH(1,('Conteo 18-02-26'!$E:$E=$B20)*('Conteo 18-02-26'!$A:$A="Casa Landau"),0)),"")</f>
        <v/>
      </c>
      <c r="D20" s="470" t="str" cm="1">
        <f t="array" ref="D20">+IFERROR(INDEX('Conteo 18-02-26'!$D:$D,MATCH(1,('Conteo 18-02-26'!$E:$E=$B20)*('Conteo 18-02-26'!A:A:'Conteo 18-02-26'!$A:$A="Casa Landau"),0)),"")</f>
        <v/>
      </c>
      <c r="E20" s="427" t="str">
        <f t="shared" si="0"/>
        <v/>
      </c>
      <c r="F20" s="432" t="str">
        <f>+IF(OR(E20="LK"),ROUNDUP(D20*(VLOOKUP(B20,'Conteo 18-02-26'!$E:$AN,35,0))/100,0),IF(E20="CH",D19-F19,""))</f>
        <v/>
      </c>
      <c r="G20" s="470"/>
      <c r="H20" s="434"/>
      <c r="I20" s="434"/>
      <c r="J20" s="434"/>
      <c r="K20" s="434"/>
      <c r="L20" s="434"/>
      <c r="M20" s="435"/>
    </row>
    <row r="21" spans="1:13" ht="33.6" customHeight="1" x14ac:dyDescent="0.2">
      <c r="A21" s="485"/>
      <c r="B21" s="470"/>
      <c r="C21" s="472"/>
      <c r="D21" s="470"/>
      <c r="E21" s="427" t="str">
        <f t="shared" si="0"/>
        <v/>
      </c>
      <c r="F21" s="432" t="str">
        <f>+IF(OR(E21="LK"),ROUNDUP(D21*(VLOOKUP(B21,'Conteo 18-02-26'!$E:$AN,35,0))/100,0),IF(E21="CH",D20-F20,""))</f>
        <v/>
      </c>
      <c r="G21" s="470"/>
      <c r="H21" s="434"/>
      <c r="I21" s="434"/>
      <c r="J21" s="434"/>
      <c r="K21" s="434"/>
      <c r="L21" s="434"/>
      <c r="M21" s="435"/>
    </row>
    <row r="22" spans="1:13" ht="33.6" customHeight="1" x14ac:dyDescent="0.2">
      <c r="A22" s="485" t="str" cm="1">
        <f t="array" ref="A22">+IFERROR(INDEX('Conteo 18-02-26'!$B:$B,MATCH(1,('Conteo 18-02-26'!$E:$E=$B22)*('Conteo 18-02-26'!$A:$A="Casa Landau"),0)),"")</f>
        <v/>
      </c>
      <c r="B22" s="470">
        <f>+B20+1</f>
        <v>5</v>
      </c>
      <c r="C22" s="472" t="str" cm="1">
        <f t="array" ref="C22">+IFERROR(INDEX('Conteo 18-02-26'!$C:$C,MATCH(1,('Conteo 18-02-26'!$E:$E=$B22)*('Conteo 18-02-26'!$A:$A="Casa Landau"),0)),"")</f>
        <v/>
      </c>
      <c r="D22" s="470" t="str" cm="1">
        <f t="array" ref="D22">+IFERROR(INDEX('Conteo 18-02-26'!$D:$D,MATCH(1,('Conteo 18-02-26'!$E:$E=$B22)*('Conteo 18-02-26'!A:A:'Conteo 18-02-26'!$A:$A="Casa Landau"),0)),"")</f>
        <v/>
      </c>
      <c r="E22" s="427" t="str">
        <f t="shared" si="0"/>
        <v/>
      </c>
      <c r="F22" s="432" t="str">
        <f>+IF(OR(E22="LK"),ROUNDUP(D22*(VLOOKUP(B22,'Conteo 18-02-26'!$E:$AN,35,0))/100,0),IF(E22="CH",D21-F21,""))</f>
        <v/>
      </c>
      <c r="G22" s="470"/>
      <c r="H22" s="434"/>
      <c r="I22" s="434"/>
      <c r="J22" s="434"/>
      <c r="K22" s="434"/>
      <c r="L22" s="434"/>
      <c r="M22" s="435"/>
    </row>
    <row r="23" spans="1:13" ht="33.6" customHeight="1" x14ac:dyDescent="0.2">
      <c r="A23" s="485"/>
      <c r="B23" s="470"/>
      <c r="C23" s="472"/>
      <c r="D23" s="470"/>
      <c r="E23" s="427" t="str">
        <f t="shared" si="0"/>
        <v/>
      </c>
      <c r="F23" s="432" t="str">
        <f>+IF(OR(E23="LK"),ROUNDUP(D23*(VLOOKUP(B23,'Conteo 18-02-26'!$E:$AN,35,0))/100,0),IF(E23="CH",D22-F22,""))</f>
        <v/>
      </c>
      <c r="G23" s="470"/>
      <c r="H23" s="434"/>
      <c r="I23" s="434"/>
      <c r="J23" s="434"/>
      <c r="K23" s="434"/>
      <c r="L23" s="434"/>
      <c r="M23" s="435"/>
    </row>
    <row r="24" spans="1:13" ht="33.6" customHeight="1" x14ac:dyDescent="0.2">
      <c r="A24" s="485" t="str" cm="1">
        <f t="array" ref="A24">+IFERROR(INDEX('Conteo 18-02-26'!$B:$B,MATCH(1,('Conteo 18-02-26'!$E:$E=$B24)*('Conteo 18-02-26'!$A:$A="Casa Landau"),0)),"")</f>
        <v/>
      </c>
      <c r="B24" s="470">
        <f>+B22+1</f>
        <v>6</v>
      </c>
      <c r="C24" s="472" t="str" cm="1">
        <f t="array" ref="C24">+IFERROR(INDEX('Conteo 18-02-26'!$C:$C,MATCH(1,('Conteo 18-02-26'!$E:$E=$B24)*('Conteo 18-02-26'!$A:$A="Casa Landau"),0)),"")</f>
        <v/>
      </c>
      <c r="D24" s="470" t="str" cm="1">
        <f t="array" ref="D24">+IFERROR(INDEX('Conteo 18-02-26'!$D:$D,MATCH(1,('Conteo 18-02-26'!$E:$E=$B24)*('Conteo 18-02-26'!A:A:'Conteo 18-02-26'!$A:$A="Casa Landau"),0)),"")</f>
        <v/>
      </c>
      <c r="E24" s="427" t="str">
        <f t="shared" si="0"/>
        <v/>
      </c>
      <c r="F24" s="432" t="str">
        <f>+IF(OR(E24="LK"),ROUNDUP(D24*(VLOOKUP(B24,'Conteo 18-02-26'!$E:$AN,35,0))/100,0),IF(E24="CH",D23-F23,""))</f>
        <v/>
      </c>
      <c r="G24" s="470"/>
      <c r="H24" s="434"/>
      <c r="I24" s="434"/>
      <c r="J24" s="434"/>
      <c r="K24" s="434"/>
      <c r="L24" s="434"/>
      <c r="M24" s="435"/>
    </row>
    <row r="25" spans="1:13" ht="33.6" customHeight="1" x14ac:dyDescent="0.2">
      <c r="A25" s="485"/>
      <c r="B25" s="470"/>
      <c r="C25" s="472"/>
      <c r="D25" s="470"/>
      <c r="E25" s="427" t="str">
        <f t="shared" si="0"/>
        <v/>
      </c>
      <c r="F25" s="432" t="str">
        <f>+IF(OR(E25="LK"),ROUNDUP(D25*(VLOOKUP(B25,'Conteo 18-02-26'!$E:$AN,35,0))/100,0),IF(E25="CH",D24-F24,""))</f>
        <v/>
      </c>
      <c r="G25" s="470"/>
      <c r="H25" s="434"/>
      <c r="I25" s="434"/>
      <c r="J25" s="434"/>
      <c r="K25" s="434"/>
      <c r="L25" s="434"/>
      <c r="M25" s="435"/>
    </row>
    <row r="26" spans="1:13" ht="33.6" customHeight="1" x14ac:dyDescent="0.2">
      <c r="A26" s="485" t="str" cm="1">
        <f t="array" ref="A26">+IFERROR(INDEX('Conteo 18-02-26'!$B:$B,MATCH(1,('Conteo 18-02-26'!$E:$E=$B26)*('Conteo 18-02-26'!$A:$A="Casa Landau"),0)),"")</f>
        <v/>
      </c>
      <c r="B26" s="470">
        <f>+B24+1</f>
        <v>7</v>
      </c>
      <c r="C26" s="472" t="str" cm="1">
        <f t="array" ref="C26">+IFERROR(INDEX('Conteo 18-02-26'!$C:$C,MATCH(1,('Conteo 18-02-26'!$E:$E=$B26)*('Conteo 18-02-26'!$A:$A="Casa Landau"),0)),"")</f>
        <v/>
      </c>
      <c r="D26" s="470" t="str" cm="1">
        <f t="array" ref="D26">+IFERROR(INDEX('Conteo 18-02-26'!$D:$D,MATCH(1,('Conteo 18-02-26'!$E:$E=$B26)*('Conteo 18-02-26'!A:A:'Conteo 18-02-26'!$A:$A="Casa Landau"),0)),"")</f>
        <v/>
      </c>
      <c r="E26" s="427" t="str">
        <f t="shared" si="0"/>
        <v/>
      </c>
      <c r="F26" s="432" t="str">
        <f>+IF(OR(E26="LK"),ROUNDUP(D26*(VLOOKUP(B26,'Conteo 18-02-26'!$E:$AN,35,0))/100,0),IF(E26="CH",D25-F25,""))</f>
        <v/>
      </c>
      <c r="G26" s="470"/>
      <c r="H26" s="434"/>
      <c r="I26" s="434"/>
      <c r="J26" s="434"/>
      <c r="K26" s="434"/>
      <c r="L26" s="434"/>
      <c r="M26" s="435"/>
    </row>
    <row r="27" spans="1:13" ht="33.6" customHeight="1" x14ac:dyDescent="0.2">
      <c r="A27" s="485"/>
      <c r="B27" s="470"/>
      <c r="C27" s="472"/>
      <c r="D27" s="470"/>
      <c r="E27" s="427" t="str">
        <f t="shared" si="0"/>
        <v/>
      </c>
      <c r="F27" s="432" t="str">
        <f>+IF(OR(E27="LK"),ROUNDUP(D27*(VLOOKUP(B27,'Conteo 18-02-26'!$E:$AN,35,0))/100,0),IF(E27="CH",D26-F26,""))</f>
        <v/>
      </c>
      <c r="G27" s="470"/>
      <c r="H27" s="434"/>
      <c r="I27" s="434"/>
      <c r="J27" s="434"/>
      <c r="K27" s="434"/>
      <c r="L27" s="434"/>
      <c r="M27" s="435"/>
    </row>
    <row r="28" spans="1:13" ht="33.6" customHeight="1" x14ac:dyDescent="0.2">
      <c r="A28" s="485" t="str" cm="1">
        <f t="array" ref="A28">+IFERROR(INDEX('Conteo 18-02-26'!$B:$B,MATCH(1,('Conteo 18-02-26'!$E:$E=$B28)*('Conteo 18-02-26'!$A:$A="Casa Landau"),0)),"")</f>
        <v/>
      </c>
      <c r="B28" s="470">
        <f>+B26+1</f>
        <v>8</v>
      </c>
      <c r="C28" s="472" t="str" cm="1">
        <f t="array" ref="C28">+IFERROR(INDEX('Conteo 18-02-26'!$C:$C,MATCH(1,('Conteo 18-02-26'!$E:$E=$B28)*('Conteo 18-02-26'!$A:$A="Casa Landau"),0)),"")</f>
        <v/>
      </c>
      <c r="D28" s="470" t="str" cm="1">
        <f t="array" ref="D28">+IFERROR(INDEX('Conteo 18-02-26'!$D:$D,MATCH(1,('Conteo 18-02-26'!$E:$E=$B28)*('Conteo 18-02-26'!A:A:'Conteo 18-02-26'!$A:$A="Casa Landau"),0)),"")</f>
        <v/>
      </c>
      <c r="E28" s="427" t="str">
        <f t="shared" si="0"/>
        <v/>
      </c>
      <c r="F28" s="432" t="str">
        <f>+IF(OR(E28="LK"),ROUNDUP(D28*(VLOOKUP(B28,'Conteo 18-02-26'!$E:$AN,35,0))/100,0),IF(E28="CH",D27-F27,""))</f>
        <v/>
      </c>
      <c r="G28" s="470"/>
      <c r="H28" s="434"/>
      <c r="I28" s="434"/>
      <c r="J28" s="434"/>
      <c r="K28" s="434"/>
      <c r="L28" s="434"/>
      <c r="M28" s="435"/>
    </row>
    <row r="29" spans="1:13" ht="33.6" customHeight="1" x14ac:dyDescent="0.2">
      <c r="A29" s="485"/>
      <c r="B29" s="470"/>
      <c r="C29" s="472"/>
      <c r="D29" s="470"/>
      <c r="E29" s="427" t="str">
        <f t="shared" si="0"/>
        <v/>
      </c>
      <c r="F29" s="432" t="str">
        <f>+IF(OR(E29="LK"),ROUNDUP(D29*(VLOOKUP(B29,'Conteo 18-02-26'!$E:$AN,35,0))/100,0),IF(E29="CH",D28-F28,""))</f>
        <v/>
      </c>
      <c r="G29" s="470"/>
      <c r="H29" s="434"/>
      <c r="I29" s="434"/>
      <c r="J29" s="434"/>
      <c r="K29" s="434"/>
      <c r="L29" s="434"/>
      <c r="M29" s="435"/>
    </row>
    <row r="30" spans="1:13" ht="33.6" customHeight="1" x14ac:dyDescent="0.2">
      <c r="A30" s="485" t="str" cm="1">
        <f t="array" ref="A30">+IFERROR(INDEX('Conteo 18-02-26'!$B:$B,MATCH(1,('Conteo 18-02-26'!$E:$E=$B30)*('Conteo 18-02-26'!$A:$A="Casa Landau"),0)),"")</f>
        <v/>
      </c>
      <c r="B30" s="470">
        <f>+B28+1</f>
        <v>9</v>
      </c>
      <c r="C30" s="472" t="str" cm="1">
        <f t="array" ref="C30">+IFERROR(INDEX('Conteo 18-02-26'!$C:$C,MATCH(1,('Conteo 18-02-26'!$E:$E=$B30)*('Conteo 18-02-26'!$A:$A="Casa Landau"),0)),"")</f>
        <v/>
      </c>
      <c r="D30" s="470" t="str" cm="1">
        <f t="array" ref="D30">+IFERROR(INDEX('Conteo 18-02-26'!$D:$D,MATCH(1,('Conteo 18-02-26'!$E:$E=$B30)*('Conteo 18-02-26'!A:A:'Conteo 18-02-26'!$A:$A="Casa Landau"),0)),"")</f>
        <v/>
      </c>
      <c r="E30" s="427" t="str">
        <f t="shared" si="0"/>
        <v/>
      </c>
      <c r="F30" s="432" t="str">
        <f>+IF(OR(E30="LK"),ROUNDUP(D30*(VLOOKUP(B30,'Conteo 18-02-26'!$E:$AN,35,0))/100,0),IF(E30="CH",D29-F29,""))</f>
        <v/>
      </c>
      <c r="G30" s="470"/>
      <c r="H30" s="434"/>
      <c r="I30" s="434"/>
      <c r="J30" s="434"/>
      <c r="K30" s="434"/>
      <c r="L30" s="434"/>
      <c r="M30" s="435"/>
    </row>
    <row r="31" spans="1:13" ht="33.6" customHeight="1" x14ac:dyDescent="0.2">
      <c r="A31" s="485"/>
      <c r="B31" s="470"/>
      <c r="C31" s="472"/>
      <c r="D31" s="470"/>
      <c r="E31" s="427" t="str">
        <f t="shared" si="0"/>
        <v/>
      </c>
      <c r="F31" s="432" t="str">
        <f>+IF(OR(E31="LK"),ROUNDUP(D31*(VLOOKUP(B31,'Conteo 18-02-26'!$E:$AN,35,0))/100,0),IF(E31="CH",D30-F30,""))</f>
        <v/>
      </c>
      <c r="G31" s="470"/>
      <c r="H31" s="434"/>
      <c r="I31" s="434"/>
      <c r="J31" s="434"/>
      <c r="K31" s="434"/>
      <c r="L31" s="434"/>
      <c r="M31" s="435"/>
    </row>
    <row r="32" spans="1:13" ht="33.6" customHeight="1" x14ac:dyDescent="0.2">
      <c r="A32" s="485" t="str" cm="1">
        <f t="array" ref="A32">+IFERROR(INDEX('Conteo 18-02-26'!$B:$B,MATCH(1,('Conteo 18-02-26'!$E:$E=$B32)*('Conteo 18-02-26'!$A:$A="Casa Landau"),0)),"")</f>
        <v/>
      </c>
      <c r="B32" s="470">
        <f>+B30+1</f>
        <v>10</v>
      </c>
      <c r="C32" s="472" t="str" cm="1">
        <f t="array" ref="C32">+IFERROR(INDEX('Conteo 18-02-26'!$C:$C,MATCH(1,('Conteo 18-02-26'!$E:$E=$B32)*('Conteo 18-02-26'!$A:$A="Casa Landau"),0)),"")</f>
        <v/>
      </c>
      <c r="D32" s="470" t="str" cm="1">
        <f t="array" ref="D32">+IFERROR(INDEX('Conteo 18-02-26'!$D:$D,MATCH(1,('Conteo 18-02-26'!$E:$E=$B32)*('Conteo 18-02-26'!A:A:'Conteo 18-02-26'!$A:$A="Casa Landau"),0)),"")</f>
        <v/>
      </c>
      <c r="E32" s="427" t="str">
        <f t="shared" si="0"/>
        <v/>
      </c>
      <c r="F32" s="432" t="str">
        <f>+IF(OR(E32="LK"),ROUNDUP(D32*(VLOOKUP(B32,'Conteo 18-02-26'!$E:$AN,35,0))/100,0),IF(E32="CH",D31-F31,""))</f>
        <v/>
      </c>
      <c r="G32" s="470"/>
      <c r="H32" s="434"/>
      <c r="I32" s="434"/>
      <c r="J32" s="434"/>
      <c r="K32" s="434"/>
      <c r="L32" s="434"/>
      <c r="M32" s="435"/>
    </row>
    <row r="33" spans="1:13" ht="33.6" customHeight="1" x14ac:dyDescent="0.2">
      <c r="A33" s="485"/>
      <c r="B33" s="470"/>
      <c r="C33" s="472"/>
      <c r="D33" s="470"/>
      <c r="E33" s="427" t="str">
        <f t="shared" si="0"/>
        <v/>
      </c>
      <c r="F33" s="432" t="str">
        <f>+IF(OR(E33="LK"),ROUNDUP(D33*(VLOOKUP(B33,'Conteo 18-02-26'!$E:$AN,35,0))/100,0),IF(E33="CH",D32-F32,""))</f>
        <v/>
      </c>
      <c r="G33" s="470"/>
      <c r="H33" s="434"/>
      <c r="I33" s="434"/>
      <c r="J33" s="434"/>
      <c r="K33" s="434"/>
      <c r="L33" s="434"/>
      <c r="M33" s="435"/>
    </row>
    <row r="34" spans="1:13" ht="33.6" customHeight="1" x14ac:dyDescent="0.2">
      <c r="A34" s="485" t="str" cm="1">
        <f t="array" ref="A34">+IFERROR(INDEX('Conteo 18-02-26'!$B:$B,MATCH(1,('Conteo 18-02-26'!$E:$E=$B34)*('Conteo 18-02-26'!$A:$A="Casa Landau"),0)),"")</f>
        <v/>
      </c>
      <c r="B34" s="470">
        <f>+B32+1</f>
        <v>11</v>
      </c>
      <c r="C34" s="472" t="str" cm="1">
        <f t="array" ref="C34">+IFERROR(INDEX('Conteo 18-02-26'!$C:$C,MATCH(1,('Conteo 18-02-26'!$E:$E=$B34)*('Conteo 18-02-26'!$A:$A="Casa Landau"),0)),"")</f>
        <v/>
      </c>
      <c r="D34" s="470" t="str" cm="1">
        <f t="array" ref="D34">+IFERROR(INDEX('Conteo 18-02-26'!$D:$D,MATCH(1,('Conteo 18-02-26'!$E:$E=$B34)*('Conteo 18-02-26'!A:A:'Conteo 18-02-26'!$A:$A="Casa Landau"),0)),"")</f>
        <v/>
      </c>
      <c r="E34" s="427" t="str">
        <f t="shared" si="0"/>
        <v/>
      </c>
      <c r="F34" s="432" t="str">
        <f>+IF(OR(E34="LK"),ROUNDUP(D34*(VLOOKUP(B34,'Conteo 18-02-26'!$E:$AN,35,0))/100,0),IF(E34="CH",D33-F33,""))</f>
        <v/>
      </c>
      <c r="G34" s="470"/>
      <c r="H34" s="434"/>
      <c r="I34" s="434"/>
      <c r="J34" s="434"/>
      <c r="K34" s="434"/>
      <c r="L34" s="434"/>
      <c r="M34" s="435"/>
    </row>
    <row r="35" spans="1:13" ht="33.6" customHeight="1" thickBot="1" x14ac:dyDescent="0.25">
      <c r="A35" s="486"/>
      <c r="B35" s="487"/>
      <c r="C35" s="488"/>
      <c r="D35" s="487"/>
      <c r="E35" s="427" t="str">
        <f t="shared" si="0"/>
        <v/>
      </c>
      <c r="F35" s="432" t="str">
        <f>+IF(OR(E35="LK"),ROUNDUP(D35*(VLOOKUP(B35,'Conteo 18-02-26'!$E:$AN,35,0))/100,0),IF(E35="CH",D34-F34,""))</f>
        <v/>
      </c>
      <c r="G35" s="487"/>
      <c r="H35" s="436"/>
      <c r="I35" s="436"/>
      <c r="J35" s="436"/>
      <c r="K35" s="436"/>
      <c r="L35" s="436"/>
      <c r="M35" s="437"/>
    </row>
    <row r="36" spans="1:13" ht="33.6" customHeight="1" x14ac:dyDescent="0.2">
      <c r="A36" s="490" t="str" cm="1">
        <f t="array" ref="A36">+IFERROR(INDEX('Conteo 18-02-26'!$B:$B,MATCH(1,('Conteo 18-02-26'!$E:$E=$B36)*('Conteo 18-02-26'!$A:$A="Casa Landau"),0)),"")</f>
        <v/>
      </c>
      <c r="B36" s="491">
        <f>+B34+1</f>
        <v>12</v>
      </c>
      <c r="C36" s="492" t="str" cm="1">
        <f t="array" ref="C36">+IFERROR(INDEX('Conteo 18-02-26'!$C:$C,MATCH(1,('Conteo 18-02-26'!$E:$E=$B36)*('Conteo 18-02-26'!$A:$A="Casa Landau"),0)),"")</f>
        <v/>
      </c>
      <c r="D36" s="491" t="str" cm="1">
        <f t="array" ref="D36">+IFERROR(INDEX('Conteo 18-02-26'!$D:$D,MATCH(1,('Conteo 18-02-26'!$E:$E=$B36)*('Conteo 18-02-26'!A:A:'Conteo 18-02-26'!$A:$A="Casa Landau"),0)),"")</f>
        <v/>
      </c>
      <c r="E36" s="427" t="str">
        <f t="shared" si="0"/>
        <v/>
      </c>
      <c r="F36" s="432" t="str">
        <f>+IF(OR(E36="LK"),ROUNDUP(D36*(VLOOKUP(B36,'Conteo 18-02-26'!$E:$AN,35,0))/100,0),IF(E36="CH",D35-F35,""))</f>
        <v/>
      </c>
      <c r="G36" s="491"/>
      <c r="H36" s="438"/>
      <c r="I36" s="438"/>
      <c r="J36" s="438"/>
      <c r="K36" s="438"/>
      <c r="L36" s="438"/>
      <c r="M36" s="438"/>
    </row>
    <row r="37" spans="1:13" ht="33.6" customHeight="1" x14ac:dyDescent="0.2">
      <c r="A37" s="489"/>
      <c r="B37" s="470"/>
      <c r="C37" s="472"/>
      <c r="D37" s="470"/>
      <c r="E37" s="427" t="str">
        <f t="shared" si="0"/>
        <v/>
      </c>
      <c r="F37" s="432" t="str">
        <f>+IF(OR(E37="LK"),ROUNDUP(D37*(VLOOKUP(B37,'Conteo 18-02-26'!$E:$AN,35,0))/100,0),IF(E37="CH",D36-F36,""))</f>
        <v/>
      </c>
      <c r="G37" s="470"/>
      <c r="H37" s="434"/>
      <c r="I37" s="434"/>
      <c r="J37" s="434"/>
      <c r="K37" s="434"/>
      <c r="L37" s="434"/>
      <c r="M37" s="434"/>
    </row>
    <row r="38" spans="1:13" ht="33.6" customHeight="1" x14ac:dyDescent="0.2">
      <c r="A38" s="489" t="str" cm="1">
        <f t="array" ref="A38">+IFERROR(INDEX('Conteo 18-02-26'!$B:$B,MATCH(1,('Conteo 18-02-26'!$E:$E=$B38)*('Conteo 18-02-26'!$A:$A="Casa Landau"),0)),"")</f>
        <v/>
      </c>
      <c r="B38" s="470">
        <f>+B36+1</f>
        <v>13</v>
      </c>
      <c r="C38" s="472" t="str" cm="1">
        <f t="array" ref="C38">+IFERROR(INDEX('Conteo 18-02-26'!$C:$C,MATCH(1,('Conteo 18-02-26'!$E:$E=$B38)*('Conteo 18-02-26'!$A:$A="Casa Landau"),0)),"")</f>
        <v/>
      </c>
      <c r="D38" s="470" t="str" cm="1">
        <f t="array" ref="D38">+IFERROR(INDEX('Conteo 18-02-26'!$D:$D,MATCH(1,('Conteo 18-02-26'!$E:$E=$B38)*('Conteo 18-02-26'!A:A:'Conteo 18-02-26'!$A:$A="Casa Landau"),0)),"")</f>
        <v/>
      </c>
      <c r="E38" s="427" t="str">
        <f t="shared" si="0"/>
        <v/>
      </c>
      <c r="F38" s="432" t="str">
        <f>+IF(OR(E38="LK"),ROUNDUP(D38*(VLOOKUP(B38,'Conteo 18-02-26'!$E:$AN,35,0))/100,0),IF(E38="CH",D37-F37,""))</f>
        <v/>
      </c>
      <c r="G38" s="470"/>
      <c r="H38" s="434"/>
      <c r="I38" s="434"/>
      <c r="J38" s="434"/>
      <c r="K38" s="434"/>
      <c r="L38" s="434"/>
      <c r="M38" s="434"/>
    </row>
    <row r="39" spans="1:13" ht="33.6" customHeight="1" x14ac:dyDescent="0.2">
      <c r="A39" s="489"/>
      <c r="B39" s="470"/>
      <c r="C39" s="472"/>
      <c r="D39" s="470"/>
      <c r="E39" s="427" t="str">
        <f t="shared" si="0"/>
        <v/>
      </c>
      <c r="F39" s="432" t="str">
        <f>+IF(OR(E39="LK"),ROUNDUP(D39*(VLOOKUP(B39,'Conteo 18-02-26'!$E:$AN,35,0))/100,0),IF(E39="CH",D38-F38,""))</f>
        <v/>
      </c>
      <c r="G39" s="470"/>
      <c r="H39" s="434"/>
      <c r="I39" s="434"/>
      <c r="J39" s="434"/>
      <c r="K39" s="434"/>
      <c r="L39" s="434"/>
      <c r="M39" s="434"/>
    </row>
    <row r="40" spans="1:13" ht="33.6" customHeight="1" x14ac:dyDescent="0.2">
      <c r="A40" s="489" t="str" cm="1">
        <f t="array" ref="A40">+IFERROR(INDEX('Conteo 18-02-26'!$B:$B,MATCH(1,('Conteo 18-02-26'!$E:$E=$B40)*('Conteo 18-02-26'!$A:$A="Casa Landau"),0)),"")</f>
        <v/>
      </c>
      <c r="B40" s="470">
        <f>+B38+1</f>
        <v>14</v>
      </c>
      <c r="C40" s="472" t="str" cm="1">
        <f t="array" ref="C40">+IFERROR(INDEX('Conteo 18-02-26'!$C:$C,MATCH(1,('Conteo 18-02-26'!$E:$E=$B40)*('Conteo 18-02-26'!$A:$A="Casa Landau"),0)),"")</f>
        <v/>
      </c>
      <c r="D40" s="470" t="str" cm="1">
        <f t="array" ref="D40">+IFERROR(INDEX('Conteo 18-02-26'!$D:$D,MATCH(1,('Conteo 18-02-26'!$E:$E=$B40)*('Conteo 18-02-26'!A:A:'Conteo 18-02-26'!$A:$A="Casa Landau"),0)),"")</f>
        <v/>
      </c>
      <c r="E40" s="427" t="str">
        <f t="shared" si="0"/>
        <v/>
      </c>
      <c r="F40" s="432" t="str">
        <f>+IF(OR(E40="LK"),ROUNDUP(D40*(VLOOKUP(B40,'Conteo 18-02-26'!$E:$AN,35,0))/100,0),IF(E40="CH",D39-F39,""))</f>
        <v/>
      </c>
      <c r="G40" s="470"/>
      <c r="H40" s="434"/>
      <c r="I40" s="434"/>
      <c r="J40" s="434"/>
      <c r="K40" s="434"/>
      <c r="L40" s="434"/>
      <c r="M40" s="434"/>
    </row>
    <row r="41" spans="1:13" ht="33.6" customHeight="1" x14ac:dyDescent="0.2">
      <c r="A41" s="489"/>
      <c r="B41" s="470"/>
      <c r="C41" s="472"/>
      <c r="D41" s="470"/>
      <c r="E41" s="427" t="str">
        <f t="shared" si="0"/>
        <v/>
      </c>
      <c r="F41" s="432" t="str">
        <f>+IF(OR(E41="LK"),ROUNDUP(D41*(VLOOKUP(B41,'Conteo 18-02-26'!$E:$AN,35,0))/100,0),IF(E41="CH",D40-F40,""))</f>
        <v/>
      </c>
      <c r="G41" s="470"/>
      <c r="H41" s="434"/>
      <c r="I41" s="434"/>
      <c r="J41" s="434"/>
      <c r="K41" s="434"/>
      <c r="L41" s="434"/>
      <c r="M41" s="434"/>
    </row>
    <row r="42" spans="1:13" ht="33.6" customHeight="1" x14ac:dyDescent="0.2">
      <c r="A42" s="489" t="str" cm="1">
        <f t="array" ref="A42">+IFERROR(INDEX('Conteo 18-02-26'!$B:$B,MATCH(1,('Conteo 18-02-26'!$E:$E=$B42)*('Conteo 18-02-26'!$A:$A="Casa Landau"),0)),"")</f>
        <v/>
      </c>
      <c r="B42" s="470">
        <f>+B40+1</f>
        <v>15</v>
      </c>
      <c r="C42" s="472" t="str" cm="1">
        <f t="array" ref="C42">+IFERROR(INDEX('Conteo 18-02-26'!$C:$C,MATCH(1,('Conteo 18-02-26'!$E:$E=$B42)*('Conteo 18-02-26'!$A:$A="Casa Landau"),0)),"")</f>
        <v/>
      </c>
      <c r="D42" s="470" t="str" cm="1">
        <f t="array" ref="D42">+IFERROR(INDEX('Conteo 18-02-26'!$D:$D,MATCH(1,('Conteo 18-02-26'!$E:$E=$B42)*('Conteo 18-02-26'!A:A:'Conteo 18-02-26'!$A:$A="Casa Landau"),0)),"")</f>
        <v/>
      </c>
      <c r="E42" s="427" t="str">
        <f t="shared" si="0"/>
        <v/>
      </c>
      <c r="F42" s="432" t="str">
        <f>+IF(OR(E42="LK"),ROUNDUP(D42*(VLOOKUP(B42,'Conteo 18-02-26'!$E:$AN,35,0))/100,0),IF(E42="CH",D41-F41,""))</f>
        <v/>
      </c>
      <c r="G42" s="470"/>
      <c r="H42" s="434"/>
      <c r="I42" s="434"/>
      <c r="J42" s="434"/>
      <c r="K42" s="434"/>
      <c r="L42" s="434"/>
      <c r="M42" s="434"/>
    </row>
    <row r="43" spans="1:13" ht="33.6" customHeight="1" x14ac:dyDescent="0.2">
      <c r="A43" s="489"/>
      <c r="B43" s="470"/>
      <c r="C43" s="472"/>
      <c r="D43" s="470"/>
      <c r="E43" s="427" t="str">
        <f t="shared" si="0"/>
        <v/>
      </c>
      <c r="F43" s="432" t="str">
        <f>+IF(OR(E43="LK"),ROUNDUP(D43*(VLOOKUP(B43,'Conteo 18-02-26'!$E:$AN,35,0))/100,0),IF(E43="CH",D42-F42,""))</f>
        <v/>
      </c>
      <c r="G43" s="470"/>
      <c r="H43" s="434"/>
      <c r="I43" s="434"/>
      <c r="J43" s="434"/>
      <c r="K43" s="434"/>
      <c r="L43" s="434"/>
      <c r="M43" s="434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K21" sqref="K21"/>
    </sheetView>
  </sheetViews>
  <sheetFormatPr baseColWidth="10" defaultColWidth="11.5703125" defaultRowHeight="12.75" x14ac:dyDescent="0.2"/>
  <cols>
    <col min="1" max="1" width="11.42578125" style="415" customWidth="1"/>
    <col min="2" max="2" width="6.140625" style="415" customWidth="1"/>
    <col min="3" max="3" width="21.7109375" style="415" customWidth="1"/>
    <col min="4" max="4" width="9.28515625" style="415" customWidth="1"/>
    <col min="5" max="5" width="8.28515625" style="415" customWidth="1"/>
    <col min="6" max="6" width="7.7109375" style="415" customWidth="1"/>
    <col min="7" max="7" width="9.7109375" style="415" customWidth="1"/>
    <col min="8" max="8" width="7.28515625" style="415" customWidth="1"/>
    <col min="9" max="9" width="7.5703125" style="415" customWidth="1"/>
    <col min="10" max="10" width="7.7109375" style="415" customWidth="1"/>
    <col min="11" max="11" width="7" style="415" customWidth="1"/>
    <col min="12" max="12" width="7.7109375" style="415" customWidth="1"/>
    <col min="13" max="13" width="7" style="415" customWidth="1"/>
    <col min="14" max="256" width="11.5703125" style="415"/>
    <col min="257" max="257" width="11.42578125" style="415" customWidth="1"/>
    <col min="258" max="258" width="6.140625" style="415" customWidth="1"/>
    <col min="259" max="259" width="21.7109375" style="415" customWidth="1"/>
    <col min="260" max="260" width="9.28515625" style="415" customWidth="1"/>
    <col min="261" max="261" width="8.28515625" style="415" customWidth="1"/>
    <col min="262" max="262" width="7.7109375" style="415" customWidth="1"/>
    <col min="263" max="263" width="9.7109375" style="415" customWidth="1"/>
    <col min="264" max="264" width="7.28515625" style="415" customWidth="1"/>
    <col min="265" max="265" width="7.5703125" style="415" customWidth="1"/>
    <col min="266" max="266" width="7.7109375" style="415" customWidth="1"/>
    <col min="267" max="267" width="7" style="415" customWidth="1"/>
    <col min="268" max="268" width="7.7109375" style="415" customWidth="1"/>
    <col min="269" max="269" width="7" style="415" customWidth="1"/>
    <col min="270" max="512" width="11.5703125" style="415"/>
    <col min="513" max="513" width="11.42578125" style="415" customWidth="1"/>
    <col min="514" max="514" width="6.140625" style="415" customWidth="1"/>
    <col min="515" max="515" width="21.7109375" style="415" customWidth="1"/>
    <col min="516" max="516" width="9.28515625" style="415" customWidth="1"/>
    <col min="517" max="517" width="8.28515625" style="415" customWidth="1"/>
    <col min="518" max="518" width="7.7109375" style="415" customWidth="1"/>
    <col min="519" max="519" width="9.7109375" style="415" customWidth="1"/>
    <col min="520" max="520" width="7.28515625" style="415" customWidth="1"/>
    <col min="521" max="521" width="7.5703125" style="415" customWidth="1"/>
    <col min="522" max="522" width="7.7109375" style="415" customWidth="1"/>
    <col min="523" max="523" width="7" style="415" customWidth="1"/>
    <col min="524" max="524" width="7.7109375" style="415" customWidth="1"/>
    <col min="525" max="525" width="7" style="415" customWidth="1"/>
    <col min="526" max="768" width="11.5703125" style="415"/>
    <col min="769" max="769" width="11.42578125" style="415" customWidth="1"/>
    <col min="770" max="770" width="6.140625" style="415" customWidth="1"/>
    <col min="771" max="771" width="21.7109375" style="415" customWidth="1"/>
    <col min="772" max="772" width="9.28515625" style="415" customWidth="1"/>
    <col min="773" max="773" width="8.28515625" style="415" customWidth="1"/>
    <col min="774" max="774" width="7.7109375" style="415" customWidth="1"/>
    <col min="775" max="775" width="9.7109375" style="415" customWidth="1"/>
    <col min="776" max="776" width="7.28515625" style="415" customWidth="1"/>
    <col min="777" max="777" width="7.5703125" style="415" customWidth="1"/>
    <col min="778" max="778" width="7.7109375" style="415" customWidth="1"/>
    <col min="779" max="779" width="7" style="415" customWidth="1"/>
    <col min="780" max="780" width="7.7109375" style="415" customWidth="1"/>
    <col min="781" max="781" width="7" style="415" customWidth="1"/>
    <col min="782" max="1024" width="11.5703125" style="415"/>
    <col min="1025" max="1025" width="11.42578125" style="415" customWidth="1"/>
    <col min="1026" max="1026" width="6.140625" style="415" customWidth="1"/>
    <col min="1027" max="1027" width="21.7109375" style="415" customWidth="1"/>
    <col min="1028" max="1028" width="9.28515625" style="415" customWidth="1"/>
    <col min="1029" max="1029" width="8.28515625" style="415" customWidth="1"/>
    <col min="1030" max="1030" width="7.7109375" style="415" customWidth="1"/>
    <col min="1031" max="1031" width="9.7109375" style="415" customWidth="1"/>
    <col min="1032" max="1032" width="7.28515625" style="415" customWidth="1"/>
    <col min="1033" max="1033" width="7.5703125" style="415" customWidth="1"/>
    <col min="1034" max="1034" width="7.7109375" style="415" customWidth="1"/>
    <col min="1035" max="1035" width="7" style="415" customWidth="1"/>
    <col min="1036" max="1036" width="7.7109375" style="415" customWidth="1"/>
    <col min="1037" max="1037" width="7" style="415" customWidth="1"/>
    <col min="1038" max="1280" width="11.5703125" style="415"/>
    <col min="1281" max="1281" width="11.42578125" style="415" customWidth="1"/>
    <col min="1282" max="1282" width="6.140625" style="415" customWidth="1"/>
    <col min="1283" max="1283" width="21.7109375" style="415" customWidth="1"/>
    <col min="1284" max="1284" width="9.28515625" style="415" customWidth="1"/>
    <col min="1285" max="1285" width="8.28515625" style="415" customWidth="1"/>
    <col min="1286" max="1286" width="7.7109375" style="415" customWidth="1"/>
    <col min="1287" max="1287" width="9.7109375" style="415" customWidth="1"/>
    <col min="1288" max="1288" width="7.28515625" style="415" customWidth="1"/>
    <col min="1289" max="1289" width="7.5703125" style="415" customWidth="1"/>
    <col min="1290" max="1290" width="7.7109375" style="415" customWidth="1"/>
    <col min="1291" max="1291" width="7" style="415" customWidth="1"/>
    <col min="1292" max="1292" width="7.7109375" style="415" customWidth="1"/>
    <col min="1293" max="1293" width="7" style="415" customWidth="1"/>
    <col min="1294" max="1536" width="11.5703125" style="415"/>
    <col min="1537" max="1537" width="11.42578125" style="415" customWidth="1"/>
    <col min="1538" max="1538" width="6.140625" style="415" customWidth="1"/>
    <col min="1539" max="1539" width="21.7109375" style="415" customWidth="1"/>
    <col min="1540" max="1540" width="9.28515625" style="415" customWidth="1"/>
    <col min="1541" max="1541" width="8.28515625" style="415" customWidth="1"/>
    <col min="1542" max="1542" width="7.7109375" style="415" customWidth="1"/>
    <col min="1543" max="1543" width="9.7109375" style="415" customWidth="1"/>
    <col min="1544" max="1544" width="7.28515625" style="415" customWidth="1"/>
    <col min="1545" max="1545" width="7.5703125" style="415" customWidth="1"/>
    <col min="1546" max="1546" width="7.7109375" style="415" customWidth="1"/>
    <col min="1547" max="1547" width="7" style="415" customWidth="1"/>
    <col min="1548" max="1548" width="7.7109375" style="415" customWidth="1"/>
    <col min="1549" max="1549" width="7" style="415" customWidth="1"/>
    <col min="1550" max="1792" width="11.5703125" style="415"/>
    <col min="1793" max="1793" width="11.42578125" style="415" customWidth="1"/>
    <col min="1794" max="1794" width="6.140625" style="415" customWidth="1"/>
    <col min="1795" max="1795" width="21.7109375" style="415" customWidth="1"/>
    <col min="1796" max="1796" width="9.28515625" style="415" customWidth="1"/>
    <col min="1797" max="1797" width="8.28515625" style="415" customWidth="1"/>
    <col min="1798" max="1798" width="7.7109375" style="415" customWidth="1"/>
    <col min="1799" max="1799" width="9.7109375" style="415" customWidth="1"/>
    <col min="1800" max="1800" width="7.28515625" style="415" customWidth="1"/>
    <col min="1801" max="1801" width="7.5703125" style="415" customWidth="1"/>
    <col min="1802" max="1802" width="7.7109375" style="415" customWidth="1"/>
    <col min="1803" max="1803" width="7" style="415" customWidth="1"/>
    <col min="1804" max="1804" width="7.7109375" style="415" customWidth="1"/>
    <col min="1805" max="1805" width="7" style="415" customWidth="1"/>
    <col min="1806" max="2048" width="11.5703125" style="415"/>
    <col min="2049" max="2049" width="11.42578125" style="415" customWidth="1"/>
    <col min="2050" max="2050" width="6.140625" style="415" customWidth="1"/>
    <col min="2051" max="2051" width="21.7109375" style="415" customWidth="1"/>
    <col min="2052" max="2052" width="9.28515625" style="415" customWidth="1"/>
    <col min="2053" max="2053" width="8.28515625" style="415" customWidth="1"/>
    <col min="2054" max="2054" width="7.7109375" style="415" customWidth="1"/>
    <col min="2055" max="2055" width="9.7109375" style="415" customWidth="1"/>
    <col min="2056" max="2056" width="7.28515625" style="415" customWidth="1"/>
    <col min="2057" max="2057" width="7.5703125" style="415" customWidth="1"/>
    <col min="2058" max="2058" width="7.7109375" style="415" customWidth="1"/>
    <col min="2059" max="2059" width="7" style="415" customWidth="1"/>
    <col min="2060" max="2060" width="7.7109375" style="415" customWidth="1"/>
    <col min="2061" max="2061" width="7" style="415" customWidth="1"/>
    <col min="2062" max="2304" width="11.5703125" style="415"/>
    <col min="2305" max="2305" width="11.42578125" style="415" customWidth="1"/>
    <col min="2306" max="2306" width="6.140625" style="415" customWidth="1"/>
    <col min="2307" max="2307" width="21.7109375" style="415" customWidth="1"/>
    <col min="2308" max="2308" width="9.28515625" style="415" customWidth="1"/>
    <col min="2309" max="2309" width="8.28515625" style="415" customWidth="1"/>
    <col min="2310" max="2310" width="7.7109375" style="415" customWidth="1"/>
    <col min="2311" max="2311" width="9.7109375" style="415" customWidth="1"/>
    <col min="2312" max="2312" width="7.28515625" style="415" customWidth="1"/>
    <col min="2313" max="2313" width="7.5703125" style="415" customWidth="1"/>
    <col min="2314" max="2314" width="7.7109375" style="415" customWidth="1"/>
    <col min="2315" max="2315" width="7" style="415" customWidth="1"/>
    <col min="2316" max="2316" width="7.7109375" style="415" customWidth="1"/>
    <col min="2317" max="2317" width="7" style="415" customWidth="1"/>
    <col min="2318" max="2560" width="11.5703125" style="415"/>
    <col min="2561" max="2561" width="11.42578125" style="415" customWidth="1"/>
    <col min="2562" max="2562" width="6.140625" style="415" customWidth="1"/>
    <col min="2563" max="2563" width="21.7109375" style="415" customWidth="1"/>
    <col min="2564" max="2564" width="9.28515625" style="415" customWidth="1"/>
    <col min="2565" max="2565" width="8.28515625" style="415" customWidth="1"/>
    <col min="2566" max="2566" width="7.7109375" style="415" customWidth="1"/>
    <col min="2567" max="2567" width="9.7109375" style="415" customWidth="1"/>
    <col min="2568" max="2568" width="7.28515625" style="415" customWidth="1"/>
    <col min="2569" max="2569" width="7.5703125" style="415" customWidth="1"/>
    <col min="2570" max="2570" width="7.7109375" style="415" customWidth="1"/>
    <col min="2571" max="2571" width="7" style="415" customWidth="1"/>
    <col min="2572" max="2572" width="7.7109375" style="415" customWidth="1"/>
    <col min="2573" max="2573" width="7" style="415" customWidth="1"/>
    <col min="2574" max="2816" width="11.5703125" style="415"/>
    <col min="2817" max="2817" width="11.42578125" style="415" customWidth="1"/>
    <col min="2818" max="2818" width="6.140625" style="415" customWidth="1"/>
    <col min="2819" max="2819" width="21.7109375" style="415" customWidth="1"/>
    <col min="2820" max="2820" width="9.28515625" style="415" customWidth="1"/>
    <col min="2821" max="2821" width="8.28515625" style="415" customWidth="1"/>
    <col min="2822" max="2822" width="7.7109375" style="415" customWidth="1"/>
    <col min="2823" max="2823" width="9.7109375" style="415" customWidth="1"/>
    <col min="2824" max="2824" width="7.28515625" style="415" customWidth="1"/>
    <col min="2825" max="2825" width="7.5703125" style="415" customWidth="1"/>
    <col min="2826" max="2826" width="7.7109375" style="415" customWidth="1"/>
    <col min="2827" max="2827" width="7" style="415" customWidth="1"/>
    <col min="2828" max="2828" width="7.7109375" style="415" customWidth="1"/>
    <col min="2829" max="2829" width="7" style="415" customWidth="1"/>
    <col min="2830" max="3072" width="11.5703125" style="415"/>
    <col min="3073" max="3073" width="11.42578125" style="415" customWidth="1"/>
    <col min="3074" max="3074" width="6.140625" style="415" customWidth="1"/>
    <col min="3075" max="3075" width="21.7109375" style="415" customWidth="1"/>
    <col min="3076" max="3076" width="9.28515625" style="415" customWidth="1"/>
    <col min="3077" max="3077" width="8.28515625" style="415" customWidth="1"/>
    <col min="3078" max="3078" width="7.7109375" style="415" customWidth="1"/>
    <col min="3079" max="3079" width="9.7109375" style="415" customWidth="1"/>
    <col min="3080" max="3080" width="7.28515625" style="415" customWidth="1"/>
    <col min="3081" max="3081" width="7.5703125" style="415" customWidth="1"/>
    <col min="3082" max="3082" width="7.7109375" style="415" customWidth="1"/>
    <col min="3083" max="3083" width="7" style="415" customWidth="1"/>
    <col min="3084" max="3084" width="7.7109375" style="415" customWidth="1"/>
    <col min="3085" max="3085" width="7" style="415" customWidth="1"/>
    <col min="3086" max="3328" width="11.5703125" style="415"/>
    <col min="3329" max="3329" width="11.42578125" style="415" customWidth="1"/>
    <col min="3330" max="3330" width="6.140625" style="415" customWidth="1"/>
    <col min="3331" max="3331" width="21.7109375" style="415" customWidth="1"/>
    <col min="3332" max="3332" width="9.28515625" style="415" customWidth="1"/>
    <col min="3333" max="3333" width="8.28515625" style="415" customWidth="1"/>
    <col min="3334" max="3334" width="7.7109375" style="415" customWidth="1"/>
    <col min="3335" max="3335" width="9.7109375" style="415" customWidth="1"/>
    <col min="3336" max="3336" width="7.28515625" style="415" customWidth="1"/>
    <col min="3337" max="3337" width="7.5703125" style="415" customWidth="1"/>
    <col min="3338" max="3338" width="7.7109375" style="415" customWidth="1"/>
    <col min="3339" max="3339" width="7" style="415" customWidth="1"/>
    <col min="3340" max="3340" width="7.7109375" style="415" customWidth="1"/>
    <col min="3341" max="3341" width="7" style="415" customWidth="1"/>
    <col min="3342" max="3584" width="11.5703125" style="415"/>
    <col min="3585" max="3585" width="11.42578125" style="415" customWidth="1"/>
    <col min="3586" max="3586" width="6.140625" style="415" customWidth="1"/>
    <col min="3587" max="3587" width="21.7109375" style="415" customWidth="1"/>
    <col min="3588" max="3588" width="9.28515625" style="415" customWidth="1"/>
    <col min="3589" max="3589" width="8.28515625" style="415" customWidth="1"/>
    <col min="3590" max="3590" width="7.7109375" style="415" customWidth="1"/>
    <col min="3591" max="3591" width="9.7109375" style="415" customWidth="1"/>
    <col min="3592" max="3592" width="7.28515625" style="415" customWidth="1"/>
    <col min="3593" max="3593" width="7.5703125" style="415" customWidth="1"/>
    <col min="3594" max="3594" width="7.7109375" style="415" customWidth="1"/>
    <col min="3595" max="3595" width="7" style="415" customWidth="1"/>
    <col min="3596" max="3596" width="7.7109375" style="415" customWidth="1"/>
    <col min="3597" max="3597" width="7" style="415" customWidth="1"/>
    <col min="3598" max="3840" width="11.5703125" style="415"/>
    <col min="3841" max="3841" width="11.42578125" style="415" customWidth="1"/>
    <col min="3842" max="3842" width="6.140625" style="415" customWidth="1"/>
    <col min="3843" max="3843" width="21.7109375" style="415" customWidth="1"/>
    <col min="3844" max="3844" width="9.28515625" style="415" customWidth="1"/>
    <col min="3845" max="3845" width="8.28515625" style="415" customWidth="1"/>
    <col min="3846" max="3846" width="7.7109375" style="415" customWidth="1"/>
    <col min="3847" max="3847" width="9.7109375" style="415" customWidth="1"/>
    <col min="3848" max="3848" width="7.28515625" style="415" customWidth="1"/>
    <col min="3849" max="3849" width="7.5703125" style="415" customWidth="1"/>
    <col min="3850" max="3850" width="7.7109375" style="415" customWidth="1"/>
    <col min="3851" max="3851" width="7" style="415" customWidth="1"/>
    <col min="3852" max="3852" width="7.7109375" style="415" customWidth="1"/>
    <col min="3853" max="3853" width="7" style="415" customWidth="1"/>
    <col min="3854" max="4096" width="11.5703125" style="415"/>
    <col min="4097" max="4097" width="11.42578125" style="415" customWidth="1"/>
    <col min="4098" max="4098" width="6.140625" style="415" customWidth="1"/>
    <col min="4099" max="4099" width="21.7109375" style="415" customWidth="1"/>
    <col min="4100" max="4100" width="9.28515625" style="415" customWidth="1"/>
    <col min="4101" max="4101" width="8.28515625" style="415" customWidth="1"/>
    <col min="4102" max="4102" width="7.7109375" style="415" customWidth="1"/>
    <col min="4103" max="4103" width="9.7109375" style="415" customWidth="1"/>
    <col min="4104" max="4104" width="7.28515625" style="415" customWidth="1"/>
    <col min="4105" max="4105" width="7.5703125" style="415" customWidth="1"/>
    <col min="4106" max="4106" width="7.7109375" style="415" customWidth="1"/>
    <col min="4107" max="4107" width="7" style="415" customWidth="1"/>
    <col min="4108" max="4108" width="7.7109375" style="415" customWidth="1"/>
    <col min="4109" max="4109" width="7" style="415" customWidth="1"/>
    <col min="4110" max="4352" width="11.5703125" style="415"/>
    <col min="4353" max="4353" width="11.42578125" style="415" customWidth="1"/>
    <col min="4354" max="4354" width="6.140625" style="415" customWidth="1"/>
    <col min="4355" max="4355" width="21.7109375" style="415" customWidth="1"/>
    <col min="4356" max="4356" width="9.28515625" style="415" customWidth="1"/>
    <col min="4357" max="4357" width="8.28515625" style="415" customWidth="1"/>
    <col min="4358" max="4358" width="7.7109375" style="415" customWidth="1"/>
    <col min="4359" max="4359" width="9.7109375" style="415" customWidth="1"/>
    <col min="4360" max="4360" width="7.28515625" style="415" customWidth="1"/>
    <col min="4361" max="4361" width="7.5703125" style="415" customWidth="1"/>
    <col min="4362" max="4362" width="7.7109375" style="415" customWidth="1"/>
    <col min="4363" max="4363" width="7" style="415" customWidth="1"/>
    <col min="4364" max="4364" width="7.7109375" style="415" customWidth="1"/>
    <col min="4365" max="4365" width="7" style="415" customWidth="1"/>
    <col min="4366" max="4608" width="11.5703125" style="415"/>
    <col min="4609" max="4609" width="11.42578125" style="415" customWidth="1"/>
    <col min="4610" max="4610" width="6.140625" style="415" customWidth="1"/>
    <col min="4611" max="4611" width="21.7109375" style="415" customWidth="1"/>
    <col min="4612" max="4612" width="9.28515625" style="415" customWidth="1"/>
    <col min="4613" max="4613" width="8.28515625" style="415" customWidth="1"/>
    <col min="4614" max="4614" width="7.7109375" style="415" customWidth="1"/>
    <col min="4615" max="4615" width="9.7109375" style="415" customWidth="1"/>
    <col min="4616" max="4616" width="7.28515625" style="415" customWidth="1"/>
    <col min="4617" max="4617" width="7.5703125" style="415" customWidth="1"/>
    <col min="4618" max="4618" width="7.7109375" style="415" customWidth="1"/>
    <col min="4619" max="4619" width="7" style="415" customWidth="1"/>
    <col min="4620" max="4620" width="7.7109375" style="415" customWidth="1"/>
    <col min="4621" max="4621" width="7" style="415" customWidth="1"/>
    <col min="4622" max="4864" width="11.5703125" style="415"/>
    <col min="4865" max="4865" width="11.42578125" style="415" customWidth="1"/>
    <col min="4866" max="4866" width="6.140625" style="415" customWidth="1"/>
    <col min="4867" max="4867" width="21.7109375" style="415" customWidth="1"/>
    <col min="4868" max="4868" width="9.28515625" style="415" customWidth="1"/>
    <col min="4869" max="4869" width="8.28515625" style="415" customWidth="1"/>
    <col min="4870" max="4870" width="7.7109375" style="415" customWidth="1"/>
    <col min="4871" max="4871" width="9.7109375" style="415" customWidth="1"/>
    <col min="4872" max="4872" width="7.28515625" style="415" customWidth="1"/>
    <col min="4873" max="4873" width="7.5703125" style="415" customWidth="1"/>
    <col min="4874" max="4874" width="7.7109375" style="415" customWidth="1"/>
    <col min="4875" max="4875" width="7" style="415" customWidth="1"/>
    <col min="4876" max="4876" width="7.7109375" style="415" customWidth="1"/>
    <col min="4877" max="4877" width="7" style="415" customWidth="1"/>
    <col min="4878" max="5120" width="11.5703125" style="415"/>
    <col min="5121" max="5121" width="11.42578125" style="415" customWidth="1"/>
    <col min="5122" max="5122" width="6.140625" style="415" customWidth="1"/>
    <col min="5123" max="5123" width="21.7109375" style="415" customWidth="1"/>
    <col min="5124" max="5124" width="9.28515625" style="415" customWidth="1"/>
    <col min="5125" max="5125" width="8.28515625" style="415" customWidth="1"/>
    <col min="5126" max="5126" width="7.7109375" style="415" customWidth="1"/>
    <col min="5127" max="5127" width="9.7109375" style="415" customWidth="1"/>
    <col min="5128" max="5128" width="7.28515625" style="415" customWidth="1"/>
    <col min="5129" max="5129" width="7.5703125" style="415" customWidth="1"/>
    <col min="5130" max="5130" width="7.7109375" style="415" customWidth="1"/>
    <col min="5131" max="5131" width="7" style="415" customWidth="1"/>
    <col min="5132" max="5132" width="7.7109375" style="415" customWidth="1"/>
    <col min="5133" max="5133" width="7" style="415" customWidth="1"/>
    <col min="5134" max="5376" width="11.5703125" style="415"/>
    <col min="5377" max="5377" width="11.42578125" style="415" customWidth="1"/>
    <col min="5378" max="5378" width="6.140625" style="415" customWidth="1"/>
    <col min="5379" max="5379" width="21.7109375" style="415" customWidth="1"/>
    <col min="5380" max="5380" width="9.28515625" style="415" customWidth="1"/>
    <col min="5381" max="5381" width="8.28515625" style="415" customWidth="1"/>
    <col min="5382" max="5382" width="7.7109375" style="415" customWidth="1"/>
    <col min="5383" max="5383" width="9.7109375" style="415" customWidth="1"/>
    <col min="5384" max="5384" width="7.28515625" style="415" customWidth="1"/>
    <col min="5385" max="5385" width="7.5703125" style="415" customWidth="1"/>
    <col min="5386" max="5386" width="7.7109375" style="415" customWidth="1"/>
    <col min="5387" max="5387" width="7" style="415" customWidth="1"/>
    <col min="5388" max="5388" width="7.7109375" style="415" customWidth="1"/>
    <col min="5389" max="5389" width="7" style="415" customWidth="1"/>
    <col min="5390" max="5632" width="11.5703125" style="415"/>
    <col min="5633" max="5633" width="11.42578125" style="415" customWidth="1"/>
    <col min="5634" max="5634" width="6.140625" style="415" customWidth="1"/>
    <col min="5635" max="5635" width="21.7109375" style="415" customWidth="1"/>
    <col min="5636" max="5636" width="9.28515625" style="415" customWidth="1"/>
    <col min="5637" max="5637" width="8.28515625" style="415" customWidth="1"/>
    <col min="5638" max="5638" width="7.7109375" style="415" customWidth="1"/>
    <col min="5639" max="5639" width="9.7109375" style="415" customWidth="1"/>
    <col min="5640" max="5640" width="7.28515625" style="415" customWidth="1"/>
    <col min="5641" max="5641" width="7.5703125" style="415" customWidth="1"/>
    <col min="5642" max="5642" width="7.7109375" style="415" customWidth="1"/>
    <col min="5643" max="5643" width="7" style="415" customWidth="1"/>
    <col min="5644" max="5644" width="7.7109375" style="415" customWidth="1"/>
    <col min="5645" max="5645" width="7" style="415" customWidth="1"/>
    <col min="5646" max="5888" width="11.5703125" style="415"/>
    <col min="5889" max="5889" width="11.42578125" style="415" customWidth="1"/>
    <col min="5890" max="5890" width="6.140625" style="415" customWidth="1"/>
    <col min="5891" max="5891" width="21.7109375" style="415" customWidth="1"/>
    <col min="5892" max="5892" width="9.28515625" style="415" customWidth="1"/>
    <col min="5893" max="5893" width="8.28515625" style="415" customWidth="1"/>
    <col min="5894" max="5894" width="7.7109375" style="415" customWidth="1"/>
    <col min="5895" max="5895" width="9.7109375" style="415" customWidth="1"/>
    <col min="5896" max="5896" width="7.28515625" style="415" customWidth="1"/>
    <col min="5897" max="5897" width="7.5703125" style="415" customWidth="1"/>
    <col min="5898" max="5898" width="7.7109375" style="415" customWidth="1"/>
    <col min="5899" max="5899" width="7" style="415" customWidth="1"/>
    <col min="5900" max="5900" width="7.7109375" style="415" customWidth="1"/>
    <col min="5901" max="5901" width="7" style="415" customWidth="1"/>
    <col min="5902" max="6144" width="11.5703125" style="415"/>
    <col min="6145" max="6145" width="11.42578125" style="415" customWidth="1"/>
    <col min="6146" max="6146" width="6.140625" style="415" customWidth="1"/>
    <col min="6147" max="6147" width="21.7109375" style="415" customWidth="1"/>
    <col min="6148" max="6148" width="9.28515625" style="415" customWidth="1"/>
    <col min="6149" max="6149" width="8.28515625" style="415" customWidth="1"/>
    <col min="6150" max="6150" width="7.7109375" style="415" customWidth="1"/>
    <col min="6151" max="6151" width="9.7109375" style="415" customWidth="1"/>
    <col min="6152" max="6152" width="7.28515625" style="415" customWidth="1"/>
    <col min="6153" max="6153" width="7.5703125" style="415" customWidth="1"/>
    <col min="6154" max="6154" width="7.7109375" style="415" customWidth="1"/>
    <col min="6155" max="6155" width="7" style="415" customWidth="1"/>
    <col min="6156" max="6156" width="7.7109375" style="415" customWidth="1"/>
    <col min="6157" max="6157" width="7" style="415" customWidth="1"/>
    <col min="6158" max="6400" width="11.5703125" style="415"/>
    <col min="6401" max="6401" width="11.42578125" style="415" customWidth="1"/>
    <col min="6402" max="6402" width="6.140625" style="415" customWidth="1"/>
    <col min="6403" max="6403" width="21.7109375" style="415" customWidth="1"/>
    <col min="6404" max="6404" width="9.28515625" style="415" customWidth="1"/>
    <col min="6405" max="6405" width="8.28515625" style="415" customWidth="1"/>
    <col min="6406" max="6406" width="7.7109375" style="415" customWidth="1"/>
    <col min="6407" max="6407" width="9.7109375" style="415" customWidth="1"/>
    <col min="6408" max="6408" width="7.28515625" style="415" customWidth="1"/>
    <col min="6409" max="6409" width="7.5703125" style="415" customWidth="1"/>
    <col min="6410" max="6410" width="7.7109375" style="415" customWidth="1"/>
    <col min="6411" max="6411" width="7" style="415" customWidth="1"/>
    <col min="6412" max="6412" width="7.7109375" style="415" customWidth="1"/>
    <col min="6413" max="6413" width="7" style="415" customWidth="1"/>
    <col min="6414" max="6656" width="11.5703125" style="415"/>
    <col min="6657" max="6657" width="11.42578125" style="415" customWidth="1"/>
    <col min="6658" max="6658" width="6.140625" style="415" customWidth="1"/>
    <col min="6659" max="6659" width="21.7109375" style="415" customWidth="1"/>
    <col min="6660" max="6660" width="9.28515625" style="415" customWidth="1"/>
    <col min="6661" max="6661" width="8.28515625" style="415" customWidth="1"/>
    <col min="6662" max="6662" width="7.7109375" style="415" customWidth="1"/>
    <col min="6663" max="6663" width="9.7109375" style="415" customWidth="1"/>
    <col min="6664" max="6664" width="7.28515625" style="415" customWidth="1"/>
    <col min="6665" max="6665" width="7.5703125" style="415" customWidth="1"/>
    <col min="6666" max="6666" width="7.7109375" style="415" customWidth="1"/>
    <col min="6667" max="6667" width="7" style="415" customWidth="1"/>
    <col min="6668" max="6668" width="7.7109375" style="415" customWidth="1"/>
    <col min="6669" max="6669" width="7" style="415" customWidth="1"/>
    <col min="6670" max="6912" width="11.5703125" style="415"/>
    <col min="6913" max="6913" width="11.42578125" style="415" customWidth="1"/>
    <col min="6914" max="6914" width="6.140625" style="415" customWidth="1"/>
    <col min="6915" max="6915" width="21.7109375" style="415" customWidth="1"/>
    <col min="6916" max="6916" width="9.28515625" style="415" customWidth="1"/>
    <col min="6917" max="6917" width="8.28515625" style="415" customWidth="1"/>
    <col min="6918" max="6918" width="7.7109375" style="415" customWidth="1"/>
    <col min="6919" max="6919" width="9.7109375" style="415" customWidth="1"/>
    <col min="6920" max="6920" width="7.28515625" style="415" customWidth="1"/>
    <col min="6921" max="6921" width="7.5703125" style="415" customWidth="1"/>
    <col min="6922" max="6922" width="7.7109375" style="415" customWidth="1"/>
    <col min="6923" max="6923" width="7" style="415" customWidth="1"/>
    <col min="6924" max="6924" width="7.7109375" style="415" customWidth="1"/>
    <col min="6925" max="6925" width="7" style="415" customWidth="1"/>
    <col min="6926" max="7168" width="11.5703125" style="415"/>
    <col min="7169" max="7169" width="11.42578125" style="415" customWidth="1"/>
    <col min="7170" max="7170" width="6.140625" style="415" customWidth="1"/>
    <col min="7171" max="7171" width="21.7109375" style="415" customWidth="1"/>
    <col min="7172" max="7172" width="9.28515625" style="415" customWidth="1"/>
    <col min="7173" max="7173" width="8.28515625" style="415" customWidth="1"/>
    <col min="7174" max="7174" width="7.7109375" style="415" customWidth="1"/>
    <col min="7175" max="7175" width="9.7109375" style="415" customWidth="1"/>
    <col min="7176" max="7176" width="7.28515625" style="415" customWidth="1"/>
    <col min="7177" max="7177" width="7.5703125" style="415" customWidth="1"/>
    <col min="7178" max="7178" width="7.7109375" style="415" customWidth="1"/>
    <col min="7179" max="7179" width="7" style="415" customWidth="1"/>
    <col min="7180" max="7180" width="7.7109375" style="415" customWidth="1"/>
    <col min="7181" max="7181" width="7" style="415" customWidth="1"/>
    <col min="7182" max="7424" width="11.5703125" style="415"/>
    <col min="7425" max="7425" width="11.42578125" style="415" customWidth="1"/>
    <col min="7426" max="7426" width="6.140625" style="415" customWidth="1"/>
    <col min="7427" max="7427" width="21.7109375" style="415" customWidth="1"/>
    <col min="7428" max="7428" width="9.28515625" style="415" customWidth="1"/>
    <col min="7429" max="7429" width="8.28515625" style="415" customWidth="1"/>
    <col min="7430" max="7430" width="7.7109375" style="415" customWidth="1"/>
    <col min="7431" max="7431" width="9.7109375" style="415" customWidth="1"/>
    <col min="7432" max="7432" width="7.28515625" style="415" customWidth="1"/>
    <col min="7433" max="7433" width="7.5703125" style="415" customWidth="1"/>
    <col min="7434" max="7434" width="7.7109375" style="415" customWidth="1"/>
    <col min="7435" max="7435" width="7" style="415" customWidth="1"/>
    <col min="7436" max="7436" width="7.7109375" style="415" customWidth="1"/>
    <col min="7437" max="7437" width="7" style="415" customWidth="1"/>
    <col min="7438" max="7680" width="11.5703125" style="415"/>
    <col min="7681" max="7681" width="11.42578125" style="415" customWidth="1"/>
    <col min="7682" max="7682" width="6.140625" style="415" customWidth="1"/>
    <col min="7683" max="7683" width="21.7109375" style="415" customWidth="1"/>
    <col min="7684" max="7684" width="9.28515625" style="415" customWidth="1"/>
    <col min="7685" max="7685" width="8.28515625" style="415" customWidth="1"/>
    <col min="7686" max="7686" width="7.7109375" style="415" customWidth="1"/>
    <col min="7687" max="7687" width="9.7109375" style="415" customWidth="1"/>
    <col min="7688" max="7688" width="7.28515625" style="415" customWidth="1"/>
    <col min="7689" max="7689" width="7.5703125" style="415" customWidth="1"/>
    <col min="7690" max="7690" width="7.7109375" style="415" customWidth="1"/>
    <col min="7691" max="7691" width="7" style="415" customWidth="1"/>
    <col min="7692" max="7692" width="7.7109375" style="415" customWidth="1"/>
    <col min="7693" max="7693" width="7" style="415" customWidth="1"/>
    <col min="7694" max="7936" width="11.5703125" style="415"/>
    <col min="7937" max="7937" width="11.42578125" style="415" customWidth="1"/>
    <col min="7938" max="7938" width="6.140625" style="415" customWidth="1"/>
    <col min="7939" max="7939" width="21.7109375" style="415" customWidth="1"/>
    <col min="7940" max="7940" width="9.28515625" style="415" customWidth="1"/>
    <col min="7941" max="7941" width="8.28515625" style="415" customWidth="1"/>
    <col min="7942" max="7942" width="7.7109375" style="415" customWidth="1"/>
    <col min="7943" max="7943" width="9.7109375" style="415" customWidth="1"/>
    <col min="7944" max="7944" width="7.28515625" style="415" customWidth="1"/>
    <col min="7945" max="7945" width="7.5703125" style="415" customWidth="1"/>
    <col min="7946" max="7946" width="7.7109375" style="415" customWidth="1"/>
    <col min="7947" max="7947" width="7" style="415" customWidth="1"/>
    <col min="7948" max="7948" width="7.7109375" style="415" customWidth="1"/>
    <col min="7949" max="7949" width="7" style="415" customWidth="1"/>
    <col min="7950" max="8192" width="11.5703125" style="415"/>
    <col min="8193" max="8193" width="11.42578125" style="415" customWidth="1"/>
    <col min="8194" max="8194" width="6.140625" style="415" customWidth="1"/>
    <col min="8195" max="8195" width="21.7109375" style="415" customWidth="1"/>
    <col min="8196" max="8196" width="9.28515625" style="415" customWidth="1"/>
    <col min="8197" max="8197" width="8.28515625" style="415" customWidth="1"/>
    <col min="8198" max="8198" width="7.7109375" style="415" customWidth="1"/>
    <col min="8199" max="8199" width="9.7109375" style="415" customWidth="1"/>
    <col min="8200" max="8200" width="7.28515625" style="415" customWidth="1"/>
    <col min="8201" max="8201" width="7.5703125" style="415" customWidth="1"/>
    <col min="8202" max="8202" width="7.7109375" style="415" customWidth="1"/>
    <col min="8203" max="8203" width="7" style="415" customWidth="1"/>
    <col min="8204" max="8204" width="7.7109375" style="415" customWidth="1"/>
    <col min="8205" max="8205" width="7" style="415" customWidth="1"/>
    <col min="8206" max="8448" width="11.5703125" style="415"/>
    <col min="8449" max="8449" width="11.42578125" style="415" customWidth="1"/>
    <col min="8450" max="8450" width="6.140625" style="415" customWidth="1"/>
    <col min="8451" max="8451" width="21.7109375" style="415" customWidth="1"/>
    <col min="8452" max="8452" width="9.28515625" style="415" customWidth="1"/>
    <col min="8453" max="8453" width="8.28515625" style="415" customWidth="1"/>
    <col min="8454" max="8454" width="7.7109375" style="415" customWidth="1"/>
    <col min="8455" max="8455" width="9.7109375" style="415" customWidth="1"/>
    <col min="8456" max="8456" width="7.28515625" style="415" customWidth="1"/>
    <col min="8457" max="8457" width="7.5703125" style="415" customWidth="1"/>
    <col min="8458" max="8458" width="7.7109375" style="415" customWidth="1"/>
    <col min="8459" max="8459" width="7" style="415" customWidth="1"/>
    <col min="8460" max="8460" width="7.7109375" style="415" customWidth="1"/>
    <col min="8461" max="8461" width="7" style="415" customWidth="1"/>
    <col min="8462" max="8704" width="11.5703125" style="415"/>
    <col min="8705" max="8705" width="11.42578125" style="415" customWidth="1"/>
    <col min="8706" max="8706" width="6.140625" style="415" customWidth="1"/>
    <col min="8707" max="8707" width="21.7109375" style="415" customWidth="1"/>
    <col min="8708" max="8708" width="9.28515625" style="415" customWidth="1"/>
    <col min="8709" max="8709" width="8.28515625" style="415" customWidth="1"/>
    <col min="8710" max="8710" width="7.7109375" style="415" customWidth="1"/>
    <col min="8711" max="8711" width="9.7109375" style="415" customWidth="1"/>
    <col min="8712" max="8712" width="7.28515625" style="415" customWidth="1"/>
    <col min="8713" max="8713" width="7.5703125" style="415" customWidth="1"/>
    <col min="8714" max="8714" width="7.7109375" style="415" customWidth="1"/>
    <col min="8715" max="8715" width="7" style="415" customWidth="1"/>
    <col min="8716" max="8716" width="7.7109375" style="415" customWidth="1"/>
    <col min="8717" max="8717" width="7" style="415" customWidth="1"/>
    <col min="8718" max="8960" width="11.5703125" style="415"/>
    <col min="8961" max="8961" width="11.42578125" style="415" customWidth="1"/>
    <col min="8962" max="8962" width="6.140625" style="415" customWidth="1"/>
    <col min="8963" max="8963" width="21.7109375" style="415" customWidth="1"/>
    <col min="8964" max="8964" width="9.28515625" style="415" customWidth="1"/>
    <col min="8965" max="8965" width="8.28515625" style="415" customWidth="1"/>
    <col min="8966" max="8966" width="7.7109375" style="415" customWidth="1"/>
    <col min="8967" max="8967" width="9.7109375" style="415" customWidth="1"/>
    <col min="8968" max="8968" width="7.28515625" style="415" customWidth="1"/>
    <col min="8969" max="8969" width="7.5703125" style="415" customWidth="1"/>
    <col min="8970" max="8970" width="7.7109375" style="415" customWidth="1"/>
    <col min="8971" max="8971" width="7" style="415" customWidth="1"/>
    <col min="8972" max="8972" width="7.7109375" style="415" customWidth="1"/>
    <col min="8973" max="8973" width="7" style="415" customWidth="1"/>
    <col min="8974" max="9216" width="11.5703125" style="415"/>
    <col min="9217" max="9217" width="11.42578125" style="415" customWidth="1"/>
    <col min="9218" max="9218" width="6.140625" style="415" customWidth="1"/>
    <col min="9219" max="9219" width="21.7109375" style="415" customWidth="1"/>
    <col min="9220" max="9220" width="9.28515625" style="415" customWidth="1"/>
    <col min="9221" max="9221" width="8.28515625" style="415" customWidth="1"/>
    <col min="9222" max="9222" width="7.7109375" style="415" customWidth="1"/>
    <col min="9223" max="9223" width="9.7109375" style="415" customWidth="1"/>
    <col min="9224" max="9224" width="7.28515625" style="415" customWidth="1"/>
    <col min="9225" max="9225" width="7.5703125" style="415" customWidth="1"/>
    <col min="9226" max="9226" width="7.7109375" style="415" customWidth="1"/>
    <col min="9227" max="9227" width="7" style="415" customWidth="1"/>
    <col min="9228" max="9228" width="7.7109375" style="415" customWidth="1"/>
    <col min="9229" max="9229" width="7" style="415" customWidth="1"/>
    <col min="9230" max="9472" width="11.5703125" style="415"/>
    <col min="9473" max="9473" width="11.42578125" style="415" customWidth="1"/>
    <col min="9474" max="9474" width="6.140625" style="415" customWidth="1"/>
    <col min="9475" max="9475" width="21.7109375" style="415" customWidth="1"/>
    <col min="9476" max="9476" width="9.28515625" style="415" customWidth="1"/>
    <col min="9477" max="9477" width="8.28515625" style="415" customWidth="1"/>
    <col min="9478" max="9478" width="7.7109375" style="415" customWidth="1"/>
    <col min="9479" max="9479" width="9.7109375" style="415" customWidth="1"/>
    <col min="9480" max="9480" width="7.28515625" style="415" customWidth="1"/>
    <col min="9481" max="9481" width="7.5703125" style="415" customWidth="1"/>
    <col min="9482" max="9482" width="7.7109375" style="415" customWidth="1"/>
    <col min="9483" max="9483" width="7" style="415" customWidth="1"/>
    <col min="9484" max="9484" width="7.7109375" style="415" customWidth="1"/>
    <col min="9485" max="9485" width="7" style="415" customWidth="1"/>
    <col min="9486" max="9728" width="11.5703125" style="415"/>
    <col min="9729" max="9729" width="11.42578125" style="415" customWidth="1"/>
    <col min="9730" max="9730" width="6.140625" style="415" customWidth="1"/>
    <col min="9731" max="9731" width="21.7109375" style="415" customWidth="1"/>
    <col min="9732" max="9732" width="9.28515625" style="415" customWidth="1"/>
    <col min="9733" max="9733" width="8.28515625" style="415" customWidth="1"/>
    <col min="9734" max="9734" width="7.7109375" style="415" customWidth="1"/>
    <col min="9735" max="9735" width="9.7109375" style="415" customWidth="1"/>
    <col min="9736" max="9736" width="7.28515625" style="415" customWidth="1"/>
    <col min="9737" max="9737" width="7.5703125" style="415" customWidth="1"/>
    <col min="9738" max="9738" width="7.7109375" style="415" customWidth="1"/>
    <col min="9739" max="9739" width="7" style="415" customWidth="1"/>
    <col min="9740" max="9740" width="7.7109375" style="415" customWidth="1"/>
    <col min="9741" max="9741" width="7" style="415" customWidth="1"/>
    <col min="9742" max="9984" width="11.5703125" style="415"/>
    <col min="9985" max="9985" width="11.42578125" style="415" customWidth="1"/>
    <col min="9986" max="9986" width="6.140625" style="415" customWidth="1"/>
    <col min="9987" max="9987" width="21.7109375" style="415" customWidth="1"/>
    <col min="9988" max="9988" width="9.28515625" style="415" customWidth="1"/>
    <col min="9989" max="9989" width="8.28515625" style="415" customWidth="1"/>
    <col min="9990" max="9990" width="7.7109375" style="415" customWidth="1"/>
    <col min="9991" max="9991" width="9.7109375" style="415" customWidth="1"/>
    <col min="9992" max="9992" width="7.28515625" style="415" customWidth="1"/>
    <col min="9993" max="9993" width="7.5703125" style="415" customWidth="1"/>
    <col min="9994" max="9994" width="7.7109375" style="415" customWidth="1"/>
    <col min="9995" max="9995" width="7" style="415" customWidth="1"/>
    <col min="9996" max="9996" width="7.7109375" style="415" customWidth="1"/>
    <col min="9997" max="9997" width="7" style="415" customWidth="1"/>
    <col min="9998" max="10240" width="11.5703125" style="415"/>
    <col min="10241" max="10241" width="11.42578125" style="415" customWidth="1"/>
    <col min="10242" max="10242" width="6.140625" style="415" customWidth="1"/>
    <col min="10243" max="10243" width="21.7109375" style="415" customWidth="1"/>
    <col min="10244" max="10244" width="9.28515625" style="415" customWidth="1"/>
    <col min="10245" max="10245" width="8.28515625" style="415" customWidth="1"/>
    <col min="10246" max="10246" width="7.7109375" style="415" customWidth="1"/>
    <col min="10247" max="10247" width="9.7109375" style="415" customWidth="1"/>
    <col min="10248" max="10248" width="7.28515625" style="415" customWidth="1"/>
    <col min="10249" max="10249" width="7.5703125" style="415" customWidth="1"/>
    <col min="10250" max="10250" width="7.7109375" style="415" customWidth="1"/>
    <col min="10251" max="10251" width="7" style="415" customWidth="1"/>
    <col min="10252" max="10252" width="7.7109375" style="415" customWidth="1"/>
    <col min="10253" max="10253" width="7" style="415" customWidth="1"/>
    <col min="10254" max="10496" width="11.5703125" style="415"/>
    <col min="10497" max="10497" width="11.42578125" style="415" customWidth="1"/>
    <col min="10498" max="10498" width="6.140625" style="415" customWidth="1"/>
    <col min="10499" max="10499" width="21.7109375" style="415" customWidth="1"/>
    <col min="10500" max="10500" width="9.28515625" style="415" customWidth="1"/>
    <col min="10501" max="10501" width="8.28515625" style="415" customWidth="1"/>
    <col min="10502" max="10502" width="7.7109375" style="415" customWidth="1"/>
    <col min="10503" max="10503" width="9.7109375" style="415" customWidth="1"/>
    <col min="10504" max="10504" width="7.28515625" style="415" customWidth="1"/>
    <col min="10505" max="10505" width="7.5703125" style="415" customWidth="1"/>
    <col min="10506" max="10506" width="7.7109375" style="415" customWidth="1"/>
    <col min="10507" max="10507" width="7" style="415" customWidth="1"/>
    <col min="10508" max="10508" width="7.7109375" style="415" customWidth="1"/>
    <col min="10509" max="10509" width="7" style="415" customWidth="1"/>
    <col min="10510" max="10752" width="11.5703125" style="415"/>
    <col min="10753" max="10753" width="11.42578125" style="415" customWidth="1"/>
    <col min="10754" max="10754" width="6.140625" style="415" customWidth="1"/>
    <col min="10755" max="10755" width="21.7109375" style="415" customWidth="1"/>
    <col min="10756" max="10756" width="9.28515625" style="415" customWidth="1"/>
    <col min="10757" max="10757" width="8.28515625" style="415" customWidth="1"/>
    <col min="10758" max="10758" width="7.7109375" style="415" customWidth="1"/>
    <col min="10759" max="10759" width="9.7109375" style="415" customWidth="1"/>
    <col min="10760" max="10760" width="7.28515625" style="415" customWidth="1"/>
    <col min="10761" max="10761" width="7.5703125" style="415" customWidth="1"/>
    <col min="10762" max="10762" width="7.7109375" style="415" customWidth="1"/>
    <col min="10763" max="10763" width="7" style="415" customWidth="1"/>
    <col min="10764" max="10764" width="7.7109375" style="415" customWidth="1"/>
    <col min="10765" max="10765" width="7" style="415" customWidth="1"/>
    <col min="10766" max="11008" width="11.5703125" style="415"/>
    <col min="11009" max="11009" width="11.42578125" style="415" customWidth="1"/>
    <col min="11010" max="11010" width="6.140625" style="415" customWidth="1"/>
    <col min="11011" max="11011" width="21.7109375" style="415" customWidth="1"/>
    <col min="11012" max="11012" width="9.28515625" style="415" customWidth="1"/>
    <col min="11013" max="11013" width="8.28515625" style="415" customWidth="1"/>
    <col min="11014" max="11014" width="7.7109375" style="415" customWidth="1"/>
    <col min="11015" max="11015" width="9.7109375" style="415" customWidth="1"/>
    <col min="11016" max="11016" width="7.28515625" style="415" customWidth="1"/>
    <col min="11017" max="11017" width="7.5703125" style="415" customWidth="1"/>
    <col min="11018" max="11018" width="7.7109375" style="415" customWidth="1"/>
    <col min="11019" max="11019" width="7" style="415" customWidth="1"/>
    <col min="11020" max="11020" width="7.7109375" style="415" customWidth="1"/>
    <col min="11021" max="11021" width="7" style="415" customWidth="1"/>
    <col min="11022" max="11264" width="11.5703125" style="415"/>
    <col min="11265" max="11265" width="11.42578125" style="415" customWidth="1"/>
    <col min="11266" max="11266" width="6.140625" style="415" customWidth="1"/>
    <col min="11267" max="11267" width="21.7109375" style="415" customWidth="1"/>
    <col min="11268" max="11268" width="9.28515625" style="415" customWidth="1"/>
    <col min="11269" max="11269" width="8.28515625" style="415" customWidth="1"/>
    <col min="11270" max="11270" width="7.7109375" style="415" customWidth="1"/>
    <col min="11271" max="11271" width="9.7109375" style="415" customWidth="1"/>
    <col min="11272" max="11272" width="7.28515625" style="415" customWidth="1"/>
    <col min="11273" max="11273" width="7.5703125" style="415" customWidth="1"/>
    <col min="11274" max="11274" width="7.7109375" style="415" customWidth="1"/>
    <col min="11275" max="11275" width="7" style="415" customWidth="1"/>
    <col min="11276" max="11276" width="7.7109375" style="415" customWidth="1"/>
    <col min="11277" max="11277" width="7" style="415" customWidth="1"/>
    <col min="11278" max="11520" width="11.5703125" style="415"/>
    <col min="11521" max="11521" width="11.42578125" style="415" customWidth="1"/>
    <col min="11522" max="11522" width="6.140625" style="415" customWidth="1"/>
    <col min="11523" max="11523" width="21.7109375" style="415" customWidth="1"/>
    <col min="11524" max="11524" width="9.28515625" style="415" customWidth="1"/>
    <col min="11525" max="11525" width="8.28515625" style="415" customWidth="1"/>
    <col min="11526" max="11526" width="7.7109375" style="415" customWidth="1"/>
    <col min="11527" max="11527" width="9.7109375" style="415" customWidth="1"/>
    <col min="11528" max="11528" width="7.28515625" style="415" customWidth="1"/>
    <col min="11529" max="11529" width="7.5703125" style="415" customWidth="1"/>
    <col min="11530" max="11530" width="7.7109375" style="415" customWidth="1"/>
    <col min="11531" max="11531" width="7" style="415" customWidth="1"/>
    <col min="11532" max="11532" width="7.7109375" style="415" customWidth="1"/>
    <col min="11533" max="11533" width="7" style="415" customWidth="1"/>
    <col min="11534" max="11776" width="11.5703125" style="415"/>
    <col min="11777" max="11777" width="11.42578125" style="415" customWidth="1"/>
    <col min="11778" max="11778" width="6.140625" style="415" customWidth="1"/>
    <col min="11779" max="11779" width="21.7109375" style="415" customWidth="1"/>
    <col min="11780" max="11780" width="9.28515625" style="415" customWidth="1"/>
    <col min="11781" max="11781" width="8.28515625" style="415" customWidth="1"/>
    <col min="11782" max="11782" width="7.7109375" style="415" customWidth="1"/>
    <col min="11783" max="11783" width="9.7109375" style="415" customWidth="1"/>
    <col min="11784" max="11784" width="7.28515625" style="415" customWidth="1"/>
    <col min="11785" max="11785" width="7.5703125" style="415" customWidth="1"/>
    <col min="11786" max="11786" width="7.7109375" style="415" customWidth="1"/>
    <col min="11787" max="11787" width="7" style="415" customWidth="1"/>
    <col min="11788" max="11788" width="7.7109375" style="415" customWidth="1"/>
    <col min="11789" max="11789" width="7" style="415" customWidth="1"/>
    <col min="11790" max="12032" width="11.5703125" style="415"/>
    <col min="12033" max="12033" width="11.42578125" style="415" customWidth="1"/>
    <col min="12034" max="12034" width="6.140625" style="415" customWidth="1"/>
    <col min="12035" max="12035" width="21.7109375" style="415" customWidth="1"/>
    <col min="12036" max="12036" width="9.28515625" style="415" customWidth="1"/>
    <col min="12037" max="12037" width="8.28515625" style="415" customWidth="1"/>
    <col min="12038" max="12038" width="7.7109375" style="415" customWidth="1"/>
    <col min="12039" max="12039" width="9.7109375" style="415" customWidth="1"/>
    <col min="12040" max="12040" width="7.28515625" style="415" customWidth="1"/>
    <col min="12041" max="12041" width="7.5703125" style="415" customWidth="1"/>
    <col min="12042" max="12042" width="7.7109375" style="415" customWidth="1"/>
    <col min="12043" max="12043" width="7" style="415" customWidth="1"/>
    <col min="12044" max="12044" width="7.7109375" style="415" customWidth="1"/>
    <col min="12045" max="12045" width="7" style="415" customWidth="1"/>
    <col min="12046" max="12288" width="11.5703125" style="415"/>
    <col min="12289" max="12289" width="11.42578125" style="415" customWidth="1"/>
    <col min="12290" max="12290" width="6.140625" style="415" customWidth="1"/>
    <col min="12291" max="12291" width="21.7109375" style="415" customWidth="1"/>
    <col min="12292" max="12292" width="9.28515625" style="415" customWidth="1"/>
    <col min="12293" max="12293" width="8.28515625" style="415" customWidth="1"/>
    <col min="12294" max="12294" width="7.7109375" style="415" customWidth="1"/>
    <col min="12295" max="12295" width="9.7109375" style="415" customWidth="1"/>
    <col min="12296" max="12296" width="7.28515625" style="415" customWidth="1"/>
    <col min="12297" max="12297" width="7.5703125" style="415" customWidth="1"/>
    <col min="12298" max="12298" width="7.7109375" style="415" customWidth="1"/>
    <col min="12299" max="12299" width="7" style="415" customWidth="1"/>
    <col min="12300" max="12300" width="7.7109375" style="415" customWidth="1"/>
    <col min="12301" max="12301" width="7" style="415" customWidth="1"/>
    <col min="12302" max="12544" width="11.5703125" style="415"/>
    <col min="12545" max="12545" width="11.42578125" style="415" customWidth="1"/>
    <col min="12546" max="12546" width="6.140625" style="415" customWidth="1"/>
    <col min="12547" max="12547" width="21.7109375" style="415" customWidth="1"/>
    <col min="12548" max="12548" width="9.28515625" style="415" customWidth="1"/>
    <col min="12549" max="12549" width="8.28515625" style="415" customWidth="1"/>
    <col min="12550" max="12550" width="7.7109375" style="415" customWidth="1"/>
    <col min="12551" max="12551" width="9.7109375" style="415" customWidth="1"/>
    <col min="12552" max="12552" width="7.28515625" style="415" customWidth="1"/>
    <col min="12553" max="12553" width="7.5703125" style="415" customWidth="1"/>
    <col min="12554" max="12554" width="7.7109375" style="415" customWidth="1"/>
    <col min="12555" max="12555" width="7" style="415" customWidth="1"/>
    <col min="12556" max="12556" width="7.7109375" style="415" customWidth="1"/>
    <col min="12557" max="12557" width="7" style="415" customWidth="1"/>
    <col min="12558" max="12800" width="11.5703125" style="415"/>
    <col min="12801" max="12801" width="11.42578125" style="415" customWidth="1"/>
    <col min="12802" max="12802" width="6.140625" style="415" customWidth="1"/>
    <col min="12803" max="12803" width="21.7109375" style="415" customWidth="1"/>
    <col min="12804" max="12804" width="9.28515625" style="415" customWidth="1"/>
    <col min="12805" max="12805" width="8.28515625" style="415" customWidth="1"/>
    <col min="12806" max="12806" width="7.7109375" style="415" customWidth="1"/>
    <col min="12807" max="12807" width="9.7109375" style="415" customWidth="1"/>
    <col min="12808" max="12808" width="7.28515625" style="415" customWidth="1"/>
    <col min="12809" max="12809" width="7.5703125" style="415" customWidth="1"/>
    <col min="12810" max="12810" width="7.7109375" style="415" customWidth="1"/>
    <col min="12811" max="12811" width="7" style="415" customWidth="1"/>
    <col min="12812" max="12812" width="7.7109375" style="415" customWidth="1"/>
    <col min="12813" max="12813" width="7" style="415" customWidth="1"/>
    <col min="12814" max="13056" width="11.5703125" style="415"/>
    <col min="13057" max="13057" width="11.42578125" style="415" customWidth="1"/>
    <col min="13058" max="13058" width="6.140625" style="415" customWidth="1"/>
    <col min="13059" max="13059" width="21.7109375" style="415" customWidth="1"/>
    <col min="13060" max="13060" width="9.28515625" style="415" customWidth="1"/>
    <col min="13061" max="13061" width="8.28515625" style="415" customWidth="1"/>
    <col min="13062" max="13062" width="7.7109375" style="415" customWidth="1"/>
    <col min="13063" max="13063" width="9.7109375" style="415" customWidth="1"/>
    <col min="13064" max="13064" width="7.28515625" style="415" customWidth="1"/>
    <col min="13065" max="13065" width="7.5703125" style="415" customWidth="1"/>
    <col min="13066" max="13066" width="7.7109375" style="415" customWidth="1"/>
    <col min="13067" max="13067" width="7" style="415" customWidth="1"/>
    <col min="13068" max="13068" width="7.7109375" style="415" customWidth="1"/>
    <col min="13069" max="13069" width="7" style="415" customWidth="1"/>
    <col min="13070" max="13312" width="11.5703125" style="415"/>
    <col min="13313" max="13313" width="11.42578125" style="415" customWidth="1"/>
    <col min="13314" max="13314" width="6.140625" style="415" customWidth="1"/>
    <col min="13315" max="13315" width="21.7109375" style="415" customWidth="1"/>
    <col min="13316" max="13316" width="9.28515625" style="415" customWidth="1"/>
    <col min="13317" max="13317" width="8.28515625" style="415" customWidth="1"/>
    <col min="13318" max="13318" width="7.7109375" style="415" customWidth="1"/>
    <col min="13319" max="13319" width="9.7109375" style="415" customWidth="1"/>
    <col min="13320" max="13320" width="7.28515625" style="415" customWidth="1"/>
    <col min="13321" max="13321" width="7.5703125" style="415" customWidth="1"/>
    <col min="13322" max="13322" width="7.7109375" style="415" customWidth="1"/>
    <col min="13323" max="13323" width="7" style="415" customWidth="1"/>
    <col min="13324" max="13324" width="7.7109375" style="415" customWidth="1"/>
    <col min="13325" max="13325" width="7" style="415" customWidth="1"/>
    <col min="13326" max="13568" width="11.5703125" style="415"/>
    <col min="13569" max="13569" width="11.42578125" style="415" customWidth="1"/>
    <col min="13570" max="13570" width="6.140625" style="415" customWidth="1"/>
    <col min="13571" max="13571" width="21.7109375" style="415" customWidth="1"/>
    <col min="13572" max="13572" width="9.28515625" style="415" customWidth="1"/>
    <col min="13573" max="13573" width="8.28515625" style="415" customWidth="1"/>
    <col min="13574" max="13574" width="7.7109375" style="415" customWidth="1"/>
    <col min="13575" max="13575" width="9.7109375" style="415" customWidth="1"/>
    <col min="13576" max="13576" width="7.28515625" style="415" customWidth="1"/>
    <col min="13577" max="13577" width="7.5703125" style="415" customWidth="1"/>
    <col min="13578" max="13578" width="7.7109375" style="415" customWidth="1"/>
    <col min="13579" max="13579" width="7" style="415" customWidth="1"/>
    <col min="13580" max="13580" width="7.7109375" style="415" customWidth="1"/>
    <col min="13581" max="13581" width="7" style="415" customWidth="1"/>
    <col min="13582" max="13824" width="11.5703125" style="415"/>
    <col min="13825" max="13825" width="11.42578125" style="415" customWidth="1"/>
    <col min="13826" max="13826" width="6.140625" style="415" customWidth="1"/>
    <col min="13827" max="13827" width="21.7109375" style="415" customWidth="1"/>
    <col min="13828" max="13828" width="9.28515625" style="415" customWidth="1"/>
    <col min="13829" max="13829" width="8.28515625" style="415" customWidth="1"/>
    <col min="13830" max="13830" width="7.7109375" style="415" customWidth="1"/>
    <col min="13831" max="13831" width="9.7109375" style="415" customWidth="1"/>
    <col min="13832" max="13832" width="7.28515625" style="415" customWidth="1"/>
    <col min="13833" max="13833" width="7.5703125" style="415" customWidth="1"/>
    <col min="13834" max="13834" width="7.7109375" style="415" customWidth="1"/>
    <col min="13835" max="13835" width="7" style="415" customWidth="1"/>
    <col min="13836" max="13836" width="7.7109375" style="415" customWidth="1"/>
    <col min="13837" max="13837" width="7" style="415" customWidth="1"/>
    <col min="13838" max="14080" width="11.5703125" style="415"/>
    <col min="14081" max="14081" width="11.42578125" style="415" customWidth="1"/>
    <col min="14082" max="14082" width="6.140625" style="415" customWidth="1"/>
    <col min="14083" max="14083" width="21.7109375" style="415" customWidth="1"/>
    <col min="14084" max="14084" width="9.28515625" style="415" customWidth="1"/>
    <col min="14085" max="14085" width="8.28515625" style="415" customWidth="1"/>
    <col min="14086" max="14086" width="7.7109375" style="415" customWidth="1"/>
    <col min="14087" max="14087" width="9.7109375" style="415" customWidth="1"/>
    <col min="14088" max="14088" width="7.28515625" style="415" customWidth="1"/>
    <col min="14089" max="14089" width="7.5703125" style="415" customWidth="1"/>
    <col min="14090" max="14090" width="7.7109375" style="415" customWidth="1"/>
    <col min="14091" max="14091" width="7" style="415" customWidth="1"/>
    <col min="14092" max="14092" width="7.7109375" style="415" customWidth="1"/>
    <col min="14093" max="14093" width="7" style="415" customWidth="1"/>
    <col min="14094" max="14336" width="11.5703125" style="415"/>
    <col min="14337" max="14337" width="11.42578125" style="415" customWidth="1"/>
    <col min="14338" max="14338" width="6.140625" style="415" customWidth="1"/>
    <col min="14339" max="14339" width="21.7109375" style="415" customWidth="1"/>
    <col min="14340" max="14340" width="9.28515625" style="415" customWidth="1"/>
    <col min="14341" max="14341" width="8.28515625" style="415" customWidth="1"/>
    <col min="14342" max="14342" width="7.7109375" style="415" customWidth="1"/>
    <col min="14343" max="14343" width="9.7109375" style="415" customWidth="1"/>
    <col min="14344" max="14344" width="7.28515625" style="415" customWidth="1"/>
    <col min="14345" max="14345" width="7.5703125" style="415" customWidth="1"/>
    <col min="14346" max="14346" width="7.7109375" style="415" customWidth="1"/>
    <col min="14347" max="14347" width="7" style="415" customWidth="1"/>
    <col min="14348" max="14348" width="7.7109375" style="415" customWidth="1"/>
    <col min="14349" max="14349" width="7" style="415" customWidth="1"/>
    <col min="14350" max="14592" width="11.5703125" style="415"/>
    <col min="14593" max="14593" width="11.42578125" style="415" customWidth="1"/>
    <col min="14594" max="14594" width="6.140625" style="415" customWidth="1"/>
    <col min="14595" max="14595" width="21.7109375" style="415" customWidth="1"/>
    <col min="14596" max="14596" width="9.28515625" style="415" customWidth="1"/>
    <col min="14597" max="14597" width="8.28515625" style="415" customWidth="1"/>
    <col min="14598" max="14598" width="7.7109375" style="415" customWidth="1"/>
    <col min="14599" max="14599" width="9.7109375" style="415" customWidth="1"/>
    <col min="14600" max="14600" width="7.28515625" style="415" customWidth="1"/>
    <col min="14601" max="14601" width="7.5703125" style="415" customWidth="1"/>
    <col min="14602" max="14602" width="7.7109375" style="415" customWidth="1"/>
    <col min="14603" max="14603" width="7" style="415" customWidth="1"/>
    <col min="14604" max="14604" width="7.7109375" style="415" customWidth="1"/>
    <col min="14605" max="14605" width="7" style="415" customWidth="1"/>
    <col min="14606" max="14848" width="11.5703125" style="415"/>
    <col min="14849" max="14849" width="11.42578125" style="415" customWidth="1"/>
    <col min="14850" max="14850" width="6.140625" style="415" customWidth="1"/>
    <col min="14851" max="14851" width="21.7109375" style="415" customWidth="1"/>
    <col min="14852" max="14852" width="9.28515625" style="415" customWidth="1"/>
    <col min="14853" max="14853" width="8.28515625" style="415" customWidth="1"/>
    <col min="14854" max="14854" width="7.7109375" style="415" customWidth="1"/>
    <col min="14855" max="14855" width="9.7109375" style="415" customWidth="1"/>
    <col min="14856" max="14856" width="7.28515625" style="415" customWidth="1"/>
    <col min="14857" max="14857" width="7.5703125" style="415" customWidth="1"/>
    <col min="14858" max="14858" width="7.7109375" style="415" customWidth="1"/>
    <col min="14859" max="14859" width="7" style="415" customWidth="1"/>
    <col min="14860" max="14860" width="7.7109375" style="415" customWidth="1"/>
    <col min="14861" max="14861" width="7" style="415" customWidth="1"/>
    <col min="14862" max="15104" width="11.5703125" style="415"/>
    <col min="15105" max="15105" width="11.42578125" style="415" customWidth="1"/>
    <col min="15106" max="15106" width="6.140625" style="415" customWidth="1"/>
    <col min="15107" max="15107" width="21.7109375" style="415" customWidth="1"/>
    <col min="15108" max="15108" width="9.28515625" style="415" customWidth="1"/>
    <col min="15109" max="15109" width="8.28515625" style="415" customWidth="1"/>
    <col min="15110" max="15110" width="7.7109375" style="415" customWidth="1"/>
    <col min="15111" max="15111" width="9.7109375" style="415" customWidth="1"/>
    <col min="15112" max="15112" width="7.28515625" style="415" customWidth="1"/>
    <col min="15113" max="15113" width="7.5703125" style="415" customWidth="1"/>
    <col min="15114" max="15114" width="7.7109375" style="415" customWidth="1"/>
    <col min="15115" max="15115" width="7" style="415" customWidth="1"/>
    <col min="15116" max="15116" width="7.7109375" style="415" customWidth="1"/>
    <col min="15117" max="15117" width="7" style="415" customWidth="1"/>
    <col min="15118" max="15360" width="11.5703125" style="415"/>
    <col min="15361" max="15361" width="11.42578125" style="415" customWidth="1"/>
    <col min="15362" max="15362" width="6.140625" style="415" customWidth="1"/>
    <col min="15363" max="15363" width="21.7109375" style="415" customWidth="1"/>
    <col min="15364" max="15364" width="9.28515625" style="415" customWidth="1"/>
    <col min="15365" max="15365" width="8.28515625" style="415" customWidth="1"/>
    <col min="15366" max="15366" width="7.7109375" style="415" customWidth="1"/>
    <col min="15367" max="15367" width="9.7109375" style="415" customWidth="1"/>
    <col min="15368" max="15368" width="7.28515625" style="415" customWidth="1"/>
    <col min="15369" max="15369" width="7.5703125" style="415" customWidth="1"/>
    <col min="15370" max="15370" width="7.7109375" style="415" customWidth="1"/>
    <col min="15371" max="15371" width="7" style="415" customWidth="1"/>
    <col min="15372" max="15372" width="7.7109375" style="415" customWidth="1"/>
    <col min="15373" max="15373" width="7" style="415" customWidth="1"/>
    <col min="15374" max="15616" width="11.5703125" style="415"/>
    <col min="15617" max="15617" width="11.42578125" style="415" customWidth="1"/>
    <col min="15618" max="15618" width="6.140625" style="415" customWidth="1"/>
    <col min="15619" max="15619" width="21.7109375" style="415" customWidth="1"/>
    <col min="15620" max="15620" width="9.28515625" style="415" customWidth="1"/>
    <col min="15621" max="15621" width="8.28515625" style="415" customWidth="1"/>
    <col min="15622" max="15622" width="7.7109375" style="415" customWidth="1"/>
    <col min="15623" max="15623" width="9.7109375" style="415" customWidth="1"/>
    <col min="15624" max="15624" width="7.28515625" style="415" customWidth="1"/>
    <col min="15625" max="15625" width="7.5703125" style="415" customWidth="1"/>
    <col min="15626" max="15626" width="7.7109375" style="415" customWidth="1"/>
    <col min="15627" max="15627" width="7" style="415" customWidth="1"/>
    <col min="15628" max="15628" width="7.7109375" style="415" customWidth="1"/>
    <col min="15629" max="15629" width="7" style="415" customWidth="1"/>
    <col min="15630" max="15872" width="11.5703125" style="415"/>
    <col min="15873" max="15873" width="11.42578125" style="415" customWidth="1"/>
    <col min="15874" max="15874" width="6.140625" style="415" customWidth="1"/>
    <col min="15875" max="15875" width="21.7109375" style="415" customWidth="1"/>
    <col min="15876" max="15876" width="9.28515625" style="415" customWidth="1"/>
    <col min="15877" max="15877" width="8.28515625" style="415" customWidth="1"/>
    <col min="15878" max="15878" width="7.7109375" style="415" customWidth="1"/>
    <col min="15879" max="15879" width="9.7109375" style="415" customWidth="1"/>
    <col min="15880" max="15880" width="7.28515625" style="415" customWidth="1"/>
    <col min="15881" max="15881" width="7.5703125" style="415" customWidth="1"/>
    <col min="15882" max="15882" width="7.7109375" style="415" customWidth="1"/>
    <col min="15883" max="15883" width="7" style="415" customWidth="1"/>
    <col min="15884" max="15884" width="7.7109375" style="415" customWidth="1"/>
    <col min="15885" max="15885" width="7" style="415" customWidth="1"/>
    <col min="15886" max="16128" width="11.5703125" style="415"/>
    <col min="16129" max="16129" width="11.42578125" style="415" customWidth="1"/>
    <col min="16130" max="16130" width="6.140625" style="415" customWidth="1"/>
    <col min="16131" max="16131" width="21.7109375" style="415" customWidth="1"/>
    <col min="16132" max="16132" width="9.28515625" style="415" customWidth="1"/>
    <col min="16133" max="16133" width="8.28515625" style="415" customWidth="1"/>
    <col min="16134" max="16134" width="7.7109375" style="415" customWidth="1"/>
    <col min="16135" max="16135" width="9.7109375" style="415" customWidth="1"/>
    <col min="16136" max="16136" width="7.28515625" style="415" customWidth="1"/>
    <col min="16137" max="16137" width="7.5703125" style="415" customWidth="1"/>
    <col min="16138" max="16138" width="7.7109375" style="415" customWidth="1"/>
    <col min="16139" max="16139" width="7" style="415" customWidth="1"/>
    <col min="16140" max="16140" width="7.7109375" style="415" customWidth="1"/>
    <col min="16141" max="16141" width="7" style="415" customWidth="1"/>
    <col min="16142" max="16384" width="11.5703125" style="415"/>
  </cols>
  <sheetData>
    <row r="1" spans="1:15" ht="26.25" customHeight="1" x14ac:dyDescent="0.4">
      <c r="A1" s="448" t="s">
        <v>534</v>
      </c>
      <c r="B1" s="449"/>
      <c r="C1" s="450"/>
      <c r="F1" s="451" t="s">
        <v>548</v>
      </c>
      <c r="G1" s="452"/>
      <c r="H1" s="452"/>
      <c r="I1" s="452"/>
      <c r="J1" s="452"/>
      <c r="K1" s="452"/>
      <c r="L1" s="453"/>
    </row>
    <row r="2" spans="1:15" ht="21" customHeight="1" x14ac:dyDescent="0.35">
      <c r="A2" s="444" t="s">
        <v>536</v>
      </c>
      <c r="B2" s="445"/>
      <c r="C2" s="416" t="s">
        <v>537</v>
      </c>
      <c r="F2" s="444" t="s">
        <v>536</v>
      </c>
      <c r="G2" s="445"/>
      <c r="H2" s="446" t="s">
        <v>549</v>
      </c>
      <c r="I2" s="446"/>
      <c r="J2" s="446"/>
      <c r="K2" s="446"/>
      <c r="L2" s="447"/>
    </row>
    <row r="3" spans="1:15" ht="21.75" customHeight="1" x14ac:dyDescent="0.35">
      <c r="A3" s="444" t="s">
        <v>538</v>
      </c>
      <c r="B3" s="445"/>
      <c r="C3" s="416" t="s">
        <v>539</v>
      </c>
      <c r="F3" s="444" t="s">
        <v>538</v>
      </c>
      <c r="G3" s="445"/>
      <c r="H3" s="446" t="s">
        <v>550</v>
      </c>
      <c r="I3" s="446"/>
      <c r="J3" s="446"/>
      <c r="K3" s="446"/>
      <c r="L3" s="447"/>
    </row>
    <row r="4" spans="1:15" ht="21.75" thickBot="1" x14ac:dyDescent="0.4">
      <c r="A4" s="454" t="s">
        <v>540</v>
      </c>
      <c r="B4" s="455"/>
      <c r="C4" s="417" t="s">
        <v>541</v>
      </c>
      <c r="F4" s="454" t="s">
        <v>540</v>
      </c>
      <c r="G4" s="455"/>
      <c r="H4" s="456" t="s">
        <v>551</v>
      </c>
      <c r="I4" s="456"/>
      <c r="J4" s="456"/>
      <c r="K4" s="456"/>
      <c r="L4" s="457"/>
    </row>
    <row r="5" spans="1:15" ht="7.5" customHeight="1" thickBot="1" x14ac:dyDescent="0.4">
      <c r="A5" s="418"/>
      <c r="C5" s="418"/>
    </row>
    <row r="6" spans="1:15" ht="35.450000000000003" customHeight="1" thickBot="1" x14ac:dyDescent="0.25">
      <c r="A6" s="458" t="s">
        <v>535</v>
      </c>
      <c r="B6" s="459"/>
      <c r="C6" s="460"/>
      <c r="F6" s="461" t="s">
        <v>542</v>
      </c>
      <c r="G6" s="462"/>
      <c r="H6" s="463"/>
      <c r="I6" s="464">
        <f ca="1">+TODAY()</f>
        <v>46099</v>
      </c>
      <c r="J6" s="465"/>
      <c r="K6" s="465"/>
      <c r="L6" s="465"/>
      <c r="M6" s="466"/>
    </row>
    <row r="7" spans="1:15" ht="3" customHeight="1" thickBot="1" x14ac:dyDescent="0.25"/>
    <row r="8" spans="1:15" ht="42.75" customHeight="1" thickBot="1" x14ac:dyDescent="0.25">
      <c r="A8" s="473" t="s">
        <v>543</v>
      </c>
      <c r="B8" s="474"/>
      <c r="C8" s="419" t="s">
        <v>566</v>
      </c>
      <c r="D8" s="420" t="s">
        <v>544</v>
      </c>
      <c r="E8" s="421">
        <v>890</v>
      </c>
      <c r="F8" s="473" t="s">
        <v>545</v>
      </c>
      <c r="G8" s="475"/>
      <c r="H8" s="474"/>
      <c r="I8" s="476" t="s">
        <v>539</v>
      </c>
      <c r="J8" s="477"/>
      <c r="K8" s="477"/>
      <c r="L8" s="477"/>
      <c r="M8" s="478"/>
    </row>
    <row r="9" spans="1:15" ht="7.5" customHeight="1" thickBot="1" x14ac:dyDescent="0.4">
      <c r="A9" s="418"/>
      <c r="C9" s="418"/>
    </row>
    <row r="10" spans="1:15" ht="39.6" customHeight="1" thickBot="1" x14ac:dyDescent="0.25">
      <c r="A10" s="479" t="s">
        <v>552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1"/>
    </row>
    <row r="11" spans="1:15" ht="6" customHeight="1" thickBot="1" x14ac:dyDescent="0.4">
      <c r="A11" s="418"/>
      <c r="C11" s="418"/>
    </row>
    <row r="12" spans="1:15" ht="27" thickBot="1" x14ac:dyDescent="0.25">
      <c r="A12" s="482" t="s">
        <v>553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</row>
    <row r="13" spans="1:15" ht="38.25" thickBot="1" x14ac:dyDescent="0.25">
      <c r="A13" s="422" t="s">
        <v>311</v>
      </c>
      <c r="B13" s="423" t="s">
        <v>533</v>
      </c>
      <c r="C13" s="424" t="s">
        <v>554</v>
      </c>
      <c r="D13" s="425" t="s">
        <v>555</v>
      </c>
      <c r="E13" s="426" t="s">
        <v>285</v>
      </c>
      <c r="F13" s="426" t="s">
        <v>556</v>
      </c>
      <c r="G13" s="423" t="s">
        <v>557</v>
      </c>
      <c r="H13" s="423" t="s">
        <v>558</v>
      </c>
      <c r="I13" s="423" t="s">
        <v>559</v>
      </c>
      <c r="J13" s="423" t="s">
        <v>558</v>
      </c>
      <c r="K13" s="423" t="s">
        <v>559</v>
      </c>
      <c r="L13" s="423" t="s">
        <v>558</v>
      </c>
      <c r="M13" s="423" t="s">
        <v>559</v>
      </c>
    </row>
    <row r="14" spans="1:15" ht="33.6" customHeight="1" x14ac:dyDescent="0.2">
      <c r="A14" s="467" cm="1">
        <f t="array" ref="A14">+IFERROR(INDEX('Conteo 18-02-26'!$B:$B,MATCH(1,('Conteo 18-02-26'!$E:$E=$B14)*('Conteo 18-02-26'!$A:$A="Bella Vista"),0)),"")</f>
        <v>1106500</v>
      </c>
      <c r="B14" s="469">
        <v>1</v>
      </c>
      <c r="C14" s="471" t="str" cm="1">
        <f t="array" ref="C14">+IFERROR(INDEX('Conteo 18-02-26'!$C:$C,MATCH(1,('Conteo 18-02-26'!$E:$E=$B14)*('Conteo 18-02-26'!$A:$A="Bella Vista"),0)),"")</f>
        <v>Tapita Aluminio</v>
      </c>
      <c r="D14" s="471" cm="1">
        <f t="array" ref="D14">+IFERROR(INDEX('Conteo 18-02-26'!$D:$D,MATCH(1,('Conteo 18-02-26'!$E:$E=$B14)*('Conteo 18-02-26'!A:A:'Conteo 18-02-26'!$A:$A="Bella Vista"),0)),"")</f>
        <v>40</v>
      </c>
      <c r="E14" s="427" t="str">
        <f>+IF(E13="LK","CH",IF(D14="","",IF(D14&gt;0,"LK","CH")))</f>
        <v>LK</v>
      </c>
      <c r="F14" s="427">
        <f>+IF(OR(E14="LK"),ROUNDUP(D14*(VLOOKUP(B14,'Conteo 18-02-26'!$E:$AN,35,0))/100,0),IF(E14="CH",D13-F13,""))</f>
        <v>28</v>
      </c>
      <c r="G14" s="469"/>
      <c r="H14" s="428"/>
      <c r="I14" s="429"/>
      <c r="J14" s="428"/>
      <c r="K14" s="429"/>
      <c r="L14" s="428"/>
      <c r="M14" s="430"/>
      <c r="O14" s="431"/>
    </row>
    <row r="15" spans="1:15" ht="33.6" customHeight="1" x14ac:dyDescent="0.2">
      <c r="A15" s="468"/>
      <c r="B15" s="470"/>
      <c r="C15" s="472"/>
      <c r="D15" s="472"/>
      <c r="E15" s="427" t="str">
        <f t="shared" ref="E15:E43" si="0">+IF(E14="LK","CH",IF(D15="","",IF(D15&gt;0,"LK","CH")))</f>
        <v>CH</v>
      </c>
      <c r="F15" s="432">
        <f>+IF(OR(E15="LK"),ROUNDUP(D15*(VLOOKUP(B15,'Conteo 18-02-26'!$E:$AN,35,0))/100,0),IF(E15="CH",D14-F14,""))</f>
        <v>12</v>
      </c>
      <c r="G15" s="470"/>
      <c r="H15" s="433"/>
      <c r="I15" s="434"/>
      <c r="J15" s="433"/>
      <c r="K15" s="434"/>
      <c r="L15" s="433"/>
      <c r="M15" s="435"/>
    </row>
    <row r="16" spans="1:15" ht="33.6" customHeight="1" x14ac:dyDescent="0.2">
      <c r="A16" s="485" t="str" cm="1">
        <f t="array" ref="A16">+IFERROR(INDEX('Conteo 18-02-26'!$B:$B,MATCH(1,('Conteo 18-02-26'!$E:$E=$B16)*('Conteo 18-02-26'!$A:$A="Bella Vista"),0)),"")</f>
        <v/>
      </c>
      <c r="B16" s="470">
        <f>+B14+1</f>
        <v>2</v>
      </c>
      <c r="C16" s="472" t="str" cm="1">
        <f t="array" ref="C16">+IFERROR(INDEX('Conteo 18-02-26'!$C:$C,MATCH(1,('Conteo 18-02-26'!$E:$E=$B16)*('Conteo 18-02-26'!$A:$A="Bella Vista"),0)),"")</f>
        <v/>
      </c>
      <c r="D16" s="470" t="str" cm="1">
        <f t="array" ref="D16">+IFERROR(INDEX('Conteo 18-02-26'!$D:$D,MATCH(1,('Conteo 18-02-26'!$E:$E=$B16)*('Conteo 18-02-26'!A:A:'Conteo 18-02-26'!$A:$A="Bella Vista"),0)),"")</f>
        <v/>
      </c>
      <c r="E16" s="427" t="str">
        <f t="shared" si="0"/>
        <v/>
      </c>
      <c r="F16" s="432" t="str">
        <f>+IF(OR(E16="LK"),ROUNDUP(D16*(VLOOKUP(B16,'Conteo 18-02-26'!$E:$AN,35,0))/100,0),IF(E16="CH",D15-F15,""))</f>
        <v/>
      </c>
      <c r="G16" s="470"/>
      <c r="H16" s="434"/>
      <c r="I16" s="434"/>
      <c r="J16" s="434"/>
      <c r="K16" s="434"/>
      <c r="L16" s="434"/>
      <c r="M16" s="435"/>
    </row>
    <row r="17" spans="1:13" ht="33.6" customHeight="1" x14ac:dyDescent="0.2">
      <c r="A17" s="485"/>
      <c r="B17" s="470"/>
      <c r="C17" s="472"/>
      <c r="D17" s="470"/>
      <c r="E17" s="427" t="str">
        <f t="shared" si="0"/>
        <v/>
      </c>
      <c r="F17" s="432" t="str">
        <f>+IF(OR(E17="LK"),ROUNDUP(D17*(VLOOKUP(B17,'Conteo 18-02-26'!$E:$AN,35,0))/100,0),IF(E17="CH",D16-F16,""))</f>
        <v/>
      </c>
      <c r="G17" s="470"/>
      <c r="H17" s="434"/>
      <c r="I17" s="434"/>
      <c r="J17" s="434"/>
      <c r="K17" s="434"/>
      <c r="L17" s="434"/>
      <c r="M17" s="435"/>
    </row>
    <row r="18" spans="1:13" ht="33.6" customHeight="1" x14ac:dyDescent="0.2">
      <c r="A18" s="485" t="str" cm="1">
        <f t="array" ref="A18">+IFERROR(INDEX('Conteo 18-02-26'!$B:$B,MATCH(1,('Conteo 18-02-26'!$E:$E=$B18)*('Conteo 18-02-26'!$A:$A="Bella Vista"),0)),"")</f>
        <v/>
      </c>
      <c r="B18" s="470">
        <f>+B16+1</f>
        <v>3</v>
      </c>
      <c r="C18" s="472" t="str" cm="1">
        <f t="array" ref="C18">+IFERROR(INDEX('Conteo 18-02-26'!$C:$C,MATCH(1,('Conteo 18-02-26'!$E:$E=$B18)*('Conteo 18-02-26'!$A:$A="Bella Vista"),0)),"")</f>
        <v/>
      </c>
      <c r="D18" s="470" t="str" cm="1">
        <f t="array" ref="D18">+IFERROR(INDEX('Conteo 18-02-26'!$D:$D,MATCH(1,('Conteo 18-02-26'!$E:$E=$B18)*('Conteo 18-02-26'!A:A:'Conteo 18-02-26'!$A:$A="Bella Vista"),0)),"")</f>
        <v/>
      </c>
      <c r="E18" s="427" t="str">
        <f t="shared" si="0"/>
        <v/>
      </c>
      <c r="F18" s="432" t="str">
        <f>+IF(OR(E18="LK"),ROUNDUP(D18*(VLOOKUP(B18,'Conteo 18-02-26'!$E:$AN,35,0))/100,0),IF(E18="CH",D17-F17,""))</f>
        <v/>
      </c>
      <c r="G18" s="470"/>
      <c r="H18" s="434"/>
      <c r="I18" s="434"/>
      <c r="J18" s="434"/>
      <c r="K18" s="434"/>
      <c r="L18" s="434"/>
      <c r="M18" s="435"/>
    </row>
    <row r="19" spans="1:13" ht="33.6" customHeight="1" x14ac:dyDescent="0.2">
      <c r="A19" s="485"/>
      <c r="B19" s="470"/>
      <c r="C19" s="472"/>
      <c r="D19" s="470"/>
      <c r="E19" s="427" t="str">
        <f t="shared" si="0"/>
        <v/>
      </c>
      <c r="F19" s="432" t="str">
        <f>+IF(OR(E19="LK"),ROUNDUP(D19*(VLOOKUP(B19,'Conteo 18-02-26'!$E:$AN,35,0))/100,0),IF(E19="CH",D18-F18,""))</f>
        <v/>
      </c>
      <c r="G19" s="470"/>
      <c r="H19" s="434"/>
      <c r="I19" s="434"/>
      <c r="J19" s="434"/>
      <c r="K19" s="434"/>
      <c r="L19" s="434"/>
      <c r="M19" s="435"/>
    </row>
    <row r="20" spans="1:13" ht="33.6" customHeight="1" x14ac:dyDescent="0.2">
      <c r="A20" s="485" t="str" cm="1">
        <f t="array" ref="A20">+IFERROR(INDEX('Conteo 18-02-26'!$B:$B,MATCH(1,('Conteo 18-02-26'!$E:$E=$B20)*('Conteo 18-02-26'!$A:$A="Bella Vista"),0)),"")</f>
        <v/>
      </c>
      <c r="B20" s="470">
        <f>+B18+1</f>
        <v>4</v>
      </c>
      <c r="C20" s="472" t="str" cm="1">
        <f t="array" ref="C20">+IFERROR(INDEX('Conteo 18-02-26'!$C:$C,MATCH(1,('Conteo 18-02-26'!$E:$E=$B20)*('Conteo 18-02-26'!$A:$A="Bella Vista"),0)),"")</f>
        <v/>
      </c>
      <c r="D20" s="470" t="str" cm="1">
        <f t="array" ref="D20">+IFERROR(INDEX('Conteo 18-02-26'!$D:$D,MATCH(1,('Conteo 18-02-26'!$E:$E=$B20)*('Conteo 18-02-26'!A:A:'Conteo 18-02-26'!$A:$A="Bella Vista"),0)),"")</f>
        <v/>
      </c>
      <c r="E20" s="427" t="str">
        <f t="shared" si="0"/>
        <v/>
      </c>
      <c r="F20" s="432" t="str">
        <f>+IF(OR(E20="LK"),ROUNDUP(D20*(VLOOKUP(B20,'Conteo 18-02-26'!$E:$AN,35,0))/100,0),IF(E20="CH",D19-F19,""))</f>
        <v/>
      </c>
      <c r="G20" s="470"/>
      <c r="H20" s="434"/>
      <c r="I20" s="434"/>
      <c r="J20" s="434"/>
      <c r="K20" s="434"/>
      <c r="L20" s="434"/>
      <c r="M20" s="435"/>
    </row>
    <row r="21" spans="1:13" ht="33.6" customHeight="1" x14ac:dyDescent="0.2">
      <c r="A21" s="485"/>
      <c r="B21" s="470"/>
      <c r="C21" s="472"/>
      <c r="D21" s="470"/>
      <c r="E21" s="427" t="str">
        <f t="shared" si="0"/>
        <v/>
      </c>
      <c r="F21" s="432" t="str">
        <f>+IF(OR(E21="LK"),ROUNDUP(D21*(VLOOKUP(B21,'Conteo 18-02-26'!$E:$AN,35,0))/100,0),IF(E21="CH",D20-F20,""))</f>
        <v/>
      </c>
      <c r="G21" s="470"/>
      <c r="H21" s="434"/>
      <c r="I21" s="434"/>
      <c r="J21" s="434"/>
      <c r="K21" s="434"/>
      <c r="L21" s="434"/>
      <c r="M21" s="435"/>
    </row>
    <row r="22" spans="1:13" ht="33.6" customHeight="1" x14ac:dyDescent="0.2">
      <c r="A22" s="485" t="str" cm="1">
        <f t="array" ref="A22">+IFERROR(INDEX('Conteo 18-02-26'!$B:$B,MATCH(1,('Conteo 18-02-26'!$E:$E=$B22)*('Conteo 18-02-26'!$A:$A="Bella Vista"),0)),"")</f>
        <v/>
      </c>
      <c r="B22" s="470">
        <f>+B20+1</f>
        <v>5</v>
      </c>
      <c r="C22" s="472" t="str" cm="1">
        <f t="array" ref="C22">+IFERROR(INDEX('Conteo 18-02-26'!$C:$C,MATCH(1,('Conteo 18-02-26'!$E:$E=$B22)*('Conteo 18-02-26'!$A:$A="Bella Vista"),0)),"")</f>
        <v/>
      </c>
      <c r="D22" s="470" t="str" cm="1">
        <f t="array" ref="D22">+IFERROR(INDEX('Conteo 18-02-26'!$D:$D,MATCH(1,('Conteo 18-02-26'!$E:$E=$B22)*('Conteo 18-02-26'!A:A:'Conteo 18-02-26'!$A:$A="Bella Vista"),0)),"")</f>
        <v/>
      </c>
      <c r="E22" s="427" t="str">
        <f t="shared" si="0"/>
        <v/>
      </c>
      <c r="F22" s="432" t="str">
        <f>+IF(OR(E22="LK"),ROUNDUP(D22*(VLOOKUP(B22,'Conteo 18-02-26'!$E:$AN,35,0))/100,0),IF(E22="CH",D21-F21,""))</f>
        <v/>
      </c>
      <c r="G22" s="470"/>
      <c r="H22" s="434"/>
      <c r="I22" s="434"/>
      <c r="J22" s="434"/>
      <c r="K22" s="434"/>
      <c r="L22" s="434"/>
      <c r="M22" s="435"/>
    </row>
    <row r="23" spans="1:13" ht="33.6" customHeight="1" x14ac:dyDescent="0.2">
      <c r="A23" s="485"/>
      <c r="B23" s="470"/>
      <c r="C23" s="472"/>
      <c r="D23" s="470"/>
      <c r="E23" s="427" t="str">
        <f t="shared" si="0"/>
        <v/>
      </c>
      <c r="F23" s="432" t="str">
        <f>+IF(OR(E23="LK"),ROUNDUP(D23*(VLOOKUP(B23,'Conteo 18-02-26'!$E:$AN,35,0))/100,0),IF(E23="CH",D22-F22,""))</f>
        <v/>
      </c>
      <c r="G23" s="470"/>
      <c r="H23" s="434"/>
      <c r="I23" s="434"/>
      <c r="J23" s="434"/>
      <c r="K23" s="434"/>
      <c r="L23" s="434"/>
      <c r="M23" s="435"/>
    </row>
    <row r="24" spans="1:13" ht="33.6" customHeight="1" x14ac:dyDescent="0.2">
      <c r="A24" s="485" t="str" cm="1">
        <f t="array" ref="A24">+IFERROR(INDEX('Conteo 18-02-26'!$B:$B,MATCH(1,('Conteo 18-02-26'!$E:$E=$B24)*('Conteo 18-02-26'!$A:$A="Bella Vista"),0)),"")</f>
        <v/>
      </c>
      <c r="B24" s="470">
        <f>+B22+1</f>
        <v>6</v>
      </c>
      <c r="C24" s="472" t="str" cm="1">
        <f t="array" ref="C24">+IFERROR(INDEX('Conteo 18-02-26'!$C:$C,MATCH(1,('Conteo 18-02-26'!$E:$E=$B24)*('Conteo 18-02-26'!$A:$A="Bella Vista"),0)),"")</f>
        <v/>
      </c>
      <c r="D24" s="470" t="str" cm="1">
        <f t="array" ref="D24">+IFERROR(INDEX('Conteo 18-02-26'!$D:$D,MATCH(1,('Conteo 18-02-26'!$E:$E=$B24)*('Conteo 18-02-26'!A:A:'Conteo 18-02-26'!$A:$A="Bella Vista"),0)),"")</f>
        <v/>
      </c>
      <c r="E24" s="427" t="str">
        <f t="shared" si="0"/>
        <v/>
      </c>
      <c r="F24" s="432" t="str">
        <f>+IF(OR(E24="LK"),ROUNDUP(D24*(VLOOKUP(B24,'Conteo 18-02-26'!$E:$AN,35,0))/100,0),IF(E24="CH",D23-F23,""))</f>
        <v/>
      </c>
      <c r="G24" s="470"/>
      <c r="H24" s="434"/>
      <c r="I24" s="434"/>
      <c r="J24" s="434"/>
      <c r="K24" s="434"/>
      <c r="L24" s="434"/>
      <c r="M24" s="435"/>
    </row>
    <row r="25" spans="1:13" ht="33.6" customHeight="1" x14ac:dyDescent="0.2">
      <c r="A25" s="485"/>
      <c r="B25" s="470"/>
      <c r="C25" s="472"/>
      <c r="D25" s="470"/>
      <c r="E25" s="427" t="str">
        <f t="shared" si="0"/>
        <v/>
      </c>
      <c r="F25" s="432" t="str">
        <f>+IF(OR(E25="LK"),ROUNDUP(D25*(VLOOKUP(B25,'Conteo 18-02-26'!$E:$AN,35,0))/100,0),IF(E25="CH",D24-F24,""))</f>
        <v/>
      </c>
      <c r="G25" s="470"/>
      <c r="H25" s="434"/>
      <c r="I25" s="434"/>
      <c r="J25" s="434"/>
      <c r="K25" s="434"/>
      <c r="L25" s="434"/>
      <c r="M25" s="435"/>
    </row>
    <row r="26" spans="1:13" ht="33.6" customHeight="1" x14ac:dyDescent="0.2">
      <c r="A26" s="485" t="str" cm="1">
        <f t="array" ref="A26">+IFERROR(INDEX('Conteo 18-02-26'!$B:$B,MATCH(1,('Conteo 18-02-26'!$E:$E=$B26)*('Conteo 18-02-26'!$A:$A="Bella Vista"),0)),"")</f>
        <v/>
      </c>
      <c r="B26" s="470">
        <f>+B24+1</f>
        <v>7</v>
      </c>
      <c r="C26" s="472" t="str" cm="1">
        <f t="array" ref="C26">+IFERROR(INDEX('Conteo 18-02-26'!$C:$C,MATCH(1,('Conteo 18-02-26'!$E:$E=$B26)*('Conteo 18-02-26'!$A:$A="Bella Vista"),0)),"")</f>
        <v/>
      </c>
      <c r="D26" s="470" t="str" cm="1">
        <f t="array" ref="D26">+IFERROR(INDEX('Conteo 18-02-26'!$D:$D,MATCH(1,('Conteo 18-02-26'!$E:$E=$B26)*('Conteo 18-02-26'!A:A:'Conteo 18-02-26'!$A:$A="Bella Vista"),0)),"")</f>
        <v/>
      </c>
      <c r="E26" s="427" t="str">
        <f t="shared" si="0"/>
        <v/>
      </c>
      <c r="F26" s="432" t="str">
        <f>+IF(OR(E26="LK"),ROUNDUP(D26*(VLOOKUP(B26,'Conteo 18-02-26'!$E:$AN,35,0))/100,0),IF(E26="CH",D25-F25,""))</f>
        <v/>
      </c>
      <c r="G26" s="470"/>
      <c r="H26" s="434"/>
      <c r="I26" s="434"/>
      <c r="J26" s="434"/>
      <c r="K26" s="434"/>
      <c r="L26" s="434"/>
      <c r="M26" s="435"/>
    </row>
    <row r="27" spans="1:13" ht="33.6" customHeight="1" x14ac:dyDescent="0.2">
      <c r="A27" s="485"/>
      <c r="B27" s="470"/>
      <c r="C27" s="472"/>
      <c r="D27" s="470"/>
      <c r="E27" s="427" t="str">
        <f t="shared" si="0"/>
        <v/>
      </c>
      <c r="F27" s="432" t="str">
        <f>+IF(OR(E27="LK"),ROUNDUP(D27*(VLOOKUP(B27,'Conteo 18-02-26'!$E:$AN,35,0))/100,0),IF(E27="CH",D26-F26,""))</f>
        <v/>
      </c>
      <c r="G27" s="470"/>
      <c r="H27" s="434"/>
      <c r="I27" s="434"/>
      <c r="J27" s="434"/>
      <c r="K27" s="434"/>
      <c r="L27" s="434"/>
      <c r="M27" s="435"/>
    </row>
    <row r="28" spans="1:13" ht="33.6" customHeight="1" x14ac:dyDescent="0.2">
      <c r="A28" s="485" t="str" cm="1">
        <f t="array" ref="A28">+IFERROR(INDEX('Conteo 18-02-26'!$B:$B,MATCH(1,('Conteo 18-02-26'!$E:$E=$B28)*('Conteo 18-02-26'!$A:$A="Bella Vista"),0)),"")</f>
        <v/>
      </c>
      <c r="B28" s="470">
        <f>+B26+1</f>
        <v>8</v>
      </c>
      <c r="C28" s="472" t="str" cm="1">
        <f t="array" ref="C28">+IFERROR(INDEX('Conteo 18-02-26'!$C:$C,MATCH(1,('Conteo 18-02-26'!$E:$E=$B28)*('Conteo 18-02-26'!$A:$A="Bella Vista"),0)),"")</f>
        <v/>
      </c>
      <c r="D28" s="470" t="str" cm="1">
        <f t="array" ref="D28">+IFERROR(INDEX('Conteo 18-02-26'!$D:$D,MATCH(1,('Conteo 18-02-26'!$E:$E=$B28)*('Conteo 18-02-26'!A:A:'Conteo 18-02-26'!$A:$A="Bella Vista"),0)),"")</f>
        <v/>
      </c>
      <c r="E28" s="427" t="str">
        <f t="shared" si="0"/>
        <v/>
      </c>
      <c r="F28" s="432" t="str">
        <f>+IF(OR(E28="LK"),ROUNDUP(D28*(VLOOKUP(B28,'Conteo 18-02-26'!$E:$AN,35,0))/100,0),IF(E28="CH",D27-F27,""))</f>
        <v/>
      </c>
      <c r="G28" s="470"/>
      <c r="H28" s="434"/>
      <c r="I28" s="434"/>
      <c r="J28" s="434"/>
      <c r="K28" s="434"/>
      <c r="L28" s="434"/>
      <c r="M28" s="435"/>
    </row>
    <row r="29" spans="1:13" ht="33.6" customHeight="1" x14ac:dyDescent="0.2">
      <c r="A29" s="485"/>
      <c r="B29" s="470"/>
      <c r="C29" s="472"/>
      <c r="D29" s="470"/>
      <c r="E29" s="427" t="str">
        <f t="shared" si="0"/>
        <v/>
      </c>
      <c r="F29" s="432" t="str">
        <f>+IF(OR(E29="LK"),ROUNDUP(D29*(VLOOKUP(B29,'Conteo 18-02-26'!$E:$AN,35,0))/100,0),IF(E29="CH",D28-F28,""))</f>
        <v/>
      </c>
      <c r="G29" s="470"/>
      <c r="H29" s="434"/>
      <c r="I29" s="434"/>
      <c r="J29" s="434"/>
      <c r="K29" s="434"/>
      <c r="L29" s="434"/>
      <c r="M29" s="435"/>
    </row>
    <row r="30" spans="1:13" ht="33.6" customHeight="1" x14ac:dyDescent="0.2">
      <c r="A30" s="485" t="str" cm="1">
        <f t="array" ref="A30">+IFERROR(INDEX('Conteo 18-02-26'!$B:$B,MATCH(1,('Conteo 18-02-26'!$E:$E=$B30)*('Conteo 18-02-26'!$A:$A="Bella Vista"),0)),"")</f>
        <v/>
      </c>
      <c r="B30" s="470">
        <f>+B28+1</f>
        <v>9</v>
      </c>
      <c r="C30" s="472" t="str" cm="1">
        <f t="array" ref="C30">+IFERROR(INDEX('Conteo 18-02-26'!$C:$C,MATCH(1,('Conteo 18-02-26'!$E:$E=$B30)*('Conteo 18-02-26'!$A:$A="Bella Vista"),0)),"")</f>
        <v/>
      </c>
      <c r="D30" s="470" t="str" cm="1">
        <f t="array" ref="D30">+IFERROR(INDEX('Conteo 18-02-26'!$D:$D,MATCH(1,('Conteo 18-02-26'!$E:$E=$B30)*('Conteo 18-02-26'!A:A:'Conteo 18-02-26'!$A:$A="Bella Vista"),0)),"")</f>
        <v/>
      </c>
      <c r="E30" s="427" t="str">
        <f t="shared" si="0"/>
        <v/>
      </c>
      <c r="F30" s="432" t="str">
        <f>+IF(OR(E30="LK"),ROUNDUP(D30*(VLOOKUP(B30,'Conteo 18-02-26'!$E:$AN,35,0))/100,0),IF(E30="CH",D29-F29,""))</f>
        <v/>
      </c>
      <c r="G30" s="470"/>
      <c r="H30" s="434"/>
      <c r="I30" s="434"/>
      <c r="J30" s="434"/>
      <c r="K30" s="434"/>
      <c r="L30" s="434"/>
      <c r="M30" s="435"/>
    </row>
    <row r="31" spans="1:13" ht="33.6" customHeight="1" x14ac:dyDescent="0.2">
      <c r="A31" s="485"/>
      <c r="B31" s="470"/>
      <c r="C31" s="472"/>
      <c r="D31" s="470"/>
      <c r="E31" s="427" t="str">
        <f t="shared" si="0"/>
        <v/>
      </c>
      <c r="F31" s="432" t="str">
        <f>+IF(OR(E31="LK"),ROUNDUP(D31*(VLOOKUP(B31,'Conteo 18-02-26'!$E:$AN,35,0))/100,0),IF(E31="CH",D30-F30,""))</f>
        <v/>
      </c>
      <c r="G31" s="470"/>
      <c r="H31" s="434"/>
      <c r="I31" s="434"/>
      <c r="J31" s="434"/>
      <c r="K31" s="434"/>
      <c r="L31" s="434"/>
      <c r="M31" s="435"/>
    </row>
    <row r="32" spans="1:13" ht="33.6" customHeight="1" x14ac:dyDescent="0.2">
      <c r="A32" s="485" t="str" cm="1">
        <f t="array" ref="A32">+IFERROR(INDEX('Conteo 18-02-26'!$B:$B,MATCH(1,('Conteo 18-02-26'!$E:$E=$B32)*('Conteo 18-02-26'!$A:$A="Bella Vista"),0)),"")</f>
        <v/>
      </c>
      <c r="B32" s="470">
        <f>+B30+1</f>
        <v>10</v>
      </c>
      <c r="C32" s="472" t="str" cm="1">
        <f t="array" ref="C32">+IFERROR(INDEX('Conteo 18-02-26'!$C:$C,MATCH(1,('Conteo 18-02-26'!$E:$E=$B32)*('Conteo 18-02-26'!$A:$A="Bella Vista"),0)),"")</f>
        <v/>
      </c>
      <c r="D32" s="470" t="str" cm="1">
        <f t="array" ref="D32">+IFERROR(INDEX('Conteo 18-02-26'!$D:$D,MATCH(1,('Conteo 18-02-26'!$E:$E=$B32)*('Conteo 18-02-26'!A:A:'Conteo 18-02-26'!$A:$A="Bella Vista"),0)),"")</f>
        <v/>
      </c>
      <c r="E32" s="427" t="str">
        <f t="shared" si="0"/>
        <v/>
      </c>
      <c r="F32" s="432" t="str">
        <f>+IF(OR(E32="LK"),ROUNDUP(D32*(VLOOKUP(B32,'Conteo 18-02-26'!$E:$AN,35,0))/100,0),IF(E32="CH",D31-F31,""))</f>
        <v/>
      </c>
      <c r="G32" s="470"/>
      <c r="H32" s="434"/>
      <c r="I32" s="434"/>
      <c r="J32" s="434"/>
      <c r="K32" s="434"/>
      <c r="L32" s="434"/>
      <c r="M32" s="435"/>
    </row>
    <row r="33" spans="1:13" ht="33.6" customHeight="1" x14ac:dyDescent="0.2">
      <c r="A33" s="485"/>
      <c r="B33" s="470"/>
      <c r="C33" s="472"/>
      <c r="D33" s="470"/>
      <c r="E33" s="427" t="str">
        <f t="shared" si="0"/>
        <v/>
      </c>
      <c r="F33" s="432" t="str">
        <f>+IF(OR(E33="LK"),ROUNDUP(D33*(VLOOKUP(B33,'Conteo 18-02-26'!$E:$AN,35,0))/100,0),IF(E33="CH",D32-F32,""))</f>
        <v/>
      </c>
      <c r="G33" s="470"/>
      <c r="H33" s="434"/>
      <c r="I33" s="434"/>
      <c r="J33" s="434"/>
      <c r="K33" s="434"/>
      <c r="L33" s="434"/>
      <c r="M33" s="435"/>
    </row>
    <row r="34" spans="1:13" ht="33.6" customHeight="1" x14ac:dyDescent="0.2">
      <c r="A34" s="485" t="str" cm="1">
        <f t="array" ref="A34">+IFERROR(INDEX('Conteo 18-02-26'!$B:$B,MATCH(1,('Conteo 18-02-26'!$E:$E=$B34)*('Conteo 18-02-26'!$A:$A="Bella Vista"),0)),"")</f>
        <v/>
      </c>
      <c r="B34" s="470">
        <f>+B32+1</f>
        <v>11</v>
      </c>
      <c r="C34" s="472" t="str" cm="1">
        <f t="array" ref="C34">+IFERROR(INDEX('Conteo 18-02-26'!$C:$C,MATCH(1,('Conteo 18-02-26'!$E:$E=$B34)*('Conteo 18-02-26'!$A:$A="Bella Vista"),0)),"")</f>
        <v/>
      </c>
      <c r="D34" s="470" t="str" cm="1">
        <f t="array" ref="D34">+IFERROR(INDEX('Conteo 18-02-26'!$D:$D,MATCH(1,('Conteo 18-02-26'!$E:$E=$B34)*('Conteo 18-02-26'!A:A:'Conteo 18-02-26'!$A:$A="Bella Vista"),0)),"")</f>
        <v/>
      </c>
      <c r="E34" s="427" t="str">
        <f t="shared" si="0"/>
        <v/>
      </c>
      <c r="F34" s="432" t="str">
        <f>+IF(OR(E34="LK"),ROUNDUP(D34*(VLOOKUP(B34,'Conteo 18-02-26'!$E:$AN,35,0))/100,0),IF(E34="CH",D33-F33,""))</f>
        <v/>
      </c>
      <c r="G34" s="470"/>
      <c r="H34" s="434"/>
      <c r="I34" s="434"/>
      <c r="J34" s="434"/>
      <c r="K34" s="434"/>
      <c r="L34" s="434"/>
      <c r="M34" s="435"/>
    </row>
    <row r="35" spans="1:13" ht="33.6" customHeight="1" thickBot="1" x14ac:dyDescent="0.25">
      <c r="A35" s="486"/>
      <c r="B35" s="487"/>
      <c r="C35" s="488"/>
      <c r="D35" s="487"/>
      <c r="E35" s="427" t="str">
        <f t="shared" si="0"/>
        <v/>
      </c>
      <c r="F35" s="432" t="str">
        <f>+IF(OR(E35="LK"),ROUNDUP(D35*(VLOOKUP(B35,'Conteo 18-02-26'!$E:$AN,35,0))/100,0),IF(E35="CH",D34-F34,""))</f>
        <v/>
      </c>
      <c r="G35" s="487"/>
      <c r="H35" s="436"/>
      <c r="I35" s="436"/>
      <c r="J35" s="436"/>
      <c r="K35" s="436"/>
      <c r="L35" s="436"/>
      <c r="M35" s="437"/>
    </row>
    <row r="36" spans="1:13" ht="33.6" customHeight="1" x14ac:dyDescent="0.2">
      <c r="A36" s="490" t="str" cm="1">
        <f t="array" ref="A36">+IFERROR(INDEX('Conteo 18-02-26'!$B:$B,MATCH(1,('Conteo 18-02-26'!$E:$E=$B36)*('Conteo 18-02-26'!$A:$A="Bella Vista"),0)),"")</f>
        <v/>
      </c>
      <c r="B36" s="491">
        <f>+B34+1</f>
        <v>12</v>
      </c>
      <c r="C36" s="492" t="str" cm="1">
        <f t="array" ref="C36">+IFERROR(INDEX('Conteo 18-02-26'!$C:$C,MATCH(1,('Conteo 18-02-26'!$E:$E=$B36)*('Conteo 18-02-26'!$A:$A="Bella Vista"),0)),"")</f>
        <v/>
      </c>
      <c r="D36" s="491" t="str" cm="1">
        <f t="array" ref="D36">+IFERROR(INDEX('Conteo 18-02-26'!$D:$D,MATCH(1,('Conteo 18-02-26'!$E:$E=$B36)*('Conteo 18-02-26'!A:A:'Conteo 18-02-26'!$A:$A="Bella Vista"),0)),"")</f>
        <v/>
      </c>
      <c r="E36" s="427" t="str">
        <f t="shared" si="0"/>
        <v/>
      </c>
      <c r="F36" s="432" t="str">
        <f>+IF(OR(E36="LK"),ROUNDUP(D36*(VLOOKUP(B36,'Conteo 18-02-26'!$E:$AN,35,0))/100,0),IF(E36="CH",D35-F35,""))</f>
        <v/>
      </c>
      <c r="G36" s="491"/>
      <c r="H36" s="438"/>
      <c r="I36" s="438"/>
      <c r="J36" s="438"/>
      <c r="K36" s="438"/>
      <c r="L36" s="438"/>
      <c r="M36" s="438"/>
    </row>
    <row r="37" spans="1:13" ht="33.6" customHeight="1" x14ac:dyDescent="0.2">
      <c r="A37" s="489"/>
      <c r="B37" s="470"/>
      <c r="C37" s="472"/>
      <c r="D37" s="470"/>
      <c r="E37" s="427" t="str">
        <f t="shared" si="0"/>
        <v/>
      </c>
      <c r="F37" s="432" t="str">
        <f>+IF(OR(E37="LK"),ROUNDUP(D37*(VLOOKUP(B37,'Conteo 18-02-26'!$E:$AN,35,0))/100,0),IF(E37="CH",D36-F36,""))</f>
        <v/>
      </c>
      <c r="G37" s="470"/>
      <c r="H37" s="434"/>
      <c r="I37" s="434"/>
      <c r="J37" s="434"/>
      <c r="K37" s="434"/>
      <c r="L37" s="434"/>
      <c r="M37" s="434"/>
    </row>
    <row r="38" spans="1:13" ht="33.6" customHeight="1" x14ac:dyDescent="0.2">
      <c r="A38" s="489" t="str" cm="1">
        <f t="array" ref="A38">+IFERROR(INDEX('Conteo 18-02-26'!$B:$B,MATCH(1,('Conteo 18-02-26'!$E:$E=$B38)*('Conteo 18-02-26'!$A:$A="Bella Vista"),0)),"")</f>
        <v/>
      </c>
      <c r="B38" s="470">
        <f>+B36+1</f>
        <v>13</v>
      </c>
      <c r="C38" s="472" t="str" cm="1">
        <f t="array" ref="C38">+IFERROR(INDEX('Conteo 18-02-26'!$C:$C,MATCH(1,('Conteo 18-02-26'!$E:$E=$B38)*('Conteo 18-02-26'!$A:$A="Bella Vista"),0)),"")</f>
        <v/>
      </c>
      <c r="D38" s="470" t="str" cm="1">
        <f t="array" ref="D38">+IFERROR(INDEX('Conteo 18-02-26'!$D:$D,MATCH(1,('Conteo 18-02-26'!$E:$E=$B38)*('Conteo 18-02-26'!A:A:'Conteo 18-02-26'!$A:$A="Bella Vista"),0)),"")</f>
        <v/>
      </c>
      <c r="E38" s="427" t="str">
        <f t="shared" si="0"/>
        <v/>
      </c>
      <c r="F38" s="432" t="str">
        <f>+IF(OR(E38="LK"),ROUNDUP(D38*(VLOOKUP(B38,'Conteo 18-02-26'!$E:$AN,35,0))/100,0),IF(E38="CH",D37-F37,""))</f>
        <v/>
      </c>
      <c r="G38" s="470"/>
      <c r="H38" s="434"/>
      <c r="I38" s="434"/>
      <c r="J38" s="434"/>
      <c r="K38" s="434"/>
      <c r="L38" s="434"/>
      <c r="M38" s="434"/>
    </row>
    <row r="39" spans="1:13" ht="33.6" customHeight="1" x14ac:dyDescent="0.2">
      <c r="A39" s="489"/>
      <c r="B39" s="470"/>
      <c r="C39" s="472"/>
      <c r="D39" s="470"/>
      <c r="E39" s="427" t="str">
        <f t="shared" si="0"/>
        <v/>
      </c>
      <c r="F39" s="432" t="str">
        <f>+IF(OR(E39="LK"),ROUNDUP(D39*(VLOOKUP(B39,'Conteo 18-02-26'!$E:$AN,35,0))/100,0),IF(E39="CH",D38-F38,""))</f>
        <v/>
      </c>
      <c r="G39" s="470"/>
      <c r="H39" s="434"/>
      <c r="I39" s="434"/>
      <c r="J39" s="434"/>
      <c r="K39" s="434"/>
      <c r="L39" s="434"/>
      <c r="M39" s="434"/>
    </row>
    <row r="40" spans="1:13" ht="33.6" customHeight="1" x14ac:dyDescent="0.2">
      <c r="A40" s="489" t="str" cm="1">
        <f t="array" ref="A40">+IFERROR(INDEX('Conteo 18-02-26'!$B:$B,MATCH(1,('Conteo 18-02-26'!$E:$E=$B40)*('Conteo 18-02-26'!$A:$A="Bella Vista"),0)),"")</f>
        <v/>
      </c>
      <c r="B40" s="470">
        <f>+B38+1</f>
        <v>14</v>
      </c>
      <c r="C40" s="472" t="str" cm="1">
        <f t="array" ref="C40">+IFERROR(INDEX('Conteo 18-02-26'!$C:$C,MATCH(1,('Conteo 18-02-26'!$E:$E=$B40)*('Conteo 18-02-26'!$A:$A="Bella Vista"),0)),"")</f>
        <v/>
      </c>
      <c r="D40" s="470" t="str" cm="1">
        <f t="array" ref="D40">+IFERROR(INDEX('Conteo 18-02-26'!$D:$D,MATCH(1,('Conteo 18-02-26'!$E:$E=$B40)*('Conteo 18-02-26'!A:A:'Conteo 18-02-26'!$A:$A="Bella Vista"),0)),"")</f>
        <v/>
      </c>
      <c r="E40" s="427" t="str">
        <f t="shared" si="0"/>
        <v/>
      </c>
      <c r="F40" s="432" t="str">
        <f>+IF(OR(E40="LK"),ROUNDUP(D40*(VLOOKUP(B40,'Conteo 18-02-26'!$E:$AN,35,0))/100,0),IF(E40="CH",D39-F39,""))</f>
        <v/>
      </c>
      <c r="G40" s="470"/>
      <c r="H40" s="434"/>
      <c r="I40" s="434"/>
      <c r="J40" s="434"/>
      <c r="K40" s="434"/>
      <c r="L40" s="434"/>
      <c r="M40" s="434"/>
    </row>
    <row r="41" spans="1:13" ht="33.6" customHeight="1" x14ac:dyDescent="0.2">
      <c r="A41" s="489"/>
      <c r="B41" s="470"/>
      <c r="C41" s="472"/>
      <c r="D41" s="470"/>
      <c r="E41" s="427" t="str">
        <f t="shared" si="0"/>
        <v/>
      </c>
      <c r="F41" s="432" t="str">
        <f>+IF(OR(E41="LK"),ROUNDUP(D41*(VLOOKUP(B41,'Conteo 18-02-26'!$E:$AN,35,0))/100,0),IF(E41="CH",D40-F40,""))</f>
        <v/>
      </c>
      <c r="G41" s="470"/>
      <c r="H41" s="434"/>
      <c r="I41" s="434"/>
      <c r="J41" s="434"/>
      <c r="K41" s="434"/>
      <c r="L41" s="434"/>
      <c r="M41" s="434"/>
    </row>
    <row r="42" spans="1:13" ht="33.6" customHeight="1" x14ac:dyDescent="0.2">
      <c r="A42" s="489" t="str" cm="1">
        <f t="array" ref="A42">+IFERROR(INDEX('Conteo 18-02-26'!$B:$B,MATCH(1,('Conteo 18-02-26'!$E:$E=$B42)*('Conteo 18-02-26'!$A:$A="Bella Vista"),0)),"")</f>
        <v/>
      </c>
      <c r="B42" s="470">
        <f>+B40+1</f>
        <v>15</v>
      </c>
      <c r="C42" s="472" t="str" cm="1">
        <f t="array" ref="C42">+IFERROR(INDEX('Conteo 18-02-26'!$C:$C,MATCH(1,('Conteo 18-02-26'!$E:$E=$B42)*('Conteo 18-02-26'!$A:$A="Bella Vista"),0)),"")</f>
        <v/>
      </c>
      <c r="D42" s="470" t="str" cm="1">
        <f t="array" ref="D42">+IFERROR(INDEX('Conteo 18-02-26'!$D:$D,MATCH(1,('Conteo 18-02-26'!$E:$E=$B42)*('Conteo 18-02-26'!A:A:'Conteo 18-02-26'!$A:$A="Bella Vista"),0)),"")</f>
        <v/>
      </c>
      <c r="E42" s="427" t="str">
        <f t="shared" si="0"/>
        <v/>
      </c>
      <c r="F42" s="432" t="str">
        <f>+IF(OR(E42="LK"),ROUNDUP(D42*(VLOOKUP(B42,'Conteo 18-02-26'!$E:$AN,35,0))/100,0),IF(E42="CH",D41-F41,""))</f>
        <v/>
      </c>
      <c r="G42" s="470"/>
      <c r="H42" s="434"/>
      <c r="I42" s="434"/>
      <c r="J42" s="434"/>
      <c r="K42" s="434"/>
      <c r="L42" s="434"/>
      <c r="M42" s="434"/>
    </row>
    <row r="43" spans="1:13" ht="33.6" customHeight="1" x14ac:dyDescent="0.2">
      <c r="A43" s="489"/>
      <c r="B43" s="470"/>
      <c r="C43" s="472"/>
      <c r="D43" s="470"/>
      <c r="E43" s="427" t="str">
        <f t="shared" si="0"/>
        <v/>
      </c>
      <c r="F43" s="432" t="str">
        <f>+IF(OR(E43="LK"),ROUNDUP(D43*(VLOOKUP(B43,'Conteo 18-02-26'!$E:$AN,35,0))/100,0),IF(E43="CH",D42-F42,""))</f>
        <v/>
      </c>
      <c r="G43" s="470"/>
      <c r="H43" s="434"/>
      <c r="I43" s="434"/>
      <c r="J43" s="434"/>
      <c r="K43" s="434"/>
      <c r="L43" s="434"/>
      <c r="M43" s="434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M15" sqref="A1:M15"/>
    </sheetView>
  </sheetViews>
  <sheetFormatPr baseColWidth="10" defaultColWidth="11.5703125" defaultRowHeight="12.75" x14ac:dyDescent="0.2"/>
  <cols>
    <col min="1" max="1" width="11.42578125" style="415" customWidth="1"/>
    <col min="2" max="2" width="6.140625" style="415" customWidth="1"/>
    <col min="3" max="3" width="21.7109375" style="415" customWidth="1"/>
    <col min="4" max="4" width="9.28515625" style="415" customWidth="1"/>
    <col min="5" max="5" width="8.28515625" style="415" customWidth="1"/>
    <col min="6" max="6" width="7.7109375" style="415" customWidth="1"/>
    <col min="7" max="7" width="9.7109375" style="415" customWidth="1"/>
    <col min="8" max="8" width="7.28515625" style="415" customWidth="1"/>
    <col min="9" max="9" width="7.5703125" style="415" customWidth="1"/>
    <col min="10" max="10" width="7.7109375" style="415" customWidth="1"/>
    <col min="11" max="11" width="7" style="415" customWidth="1"/>
    <col min="12" max="12" width="7.7109375" style="415" customWidth="1"/>
    <col min="13" max="13" width="7" style="415" customWidth="1"/>
    <col min="14" max="256" width="11.5703125" style="415"/>
    <col min="257" max="257" width="11.42578125" style="415" customWidth="1"/>
    <col min="258" max="258" width="6.140625" style="415" customWidth="1"/>
    <col min="259" max="259" width="21.7109375" style="415" customWidth="1"/>
    <col min="260" max="260" width="9.28515625" style="415" customWidth="1"/>
    <col min="261" max="261" width="8.28515625" style="415" customWidth="1"/>
    <col min="262" max="262" width="7.7109375" style="415" customWidth="1"/>
    <col min="263" max="263" width="9.7109375" style="415" customWidth="1"/>
    <col min="264" max="264" width="7.28515625" style="415" customWidth="1"/>
    <col min="265" max="265" width="7.5703125" style="415" customWidth="1"/>
    <col min="266" max="266" width="7.7109375" style="415" customWidth="1"/>
    <col min="267" max="267" width="7" style="415" customWidth="1"/>
    <col min="268" max="268" width="7.7109375" style="415" customWidth="1"/>
    <col min="269" max="269" width="7" style="415" customWidth="1"/>
    <col min="270" max="512" width="11.5703125" style="415"/>
    <col min="513" max="513" width="11.42578125" style="415" customWidth="1"/>
    <col min="514" max="514" width="6.140625" style="415" customWidth="1"/>
    <col min="515" max="515" width="21.7109375" style="415" customWidth="1"/>
    <col min="516" max="516" width="9.28515625" style="415" customWidth="1"/>
    <col min="517" max="517" width="8.28515625" style="415" customWidth="1"/>
    <col min="518" max="518" width="7.7109375" style="415" customWidth="1"/>
    <col min="519" max="519" width="9.7109375" style="415" customWidth="1"/>
    <col min="520" max="520" width="7.28515625" style="415" customWidth="1"/>
    <col min="521" max="521" width="7.5703125" style="415" customWidth="1"/>
    <col min="522" max="522" width="7.7109375" style="415" customWidth="1"/>
    <col min="523" max="523" width="7" style="415" customWidth="1"/>
    <col min="524" max="524" width="7.7109375" style="415" customWidth="1"/>
    <col min="525" max="525" width="7" style="415" customWidth="1"/>
    <col min="526" max="768" width="11.5703125" style="415"/>
    <col min="769" max="769" width="11.42578125" style="415" customWidth="1"/>
    <col min="770" max="770" width="6.140625" style="415" customWidth="1"/>
    <col min="771" max="771" width="21.7109375" style="415" customWidth="1"/>
    <col min="772" max="772" width="9.28515625" style="415" customWidth="1"/>
    <col min="773" max="773" width="8.28515625" style="415" customWidth="1"/>
    <col min="774" max="774" width="7.7109375" style="415" customWidth="1"/>
    <col min="775" max="775" width="9.7109375" style="415" customWidth="1"/>
    <col min="776" max="776" width="7.28515625" style="415" customWidth="1"/>
    <col min="777" max="777" width="7.5703125" style="415" customWidth="1"/>
    <col min="778" max="778" width="7.7109375" style="415" customWidth="1"/>
    <col min="779" max="779" width="7" style="415" customWidth="1"/>
    <col min="780" max="780" width="7.7109375" style="415" customWidth="1"/>
    <col min="781" max="781" width="7" style="415" customWidth="1"/>
    <col min="782" max="1024" width="11.5703125" style="415"/>
    <col min="1025" max="1025" width="11.42578125" style="415" customWidth="1"/>
    <col min="1026" max="1026" width="6.140625" style="415" customWidth="1"/>
    <col min="1027" max="1027" width="21.7109375" style="415" customWidth="1"/>
    <col min="1028" max="1028" width="9.28515625" style="415" customWidth="1"/>
    <col min="1029" max="1029" width="8.28515625" style="415" customWidth="1"/>
    <col min="1030" max="1030" width="7.7109375" style="415" customWidth="1"/>
    <col min="1031" max="1031" width="9.7109375" style="415" customWidth="1"/>
    <col min="1032" max="1032" width="7.28515625" style="415" customWidth="1"/>
    <col min="1033" max="1033" width="7.5703125" style="415" customWidth="1"/>
    <col min="1034" max="1034" width="7.7109375" style="415" customWidth="1"/>
    <col min="1035" max="1035" width="7" style="415" customWidth="1"/>
    <col min="1036" max="1036" width="7.7109375" style="415" customWidth="1"/>
    <col min="1037" max="1037" width="7" style="415" customWidth="1"/>
    <col min="1038" max="1280" width="11.5703125" style="415"/>
    <col min="1281" max="1281" width="11.42578125" style="415" customWidth="1"/>
    <col min="1282" max="1282" width="6.140625" style="415" customWidth="1"/>
    <col min="1283" max="1283" width="21.7109375" style="415" customWidth="1"/>
    <col min="1284" max="1284" width="9.28515625" style="415" customWidth="1"/>
    <col min="1285" max="1285" width="8.28515625" style="415" customWidth="1"/>
    <col min="1286" max="1286" width="7.7109375" style="415" customWidth="1"/>
    <col min="1287" max="1287" width="9.7109375" style="415" customWidth="1"/>
    <col min="1288" max="1288" width="7.28515625" style="415" customWidth="1"/>
    <col min="1289" max="1289" width="7.5703125" style="415" customWidth="1"/>
    <col min="1290" max="1290" width="7.7109375" style="415" customWidth="1"/>
    <col min="1291" max="1291" width="7" style="415" customWidth="1"/>
    <col min="1292" max="1292" width="7.7109375" style="415" customWidth="1"/>
    <col min="1293" max="1293" width="7" style="415" customWidth="1"/>
    <col min="1294" max="1536" width="11.5703125" style="415"/>
    <col min="1537" max="1537" width="11.42578125" style="415" customWidth="1"/>
    <col min="1538" max="1538" width="6.140625" style="415" customWidth="1"/>
    <col min="1539" max="1539" width="21.7109375" style="415" customWidth="1"/>
    <col min="1540" max="1540" width="9.28515625" style="415" customWidth="1"/>
    <col min="1541" max="1541" width="8.28515625" style="415" customWidth="1"/>
    <col min="1542" max="1542" width="7.7109375" style="415" customWidth="1"/>
    <col min="1543" max="1543" width="9.7109375" style="415" customWidth="1"/>
    <col min="1544" max="1544" width="7.28515625" style="415" customWidth="1"/>
    <col min="1545" max="1545" width="7.5703125" style="415" customWidth="1"/>
    <col min="1546" max="1546" width="7.7109375" style="415" customWidth="1"/>
    <col min="1547" max="1547" width="7" style="415" customWidth="1"/>
    <col min="1548" max="1548" width="7.7109375" style="415" customWidth="1"/>
    <col min="1549" max="1549" width="7" style="415" customWidth="1"/>
    <col min="1550" max="1792" width="11.5703125" style="415"/>
    <col min="1793" max="1793" width="11.42578125" style="415" customWidth="1"/>
    <col min="1794" max="1794" width="6.140625" style="415" customWidth="1"/>
    <col min="1795" max="1795" width="21.7109375" style="415" customWidth="1"/>
    <col min="1796" max="1796" width="9.28515625" style="415" customWidth="1"/>
    <col min="1797" max="1797" width="8.28515625" style="415" customWidth="1"/>
    <col min="1798" max="1798" width="7.7109375" style="415" customWidth="1"/>
    <col min="1799" max="1799" width="9.7109375" style="415" customWidth="1"/>
    <col min="1800" max="1800" width="7.28515625" style="415" customWidth="1"/>
    <col min="1801" max="1801" width="7.5703125" style="415" customWidth="1"/>
    <col min="1802" max="1802" width="7.7109375" style="415" customWidth="1"/>
    <col min="1803" max="1803" width="7" style="415" customWidth="1"/>
    <col min="1804" max="1804" width="7.7109375" style="415" customWidth="1"/>
    <col min="1805" max="1805" width="7" style="415" customWidth="1"/>
    <col min="1806" max="2048" width="11.5703125" style="415"/>
    <col min="2049" max="2049" width="11.42578125" style="415" customWidth="1"/>
    <col min="2050" max="2050" width="6.140625" style="415" customWidth="1"/>
    <col min="2051" max="2051" width="21.7109375" style="415" customWidth="1"/>
    <col min="2052" max="2052" width="9.28515625" style="415" customWidth="1"/>
    <col min="2053" max="2053" width="8.28515625" style="415" customWidth="1"/>
    <col min="2054" max="2054" width="7.7109375" style="415" customWidth="1"/>
    <col min="2055" max="2055" width="9.7109375" style="415" customWidth="1"/>
    <col min="2056" max="2056" width="7.28515625" style="415" customWidth="1"/>
    <col min="2057" max="2057" width="7.5703125" style="415" customWidth="1"/>
    <col min="2058" max="2058" width="7.7109375" style="415" customWidth="1"/>
    <col min="2059" max="2059" width="7" style="415" customWidth="1"/>
    <col min="2060" max="2060" width="7.7109375" style="415" customWidth="1"/>
    <col min="2061" max="2061" width="7" style="415" customWidth="1"/>
    <col min="2062" max="2304" width="11.5703125" style="415"/>
    <col min="2305" max="2305" width="11.42578125" style="415" customWidth="1"/>
    <col min="2306" max="2306" width="6.140625" style="415" customWidth="1"/>
    <col min="2307" max="2307" width="21.7109375" style="415" customWidth="1"/>
    <col min="2308" max="2308" width="9.28515625" style="415" customWidth="1"/>
    <col min="2309" max="2309" width="8.28515625" style="415" customWidth="1"/>
    <col min="2310" max="2310" width="7.7109375" style="415" customWidth="1"/>
    <col min="2311" max="2311" width="9.7109375" style="415" customWidth="1"/>
    <col min="2312" max="2312" width="7.28515625" style="415" customWidth="1"/>
    <col min="2313" max="2313" width="7.5703125" style="415" customWidth="1"/>
    <col min="2314" max="2314" width="7.7109375" style="415" customWidth="1"/>
    <col min="2315" max="2315" width="7" style="415" customWidth="1"/>
    <col min="2316" max="2316" width="7.7109375" style="415" customWidth="1"/>
    <col min="2317" max="2317" width="7" style="415" customWidth="1"/>
    <col min="2318" max="2560" width="11.5703125" style="415"/>
    <col min="2561" max="2561" width="11.42578125" style="415" customWidth="1"/>
    <col min="2562" max="2562" width="6.140625" style="415" customWidth="1"/>
    <col min="2563" max="2563" width="21.7109375" style="415" customWidth="1"/>
    <col min="2564" max="2564" width="9.28515625" style="415" customWidth="1"/>
    <col min="2565" max="2565" width="8.28515625" style="415" customWidth="1"/>
    <col min="2566" max="2566" width="7.7109375" style="415" customWidth="1"/>
    <col min="2567" max="2567" width="9.7109375" style="415" customWidth="1"/>
    <col min="2568" max="2568" width="7.28515625" style="415" customWidth="1"/>
    <col min="2569" max="2569" width="7.5703125" style="415" customWidth="1"/>
    <col min="2570" max="2570" width="7.7109375" style="415" customWidth="1"/>
    <col min="2571" max="2571" width="7" style="415" customWidth="1"/>
    <col min="2572" max="2572" width="7.7109375" style="415" customWidth="1"/>
    <col min="2573" max="2573" width="7" style="415" customWidth="1"/>
    <col min="2574" max="2816" width="11.5703125" style="415"/>
    <col min="2817" max="2817" width="11.42578125" style="415" customWidth="1"/>
    <col min="2818" max="2818" width="6.140625" style="415" customWidth="1"/>
    <col min="2819" max="2819" width="21.7109375" style="415" customWidth="1"/>
    <col min="2820" max="2820" width="9.28515625" style="415" customWidth="1"/>
    <col min="2821" max="2821" width="8.28515625" style="415" customWidth="1"/>
    <col min="2822" max="2822" width="7.7109375" style="415" customWidth="1"/>
    <col min="2823" max="2823" width="9.7109375" style="415" customWidth="1"/>
    <col min="2824" max="2824" width="7.28515625" style="415" customWidth="1"/>
    <col min="2825" max="2825" width="7.5703125" style="415" customWidth="1"/>
    <col min="2826" max="2826" width="7.7109375" style="415" customWidth="1"/>
    <col min="2827" max="2827" width="7" style="415" customWidth="1"/>
    <col min="2828" max="2828" width="7.7109375" style="415" customWidth="1"/>
    <col min="2829" max="2829" width="7" style="415" customWidth="1"/>
    <col min="2830" max="3072" width="11.5703125" style="415"/>
    <col min="3073" max="3073" width="11.42578125" style="415" customWidth="1"/>
    <col min="3074" max="3074" width="6.140625" style="415" customWidth="1"/>
    <col min="3075" max="3075" width="21.7109375" style="415" customWidth="1"/>
    <col min="3076" max="3076" width="9.28515625" style="415" customWidth="1"/>
    <col min="3077" max="3077" width="8.28515625" style="415" customWidth="1"/>
    <col min="3078" max="3078" width="7.7109375" style="415" customWidth="1"/>
    <col min="3079" max="3079" width="9.7109375" style="415" customWidth="1"/>
    <col min="3080" max="3080" width="7.28515625" style="415" customWidth="1"/>
    <col min="3081" max="3081" width="7.5703125" style="415" customWidth="1"/>
    <col min="3082" max="3082" width="7.7109375" style="415" customWidth="1"/>
    <col min="3083" max="3083" width="7" style="415" customWidth="1"/>
    <col min="3084" max="3084" width="7.7109375" style="415" customWidth="1"/>
    <col min="3085" max="3085" width="7" style="415" customWidth="1"/>
    <col min="3086" max="3328" width="11.5703125" style="415"/>
    <col min="3329" max="3329" width="11.42578125" style="415" customWidth="1"/>
    <col min="3330" max="3330" width="6.140625" style="415" customWidth="1"/>
    <col min="3331" max="3331" width="21.7109375" style="415" customWidth="1"/>
    <col min="3332" max="3332" width="9.28515625" style="415" customWidth="1"/>
    <col min="3333" max="3333" width="8.28515625" style="415" customWidth="1"/>
    <col min="3334" max="3334" width="7.7109375" style="415" customWidth="1"/>
    <col min="3335" max="3335" width="9.7109375" style="415" customWidth="1"/>
    <col min="3336" max="3336" width="7.28515625" style="415" customWidth="1"/>
    <col min="3337" max="3337" width="7.5703125" style="415" customWidth="1"/>
    <col min="3338" max="3338" width="7.7109375" style="415" customWidth="1"/>
    <col min="3339" max="3339" width="7" style="415" customWidth="1"/>
    <col min="3340" max="3340" width="7.7109375" style="415" customWidth="1"/>
    <col min="3341" max="3341" width="7" style="415" customWidth="1"/>
    <col min="3342" max="3584" width="11.5703125" style="415"/>
    <col min="3585" max="3585" width="11.42578125" style="415" customWidth="1"/>
    <col min="3586" max="3586" width="6.140625" style="415" customWidth="1"/>
    <col min="3587" max="3587" width="21.7109375" style="415" customWidth="1"/>
    <col min="3588" max="3588" width="9.28515625" style="415" customWidth="1"/>
    <col min="3589" max="3589" width="8.28515625" style="415" customWidth="1"/>
    <col min="3590" max="3590" width="7.7109375" style="415" customWidth="1"/>
    <col min="3591" max="3591" width="9.7109375" style="415" customWidth="1"/>
    <col min="3592" max="3592" width="7.28515625" style="415" customWidth="1"/>
    <col min="3593" max="3593" width="7.5703125" style="415" customWidth="1"/>
    <col min="3594" max="3594" width="7.7109375" style="415" customWidth="1"/>
    <col min="3595" max="3595" width="7" style="415" customWidth="1"/>
    <col min="3596" max="3596" width="7.7109375" style="415" customWidth="1"/>
    <col min="3597" max="3597" width="7" style="415" customWidth="1"/>
    <col min="3598" max="3840" width="11.5703125" style="415"/>
    <col min="3841" max="3841" width="11.42578125" style="415" customWidth="1"/>
    <col min="3842" max="3842" width="6.140625" style="415" customWidth="1"/>
    <col min="3843" max="3843" width="21.7109375" style="415" customWidth="1"/>
    <col min="3844" max="3844" width="9.28515625" style="415" customWidth="1"/>
    <col min="3845" max="3845" width="8.28515625" style="415" customWidth="1"/>
    <col min="3846" max="3846" width="7.7109375" style="415" customWidth="1"/>
    <col min="3847" max="3847" width="9.7109375" style="415" customWidth="1"/>
    <col min="3848" max="3848" width="7.28515625" style="415" customWidth="1"/>
    <col min="3849" max="3849" width="7.5703125" style="415" customWidth="1"/>
    <col min="3850" max="3850" width="7.7109375" style="415" customWidth="1"/>
    <col min="3851" max="3851" width="7" style="415" customWidth="1"/>
    <col min="3852" max="3852" width="7.7109375" style="415" customWidth="1"/>
    <col min="3853" max="3853" width="7" style="415" customWidth="1"/>
    <col min="3854" max="4096" width="11.5703125" style="415"/>
    <col min="4097" max="4097" width="11.42578125" style="415" customWidth="1"/>
    <col min="4098" max="4098" width="6.140625" style="415" customWidth="1"/>
    <col min="4099" max="4099" width="21.7109375" style="415" customWidth="1"/>
    <col min="4100" max="4100" width="9.28515625" style="415" customWidth="1"/>
    <col min="4101" max="4101" width="8.28515625" style="415" customWidth="1"/>
    <col min="4102" max="4102" width="7.7109375" style="415" customWidth="1"/>
    <col min="4103" max="4103" width="9.7109375" style="415" customWidth="1"/>
    <col min="4104" max="4104" width="7.28515625" style="415" customWidth="1"/>
    <col min="4105" max="4105" width="7.5703125" style="415" customWidth="1"/>
    <col min="4106" max="4106" width="7.7109375" style="415" customWidth="1"/>
    <col min="4107" max="4107" width="7" style="415" customWidth="1"/>
    <col min="4108" max="4108" width="7.7109375" style="415" customWidth="1"/>
    <col min="4109" max="4109" width="7" style="415" customWidth="1"/>
    <col min="4110" max="4352" width="11.5703125" style="415"/>
    <col min="4353" max="4353" width="11.42578125" style="415" customWidth="1"/>
    <col min="4354" max="4354" width="6.140625" style="415" customWidth="1"/>
    <col min="4355" max="4355" width="21.7109375" style="415" customWidth="1"/>
    <col min="4356" max="4356" width="9.28515625" style="415" customWidth="1"/>
    <col min="4357" max="4357" width="8.28515625" style="415" customWidth="1"/>
    <col min="4358" max="4358" width="7.7109375" style="415" customWidth="1"/>
    <col min="4359" max="4359" width="9.7109375" style="415" customWidth="1"/>
    <col min="4360" max="4360" width="7.28515625" style="415" customWidth="1"/>
    <col min="4361" max="4361" width="7.5703125" style="415" customWidth="1"/>
    <col min="4362" max="4362" width="7.7109375" style="415" customWidth="1"/>
    <col min="4363" max="4363" width="7" style="415" customWidth="1"/>
    <col min="4364" max="4364" width="7.7109375" style="415" customWidth="1"/>
    <col min="4365" max="4365" width="7" style="415" customWidth="1"/>
    <col min="4366" max="4608" width="11.5703125" style="415"/>
    <col min="4609" max="4609" width="11.42578125" style="415" customWidth="1"/>
    <col min="4610" max="4610" width="6.140625" style="415" customWidth="1"/>
    <col min="4611" max="4611" width="21.7109375" style="415" customWidth="1"/>
    <col min="4612" max="4612" width="9.28515625" style="415" customWidth="1"/>
    <col min="4613" max="4613" width="8.28515625" style="415" customWidth="1"/>
    <col min="4614" max="4614" width="7.7109375" style="415" customWidth="1"/>
    <col min="4615" max="4615" width="9.7109375" style="415" customWidth="1"/>
    <col min="4616" max="4616" width="7.28515625" style="415" customWidth="1"/>
    <col min="4617" max="4617" width="7.5703125" style="415" customWidth="1"/>
    <col min="4618" max="4618" width="7.7109375" style="415" customWidth="1"/>
    <col min="4619" max="4619" width="7" style="415" customWidth="1"/>
    <col min="4620" max="4620" width="7.7109375" style="415" customWidth="1"/>
    <col min="4621" max="4621" width="7" style="415" customWidth="1"/>
    <col min="4622" max="4864" width="11.5703125" style="415"/>
    <col min="4865" max="4865" width="11.42578125" style="415" customWidth="1"/>
    <col min="4866" max="4866" width="6.140625" style="415" customWidth="1"/>
    <col min="4867" max="4867" width="21.7109375" style="415" customWidth="1"/>
    <col min="4868" max="4868" width="9.28515625" style="415" customWidth="1"/>
    <col min="4869" max="4869" width="8.28515625" style="415" customWidth="1"/>
    <col min="4870" max="4870" width="7.7109375" style="415" customWidth="1"/>
    <col min="4871" max="4871" width="9.7109375" style="415" customWidth="1"/>
    <col min="4872" max="4872" width="7.28515625" style="415" customWidth="1"/>
    <col min="4873" max="4873" width="7.5703125" style="415" customWidth="1"/>
    <col min="4874" max="4874" width="7.7109375" style="415" customWidth="1"/>
    <col min="4875" max="4875" width="7" style="415" customWidth="1"/>
    <col min="4876" max="4876" width="7.7109375" style="415" customWidth="1"/>
    <col min="4877" max="4877" width="7" style="415" customWidth="1"/>
    <col min="4878" max="5120" width="11.5703125" style="415"/>
    <col min="5121" max="5121" width="11.42578125" style="415" customWidth="1"/>
    <col min="5122" max="5122" width="6.140625" style="415" customWidth="1"/>
    <col min="5123" max="5123" width="21.7109375" style="415" customWidth="1"/>
    <col min="5124" max="5124" width="9.28515625" style="415" customWidth="1"/>
    <col min="5125" max="5125" width="8.28515625" style="415" customWidth="1"/>
    <col min="5126" max="5126" width="7.7109375" style="415" customWidth="1"/>
    <col min="5127" max="5127" width="9.7109375" style="415" customWidth="1"/>
    <col min="5128" max="5128" width="7.28515625" style="415" customWidth="1"/>
    <col min="5129" max="5129" width="7.5703125" style="415" customWidth="1"/>
    <col min="5130" max="5130" width="7.7109375" style="415" customWidth="1"/>
    <col min="5131" max="5131" width="7" style="415" customWidth="1"/>
    <col min="5132" max="5132" width="7.7109375" style="415" customWidth="1"/>
    <col min="5133" max="5133" width="7" style="415" customWidth="1"/>
    <col min="5134" max="5376" width="11.5703125" style="415"/>
    <col min="5377" max="5377" width="11.42578125" style="415" customWidth="1"/>
    <col min="5378" max="5378" width="6.140625" style="415" customWidth="1"/>
    <col min="5379" max="5379" width="21.7109375" style="415" customWidth="1"/>
    <col min="5380" max="5380" width="9.28515625" style="415" customWidth="1"/>
    <col min="5381" max="5381" width="8.28515625" style="415" customWidth="1"/>
    <col min="5382" max="5382" width="7.7109375" style="415" customWidth="1"/>
    <col min="5383" max="5383" width="9.7109375" style="415" customWidth="1"/>
    <col min="5384" max="5384" width="7.28515625" style="415" customWidth="1"/>
    <col min="5385" max="5385" width="7.5703125" style="415" customWidth="1"/>
    <col min="5386" max="5386" width="7.7109375" style="415" customWidth="1"/>
    <col min="5387" max="5387" width="7" style="415" customWidth="1"/>
    <col min="5388" max="5388" width="7.7109375" style="415" customWidth="1"/>
    <col min="5389" max="5389" width="7" style="415" customWidth="1"/>
    <col min="5390" max="5632" width="11.5703125" style="415"/>
    <col min="5633" max="5633" width="11.42578125" style="415" customWidth="1"/>
    <col min="5634" max="5634" width="6.140625" style="415" customWidth="1"/>
    <col min="5635" max="5635" width="21.7109375" style="415" customWidth="1"/>
    <col min="5636" max="5636" width="9.28515625" style="415" customWidth="1"/>
    <col min="5637" max="5637" width="8.28515625" style="415" customWidth="1"/>
    <col min="5638" max="5638" width="7.7109375" style="415" customWidth="1"/>
    <col min="5639" max="5639" width="9.7109375" style="415" customWidth="1"/>
    <col min="5640" max="5640" width="7.28515625" style="415" customWidth="1"/>
    <col min="5641" max="5641" width="7.5703125" style="415" customWidth="1"/>
    <col min="5642" max="5642" width="7.7109375" style="415" customWidth="1"/>
    <col min="5643" max="5643" width="7" style="415" customWidth="1"/>
    <col min="5644" max="5644" width="7.7109375" style="415" customWidth="1"/>
    <col min="5645" max="5645" width="7" style="415" customWidth="1"/>
    <col min="5646" max="5888" width="11.5703125" style="415"/>
    <col min="5889" max="5889" width="11.42578125" style="415" customWidth="1"/>
    <col min="5890" max="5890" width="6.140625" style="415" customWidth="1"/>
    <col min="5891" max="5891" width="21.7109375" style="415" customWidth="1"/>
    <col min="5892" max="5892" width="9.28515625" style="415" customWidth="1"/>
    <col min="5893" max="5893" width="8.28515625" style="415" customWidth="1"/>
    <col min="5894" max="5894" width="7.7109375" style="415" customWidth="1"/>
    <col min="5895" max="5895" width="9.7109375" style="415" customWidth="1"/>
    <col min="5896" max="5896" width="7.28515625" style="415" customWidth="1"/>
    <col min="5897" max="5897" width="7.5703125" style="415" customWidth="1"/>
    <col min="5898" max="5898" width="7.7109375" style="415" customWidth="1"/>
    <col min="5899" max="5899" width="7" style="415" customWidth="1"/>
    <col min="5900" max="5900" width="7.7109375" style="415" customWidth="1"/>
    <col min="5901" max="5901" width="7" style="415" customWidth="1"/>
    <col min="5902" max="6144" width="11.5703125" style="415"/>
    <col min="6145" max="6145" width="11.42578125" style="415" customWidth="1"/>
    <col min="6146" max="6146" width="6.140625" style="415" customWidth="1"/>
    <col min="6147" max="6147" width="21.7109375" style="415" customWidth="1"/>
    <col min="6148" max="6148" width="9.28515625" style="415" customWidth="1"/>
    <col min="6149" max="6149" width="8.28515625" style="415" customWidth="1"/>
    <col min="6150" max="6150" width="7.7109375" style="415" customWidth="1"/>
    <col min="6151" max="6151" width="9.7109375" style="415" customWidth="1"/>
    <col min="6152" max="6152" width="7.28515625" style="415" customWidth="1"/>
    <col min="6153" max="6153" width="7.5703125" style="415" customWidth="1"/>
    <col min="6154" max="6154" width="7.7109375" style="415" customWidth="1"/>
    <col min="6155" max="6155" width="7" style="415" customWidth="1"/>
    <col min="6156" max="6156" width="7.7109375" style="415" customWidth="1"/>
    <col min="6157" max="6157" width="7" style="415" customWidth="1"/>
    <col min="6158" max="6400" width="11.5703125" style="415"/>
    <col min="6401" max="6401" width="11.42578125" style="415" customWidth="1"/>
    <col min="6402" max="6402" width="6.140625" style="415" customWidth="1"/>
    <col min="6403" max="6403" width="21.7109375" style="415" customWidth="1"/>
    <col min="6404" max="6404" width="9.28515625" style="415" customWidth="1"/>
    <col min="6405" max="6405" width="8.28515625" style="415" customWidth="1"/>
    <col min="6406" max="6406" width="7.7109375" style="415" customWidth="1"/>
    <col min="6407" max="6407" width="9.7109375" style="415" customWidth="1"/>
    <col min="6408" max="6408" width="7.28515625" style="415" customWidth="1"/>
    <col min="6409" max="6409" width="7.5703125" style="415" customWidth="1"/>
    <col min="6410" max="6410" width="7.7109375" style="415" customWidth="1"/>
    <col min="6411" max="6411" width="7" style="415" customWidth="1"/>
    <col min="6412" max="6412" width="7.7109375" style="415" customWidth="1"/>
    <col min="6413" max="6413" width="7" style="415" customWidth="1"/>
    <col min="6414" max="6656" width="11.5703125" style="415"/>
    <col min="6657" max="6657" width="11.42578125" style="415" customWidth="1"/>
    <col min="6658" max="6658" width="6.140625" style="415" customWidth="1"/>
    <col min="6659" max="6659" width="21.7109375" style="415" customWidth="1"/>
    <col min="6660" max="6660" width="9.28515625" style="415" customWidth="1"/>
    <col min="6661" max="6661" width="8.28515625" style="415" customWidth="1"/>
    <col min="6662" max="6662" width="7.7109375" style="415" customWidth="1"/>
    <col min="6663" max="6663" width="9.7109375" style="415" customWidth="1"/>
    <col min="6664" max="6664" width="7.28515625" style="415" customWidth="1"/>
    <col min="6665" max="6665" width="7.5703125" style="415" customWidth="1"/>
    <col min="6666" max="6666" width="7.7109375" style="415" customWidth="1"/>
    <col min="6667" max="6667" width="7" style="415" customWidth="1"/>
    <col min="6668" max="6668" width="7.7109375" style="415" customWidth="1"/>
    <col min="6669" max="6669" width="7" style="415" customWidth="1"/>
    <col min="6670" max="6912" width="11.5703125" style="415"/>
    <col min="6913" max="6913" width="11.42578125" style="415" customWidth="1"/>
    <col min="6914" max="6914" width="6.140625" style="415" customWidth="1"/>
    <col min="6915" max="6915" width="21.7109375" style="415" customWidth="1"/>
    <col min="6916" max="6916" width="9.28515625" style="415" customWidth="1"/>
    <col min="6917" max="6917" width="8.28515625" style="415" customWidth="1"/>
    <col min="6918" max="6918" width="7.7109375" style="415" customWidth="1"/>
    <col min="6919" max="6919" width="9.7109375" style="415" customWidth="1"/>
    <col min="6920" max="6920" width="7.28515625" style="415" customWidth="1"/>
    <col min="6921" max="6921" width="7.5703125" style="415" customWidth="1"/>
    <col min="6922" max="6922" width="7.7109375" style="415" customWidth="1"/>
    <col min="6923" max="6923" width="7" style="415" customWidth="1"/>
    <col min="6924" max="6924" width="7.7109375" style="415" customWidth="1"/>
    <col min="6925" max="6925" width="7" style="415" customWidth="1"/>
    <col min="6926" max="7168" width="11.5703125" style="415"/>
    <col min="7169" max="7169" width="11.42578125" style="415" customWidth="1"/>
    <col min="7170" max="7170" width="6.140625" style="415" customWidth="1"/>
    <col min="7171" max="7171" width="21.7109375" style="415" customWidth="1"/>
    <col min="7172" max="7172" width="9.28515625" style="415" customWidth="1"/>
    <col min="7173" max="7173" width="8.28515625" style="415" customWidth="1"/>
    <col min="7174" max="7174" width="7.7109375" style="415" customWidth="1"/>
    <col min="7175" max="7175" width="9.7109375" style="415" customWidth="1"/>
    <col min="7176" max="7176" width="7.28515625" style="415" customWidth="1"/>
    <col min="7177" max="7177" width="7.5703125" style="415" customWidth="1"/>
    <col min="7178" max="7178" width="7.7109375" style="415" customWidth="1"/>
    <col min="7179" max="7179" width="7" style="415" customWidth="1"/>
    <col min="7180" max="7180" width="7.7109375" style="415" customWidth="1"/>
    <col min="7181" max="7181" width="7" style="415" customWidth="1"/>
    <col min="7182" max="7424" width="11.5703125" style="415"/>
    <col min="7425" max="7425" width="11.42578125" style="415" customWidth="1"/>
    <col min="7426" max="7426" width="6.140625" style="415" customWidth="1"/>
    <col min="7427" max="7427" width="21.7109375" style="415" customWidth="1"/>
    <col min="7428" max="7428" width="9.28515625" style="415" customWidth="1"/>
    <col min="7429" max="7429" width="8.28515625" style="415" customWidth="1"/>
    <col min="7430" max="7430" width="7.7109375" style="415" customWidth="1"/>
    <col min="7431" max="7431" width="9.7109375" style="415" customWidth="1"/>
    <col min="7432" max="7432" width="7.28515625" style="415" customWidth="1"/>
    <col min="7433" max="7433" width="7.5703125" style="415" customWidth="1"/>
    <col min="7434" max="7434" width="7.7109375" style="415" customWidth="1"/>
    <col min="7435" max="7435" width="7" style="415" customWidth="1"/>
    <col min="7436" max="7436" width="7.7109375" style="415" customWidth="1"/>
    <col min="7437" max="7437" width="7" style="415" customWidth="1"/>
    <col min="7438" max="7680" width="11.5703125" style="415"/>
    <col min="7681" max="7681" width="11.42578125" style="415" customWidth="1"/>
    <col min="7682" max="7682" width="6.140625" style="415" customWidth="1"/>
    <col min="7683" max="7683" width="21.7109375" style="415" customWidth="1"/>
    <col min="7684" max="7684" width="9.28515625" style="415" customWidth="1"/>
    <col min="7685" max="7685" width="8.28515625" style="415" customWidth="1"/>
    <col min="7686" max="7686" width="7.7109375" style="415" customWidth="1"/>
    <col min="7687" max="7687" width="9.7109375" style="415" customWidth="1"/>
    <col min="7688" max="7688" width="7.28515625" style="415" customWidth="1"/>
    <col min="7689" max="7689" width="7.5703125" style="415" customWidth="1"/>
    <col min="7690" max="7690" width="7.7109375" style="415" customWidth="1"/>
    <col min="7691" max="7691" width="7" style="415" customWidth="1"/>
    <col min="7692" max="7692" width="7.7109375" style="415" customWidth="1"/>
    <col min="7693" max="7693" width="7" style="415" customWidth="1"/>
    <col min="7694" max="7936" width="11.5703125" style="415"/>
    <col min="7937" max="7937" width="11.42578125" style="415" customWidth="1"/>
    <col min="7938" max="7938" width="6.140625" style="415" customWidth="1"/>
    <col min="7939" max="7939" width="21.7109375" style="415" customWidth="1"/>
    <col min="7940" max="7940" width="9.28515625" style="415" customWidth="1"/>
    <col min="7941" max="7941" width="8.28515625" style="415" customWidth="1"/>
    <col min="7942" max="7942" width="7.7109375" style="415" customWidth="1"/>
    <col min="7943" max="7943" width="9.7109375" style="415" customWidth="1"/>
    <col min="7944" max="7944" width="7.28515625" style="415" customWidth="1"/>
    <col min="7945" max="7945" width="7.5703125" style="415" customWidth="1"/>
    <col min="7946" max="7946" width="7.7109375" style="415" customWidth="1"/>
    <col min="7947" max="7947" width="7" style="415" customWidth="1"/>
    <col min="7948" max="7948" width="7.7109375" style="415" customWidth="1"/>
    <col min="7949" max="7949" width="7" style="415" customWidth="1"/>
    <col min="7950" max="8192" width="11.5703125" style="415"/>
    <col min="8193" max="8193" width="11.42578125" style="415" customWidth="1"/>
    <col min="8194" max="8194" width="6.140625" style="415" customWidth="1"/>
    <col min="8195" max="8195" width="21.7109375" style="415" customWidth="1"/>
    <col min="8196" max="8196" width="9.28515625" style="415" customWidth="1"/>
    <col min="8197" max="8197" width="8.28515625" style="415" customWidth="1"/>
    <col min="8198" max="8198" width="7.7109375" style="415" customWidth="1"/>
    <col min="8199" max="8199" width="9.7109375" style="415" customWidth="1"/>
    <col min="8200" max="8200" width="7.28515625" style="415" customWidth="1"/>
    <col min="8201" max="8201" width="7.5703125" style="415" customWidth="1"/>
    <col min="8202" max="8202" width="7.7109375" style="415" customWidth="1"/>
    <col min="8203" max="8203" width="7" style="415" customWidth="1"/>
    <col min="8204" max="8204" width="7.7109375" style="415" customWidth="1"/>
    <col min="8205" max="8205" width="7" style="415" customWidth="1"/>
    <col min="8206" max="8448" width="11.5703125" style="415"/>
    <col min="8449" max="8449" width="11.42578125" style="415" customWidth="1"/>
    <col min="8450" max="8450" width="6.140625" style="415" customWidth="1"/>
    <col min="8451" max="8451" width="21.7109375" style="415" customWidth="1"/>
    <col min="8452" max="8452" width="9.28515625" style="415" customWidth="1"/>
    <col min="8453" max="8453" width="8.28515625" style="415" customWidth="1"/>
    <col min="8454" max="8454" width="7.7109375" style="415" customWidth="1"/>
    <col min="8455" max="8455" width="9.7109375" style="415" customWidth="1"/>
    <col min="8456" max="8456" width="7.28515625" style="415" customWidth="1"/>
    <col min="8457" max="8457" width="7.5703125" style="415" customWidth="1"/>
    <col min="8458" max="8458" width="7.7109375" style="415" customWidth="1"/>
    <col min="8459" max="8459" width="7" style="415" customWidth="1"/>
    <col min="8460" max="8460" width="7.7109375" style="415" customWidth="1"/>
    <col min="8461" max="8461" width="7" style="415" customWidth="1"/>
    <col min="8462" max="8704" width="11.5703125" style="415"/>
    <col min="8705" max="8705" width="11.42578125" style="415" customWidth="1"/>
    <col min="8706" max="8706" width="6.140625" style="415" customWidth="1"/>
    <col min="8707" max="8707" width="21.7109375" style="415" customWidth="1"/>
    <col min="8708" max="8708" width="9.28515625" style="415" customWidth="1"/>
    <col min="8709" max="8709" width="8.28515625" style="415" customWidth="1"/>
    <col min="8710" max="8710" width="7.7109375" style="415" customWidth="1"/>
    <col min="8711" max="8711" width="9.7109375" style="415" customWidth="1"/>
    <col min="8712" max="8712" width="7.28515625" style="415" customWidth="1"/>
    <col min="8713" max="8713" width="7.5703125" style="415" customWidth="1"/>
    <col min="8714" max="8714" width="7.7109375" style="415" customWidth="1"/>
    <col min="8715" max="8715" width="7" style="415" customWidth="1"/>
    <col min="8716" max="8716" width="7.7109375" style="415" customWidth="1"/>
    <col min="8717" max="8717" width="7" style="415" customWidth="1"/>
    <col min="8718" max="8960" width="11.5703125" style="415"/>
    <col min="8961" max="8961" width="11.42578125" style="415" customWidth="1"/>
    <col min="8962" max="8962" width="6.140625" style="415" customWidth="1"/>
    <col min="8963" max="8963" width="21.7109375" style="415" customWidth="1"/>
    <col min="8964" max="8964" width="9.28515625" style="415" customWidth="1"/>
    <col min="8965" max="8965" width="8.28515625" style="415" customWidth="1"/>
    <col min="8966" max="8966" width="7.7109375" style="415" customWidth="1"/>
    <col min="8967" max="8967" width="9.7109375" style="415" customWidth="1"/>
    <col min="8968" max="8968" width="7.28515625" style="415" customWidth="1"/>
    <col min="8969" max="8969" width="7.5703125" style="415" customWidth="1"/>
    <col min="8970" max="8970" width="7.7109375" style="415" customWidth="1"/>
    <col min="8971" max="8971" width="7" style="415" customWidth="1"/>
    <col min="8972" max="8972" width="7.7109375" style="415" customWidth="1"/>
    <col min="8973" max="8973" width="7" style="415" customWidth="1"/>
    <col min="8974" max="9216" width="11.5703125" style="415"/>
    <col min="9217" max="9217" width="11.42578125" style="415" customWidth="1"/>
    <col min="9218" max="9218" width="6.140625" style="415" customWidth="1"/>
    <col min="9219" max="9219" width="21.7109375" style="415" customWidth="1"/>
    <col min="9220" max="9220" width="9.28515625" style="415" customWidth="1"/>
    <col min="9221" max="9221" width="8.28515625" style="415" customWidth="1"/>
    <col min="9222" max="9222" width="7.7109375" style="415" customWidth="1"/>
    <col min="9223" max="9223" width="9.7109375" style="415" customWidth="1"/>
    <col min="9224" max="9224" width="7.28515625" style="415" customWidth="1"/>
    <col min="9225" max="9225" width="7.5703125" style="415" customWidth="1"/>
    <col min="9226" max="9226" width="7.7109375" style="415" customWidth="1"/>
    <col min="9227" max="9227" width="7" style="415" customWidth="1"/>
    <col min="9228" max="9228" width="7.7109375" style="415" customWidth="1"/>
    <col min="9229" max="9229" width="7" style="415" customWidth="1"/>
    <col min="9230" max="9472" width="11.5703125" style="415"/>
    <col min="9473" max="9473" width="11.42578125" style="415" customWidth="1"/>
    <col min="9474" max="9474" width="6.140625" style="415" customWidth="1"/>
    <col min="9475" max="9475" width="21.7109375" style="415" customWidth="1"/>
    <col min="9476" max="9476" width="9.28515625" style="415" customWidth="1"/>
    <col min="9477" max="9477" width="8.28515625" style="415" customWidth="1"/>
    <col min="9478" max="9478" width="7.7109375" style="415" customWidth="1"/>
    <col min="9479" max="9479" width="9.7109375" style="415" customWidth="1"/>
    <col min="9480" max="9480" width="7.28515625" style="415" customWidth="1"/>
    <col min="9481" max="9481" width="7.5703125" style="415" customWidth="1"/>
    <col min="9482" max="9482" width="7.7109375" style="415" customWidth="1"/>
    <col min="9483" max="9483" width="7" style="415" customWidth="1"/>
    <col min="9484" max="9484" width="7.7109375" style="415" customWidth="1"/>
    <col min="9485" max="9485" width="7" style="415" customWidth="1"/>
    <col min="9486" max="9728" width="11.5703125" style="415"/>
    <col min="9729" max="9729" width="11.42578125" style="415" customWidth="1"/>
    <col min="9730" max="9730" width="6.140625" style="415" customWidth="1"/>
    <col min="9731" max="9731" width="21.7109375" style="415" customWidth="1"/>
    <col min="9732" max="9732" width="9.28515625" style="415" customWidth="1"/>
    <col min="9733" max="9733" width="8.28515625" style="415" customWidth="1"/>
    <col min="9734" max="9734" width="7.7109375" style="415" customWidth="1"/>
    <col min="9735" max="9735" width="9.7109375" style="415" customWidth="1"/>
    <col min="9736" max="9736" width="7.28515625" style="415" customWidth="1"/>
    <col min="9737" max="9737" width="7.5703125" style="415" customWidth="1"/>
    <col min="9738" max="9738" width="7.7109375" style="415" customWidth="1"/>
    <col min="9739" max="9739" width="7" style="415" customWidth="1"/>
    <col min="9740" max="9740" width="7.7109375" style="415" customWidth="1"/>
    <col min="9741" max="9741" width="7" style="415" customWidth="1"/>
    <col min="9742" max="9984" width="11.5703125" style="415"/>
    <col min="9985" max="9985" width="11.42578125" style="415" customWidth="1"/>
    <col min="9986" max="9986" width="6.140625" style="415" customWidth="1"/>
    <col min="9987" max="9987" width="21.7109375" style="415" customWidth="1"/>
    <col min="9988" max="9988" width="9.28515625" style="415" customWidth="1"/>
    <col min="9989" max="9989" width="8.28515625" style="415" customWidth="1"/>
    <col min="9990" max="9990" width="7.7109375" style="415" customWidth="1"/>
    <col min="9991" max="9991" width="9.7109375" style="415" customWidth="1"/>
    <col min="9992" max="9992" width="7.28515625" style="415" customWidth="1"/>
    <col min="9993" max="9993" width="7.5703125" style="415" customWidth="1"/>
    <col min="9994" max="9994" width="7.7109375" style="415" customWidth="1"/>
    <col min="9995" max="9995" width="7" style="415" customWidth="1"/>
    <col min="9996" max="9996" width="7.7109375" style="415" customWidth="1"/>
    <col min="9997" max="9997" width="7" style="415" customWidth="1"/>
    <col min="9998" max="10240" width="11.5703125" style="415"/>
    <col min="10241" max="10241" width="11.42578125" style="415" customWidth="1"/>
    <col min="10242" max="10242" width="6.140625" style="415" customWidth="1"/>
    <col min="10243" max="10243" width="21.7109375" style="415" customWidth="1"/>
    <col min="10244" max="10244" width="9.28515625" style="415" customWidth="1"/>
    <col min="10245" max="10245" width="8.28515625" style="415" customWidth="1"/>
    <col min="10246" max="10246" width="7.7109375" style="415" customWidth="1"/>
    <col min="10247" max="10247" width="9.7109375" style="415" customWidth="1"/>
    <col min="10248" max="10248" width="7.28515625" style="415" customWidth="1"/>
    <col min="10249" max="10249" width="7.5703125" style="415" customWidth="1"/>
    <col min="10250" max="10250" width="7.7109375" style="415" customWidth="1"/>
    <col min="10251" max="10251" width="7" style="415" customWidth="1"/>
    <col min="10252" max="10252" width="7.7109375" style="415" customWidth="1"/>
    <col min="10253" max="10253" width="7" style="415" customWidth="1"/>
    <col min="10254" max="10496" width="11.5703125" style="415"/>
    <col min="10497" max="10497" width="11.42578125" style="415" customWidth="1"/>
    <col min="10498" max="10498" width="6.140625" style="415" customWidth="1"/>
    <col min="10499" max="10499" width="21.7109375" style="415" customWidth="1"/>
    <col min="10500" max="10500" width="9.28515625" style="415" customWidth="1"/>
    <col min="10501" max="10501" width="8.28515625" style="415" customWidth="1"/>
    <col min="10502" max="10502" width="7.7109375" style="415" customWidth="1"/>
    <col min="10503" max="10503" width="9.7109375" style="415" customWidth="1"/>
    <col min="10504" max="10504" width="7.28515625" style="415" customWidth="1"/>
    <col min="10505" max="10505" width="7.5703125" style="415" customWidth="1"/>
    <col min="10506" max="10506" width="7.7109375" style="415" customWidth="1"/>
    <col min="10507" max="10507" width="7" style="415" customWidth="1"/>
    <col min="10508" max="10508" width="7.7109375" style="415" customWidth="1"/>
    <col min="10509" max="10509" width="7" style="415" customWidth="1"/>
    <col min="10510" max="10752" width="11.5703125" style="415"/>
    <col min="10753" max="10753" width="11.42578125" style="415" customWidth="1"/>
    <col min="10754" max="10754" width="6.140625" style="415" customWidth="1"/>
    <col min="10755" max="10755" width="21.7109375" style="415" customWidth="1"/>
    <col min="10756" max="10756" width="9.28515625" style="415" customWidth="1"/>
    <col min="10757" max="10757" width="8.28515625" style="415" customWidth="1"/>
    <col min="10758" max="10758" width="7.7109375" style="415" customWidth="1"/>
    <col min="10759" max="10759" width="9.7109375" style="415" customWidth="1"/>
    <col min="10760" max="10760" width="7.28515625" style="415" customWidth="1"/>
    <col min="10761" max="10761" width="7.5703125" style="415" customWidth="1"/>
    <col min="10762" max="10762" width="7.7109375" style="415" customWidth="1"/>
    <col min="10763" max="10763" width="7" style="415" customWidth="1"/>
    <col min="10764" max="10764" width="7.7109375" style="415" customWidth="1"/>
    <col min="10765" max="10765" width="7" style="415" customWidth="1"/>
    <col min="10766" max="11008" width="11.5703125" style="415"/>
    <col min="11009" max="11009" width="11.42578125" style="415" customWidth="1"/>
    <col min="11010" max="11010" width="6.140625" style="415" customWidth="1"/>
    <col min="11011" max="11011" width="21.7109375" style="415" customWidth="1"/>
    <col min="11012" max="11012" width="9.28515625" style="415" customWidth="1"/>
    <col min="11013" max="11013" width="8.28515625" style="415" customWidth="1"/>
    <col min="11014" max="11014" width="7.7109375" style="415" customWidth="1"/>
    <col min="11015" max="11015" width="9.7109375" style="415" customWidth="1"/>
    <col min="11016" max="11016" width="7.28515625" style="415" customWidth="1"/>
    <col min="11017" max="11017" width="7.5703125" style="415" customWidth="1"/>
    <col min="11018" max="11018" width="7.7109375" style="415" customWidth="1"/>
    <col min="11019" max="11019" width="7" style="415" customWidth="1"/>
    <col min="11020" max="11020" width="7.7109375" style="415" customWidth="1"/>
    <col min="11021" max="11021" width="7" style="415" customWidth="1"/>
    <col min="11022" max="11264" width="11.5703125" style="415"/>
    <col min="11265" max="11265" width="11.42578125" style="415" customWidth="1"/>
    <col min="11266" max="11266" width="6.140625" style="415" customWidth="1"/>
    <col min="11267" max="11267" width="21.7109375" style="415" customWidth="1"/>
    <col min="11268" max="11268" width="9.28515625" style="415" customWidth="1"/>
    <col min="11269" max="11269" width="8.28515625" style="415" customWidth="1"/>
    <col min="11270" max="11270" width="7.7109375" style="415" customWidth="1"/>
    <col min="11271" max="11271" width="9.7109375" style="415" customWidth="1"/>
    <col min="11272" max="11272" width="7.28515625" style="415" customWidth="1"/>
    <col min="11273" max="11273" width="7.5703125" style="415" customWidth="1"/>
    <col min="11274" max="11274" width="7.7109375" style="415" customWidth="1"/>
    <col min="11275" max="11275" width="7" style="415" customWidth="1"/>
    <col min="11276" max="11276" width="7.7109375" style="415" customWidth="1"/>
    <col min="11277" max="11277" width="7" style="415" customWidth="1"/>
    <col min="11278" max="11520" width="11.5703125" style="415"/>
    <col min="11521" max="11521" width="11.42578125" style="415" customWidth="1"/>
    <col min="11522" max="11522" width="6.140625" style="415" customWidth="1"/>
    <col min="11523" max="11523" width="21.7109375" style="415" customWidth="1"/>
    <col min="11524" max="11524" width="9.28515625" style="415" customWidth="1"/>
    <col min="11525" max="11525" width="8.28515625" style="415" customWidth="1"/>
    <col min="11526" max="11526" width="7.7109375" style="415" customWidth="1"/>
    <col min="11527" max="11527" width="9.7109375" style="415" customWidth="1"/>
    <col min="11528" max="11528" width="7.28515625" style="415" customWidth="1"/>
    <col min="11529" max="11529" width="7.5703125" style="415" customWidth="1"/>
    <col min="11530" max="11530" width="7.7109375" style="415" customWidth="1"/>
    <col min="11531" max="11531" width="7" style="415" customWidth="1"/>
    <col min="11532" max="11532" width="7.7109375" style="415" customWidth="1"/>
    <col min="11533" max="11533" width="7" style="415" customWidth="1"/>
    <col min="11534" max="11776" width="11.5703125" style="415"/>
    <col min="11777" max="11777" width="11.42578125" style="415" customWidth="1"/>
    <col min="11778" max="11778" width="6.140625" style="415" customWidth="1"/>
    <col min="11779" max="11779" width="21.7109375" style="415" customWidth="1"/>
    <col min="11780" max="11780" width="9.28515625" style="415" customWidth="1"/>
    <col min="11781" max="11781" width="8.28515625" style="415" customWidth="1"/>
    <col min="11782" max="11782" width="7.7109375" style="415" customWidth="1"/>
    <col min="11783" max="11783" width="9.7109375" style="415" customWidth="1"/>
    <col min="11784" max="11784" width="7.28515625" style="415" customWidth="1"/>
    <col min="11785" max="11785" width="7.5703125" style="415" customWidth="1"/>
    <col min="11786" max="11786" width="7.7109375" style="415" customWidth="1"/>
    <col min="11787" max="11787" width="7" style="415" customWidth="1"/>
    <col min="11788" max="11788" width="7.7109375" style="415" customWidth="1"/>
    <col min="11789" max="11789" width="7" style="415" customWidth="1"/>
    <col min="11790" max="12032" width="11.5703125" style="415"/>
    <col min="12033" max="12033" width="11.42578125" style="415" customWidth="1"/>
    <col min="12034" max="12034" width="6.140625" style="415" customWidth="1"/>
    <col min="12035" max="12035" width="21.7109375" style="415" customWidth="1"/>
    <col min="12036" max="12036" width="9.28515625" style="415" customWidth="1"/>
    <col min="12037" max="12037" width="8.28515625" style="415" customWidth="1"/>
    <col min="12038" max="12038" width="7.7109375" style="415" customWidth="1"/>
    <col min="12039" max="12039" width="9.7109375" style="415" customWidth="1"/>
    <col min="12040" max="12040" width="7.28515625" style="415" customWidth="1"/>
    <col min="12041" max="12041" width="7.5703125" style="415" customWidth="1"/>
    <col min="12042" max="12042" width="7.7109375" style="415" customWidth="1"/>
    <col min="12043" max="12043" width="7" style="415" customWidth="1"/>
    <col min="12044" max="12044" width="7.7109375" style="415" customWidth="1"/>
    <col min="12045" max="12045" width="7" style="415" customWidth="1"/>
    <col min="12046" max="12288" width="11.5703125" style="415"/>
    <col min="12289" max="12289" width="11.42578125" style="415" customWidth="1"/>
    <col min="12290" max="12290" width="6.140625" style="415" customWidth="1"/>
    <col min="12291" max="12291" width="21.7109375" style="415" customWidth="1"/>
    <col min="12292" max="12292" width="9.28515625" style="415" customWidth="1"/>
    <col min="12293" max="12293" width="8.28515625" style="415" customWidth="1"/>
    <col min="12294" max="12294" width="7.7109375" style="415" customWidth="1"/>
    <col min="12295" max="12295" width="9.7109375" style="415" customWidth="1"/>
    <col min="12296" max="12296" width="7.28515625" style="415" customWidth="1"/>
    <col min="12297" max="12297" width="7.5703125" style="415" customWidth="1"/>
    <col min="12298" max="12298" width="7.7109375" style="415" customWidth="1"/>
    <col min="12299" max="12299" width="7" style="415" customWidth="1"/>
    <col min="12300" max="12300" width="7.7109375" style="415" customWidth="1"/>
    <col min="12301" max="12301" width="7" style="415" customWidth="1"/>
    <col min="12302" max="12544" width="11.5703125" style="415"/>
    <col min="12545" max="12545" width="11.42578125" style="415" customWidth="1"/>
    <col min="12546" max="12546" width="6.140625" style="415" customWidth="1"/>
    <col min="12547" max="12547" width="21.7109375" style="415" customWidth="1"/>
    <col min="12548" max="12548" width="9.28515625" style="415" customWidth="1"/>
    <col min="12549" max="12549" width="8.28515625" style="415" customWidth="1"/>
    <col min="12550" max="12550" width="7.7109375" style="415" customWidth="1"/>
    <col min="12551" max="12551" width="9.7109375" style="415" customWidth="1"/>
    <col min="12552" max="12552" width="7.28515625" style="415" customWidth="1"/>
    <col min="12553" max="12553" width="7.5703125" style="415" customWidth="1"/>
    <col min="12554" max="12554" width="7.7109375" style="415" customWidth="1"/>
    <col min="12555" max="12555" width="7" style="415" customWidth="1"/>
    <col min="12556" max="12556" width="7.7109375" style="415" customWidth="1"/>
    <col min="12557" max="12557" width="7" style="415" customWidth="1"/>
    <col min="12558" max="12800" width="11.5703125" style="415"/>
    <col min="12801" max="12801" width="11.42578125" style="415" customWidth="1"/>
    <col min="12802" max="12802" width="6.140625" style="415" customWidth="1"/>
    <col min="12803" max="12803" width="21.7109375" style="415" customWidth="1"/>
    <col min="12804" max="12804" width="9.28515625" style="415" customWidth="1"/>
    <col min="12805" max="12805" width="8.28515625" style="415" customWidth="1"/>
    <col min="12806" max="12806" width="7.7109375" style="415" customWidth="1"/>
    <col min="12807" max="12807" width="9.7109375" style="415" customWidth="1"/>
    <col min="12808" max="12808" width="7.28515625" style="415" customWidth="1"/>
    <col min="12809" max="12809" width="7.5703125" style="415" customWidth="1"/>
    <col min="12810" max="12810" width="7.7109375" style="415" customWidth="1"/>
    <col min="12811" max="12811" width="7" style="415" customWidth="1"/>
    <col min="12812" max="12812" width="7.7109375" style="415" customWidth="1"/>
    <col min="12813" max="12813" width="7" style="415" customWidth="1"/>
    <col min="12814" max="13056" width="11.5703125" style="415"/>
    <col min="13057" max="13057" width="11.42578125" style="415" customWidth="1"/>
    <col min="13058" max="13058" width="6.140625" style="415" customWidth="1"/>
    <col min="13059" max="13059" width="21.7109375" style="415" customWidth="1"/>
    <col min="13060" max="13060" width="9.28515625" style="415" customWidth="1"/>
    <col min="13061" max="13061" width="8.28515625" style="415" customWidth="1"/>
    <col min="13062" max="13062" width="7.7109375" style="415" customWidth="1"/>
    <col min="13063" max="13063" width="9.7109375" style="415" customWidth="1"/>
    <col min="13064" max="13064" width="7.28515625" style="415" customWidth="1"/>
    <col min="13065" max="13065" width="7.5703125" style="415" customWidth="1"/>
    <col min="13066" max="13066" width="7.7109375" style="415" customWidth="1"/>
    <col min="13067" max="13067" width="7" style="415" customWidth="1"/>
    <col min="13068" max="13068" width="7.7109375" style="415" customWidth="1"/>
    <col min="13069" max="13069" width="7" style="415" customWidth="1"/>
    <col min="13070" max="13312" width="11.5703125" style="415"/>
    <col min="13313" max="13313" width="11.42578125" style="415" customWidth="1"/>
    <col min="13314" max="13314" width="6.140625" style="415" customWidth="1"/>
    <col min="13315" max="13315" width="21.7109375" style="415" customWidth="1"/>
    <col min="13316" max="13316" width="9.28515625" style="415" customWidth="1"/>
    <col min="13317" max="13317" width="8.28515625" style="415" customWidth="1"/>
    <col min="13318" max="13318" width="7.7109375" style="415" customWidth="1"/>
    <col min="13319" max="13319" width="9.7109375" style="415" customWidth="1"/>
    <col min="13320" max="13320" width="7.28515625" style="415" customWidth="1"/>
    <col min="13321" max="13321" width="7.5703125" style="415" customWidth="1"/>
    <col min="13322" max="13322" width="7.7109375" style="415" customWidth="1"/>
    <col min="13323" max="13323" width="7" style="415" customWidth="1"/>
    <col min="13324" max="13324" width="7.7109375" style="415" customWidth="1"/>
    <col min="13325" max="13325" width="7" style="415" customWidth="1"/>
    <col min="13326" max="13568" width="11.5703125" style="415"/>
    <col min="13569" max="13569" width="11.42578125" style="415" customWidth="1"/>
    <col min="13570" max="13570" width="6.140625" style="415" customWidth="1"/>
    <col min="13571" max="13571" width="21.7109375" style="415" customWidth="1"/>
    <col min="13572" max="13572" width="9.28515625" style="415" customWidth="1"/>
    <col min="13573" max="13573" width="8.28515625" style="415" customWidth="1"/>
    <col min="13574" max="13574" width="7.7109375" style="415" customWidth="1"/>
    <col min="13575" max="13575" width="9.7109375" style="415" customWidth="1"/>
    <col min="13576" max="13576" width="7.28515625" style="415" customWidth="1"/>
    <col min="13577" max="13577" width="7.5703125" style="415" customWidth="1"/>
    <col min="13578" max="13578" width="7.7109375" style="415" customWidth="1"/>
    <col min="13579" max="13579" width="7" style="415" customWidth="1"/>
    <col min="13580" max="13580" width="7.7109375" style="415" customWidth="1"/>
    <col min="13581" max="13581" width="7" style="415" customWidth="1"/>
    <col min="13582" max="13824" width="11.5703125" style="415"/>
    <col min="13825" max="13825" width="11.42578125" style="415" customWidth="1"/>
    <col min="13826" max="13826" width="6.140625" style="415" customWidth="1"/>
    <col min="13827" max="13827" width="21.7109375" style="415" customWidth="1"/>
    <col min="13828" max="13828" width="9.28515625" style="415" customWidth="1"/>
    <col min="13829" max="13829" width="8.28515625" style="415" customWidth="1"/>
    <col min="13830" max="13830" width="7.7109375" style="415" customWidth="1"/>
    <col min="13831" max="13831" width="9.7109375" style="415" customWidth="1"/>
    <col min="13832" max="13832" width="7.28515625" style="415" customWidth="1"/>
    <col min="13833" max="13833" width="7.5703125" style="415" customWidth="1"/>
    <col min="13834" max="13834" width="7.7109375" style="415" customWidth="1"/>
    <col min="13835" max="13835" width="7" style="415" customWidth="1"/>
    <col min="13836" max="13836" width="7.7109375" style="415" customWidth="1"/>
    <col min="13837" max="13837" width="7" style="415" customWidth="1"/>
    <col min="13838" max="14080" width="11.5703125" style="415"/>
    <col min="14081" max="14081" width="11.42578125" style="415" customWidth="1"/>
    <col min="14082" max="14082" width="6.140625" style="415" customWidth="1"/>
    <col min="14083" max="14083" width="21.7109375" style="415" customWidth="1"/>
    <col min="14084" max="14084" width="9.28515625" style="415" customWidth="1"/>
    <col min="14085" max="14085" width="8.28515625" style="415" customWidth="1"/>
    <col min="14086" max="14086" width="7.7109375" style="415" customWidth="1"/>
    <col min="14087" max="14087" width="9.7109375" style="415" customWidth="1"/>
    <col min="14088" max="14088" width="7.28515625" style="415" customWidth="1"/>
    <col min="14089" max="14089" width="7.5703125" style="415" customWidth="1"/>
    <col min="14090" max="14090" width="7.7109375" style="415" customWidth="1"/>
    <col min="14091" max="14091" width="7" style="415" customWidth="1"/>
    <col min="14092" max="14092" width="7.7109375" style="415" customWidth="1"/>
    <col min="14093" max="14093" width="7" style="415" customWidth="1"/>
    <col min="14094" max="14336" width="11.5703125" style="415"/>
    <col min="14337" max="14337" width="11.42578125" style="415" customWidth="1"/>
    <col min="14338" max="14338" width="6.140625" style="415" customWidth="1"/>
    <col min="14339" max="14339" width="21.7109375" style="415" customWidth="1"/>
    <col min="14340" max="14340" width="9.28515625" style="415" customWidth="1"/>
    <col min="14341" max="14341" width="8.28515625" style="415" customWidth="1"/>
    <col min="14342" max="14342" width="7.7109375" style="415" customWidth="1"/>
    <col min="14343" max="14343" width="9.7109375" style="415" customWidth="1"/>
    <col min="14344" max="14344" width="7.28515625" style="415" customWidth="1"/>
    <col min="14345" max="14345" width="7.5703125" style="415" customWidth="1"/>
    <col min="14346" max="14346" width="7.7109375" style="415" customWidth="1"/>
    <col min="14347" max="14347" width="7" style="415" customWidth="1"/>
    <col min="14348" max="14348" width="7.7109375" style="415" customWidth="1"/>
    <col min="14349" max="14349" width="7" style="415" customWidth="1"/>
    <col min="14350" max="14592" width="11.5703125" style="415"/>
    <col min="14593" max="14593" width="11.42578125" style="415" customWidth="1"/>
    <col min="14594" max="14594" width="6.140625" style="415" customWidth="1"/>
    <col min="14595" max="14595" width="21.7109375" style="415" customWidth="1"/>
    <col min="14596" max="14596" width="9.28515625" style="415" customWidth="1"/>
    <col min="14597" max="14597" width="8.28515625" style="415" customWidth="1"/>
    <col min="14598" max="14598" width="7.7109375" style="415" customWidth="1"/>
    <col min="14599" max="14599" width="9.7109375" style="415" customWidth="1"/>
    <col min="14600" max="14600" width="7.28515625" style="415" customWidth="1"/>
    <col min="14601" max="14601" width="7.5703125" style="415" customWidth="1"/>
    <col min="14602" max="14602" width="7.7109375" style="415" customWidth="1"/>
    <col min="14603" max="14603" width="7" style="415" customWidth="1"/>
    <col min="14604" max="14604" width="7.7109375" style="415" customWidth="1"/>
    <col min="14605" max="14605" width="7" style="415" customWidth="1"/>
    <col min="14606" max="14848" width="11.5703125" style="415"/>
    <col min="14849" max="14849" width="11.42578125" style="415" customWidth="1"/>
    <col min="14850" max="14850" width="6.140625" style="415" customWidth="1"/>
    <col min="14851" max="14851" width="21.7109375" style="415" customWidth="1"/>
    <col min="14852" max="14852" width="9.28515625" style="415" customWidth="1"/>
    <col min="14853" max="14853" width="8.28515625" style="415" customWidth="1"/>
    <col min="14854" max="14854" width="7.7109375" style="415" customWidth="1"/>
    <col min="14855" max="14855" width="9.7109375" style="415" customWidth="1"/>
    <col min="14856" max="14856" width="7.28515625" style="415" customWidth="1"/>
    <col min="14857" max="14857" width="7.5703125" style="415" customWidth="1"/>
    <col min="14858" max="14858" width="7.7109375" style="415" customWidth="1"/>
    <col min="14859" max="14859" width="7" style="415" customWidth="1"/>
    <col min="14860" max="14860" width="7.7109375" style="415" customWidth="1"/>
    <col min="14861" max="14861" width="7" style="415" customWidth="1"/>
    <col min="14862" max="15104" width="11.5703125" style="415"/>
    <col min="15105" max="15105" width="11.42578125" style="415" customWidth="1"/>
    <col min="15106" max="15106" width="6.140625" style="415" customWidth="1"/>
    <col min="15107" max="15107" width="21.7109375" style="415" customWidth="1"/>
    <col min="15108" max="15108" width="9.28515625" style="415" customWidth="1"/>
    <col min="15109" max="15109" width="8.28515625" style="415" customWidth="1"/>
    <col min="15110" max="15110" width="7.7109375" style="415" customWidth="1"/>
    <col min="15111" max="15111" width="9.7109375" style="415" customWidth="1"/>
    <col min="15112" max="15112" width="7.28515625" style="415" customWidth="1"/>
    <col min="15113" max="15113" width="7.5703125" style="415" customWidth="1"/>
    <col min="15114" max="15114" width="7.7109375" style="415" customWidth="1"/>
    <col min="15115" max="15115" width="7" style="415" customWidth="1"/>
    <col min="15116" max="15116" width="7.7109375" style="415" customWidth="1"/>
    <col min="15117" max="15117" width="7" style="415" customWidth="1"/>
    <col min="15118" max="15360" width="11.5703125" style="415"/>
    <col min="15361" max="15361" width="11.42578125" style="415" customWidth="1"/>
    <col min="15362" max="15362" width="6.140625" style="415" customWidth="1"/>
    <col min="15363" max="15363" width="21.7109375" style="415" customWidth="1"/>
    <col min="15364" max="15364" width="9.28515625" style="415" customWidth="1"/>
    <col min="15365" max="15365" width="8.28515625" style="415" customWidth="1"/>
    <col min="15366" max="15366" width="7.7109375" style="415" customWidth="1"/>
    <col min="15367" max="15367" width="9.7109375" style="415" customWidth="1"/>
    <col min="15368" max="15368" width="7.28515625" style="415" customWidth="1"/>
    <col min="15369" max="15369" width="7.5703125" style="415" customWidth="1"/>
    <col min="15370" max="15370" width="7.7109375" style="415" customWidth="1"/>
    <col min="15371" max="15371" width="7" style="415" customWidth="1"/>
    <col min="15372" max="15372" width="7.7109375" style="415" customWidth="1"/>
    <col min="15373" max="15373" width="7" style="415" customWidth="1"/>
    <col min="15374" max="15616" width="11.5703125" style="415"/>
    <col min="15617" max="15617" width="11.42578125" style="415" customWidth="1"/>
    <col min="15618" max="15618" width="6.140625" style="415" customWidth="1"/>
    <col min="15619" max="15619" width="21.7109375" style="415" customWidth="1"/>
    <col min="15620" max="15620" width="9.28515625" style="415" customWidth="1"/>
    <col min="15621" max="15621" width="8.28515625" style="415" customWidth="1"/>
    <col min="15622" max="15622" width="7.7109375" style="415" customWidth="1"/>
    <col min="15623" max="15623" width="9.7109375" style="415" customWidth="1"/>
    <col min="15624" max="15624" width="7.28515625" style="415" customWidth="1"/>
    <col min="15625" max="15625" width="7.5703125" style="415" customWidth="1"/>
    <col min="15626" max="15626" width="7.7109375" style="415" customWidth="1"/>
    <col min="15627" max="15627" width="7" style="415" customWidth="1"/>
    <col min="15628" max="15628" width="7.7109375" style="415" customWidth="1"/>
    <col min="15629" max="15629" width="7" style="415" customWidth="1"/>
    <col min="15630" max="15872" width="11.5703125" style="415"/>
    <col min="15873" max="15873" width="11.42578125" style="415" customWidth="1"/>
    <col min="15874" max="15874" width="6.140625" style="415" customWidth="1"/>
    <col min="15875" max="15875" width="21.7109375" style="415" customWidth="1"/>
    <col min="15876" max="15876" width="9.28515625" style="415" customWidth="1"/>
    <col min="15877" max="15877" width="8.28515625" style="415" customWidth="1"/>
    <col min="15878" max="15878" width="7.7109375" style="415" customWidth="1"/>
    <col min="15879" max="15879" width="9.7109375" style="415" customWidth="1"/>
    <col min="15880" max="15880" width="7.28515625" style="415" customWidth="1"/>
    <col min="15881" max="15881" width="7.5703125" style="415" customWidth="1"/>
    <col min="15882" max="15882" width="7.7109375" style="415" customWidth="1"/>
    <col min="15883" max="15883" width="7" style="415" customWidth="1"/>
    <col min="15884" max="15884" width="7.7109375" style="415" customWidth="1"/>
    <col min="15885" max="15885" width="7" style="415" customWidth="1"/>
    <col min="15886" max="16128" width="11.5703125" style="415"/>
    <col min="16129" max="16129" width="11.42578125" style="415" customWidth="1"/>
    <col min="16130" max="16130" width="6.140625" style="415" customWidth="1"/>
    <col min="16131" max="16131" width="21.7109375" style="415" customWidth="1"/>
    <col min="16132" max="16132" width="9.28515625" style="415" customWidth="1"/>
    <col min="16133" max="16133" width="8.28515625" style="415" customWidth="1"/>
    <col min="16134" max="16134" width="7.7109375" style="415" customWidth="1"/>
    <col min="16135" max="16135" width="9.7109375" style="415" customWidth="1"/>
    <col min="16136" max="16136" width="7.28515625" style="415" customWidth="1"/>
    <col min="16137" max="16137" width="7.5703125" style="415" customWidth="1"/>
    <col min="16138" max="16138" width="7.7109375" style="415" customWidth="1"/>
    <col min="16139" max="16139" width="7" style="415" customWidth="1"/>
    <col min="16140" max="16140" width="7.7109375" style="415" customWidth="1"/>
    <col min="16141" max="16141" width="7" style="415" customWidth="1"/>
    <col min="16142" max="16384" width="11.5703125" style="415"/>
  </cols>
  <sheetData>
    <row r="1" spans="1:15" ht="26.25" customHeight="1" x14ac:dyDescent="0.4">
      <c r="A1" s="448" t="s">
        <v>534</v>
      </c>
      <c r="B1" s="449"/>
      <c r="C1" s="450"/>
      <c r="F1" s="451" t="s">
        <v>548</v>
      </c>
      <c r="G1" s="452"/>
      <c r="H1" s="452"/>
      <c r="I1" s="452"/>
      <c r="J1" s="452"/>
      <c r="K1" s="452"/>
      <c r="L1" s="453"/>
    </row>
    <row r="2" spans="1:15" ht="21" customHeight="1" x14ac:dyDescent="0.35">
      <c r="A2" s="444" t="s">
        <v>536</v>
      </c>
      <c r="B2" s="445"/>
      <c r="C2" s="416" t="s">
        <v>537</v>
      </c>
      <c r="F2" s="444" t="s">
        <v>536</v>
      </c>
      <c r="G2" s="445"/>
      <c r="H2" s="446" t="s">
        <v>549</v>
      </c>
      <c r="I2" s="446"/>
      <c r="J2" s="446"/>
      <c r="K2" s="446"/>
      <c r="L2" s="447"/>
    </row>
    <row r="3" spans="1:15" ht="21.75" customHeight="1" x14ac:dyDescent="0.35">
      <c r="A3" s="444" t="s">
        <v>538</v>
      </c>
      <c r="B3" s="445"/>
      <c r="C3" s="416" t="s">
        <v>539</v>
      </c>
      <c r="F3" s="444" t="s">
        <v>538</v>
      </c>
      <c r="G3" s="445"/>
      <c r="H3" s="446" t="s">
        <v>550</v>
      </c>
      <c r="I3" s="446"/>
      <c r="J3" s="446"/>
      <c r="K3" s="446"/>
      <c r="L3" s="447"/>
    </row>
    <row r="4" spans="1:15" ht="21.75" thickBot="1" x14ac:dyDescent="0.4">
      <c r="A4" s="454" t="s">
        <v>540</v>
      </c>
      <c r="B4" s="455"/>
      <c r="C4" s="417" t="s">
        <v>541</v>
      </c>
      <c r="F4" s="454" t="s">
        <v>540</v>
      </c>
      <c r="G4" s="455"/>
      <c r="H4" s="456" t="s">
        <v>551</v>
      </c>
      <c r="I4" s="456"/>
      <c r="J4" s="456"/>
      <c r="K4" s="456"/>
      <c r="L4" s="457"/>
    </row>
    <row r="5" spans="1:15" ht="7.5" customHeight="1" thickBot="1" x14ac:dyDescent="0.4">
      <c r="A5" s="418"/>
      <c r="C5" s="418"/>
    </row>
    <row r="6" spans="1:15" ht="35.450000000000003" customHeight="1" thickBot="1" x14ac:dyDescent="0.25">
      <c r="A6" s="458" t="s">
        <v>535</v>
      </c>
      <c r="B6" s="459"/>
      <c r="C6" s="460"/>
      <c r="F6" s="461" t="s">
        <v>542</v>
      </c>
      <c r="G6" s="462"/>
      <c r="H6" s="463"/>
      <c r="I6" s="464">
        <f ca="1">+TODAY()</f>
        <v>46099</v>
      </c>
      <c r="J6" s="465"/>
      <c r="K6" s="465"/>
      <c r="L6" s="465"/>
      <c r="M6" s="466"/>
    </row>
    <row r="7" spans="1:15" ht="3" customHeight="1" thickBot="1" x14ac:dyDescent="0.25"/>
    <row r="8" spans="1:15" ht="42.75" customHeight="1" thickBot="1" x14ac:dyDescent="0.25">
      <c r="A8" s="473" t="s">
        <v>543</v>
      </c>
      <c r="B8" s="474"/>
      <c r="C8" s="419" t="s">
        <v>563</v>
      </c>
      <c r="D8" s="420" t="s">
        <v>544</v>
      </c>
      <c r="E8" s="421">
        <v>3327</v>
      </c>
      <c r="F8" s="473" t="s">
        <v>545</v>
      </c>
      <c r="G8" s="475"/>
      <c r="H8" s="474"/>
      <c r="I8" s="476" t="s">
        <v>539</v>
      </c>
      <c r="J8" s="477"/>
      <c r="K8" s="477"/>
      <c r="L8" s="477"/>
      <c r="M8" s="478"/>
    </row>
    <row r="9" spans="1:15" ht="7.5" customHeight="1" thickBot="1" x14ac:dyDescent="0.4">
      <c r="A9" s="418"/>
      <c r="C9" s="418"/>
    </row>
    <row r="10" spans="1:15" ht="39.6" customHeight="1" thickBot="1" x14ac:dyDescent="0.25">
      <c r="A10" s="479" t="s">
        <v>552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1"/>
    </row>
    <row r="11" spans="1:15" ht="6" customHeight="1" thickBot="1" x14ac:dyDescent="0.4">
      <c r="A11" s="418"/>
      <c r="C11" s="418"/>
    </row>
    <row r="12" spans="1:15" ht="27" thickBot="1" x14ac:dyDescent="0.25">
      <c r="A12" s="482" t="s">
        <v>553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</row>
    <row r="13" spans="1:15" ht="38.25" thickBot="1" x14ac:dyDescent="0.25">
      <c r="A13" s="422" t="s">
        <v>311</v>
      </c>
      <c r="B13" s="423" t="s">
        <v>533</v>
      </c>
      <c r="C13" s="424" t="s">
        <v>554</v>
      </c>
      <c r="D13" s="425" t="s">
        <v>555</v>
      </c>
      <c r="E13" s="426" t="s">
        <v>285</v>
      </c>
      <c r="F13" s="426" t="s">
        <v>556</v>
      </c>
      <c r="G13" s="423" t="s">
        <v>557</v>
      </c>
      <c r="H13" s="423" t="s">
        <v>558</v>
      </c>
      <c r="I13" s="423" t="s">
        <v>559</v>
      </c>
      <c r="J13" s="423" t="s">
        <v>558</v>
      </c>
      <c r="K13" s="423" t="s">
        <v>559</v>
      </c>
      <c r="L13" s="423" t="s">
        <v>558</v>
      </c>
      <c r="M13" s="423" t="s">
        <v>559</v>
      </c>
    </row>
    <row r="14" spans="1:15" ht="33.6" customHeight="1" x14ac:dyDescent="0.2">
      <c r="A14" s="467" cm="1">
        <f t="array" ref="A14">+IFERROR(INDEX('Conteo 18-02-26'!$B:$B,MATCH(1,('Conteo 18-02-26'!$E:$E=$B14)*('Conteo 18-02-26'!$A:$A="Giser"),0)),"")</f>
        <v>1175500</v>
      </c>
      <c r="B14" s="469">
        <v>1</v>
      </c>
      <c r="C14" s="471" t="str" cm="1">
        <f t="array" ref="C14">+IFERROR(INDEX('Conteo 18-02-26'!$C:$C,MATCH(1,('Conteo 18-02-26'!$E:$E=$B14)*('Conteo 18-02-26'!$A:$A="Giser"),0)),"")</f>
        <v>Caño Inox 140 mm</v>
      </c>
      <c r="D14" s="471" cm="1">
        <f t="array" ref="D14">+IFERROR(INDEX('Conteo 18-02-26'!$D:$D,MATCH(1,('Conteo 18-02-26'!$E:$E=$B14)*('Conteo 18-02-26'!A:A:'Conteo 18-02-26'!$A:$A="Giser"),0)),"")</f>
        <v>25</v>
      </c>
      <c r="E14" s="427" t="str">
        <f>+IF(E13="LK","CH",IF(D14="","",IF(D14&gt;0,"LK","CH")))</f>
        <v>LK</v>
      </c>
      <c r="F14" s="427">
        <f>+IF(OR(E14="LK"),ROUNDUP(D14*(VLOOKUP(B14,'Conteo 18-02-26'!$E:$AN,35,0))/100,0),IF(E14="CH",D13-F13,""))</f>
        <v>18</v>
      </c>
      <c r="G14" s="469"/>
      <c r="H14" s="428"/>
      <c r="I14" s="429"/>
      <c r="J14" s="428"/>
      <c r="K14" s="429"/>
      <c r="L14" s="428"/>
      <c r="M14" s="430"/>
      <c r="O14" s="431"/>
    </row>
    <row r="15" spans="1:15" ht="33.6" customHeight="1" x14ac:dyDescent="0.2">
      <c r="A15" s="468"/>
      <c r="B15" s="470"/>
      <c r="C15" s="472"/>
      <c r="D15" s="472"/>
      <c r="E15" s="427" t="str">
        <f t="shared" ref="E15:E43" si="0">+IF(E14="LK","CH",IF(D15="","",IF(D15&gt;0,"LK","CH")))</f>
        <v>CH</v>
      </c>
      <c r="F15" s="432">
        <f>+IF(OR(E15="LK"),ROUNDUP(D15*(VLOOKUP(B15,'Conteo 18-02-26'!$E:$AN,35,0))/100,0),IF(E15="CH",D14-F14,""))</f>
        <v>7</v>
      </c>
      <c r="G15" s="470"/>
      <c r="H15" s="433"/>
      <c r="I15" s="434"/>
      <c r="J15" s="433"/>
      <c r="K15" s="434"/>
      <c r="L15" s="433"/>
      <c r="M15" s="435"/>
    </row>
    <row r="16" spans="1:15" ht="33.6" customHeight="1" x14ac:dyDescent="0.2">
      <c r="A16" s="485" t="str" cm="1">
        <f t="array" ref="A16">+IFERROR(INDEX('Conteo 18-02-26'!$B:$B,MATCH(1,('Conteo 18-02-26'!$E:$E=$B16)*('Conteo 18-02-26'!$A:$A="Giser"),0)),"")</f>
        <v/>
      </c>
      <c r="B16" s="470">
        <f>+B14+1</f>
        <v>2</v>
      </c>
      <c r="C16" s="472" t="str" cm="1">
        <f t="array" ref="C16">+IFERROR(INDEX('Conteo 18-02-26'!$C:$C,MATCH(1,('Conteo 18-02-26'!$E:$E=$B16)*('Conteo 18-02-26'!$A:$A="Giser"),0)),"")</f>
        <v/>
      </c>
      <c r="D16" s="470" t="str" cm="1">
        <f t="array" ref="D16">+IFERROR(INDEX('Conteo 18-02-26'!$D:$D,MATCH(1,('Conteo 18-02-26'!$E:$E=$B16)*('Conteo 18-02-26'!A:A:'Conteo 18-02-26'!$A:$A="Giser"),0)),"")</f>
        <v/>
      </c>
      <c r="E16" s="427" t="str">
        <f t="shared" si="0"/>
        <v/>
      </c>
      <c r="F16" s="432" t="str">
        <f>+IF(OR(E16="LK"),ROUNDUP(D16*(VLOOKUP(B16,'Conteo 18-02-26'!$E:$AN,35,0))/100,0),IF(E16="CH",D15-F15,""))</f>
        <v/>
      </c>
      <c r="G16" s="470"/>
      <c r="H16" s="434"/>
      <c r="I16" s="434"/>
      <c r="J16" s="434"/>
      <c r="K16" s="434"/>
      <c r="L16" s="434"/>
      <c r="M16" s="435"/>
    </row>
    <row r="17" spans="1:13" ht="33.6" customHeight="1" x14ac:dyDescent="0.2">
      <c r="A17" s="485"/>
      <c r="B17" s="470"/>
      <c r="C17" s="472"/>
      <c r="D17" s="470"/>
      <c r="E17" s="427" t="str">
        <f t="shared" si="0"/>
        <v/>
      </c>
      <c r="F17" s="432" t="str">
        <f>+IF(OR(E17="LK"),ROUNDUP(D17*(VLOOKUP(B17,'Conteo 18-02-26'!$E:$AN,35,0))/100,0),IF(E17="CH",D16-F16,""))</f>
        <v/>
      </c>
      <c r="G17" s="470"/>
      <c r="H17" s="434"/>
      <c r="I17" s="434"/>
      <c r="J17" s="434"/>
      <c r="K17" s="434"/>
      <c r="L17" s="434"/>
      <c r="M17" s="435"/>
    </row>
    <row r="18" spans="1:13" ht="33.6" customHeight="1" x14ac:dyDescent="0.2">
      <c r="A18" s="485" t="str" cm="1">
        <f t="array" ref="A18">+IFERROR(INDEX('Conteo 18-02-26'!$B:$B,MATCH(1,('Conteo 18-02-26'!$E:$E=$B18)*('Conteo 18-02-26'!$A:$A="Giser"),0)),"")</f>
        <v/>
      </c>
      <c r="B18" s="470">
        <f>+B16+1</f>
        <v>3</v>
      </c>
      <c r="C18" s="472" t="str" cm="1">
        <f t="array" ref="C18">+IFERROR(INDEX('Conteo 18-02-26'!$C:$C,MATCH(1,('Conteo 18-02-26'!$E:$E=$B18)*('Conteo 18-02-26'!$A:$A="Giser"),0)),"")</f>
        <v/>
      </c>
      <c r="D18" s="470" t="str" cm="1">
        <f t="array" ref="D18">+IFERROR(INDEX('Conteo 18-02-26'!$D:$D,MATCH(1,('Conteo 18-02-26'!$E:$E=$B18)*('Conteo 18-02-26'!A:A:'Conteo 18-02-26'!$A:$A="Giser"),0)),"")</f>
        <v/>
      </c>
      <c r="E18" s="427" t="str">
        <f t="shared" si="0"/>
        <v/>
      </c>
      <c r="F18" s="432" t="str">
        <f>+IF(OR(E18="LK"),ROUNDUP(D18*(VLOOKUP(B18,'Conteo 18-02-26'!$E:$AN,35,0))/100,0),IF(E18="CH",D17-F17,""))</f>
        <v/>
      </c>
      <c r="G18" s="470"/>
      <c r="H18" s="434"/>
      <c r="I18" s="434"/>
      <c r="J18" s="434"/>
      <c r="K18" s="434"/>
      <c r="L18" s="434"/>
      <c r="M18" s="435"/>
    </row>
    <row r="19" spans="1:13" ht="33.6" customHeight="1" x14ac:dyDescent="0.2">
      <c r="A19" s="485"/>
      <c r="B19" s="470"/>
      <c r="C19" s="472"/>
      <c r="D19" s="470"/>
      <c r="E19" s="427" t="str">
        <f t="shared" si="0"/>
        <v/>
      </c>
      <c r="F19" s="432" t="str">
        <f>+IF(OR(E19="LK"),ROUNDUP(D19*(VLOOKUP(B19,'Conteo 18-02-26'!$E:$AN,35,0))/100,0),IF(E19="CH",D18-F18,""))</f>
        <v/>
      </c>
      <c r="G19" s="470"/>
      <c r="H19" s="434"/>
      <c r="I19" s="434"/>
      <c r="J19" s="434"/>
      <c r="K19" s="434"/>
      <c r="L19" s="434"/>
      <c r="M19" s="435"/>
    </row>
    <row r="20" spans="1:13" ht="33.6" customHeight="1" x14ac:dyDescent="0.2">
      <c r="A20" s="485" t="str" cm="1">
        <f t="array" ref="A20">+IFERROR(INDEX('Conteo 18-02-26'!$B:$B,MATCH(1,('Conteo 18-02-26'!$E:$E=$B20)*('Conteo 18-02-26'!$A:$A="Giser"),0)),"")</f>
        <v/>
      </c>
      <c r="B20" s="470">
        <f>+B18+1</f>
        <v>4</v>
      </c>
      <c r="C20" s="472" t="str" cm="1">
        <f t="array" ref="C20">+IFERROR(INDEX('Conteo 18-02-26'!$C:$C,MATCH(1,('Conteo 18-02-26'!$E:$E=$B20)*('Conteo 18-02-26'!$A:$A="Giser"),0)),"")</f>
        <v/>
      </c>
      <c r="D20" s="470" t="str" cm="1">
        <f t="array" ref="D20">+IFERROR(INDEX('Conteo 18-02-26'!$D:$D,MATCH(1,('Conteo 18-02-26'!$E:$E=$B20)*('Conteo 18-02-26'!A:A:'Conteo 18-02-26'!$A:$A="Giser"),0)),"")</f>
        <v/>
      </c>
      <c r="E20" s="427" t="str">
        <f t="shared" si="0"/>
        <v/>
      </c>
      <c r="F20" s="432" t="str">
        <f>+IF(OR(E20="LK"),ROUNDUP(D20*(VLOOKUP(B20,'Conteo 18-02-26'!$E:$AN,35,0))/100,0),IF(E20="CH",D19-F19,""))</f>
        <v/>
      </c>
      <c r="G20" s="470"/>
      <c r="H20" s="434"/>
      <c r="I20" s="434"/>
      <c r="J20" s="434"/>
      <c r="K20" s="434"/>
      <c r="L20" s="434"/>
      <c r="M20" s="435"/>
    </row>
    <row r="21" spans="1:13" ht="33.6" customHeight="1" x14ac:dyDescent="0.2">
      <c r="A21" s="485"/>
      <c r="B21" s="470"/>
      <c r="C21" s="472"/>
      <c r="D21" s="470"/>
      <c r="E21" s="427" t="str">
        <f t="shared" si="0"/>
        <v/>
      </c>
      <c r="F21" s="432" t="str">
        <f>+IF(OR(E21="LK"),ROUNDUP(D21*(VLOOKUP(B21,'Conteo 18-02-26'!$E:$AN,35,0))/100,0),IF(E21="CH",D20-F20,""))</f>
        <v/>
      </c>
      <c r="G21" s="470"/>
      <c r="H21" s="434"/>
      <c r="I21" s="434"/>
      <c r="J21" s="434"/>
      <c r="K21" s="434"/>
      <c r="L21" s="434"/>
      <c r="M21" s="435"/>
    </row>
    <row r="22" spans="1:13" ht="33.6" customHeight="1" x14ac:dyDescent="0.2">
      <c r="A22" s="485" t="str" cm="1">
        <f t="array" ref="A22">+IFERROR(INDEX('Conteo 18-02-26'!$B:$B,MATCH(1,('Conteo 18-02-26'!$E:$E=$B22)*('Conteo 18-02-26'!$A:$A="Giser"),0)),"")</f>
        <v/>
      </c>
      <c r="B22" s="470">
        <f>+B20+1</f>
        <v>5</v>
      </c>
      <c r="C22" s="472" t="str" cm="1">
        <f t="array" ref="C22">+IFERROR(INDEX('Conteo 18-02-26'!$C:$C,MATCH(1,('Conteo 18-02-26'!$E:$E=$B22)*('Conteo 18-02-26'!$A:$A="Giser"),0)),"")</f>
        <v/>
      </c>
      <c r="D22" s="470" t="str" cm="1">
        <f t="array" ref="D22">+IFERROR(INDEX('Conteo 18-02-26'!$D:$D,MATCH(1,('Conteo 18-02-26'!$E:$E=$B22)*('Conteo 18-02-26'!A:A:'Conteo 18-02-26'!$A:$A="Giser"),0)),"")</f>
        <v/>
      </c>
      <c r="E22" s="427" t="str">
        <f t="shared" si="0"/>
        <v/>
      </c>
      <c r="F22" s="432" t="str">
        <f>+IF(OR(E22="LK"),ROUNDUP(D22*(VLOOKUP(B22,'Conteo 18-02-26'!$E:$AN,35,0))/100,0),IF(E22="CH",D21-F21,""))</f>
        <v/>
      </c>
      <c r="G22" s="470"/>
      <c r="H22" s="434"/>
      <c r="I22" s="434"/>
      <c r="J22" s="434"/>
      <c r="K22" s="434"/>
      <c r="L22" s="434"/>
      <c r="M22" s="435"/>
    </row>
    <row r="23" spans="1:13" ht="33.6" customHeight="1" x14ac:dyDescent="0.2">
      <c r="A23" s="485"/>
      <c r="B23" s="470"/>
      <c r="C23" s="472"/>
      <c r="D23" s="470"/>
      <c r="E23" s="427" t="str">
        <f t="shared" si="0"/>
        <v/>
      </c>
      <c r="F23" s="432" t="str">
        <f>+IF(OR(E23="LK"),ROUNDUP(D23*(VLOOKUP(B23,'Conteo 18-02-26'!$E:$AN,35,0))/100,0),IF(E23="CH",D22-F22,""))</f>
        <v/>
      </c>
      <c r="G23" s="470"/>
      <c r="H23" s="434"/>
      <c r="I23" s="434"/>
      <c r="J23" s="434"/>
      <c r="K23" s="434"/>
      <c r="L23" s="434"/>
      <c r="M23" s="435"/>
    </row>
    <row r="24" spans="1:13" ht="33.6" customHeight="1" x14ac:dyDescent="0.2">
      <c r="A24" s="485" t="str" cm="1">
        <f t="array" ref="A24">+IFERROR(INDEX('Conteo 18-02-26'!$B:$B,MATCH(1,('Conteo 18-02-26'!$E:$E=$B24)*('Conteo 18-02-26'!$A:$A="Giser"),0)),"")</f>
        <v/>
      </c>
      <c r="B24" s="470">
        <f>+B22+1</f>
        <v>6</v>
      </c>
      <c r="C24" s="472" t="str" cm="1">
        <f t="array" ref="C24">+IFERROR(INDEX('Conteo 18-02-26'!$C:$C,MATCH(1,('Conteo 18-02-26'!$E:$E=$B24)*('Conteo 18-02-26'!$A:$A="Giser"),0)),"")</f>
        <v/>
      </c>
      <c r="D24" s="470" t="str" cm="1">
        <f t="array" ref="D24">+IFERROR(INDEX('Conteo 18-02-26'!$D:$D,MATCH(1,('Conteo 18-02-26'!$E:$E=$B24)*('Conteo 18-02-26'!A:A:'Conteo 18-02-26'!$A:$A="Giser"),0)),"")</f>
        <v/>
      </c>
      <c r="E24" s="427" t="str">
        <f t="shared" si="0"/>
        <v/>
      </c>
      <c r="F24" s="432" t="str">
        <f>+IF(OR(E24="LK"),ROUNDUP(D24*(VLOOKUP(B24,'Conteo 18-02-26'!$E:$AN,35,0))/100,0),IF(E24="CH",D23-F23,""))</f>
        <v/>
      </c>
      <c r="G24" s="470"/>
      <c r="H24" s="434"/>
      <c r="I24" s="434"/>
      <c r="J24" s="434"/>
      <c r="K24" s="434"/>
      <c r="L24" s="434"/>
      <c r="M24" s="435"/>
    </row>
    <row r="25" spans="1:13" ht="33.6" customHeight="1" x14ac:dyDescent="0.2">
      <c r="A25" s="485"/>
      <c r="B25" s="470"/>
      <c r="C25" s="472"/>
      <c r="D25" s="470"/>
      <c r="E25" s="427" t="str">
        <f t="shared" si="0"/>
        <v/>
      </c>
      <c r="F25" s="432" t="str">
        <f>+IF(OR(E25="LK"),ROUNDUP(D25*(VLOOKUP(B25,'Conteo 18-02-26'!$E:$AN,35,0))/100,0),IF(E25="CH",D24-F24,""))</f>
        <v/>
      </c>
      <c r="G25" s="470"/>
      <c r="H25" s="434"/>
      <c r="I25" s="434"/>
      <c r="J25" s="434"/>
      <c r="K25" s="434"/>
      <c r="L25" s="434"/>
      <c r="M25" s="435"/>
    </row>
    <row r="26" spans="1:13" ht="33.6" customHeight="1" x14ac:dyDescent="0.2">
      <c r="A26" s="485" t="str" cm="1">
        <f t="array" ref="A26">+IFERROR(INDEX('Conteo 18-02-26'!$B:$B,MATCH(1,('Conteo 18-02-26'!$E:$E=$B26)*('Conteo 18-02-26'!$A:$A="Giser"),0)),"")</f>
        <v/>
      </c>
      <c r="B26" s="470">
        <f>+B24+1</f>
        <v>7</v>
      </c>
      <c r="C26" s="472" t="str" cm="1">
        <f t="array" ref="C26">+IFERROR(INDEX('Conteo 18-02-26'!$C:$C,MATCH(1,('Conteo 18-02-26'!$E:$E=$B26)*('Conteo 18-02-26'!$A:$A="Giser"),0)),"")</f>
        <v/>
      </c>
      <c r="D26" s="470" t="str" cm="1">
        <f t="array" ref="D26">+IFERROR(INDEX('Conteo 18-02-26'!$D:$D,MATCH(1,('Conteo 18-02-26'!$E:$E=$B26)*('Conteo 18-02-26'!A:A:'Conteo 18-02-26'!$A:$A="Giser"),0)),"")</f>
        <v/>
      </c>
      <c r="E26" s="427" t="str">
        <f t="shared" si="0"/>
        <v/>
      </c>
      <c r="F26" s="432" t="str">
        <f>+IF(OR(E26="LK"),ROUNDUP(D26*(VLOOKUP(B26,'Conteo 18-02-26'!$E:$AN,35,0))/100,0),IF(E26="CH",D25-F25,""))</f>
        <v/>
      </c>
      <c r="G26" s="470"/>
      <c r="H26" s="434"/>
      <c r="I26" s="434"/>
      <c r="J26" s="434"/>
      <c r="K26" s="434"/>
      <c r="L26" s="434"/>
      <c r="M26" s="435"/>
    </row>
    <row r="27" spans="1:13" ht="33.6" customHeight="1" x14ac:dyDescent="0.2">
      <c r="A27" s="485"/>
      <c r="B27" s="470"/>
      <c r="C27" s="472"/>
      <c r="D27" s="470"/>
      <c r="E27" s="427" t="str">
        <f t="shared" si="0"/>
        <v/>
      </c>
      <c r="F27" s="432" t="str">
        <f>+IF(OR(E27="LK"),ROUNDUP(D27*(VLOOKUP(B27,'Conteo 18-02-26'!$E:$AN,35,0))/100,0),IF(E27="CH",D26-F26,""))</f>
        <v/>
      </c>
      <c r="G27" s="470"/>
      <c r="H27" s="434"/>
      <c r="I27" s="434"/>
      <c r="J27" s="434"/>
      <c r="K27" s="434"/>
      <c r="L27" s="434"/>
      <c r="M27" s="435"/>
    </row>
    <row r="28" spans="1:13" ht="33.6" customHeight="1" x14ac:dyDescent="0.2">
      <c r="A28" s="485" t="str" cm="1">
        <f t="array" ref="A28">+IFERROR(INDEX('Conteo 18-02-26'!$B:$B,MATCH(1,('Conteo 18-02-26'!$E:$E=$B28)*('Conteo 18-02-26'!$A:$A="Giser"),0)),"")</f>
        <v/>
      </c>
      <c r="B28" s="470">
        <f>+B26+1</f>
        <v>8</v>
      </c>
      <c r="C28" s="472" t="str" cm="1">
        <f t="array" ref="C28">+IFERROR(INDEX('Conteo 18-02-26'!$C:$C,MATCH(1,('Conteo 18-02-26'!$E:$E=$B28)*('Conteo 18-02-26'!$A:$A="Giser"),0)),"")</f>
        <v/>
      </c>
      <c r="D28" s="470" t="str" cm="1">
        <f t="array" ref="D28">+IFERROR(INDEX('Conteo 18-02-26'!$D:$D,MATCH(1,('Conteo 18-02-26'!$E:$E=$B28)*('Conteo 18-02-26'!A:A:'Conteo 18-02-26'!$A:$A="Giser"),0)),"")</f>
        <v/>
      </c>
      <c r="E28" s="427" t="str">
        <f t="shared" si="0"/>
        <v/>
      </c>
      <c r="F28" s="432" t="str">
        <f>+IF(OR(E28="LK"),ROUNDUP(D28*(VLOOKUP(B28,'Conteo 18-02-26'!$E:$AN,35,0))/100,0),IF(E28="CH",D27-F27,""))</f>
        <v/>
      </c>
      <c r="G28" s="470"/>
      <c r="H28" s="434"/>
      <c r="I28" s="434"/>
      <c r="J28" s="434"/>
      <c r="K28" s="434"/>
      <c r="L28" s="434"/>
      <c r="M28" s="435"/>
    </row>
    <row r="29" spans="1:13" ht="33.6" customHeight="1" x14ac:dyDescent="0.2">
      <c r="A29" s="485"/>
      <c r="B29" s="470"/>
      <c r="C29" s="472"/>
      <c r="D29" s="470"/>
      <c r="E29" s="427" t="str">
        <f t="shared" si="0"/>
        <v/>
      </c>
      <c r="F29" s="432" t="str">
        <f>+IF(OR(E29="LK"),ROUNDUP(D29*(VLOOKUP(B29,'Conteo 18-02-26'!$E:$AN,35,0))/100,0),IF(E29="CH",D28-F28,""))</f>
        <v/>
      </c>
      <c r="G29" s="470"/>
      <c r="H29" s="434"/>
      <c r="I29" s="434"/>
      <c r="J29" s="434"/>
      <c r="K29" s="434"/>
      <c r="L29" s="434"/>
      <c r="M29" s="435"/>
    </row>
    <row r="30" spans="1:13" ht="33.6" customHeight="1" x14ac:dyDescent="0.2">
      <c r="A30" s="485" t="str" cm="1">
        <f t="array" ref="A30">+IFERROR(INDEX('Conteo 18-02-26'!$B:$B,MATCH(1,('Conteo 18-02-26'!$E:$E=$B30)*('Conteo 18-02-26'!$A:$A="Giser"),0)),"")</f>
        <v/>
      </c>
      <c r="B30" s="470">
        <f>+B28+1</f>
        <v>9</v>
      </c>
      <c r="C30" s="472" t="str" cm="1">
        <f t="array" ref="C30">+IFERROR(INDEX('Conteo 18-02-26'!$C:$C,MATCH(1,('Conteo 18-02-26'!$E:$E=$B30)*('Conteo 18-02-26'!$A:$A="Giser"),0)),"")</f>
        <v/>
      </c>
      <c r="D30" s="470" t="str" cm="1">
        <f t="array" ref="D30">+IFERROR(INDEX('Conteo 18-02-26'!$D:$D,MATCH(1,('Conteo 18-02-26'!$E:$E=$B30)*('Conteo 18-02-26'!A:A:'Conteo 18-02-26'!$A:$A="Giser"),0)),"")</f>
        <v/>
      </c>
      <c r="E30" s="427" t="str">
        <f t="shared" si="0"/>
        <v/>
      </c>
      <c r="F30" s="432" t="str">
        <f>+IF(OR(E30="LK"),ROUNDUP(D30*(VLOOKUP(B30,'Conteo 18-02-26'!$E:$AN,35,0))/100,0),IF(E30="CH",D29-F29,""))</f>
        <v/>
      </c>
      <c r="G30" s="470"/>
      <c r="H30" s="434"/>
      <c r="I30" s="434"/>
      <c r="J30" s="434"/>
      <c r="K30" s="434"/>
      <c r="L30" s="434"/>
      <c r="M30" s="435"/>
    </row>
    <row r="31" spans="1:13" ht="33.6" customHeight="1" x14ac:dyDescent="0.2">
      <c r="A31" s="485"/>
      <c r="B31" s="470"/>
      <c r="C31" s="472"/>
      <c r="D31" s="470"/>
      <c r="E31" s="427" t="str">
        <f t="shared" si="0"/>
        <v/>
      </c>
      <c r="F31" s="432" t="str">
        <f>+IF(OR(E31="LK"),ROUNDUP(D31*(VLOOKUP(B31,'Conteo 18-02-26'!$E:$AN,35,0))/100,0),IF(E31="CH",D30-F30,""))</f>
        <v/>
      </c>
      <c r="G31" s="470"/>
      <c r="H31" s="434"/>
      <c r="I31" s="434"/>
      <c r="J31" s="434"/>
      <c r="K31" s="434"/>
      <c r="L31" s="434"/>
      <c r="M31" s="435"/>
    </row>
    <row r="32" spans="1:13" ht="33.6" customHeight="1" x14ac:dyDescent="0.2">
      <c r="A32" s="485" t="str" cm="1">
        <f t="array" ref="A32">+IFERROR(INDEX('Conteo 18-02-26'!$B:$B,MATCH(1,('Conteo 18-02-26'!$E:$E=$B32)*('Conteo 18-02-26'!$A:$A="Giser"),0)),"")</f>
        <v/>
      </c>
      <c r="B32" s="470">
        <f>+B30+1</f>
        <v>10</v>
      </c>
      <c r="C32" s="472" t="str" cm="1">
        <f t="array" ref="C32">+IFERROR(INDEX('Conteo 18-02-26'!$C:$C,MATCH(1,('Conteo 18-02-26'!$E:$E=$B32)*('Conteo 18-02-26'!$A:$A="Giser"),0)),"")</f>
        <v/>
      </c>
      <c r="D32" s="470" t="str" cm="1">
        <f t="array" ref="D32">+IFERROR(INDEX('Conteo 18-02-26'!$D:$D,MATCH(1,('Conteo 18-02-26'!$E:$E=$B32)*('Conteo 18-02-26'!A:A:'Conteo 18-02-26'!$A:$A="Giser"),0)),"")</f>
        <v/>
      </c>
      <c r="E32" s="427" t="str">
        <f t="shared" si="0"/>
        <v/>
      </c>
      <c r="F32" s="432" t="str">
        <f>+IF(OR(E32="LK"),ROUNDUP(D32*(VLOOKUP(B32,'Conteo 18-02-26'!$E:$AN,35,0))/100,0),IF(E32="CH",D31-F31,""))</f>
        <v/>
      </c>
      <c r="G32" s="470"/>
      <c r="H32" s="434"/>
      <c r="I32" s="434"/>
      <c r="J32" s="434"/>
      <c r="K32" s="434"/>
      <c r="L32" s="434"/>
      <c r="M32" s="435"/>
    </row>
    <row r="33" spans="1:13" ht="33.6" customHeight="1" x14ac:dyDescent="0.2">
      <c r="A33" s="485"/>
      <c r="B33" s="470"/>
      <c r="C33" s="472"/>
      <c r="D33" s="470"/>
      <c r="E33" s="427" t="str">
        <f t="shared" si="0"/>
        <v/>
      </c>
      <c r="F33" s="432" t="str">
        <f>+IF(OR(E33="LK"),ROUNDUP(D33*(VLOOKUP(B33,'Conteo 18-02-26'!$E:$AN,35,0))/100,0),IF(E33="CH",D32-F32,""))</f>
        <v/>
      </c>
      <c r="G33" s="470"/>
      <c r="H33" s="434"/>
      <c r="I33" s="434"/>
      <c r="J33" s="434"/>
      <c r="K33" s="434"/>
      <c r="L33" s="434"/>
      <c r="M33" s="435"/>
    </row>
    <row r="34" spans="1:13" ht="33.6" customHeight="1" x14ac:dyDescent="0.2">
      <c r="A34" s="485" t="str" cm="1">
        <f t="array" ref="A34">+IFERROR(INDEX('Conteo 18-02-26'!$B:$B,MATCH(1,('Conteo 18-02-26'!$E:$E=$B34)*('Conteo 18-02-26'!$A:$A="Giser"),0)),"")</f>
        <v/>
      </c>
      <c r="B34" s="470">
        <f>+B32+1</f>
        <v>11</v>
      </c>
      <c r="C34" s="472" t="str" cm="1">
        <f t="array" ref="C34">+IFERROR(INDEX('Conteo 18-02-26'!$C:$C,MATCH(1,('Conteo 18-02-26'!$E:$E=$B34)*('Conteo 18-02-26'!$A:$A="Giser"),0)),"")</f>
        <v/>
      </c>
      <c r="D34" s="470" t="str" cm="1">
        <f t="array" ref="D34">+IFERROR(INDEX('Conteo 18-02-26'!$D:$D,MATCH(1,('Conteo 18-02-26'!$E:$E=$B34)*('Conteo 18-02-26'!A:A:'Conteo 18-02-26'!$A:$A="Giser"),0)),"")</f>
        <v/>
      </c>
      <c r="E34" s="427" t="str">
        <f t="shared" si="0"/>
        <v/>
      </c>
      <c r="F34" s="432" t="str">
        <f>+IF(OR(E34="LK"),ROUNDUP(D34*(VLOOKUP(B34,'Conteo 18-02-26'!$E:$AN,35,0))/100,0),IF(E34="CH",D33-F33,""))</f>
        <v/>
      </c>
      <c r="G34" s="470"/>
      <c r="H34" s="434"/>
      <c r="I34" s="434"/>
      <c r="J34" s="434"/>
      <c r="K34" s="434"/>
      <c r="L34" s="434"/>
      <c r="M34" s="435"/>
    </row>
    <row r="35" spans="1:13" ht="33.6" customHeight="1" thickBot="1" x14ac:dyDescent="0.25">
      <c r="A35" s="486"/>
      <c r="B35" s="487"/>
      <c r="C35" s="488"/>
      <c r="D35" s="487"/>
      <c r="E35" s="427" t="str">
        <f t="shared" si="0"/>
        <v/>
      </c>
      <c r="F35" s="432" t="str">
        <f>+IF(OR(E35="LK"),ROUNDUP(D35*(VLOOKUP(B35,'Conteo 18-02-26'!$E:$AN,35,0))/100,0),IF(E35="CH",D34-F34,""))</f>
        <v/>
      </c>
      <c r="G35" s="487"/>
      <c r="H35" s="436"/>
      <c r="I35" s="436"/>
      <c r="J35" s="436"/>
      <c r="K35" s="436"/>
      <c r="L35" s="436"/>
      <c r="M35" s="437"/>
    </row>
    <row r="36" spans="1:13" ht="33.6" customHeight="1" x14ac:dyDescent="0.2">
      <c r="A36" s="490" t="str" cm="1">
        <f t="array" ref="A36">+IFERROR(INDEX('Conteo 18-02-26'!$B:$B,MATCH(1,('Conteo 18-02-26'!$E:$E=$B36)*('Conteo 18-02-26'!$A:$A="Giser"),0)),"")</f>
        <v/>
      </c>
      <c r="B36" s="491">
        <f>+B34+1</f>
        <v>12</v>
      </c>
      <c r="C36" s="492" t="str" cm="1">
        <f t="array" ref="C36">+IFERROR(INDEX('Conteo 18-02-26'!$C:$C,MATCH(1,('Conteo 18-02-26'!$E:$E=$B36)*('Conteo 18-02-26'!$A:$A="Giser"),0)),"")</f>
        <v/>
      </c>
      <c r="D36" s="491" t="str" cm="1">
        <f t="array" ref="D36">+IFERROR(INDEX('Conteo 18-02-26'!$D:$D,MATCH(1,('Conteo 18-02-26'!$E:$E=$B36)*('Conteo 18-02-26'!A:A:'Conteo 18-02-26'!$A:$A="Giser"),0)),"")</f>
        <v/>
      </c>
      <c r="E36" s="427" t="str">
        <f t="shared" si="0"/>
        <v/>
      </c>
      <c r="F36" s="432" t="str">
        <f>+IF(OR(E36="LK"),ROUNDUP(D36*(VLOOKUP(B36,'Conteo 18-02-26'!$E:$AN,35,0))/100,0),IF(E36="CH",D35-F35,""))</f>
        <v/>
      </c>
      <c r="G36" s="491"/>
      <c r="H36" s="438"/>
      <c r="I36" s="438"/>
      <c r="J36" s="438"/>
      <c r="K36" s="438"/>
      <c r="L36" s="438"/>
      <c r="M36" s="438"/>
    </row>
    <row r="37" spans="1:13" ht="33.6" customHeight="1" x14ac:dyDescent="0.2">
      <c r="A37" s="489"/>
      <c r="B37" s="470"/>
      <c r="C37" s="472"/>
      <c r="D37" s="470"/>
      <c r="E37" s="427" t="str">
        <f t="shared" si="0"/>
        <v/>
      </c>
      <c r="F37" s="432" t="str">
        <f>+IF(OR(E37="LK"),ROUNDUP(D37*(VLOOKUP(B37,'Conteo 18-02-26'!$E:$AN,35,0))/100,0),IF(E37="CH",D36-F36,""))</f>
        <v/>
      </c>
      <c r="G37" s="470"/>
      <c r="H37" s="434"/>
      <c r="I37" s="434"/>
      <c r="J37" s="434"/>
      <c r="K37" s="434"/>
      <c r="L37" s="434"/>
      <c r="M37" s="434"/>
    </row>
    <row r="38" spans="1:13" ht="33.6" customHeight="1" x14ac:dyDescent="0.2">
      <c r="A38" s="489" t="str" cm="1">
        <f t="array" ref="A38">+IFERROR(INDEX('Conteo 18-02-26'!$B:$B,MATCH(1,('Conteo 18-02-26'!$E:$E=$B38)*('Conteo 18-02-26'!$A:$A="Giser"),0)),"")</f>
        <v/>
      </c>
      <c r="B38" s="470">
        <f>+B36+1</f>
        <v>13</v>
      </c>
      <c r="C38" s="472" t="str" cm="1">
        <f t="array" ref="C38">+IFERROR(INDEX('Conteo 18-02-26'!$C:$C,MATCH(1,('Conteo 18-02-26'!$E:$E=$B38)*('Conteo 18-02-26'!$A:$A="Giser"),0)),"")</f>
        <v/>
      </c>
      <c r="D38" s="470" t="str" cm="1">
        <f t="array" ref="D38">+IFERROR(INDEX('Conteo 18-02-26'!$D:$D,MATCH(1,('Conteo 18-02-26'!$E:$E=$B38)*('Conteo 18-02-26'!A:A:'Conteo 18-02-26'!$A:$A="Giser"),0)),"")</f>
        <v/>
      </c>
      <c r="E38" s="427" t="str">
        <f t="shared" si="0"/>
        <v/>
      </c>
      <c r="F38" s="432" t="str">
        <f>+IF(OR(E38="LK"),ROUNDUP(D38*(VLOOKUP(B38,'Conteo 18-02-26'!$E:$AN,35,0))/100,0),IF(E38="CH",D37-F37,""))</f>
        <v/>
      </c>
      <c r="G38" s="470"/>
      <c r="H38" s="434"/>
      <c r="I38" s="434"/>
      <c r="J38" s="434"/>
      <c r="K38" s="434"/>
      <c r="L38" s="434"/>
      <c r="M38" s="434"/>
    </row>
    <row r="39" spans="1:13" ht="33.6" customHeight="1" x14ac:dyDescent="0.2">
      <c r="A39" s="489"/>
      <c r="B39" s="470"/>
      <c r="C39" s="472"/>
      <c r="D39" s="470"/>
      <c r="E39" s="427" t="str">
        <f t="shared" si="0"/>
        <v/>
      </c>
      <c r="F39" s="432" t="str">
        <f>+IF(OR(E39="LK"),ROUNDUP(D39*(VLOOKUP(B39,'Conteo 18-02-26'!$E:$AN,35,0))/100,0),IF(E39="CH",D38-F38,""))</f>
        <v/>
      </c>
      <c r="G39" s="470"/>
      <c r="H39" s="434"/>
      <c r="I39" s="434"/>
      <c r="J39" s="434"/>
      <c r="K39" s="434"/>
      <c r="L39" s="434"/>
      <c r="M39" s="434"/>
    </row>
    <row r="40" spans="1:13" ht="33.6" customHeight="1" x14ac:dyDescent="0.2">
      <c r="A40" s="489" t="str" cm="1">
        <f t="array" ref="A40">+IFERROR(INDEX('Conteo 18-02-26'!$B:$B,MATCH(1,('Conteo 18-02-26'!$E:$E=$B40)*('Conteo 18-02-26'!$A:$A="Giser"),0)),"")</f>
        <v/>
      </c>
      <c r="B40" s="470">
        <f>+B38+1</f>
        <v>14</v>
      </c>
      <c r="C40" s="472" t="str" cm="1">
        <f t="array" ref="C40">+IFERROR(INDEX('Conteo 18-02-26'!$C:$C,MATCH(1,('Conteo 18-02-26'!$E:$E=$B40)*('Conteo 18-02-26'!$A:$A="Giser"),0)),"")</f>
        <v/>
      </c>
      <c r="D40" s="470" t="str" cm="1">
        <f t="array" ref="D40">+IFERROR(INDEX('Conteo 18-02-26'!$D:$D,MATCH(1,('Conteo 18-02-26'!$E:$E=$B40)*('Conteo 18-02-26'!A:A:'Conteo 18-02-26'!$A:$A="Giser"),0)),"")</f>
        <v/>
      </c>
      <c r="E40" s="427" t="str">
        <f t="shared" si="0"/>
        <v/>
      </c>
      <c r="F40" s="432" t="str">
        <f>+IF(OR(E40="LK"),ROUNDUP(D40*(VLOOKUP(B40,'Conteo 18-02-26'!$E:$AN,35,0))/100,0),IF(E40="CH",D39-F39,""))</f>
        <v/>
      </c>
      <c r="G40" s="470"/>
      <c r="H40" s="434"/>
      <c r="I40" s="434"/>
      <c r="J40" s="434"/>
      <c r="K40" s="434"/>
      <c r="L40" s="434"/>
      <c r="M40" s="434"/>
    </row>
    <row r="41" spans="1:13" ht="33.6" customHeight="1" x14ac:dyDescent="0.2">
      <c r="A41" s="489"/>
      <c r="B41" s="470"/>
      <c r="C41" s="472"/>
      <c r="D41" s="470"/>
      <c r="E41" s="427" t="str">
        <f t="shared" si="0"/>
        <v/>
      </c>
      <c r="F41" s="432" t="str">
        <f>+IF(OR(E41="LK"),ROUNDUP(D41*(VLOOKUP(B41,'Conteo 18-02-26'!$E:$AN,35,0))/100,0),IF(E41="CH",D40-F40,""))</f>
        <v/>
      </c>
      <c r="G41" s="470"/>
      <c r="H41" s="434"/>
      <c r="I41" s="434"/>
      <c r="J41" s="434"/>
      <c r="K41" s="434"/>
      <c r="L41" s="434"/>
      <c r="M41" s="434"/>
    </row>
    <row r="42" spans="1:13" ht="33.6" customHeight="1" x14ac:dyDescent="0.2">
      <c r="A42" s="489" t="str" cm="1">
        <f t="array" ref="A42">+IFERROR(INDEX('Conteo 18-02-26'!$B:$B,MATCH(1,('Conteo 18-02-26'!$E:$E=$B42)*('Conteo 18-02-26'!$A:$A="Giser"),0)),"")</f>
        <v/>
      </c>
      <c r="B42" s="470">
        <f>+B40+1</f>
        <v>15</v>
      </c>
      <c r="C42" s="472" t="str" cm="1">
        <f t="array" ref="C42">+IFERROR(INDEX('Conteo 18-02-26'!$C:$C,MATCH(1,('Conteo 18-02-26'!$E:$E=$B42)*('Conteo 18-02-26'!$A:$A="Giser"),0)),"")</f>
        <v/>
      </c>
      <c r="D42" s="470" t="str" cm="1">
        <f t="array" ref="D42">+IFERROR(INDEX('Conteo 18-02-26'!$D:$D,MATCH(1,('Conteo 18-02-26'!$E:$E=$B42)*('Conteo 18-02-26'!A:A:'Conteo 18-02-26'!$A:$A="Giser"),0)),"")</f>
        <v/>
      </c>
      <c r="E42" s="427" t="str">
        <f t="shared" si="0"/>
        <v/>
      </c>
      <c r="F42" s="432" t="str">
        <f>+IF(OR(E42="LK"),ROUNDUP(D42*(VLOOKUP(B42,'Conteo 18-02-26'!$E:$AN,35,0))/100,0),IF(E42="CH",D41-F41,""))</f>
        <v/>
      </c>
      <c r="G42" s="470"/>
      <c r="H42" s="434"/>
      <c r="I42" s="434"/>
      <c r="J42" s="434"/>
      <c r="K42" s="434"/>
      <c r="L42" s="434"/>
      <c r="M42" s="434"/>
    </row>
    <row r="43" spans="1:13" ht="33.6" customHeight="1" x14ac:dyDescent="0.2">
      <c r="A43" s="489"/>
      <c r="B43" s="470"/>
      <c r="C43" s="472"/>
      <c r="D43" s="470"/>
      <c r="E43" s="427" t="str">
        <f t="shared" si="0"/>
        <v/>
      </c>
      <c r="F43" s="432" t="str">
        <f>+IF(OR(E43="LK"),ROUNDUP(D43*(VLOOKUP(B43,'Conteo 18-02-26'!$E:$AN,35,0))/100,0),IF(E43="CH",D42-F42,""))</f>
        <v/>
      </c>
      <c r="G43" s="470"/>
      <c r="H43" s="434"/>
      <c r="I43" s="434"/>
      <c r="J43" s="434"/>
      <c r="K43" s="434"/>
      <c r="L43" s="434"/>
      <c r="M43" s="434"/>
    </row>
  </sheetData>
  <mergeCells count="94"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3:B3"/>
    <mergeCell ref="F3:G3"/>
    <mergeCell ref="H3:L3"/>
    <mergeCell ref="A1:C1"/>
    <mergeCell ref="F1:L1"/>
    <mergeCell ref="A2:B2"/>
    <mergeCell ref="F2:G2"/>
    <mergeCell ref="H2:L2"/>
  </mergeCells>
  <printOptions horizontalCentered="1"/>
  <pageMargins left="0" right="0" top="0" bottom="0" header="0" footer="0"/>
  <pageSetup paperSize="9" scale="6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S86"/>
  <sheetViews>
    <sheetView topLeftCell="A46" zoomScale="75" zoomScaleNormal="75" workbookViewId="0">
      <selection activeCell="F54" sqref="F54"/>
    </sheetView>
  </sheetViews>
  <sheetFormatPr baseColWidth="10" defaultRowHeight="18.75" x14ac:dyDescent="0.3"/>
  <cols>
    <col min="2" max="2" width="11.85546875" customWidth="1"/>
    <col min="3" max="3" width="27.7109375" customWidth="1"/>
    <col min="4" max="4" width="14" style="106" customWidth="1"/>
    <col min="5" max="5" width="14.28515625" customWidth="1"/>
    <col min="6" max="6" width="3.85546875" customWidth="1"/>
    <col min="7" max="7" width="8.140625" customWidth="1"/>
    <col min="8" max="8" width="7.85546875" customWidth="1"/>
    <col min="9" max="9" width="3.5703125" customWidth="1"/>
    <col min="10" max="10" width="10.85546875" customWidth="1"/>
    <col min="11" max="11" width="10.42578125" customWidth="1"/>
    <col min="12" max="12" width="10" customWidth="1"/>
    <col min="13" max="13" width="3.5703125" customWidth="1"/>
    <col min="14" max="15" width="8.140625" customWidth="1"/>
    <col min="16" max="16" width="9.5703125" customWidth="1"/>
    <col min="17" max="17" width="9" customWidth="1"/>
    <col min="18" max="18" width="3.5703125" customWidth="1"/>
    <col min="19" max="19" width="8.140625" customWidth="1"/>
    <col min="20" max="20" width="7.5703125" customWidth="1"/>
    <col min="21" max="21" width="10.42578125" customWidth="1"/>
    <col min="22" max="22" width="3.7109375" customWidth="1"/>
    <col min="23" max="23" width="10.7109375" customWidth="1"/>
    <col min="24" max="24" width="11" customWidth="1"/>
    <col min="25" max="25" width="10.42578125" customWidth="1"/>
    <col min="26" max="26" width="4" customWidth="1"/>
    <col min="27" max="27" width="8.28515625" customWidth="1"/>
    <col min="28" max="28" width="10" customWidth="1"/>
    <col min="29" max="29" width="8.28515625" customWidth="1"/>
    <col min="30" max="30" width="11.140625" customWidth="1"/>
    <col min="31" max="31" width="14" customWidth="1"/>
    <col min="32" max="32" width="11.5703125" customWidth="1"/>
    <col min="33" max="33" width="13.28515625" customWidth="1"/>
    <col min="34" max="34" width="12.140625" customWidth="1"/>
    <col min="35" max="35" width="19.28515625" customWidth="1"/>
    <col min="36" max="36" width="13.42578125" customWidth="1"/>
    <col min="37" max="37" width="9.5703125" style="274" customWidth="1"/>
    <col min="38" max="38" width="3.28515625" customWidth="1"/>
    <col min="39" max="39" width="7.42578125" customWidth="1"/>
    <col min="40" max="40" width="8.42578125" customWidth="1"/>
  </cols>
  <sheetData>
    <row r="1" spans="1:45" ht="36.75" customHeight="1" thickBot="1" x14ac:dyDescent="0.65">
      <c r="B1" s="247" t="s">
        <v>466</v>
      </c>
      <c r="C1" s="248"/>
      <c r="D1" s="410"/>
      <c r="E1" s="253"/>
      <c r="Y1" s="264"/>
      <c r="AA1" s="38"/>
      <c r="AB1" s="38"/>
      <c r="AI1" s="101"/>
    </row>
    <row r="2" spans="1:45" ht="31.5" customHeight="1" thickBot="1" x14ac:dyDescent="0.45">
      <c r="C2" s="2"/>
      <c r="D2" s="156"/>
      <c r="E2" s="2"/>
      <c r="AI2" s="1"/>
      <c r="AJ2" s="37"/>
      <c r="AL2" s="37"/>
      <c r="AM2" s="37"/>
      <c r="AN2" s="37"/>
      <c r="AO2" s="37"/>
      <c r="AP2" s="37"/>
      <c r="AQ2" s="37"/>
      <c r="AR2" s="37"/>
      <c r="AS2" s="37"/>
    </row>
    <row r="3" spans="1:45" ht="21" customHeight="1" thickBot="1" x14ac:dyDescent="0.45">
      <c r="C3" s="249" t="s">
        <v>457</v>
      </c>
      <c r="D3" s="411">
        <f ca="1">+TODAY()</f>
        <v>46099</v>
      </c>
      <c r="E3" s="254"/>
      <c r="H3" s="266"/>
      <c r="N3" s="266"/>
      <c r="O3" s="266"/>
      <c r="P3" s="266"/>
      <c r="Q3" s="266"/>
      <c r="S3" s="496"/>
      <c r="T3" s="496"/>
      <c r="U3" s="496"/>
      <c r="Y3" s="265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L3" s="37"/>
      <c r="AM3" s="37"/>
      <c r="AN3" s="37"/>
      <c r="AO3" s="37"/>
      <c r="AP3" s="37"/>
      <c r="AQ3" s="37"/>
      <c r="AR3" s="37"/>
      <c r="AS3" s="37"/>
    </row>
    <row r="4" spans="1:45" ht="19.7" customHeight="1" x14ac:dyDescent="0.4">
      <c r="C4" s="2"/>
      <c r="D4" s="156"/>
      <c r="E4" s="2"/>
      <c r="J4" s="198"/>
      <c r="K4" s="200"/>
      <c r="Y4" s="199"/>
      <c r="AI4" s="1"/>
      <c r="AJ4" s="37"/>
      <c r="AL4" s="37"/>
      <c r="AM4" s="37"/>
      <c r="AN4" s="37"/>
      <c r="AO4" s="37"/>
      <c r="AP4" s="37"/>
      <c r="AQ4" s="37"/>
      <c r="AR4" s="37"/>
      <c r="AS4" s="37"/>
    </row>
    <row r="5" spans="1:45" ht="19.7" customHeight="1" x14ac:dyDescent="0.4">
      <c r="C5" s="2"/>
      <c r="D5" s="156"/>
      <c r="E5" s="2"/>
      <c r="J5" s="198"/>
      <c r="K5" s="200"/>
      <c r="Y5" s="199"/>
      <c r="AI5" s="1"/>
      <c r="AJ5" s="37"/>
      <c r="AL5" s="37"/>
      <c r="AM5" s="37"/>
      <c r="AN5" s="37"/>
      <c r="AO5" s="37"/>
      <c r="AP5" s="37"/>
      <c r="AQ5" s="37"/>
      <c r="AR5" s="37"/>
      <c r="AS5" s="37"/>
    </row>
    <row r="6" spans="1:45" ht="15.95" customHeight="1" x14ac:dyDescent="0.4">
      <c r="C6" s="2"/>
      <c r="D6" s="156"/>
      <c r="E6" s="2"/>
      <c r="J6" s="198"/>
      <c r="K6" s="200"/>
      <c r="Y6" s="199"/>
      <c r="AI6" s="1"/>
      <c r="AJ6" s="37"/>
      <c r="AL6" s="37"/>
      <c r="AM6" s="37"/>
      <c r="AN6" s="37"/>
      <c r="AO6" s="37"/>
      <c r="AP6" s="37"/>
      <c r="AQ6" s="37"/>
      <c r="AR6" s="37"/>
      <c r="AS6" s="37"/>
    </row>
    <row r="7" spans="1:45" ht="34.5" customHeight="1" thickBot="1" x14ac:dyDescent="0.45">
      <c r="C7" s="2"/>
      <c r="D7" s="156"/>
      <c r="E7" s="2"/>
      <c r="J7" s="198"/>
      <c r="K7" s="200"/>
      <c r="Y7" s="199"/>
      <c r="AI7" s="1"/>
      <c r="AJ7" s="37"/>
      <c r="AL7" s="37"/>
      <c r="AM7" s="37"/>
      <c r="AN7" s="37"/>
      <c r="AO7" s="37"/>
      <c r="AP7" s="37"/>
      <c r="AQ7" s="37"/>
      <c r="AR7" s="37"/>
      <c r="AS7" s="37"/>
    </row>
    <row r="8" spans="1:45" ht="27" thickBot="1" x14ac:dyDescent="0.45">
      <c r="B8" s="252"/>
      <c r="C8" s="493" t="s">
        <v>461</v>
      </c>
      <c r="D8" s="494"/>
      <c r="E8" s="495"/>
      <c r="G8" s="267"/>
      <c r="J8" s="198"/>
      <c r="K8" s="267"/>
      <c r="Y8" s="199"/>
      <c r="AI8" s="1"/>
      <c r="AJ8" s="37"/>
      <c r="AL8" s="37"/>
      <c r="AM8" s="37"/>
      <c r="AN8" s="37"/>
      <c r="AO8" s="37"/>
      <c r="AP8" s="37"/>
      <c r="AQ8" s="37"/>
      <c r="AR8" s="37"/>
      <c r="AS8" s="37"/>
    </row>
    <row r="9" spans="1:45" ht="27" thickBot="1" x14ac:dyDescent="0.45">
      <c r="C9" s="250" t="s">
        <v>7</v>
      </c>
      <c r="D9" s="251" t="s">
        <v>462</v>
      </c>
      <c r="E9" s="251"/>
      <c r="G9" s="268"/>
      <c r="H9" s="269"/>
      <c r="J9" s="198"/>
      <c r="K9" s="268"/>
      <c r="N9" s="269"/>
      <c r="O9" s="269"/>
      <c r="P9" s="269"/>
      <c r="Q9" s="269"/>
      <c r="S9" s="500"/>
      <c r="T9" s="500"/>
      <c r="U9" s="500"/>
      <c r="Y9" s="199"/>
      <c r="AA9" s="497" t="s">
        <v>392</v>
      </c>
      <c r="AB9" s="498"/>
      <c r="AC9" s="498"/>
      <c r="AD9" s="498"/>
      <c r="AE9" s="498"/>
      <c r="AF9" s="498"/>
      <c r="AG9" s="498"/>
      <c r="AH9" s="498"/>
      <c r="AI9" s="498"/>
      <c r="AJ9" s="498"/>
      <c r="AK9" s="499"/>
      <c r="AL9" s="37"/>
      <c r="AM9" s="37"/>
      <c r="AN9" s="37"/>
      <c r="AO9" s="37"/>
      <c r="AP9" s="37"/>
      <c r="AQ9" s="37"/>
      <c r="AR9" s="37"/>
      <c r="AS9" s="37"/>
    </row>
    <row r="10" spans="1:45" ht="87" customHeight="1" thickBot="1" x14ac:dyDescent="0.3">
      <c r="B10" s="401" t="s">
        <v>311</v>
      </c>
      <c r="C10" s="97" t="s">
        <v>2</v>
      </c>
      <c r="D10" s="402" t="s">
        <v>460</v>
      </c>
      <c r="E10" s="402" t="s">
        <v>467</v>
      </c>
      <c r="G10" s="97" t="s">
        <v>396</v>
      </c>
      <c r="H10" s="25" t="s">
        <v>397</v>
      </c>
      <c r="J10" s="97" t="s">
        <v>530</v>
      </c>
      <c r="K10" s="97" t="s">
        <v>531</v>
      </c>
      <c r="L10" s="97" t="s">
        <v>532</v>
      </c>
      <c r="N10" s="25" t="s">
        <v>399</v>
      </c>
      <c r="O10" s="25" t="s">
        <v>398</v>
      </c>
      <c r="P10" s="25" t="s">
        <v>400</v>
      </c>
      <c r="Q10" s="25" t="s">
        <v>401</v>
      </c>
      <c r="S10" s="79" t="s">
        <v>402</v>
      </c>
      <c r="T10" s="25" t="s">
        <v>403</v>
      </c>
      <c r="U10" s="405" t="s">
        <v>404</v>
      </c>
      <c r="W10" s="97" t="s">
        <v>0</v>
      </c>
      <c r="X10" s="402" t="s">
        <v>465</v>
      </c>
      <c r="Y10" s="97" t="s">
        <v>470</v>
      </c>
      <c r="AA10" s="25" t="s">
        <v>383</v>
      </c>
      <c r="AB10" s="25" t="s">
        <v>384</v>
      </c>
      <c r="AC10" s="25" t="s">
        <v>385</v>
      </c>
      <c r="AD10" s="25" t="s">
        <v>386</v>
      </c>
      <c r="AE10" s="25" t="s">
        <v>379</v>
      </c>
      <c r="AF10" s="25" t="s">
        <v>387</v>
      </c>
      <c r="AG10" s="25" t="s">
        <v>381</v>
      </c>
      <c r="AH10" s="25" t="s">
        <v>297</v>
      </c>
      <c r="AI10" s="25" t="s">
        <v>1</v>
      </c>
      <c r="AJ10" s="25" t="s">
        <v>389</v>
      </c>
      <c r="AK10" s="25" t="s">
        <v>469</v>
      </c>
      <c r="AM10" s="407" t="s">
        <v>564</v>
      </c>
      <c r="AN10" s="407" t="s">
        <v>565</v>
      </c>
    </row>
    <row r="11" spans="1:45" ht="19.7" customHeight="1" x14ac:dyDescent="0.3">
      <c r="A11" t="s">
        <v>7</v>
      </c>
      <c r="B11" s="220"/>
      <c r="C11" s="221" t="s">
        <v>310</v>
      </c>
      <c r="D11" s="84">
        <v>0</v>
      </c>
      <c r="E11" s="270"/>
      <c r="G11" s="278">
        <f>+IFERROR(K11/J11,0)</f>
        <v>0</v>
      </c>
      <c r="H11" s="279">
        <f>+IFERROR(Q11/U11,0)</f>
        <v>0</v>
      </c>
      <c r="J11" s="284">
        <f>AA11*AK11</f>
        <v>0</v>
      </c>
      <c r="K11" s="66">
        <f>(X11*AC11)+Y11</f>
        <v>5000</v>
      </c>
      <c r="L11" s="285">
        <f>+IF(K11-J11&gt;0,0,J11-K11)</f>
        <v>0</v>
      </c>
      <c r="N11" s="169">
        <f>+IFERROR(VLOOKUP(W11,'Stock Prov. Serv.'!A:D,4,0),0)</f>
        <v>0</v>
      </c>
      <c r="O11" s="147">
        <f>+IFERROR(VLOOKUP(W11,'Stock Taller'!A:D,4,0),0)</f>
        <v>0</v>
      </c>
      <c r="P11" s="147">
        <f>+SUMIF('Stock CD'!B:B,'Conteo 18-02-26'!W11,'Stock CD'!E:E)</f>
        <v>0</v>
      </c>
      <c r="Q11" s="85">
        <f>+N11+O11+P11+K11</f>
        <v>5000</v>
      </c>
      <c r="S11" s="218">
        <f>+IFERROR(VLOOKUP(W11,'Stock Taller'!A:G,7,0),0)</f>
        <v>0</v>
      </c>
      <c r="T11" s="147">
        <f>+IFERROR(SUMIF('Stock CD'!B:B,'Conteo 18-02-26'!W11,'Stock CD'!K:K),0)</f>
        <v>0</v>
      </c>
      <c r="U11" s="98">
        <f>+S11+T11+J11</f>
        <v>0</v>
      </c>
      <c r="W11" s="220" t="s">
        <v>6</v>
      </c>
      <c r="X11" s="222">
        <v>10</v>
      </c>
      <c r="Y11" s="285"/>
      <c r="AA11" s="172">
        <f>+SUMIFS(Consumo!F:F,Consumo!D:D,'Conteo 18-02-26'!W11)</f>
        <v>0</v>
      </c>
      <c r="AB11" s="81">
        <f t="shared" ref="AB11:AB27" si="0">+AA11*AH11</f>
        <v>0</v>
      </c>
      <c r="AC11" s="175">
        <v>500</v>
      </c>
      <c r="AD11" s="175">
        <v>1000</v>
      </c>
      <c r="AE11" s="82">
        <f>+AH11*AG11</f>
        <v>0</v>
      </c>
      <c r="AF11" s="66">
        <f t="shared" ref="AF11:AF13" si="1">+AD11*AH11</f>
        <v>9.5</v>
      </c>
      <c r="AG11" s="66">
        <f>AD11*BB11</f>
        <v>0</v>
      </c>
      <c r="AH11" s="83">
        <v>9.4999999999999998E-3</v>
      </c>
      <c r="AI11" s="84" t="s">
        <v>7</v>
      </c>
      <c r="AJ11" s="147" t="s">
        <v>390</v>
      </c>
      <c r="AK11" s="290">
        <v>3</v>
      </c>
      <c r="AM11" s="439">
        <v>70</v>
      </c>
      <c r="AN11" s="290">
        <v>30</v>
      </c>
    </row>
    <row r="12" spans="1:45" ht="19.7" customHeight="1" x14ac:dyDescent="0.3">
      <c r="A12" t="s">
        <v>7</v>
      </c>
      <c r="B12" s="67">
        <v>1096500</v>
      </c>
      <c r="C12" s="69" t="s">
        <v>15</v>
      </c>
      <c r="D12" s="88">
        <v>0</v>
      </c>
      <c r="E12" s="271"/>
      <c r="G12" s="280">
        <f>+IFERROR(K12/J12,0)</f>
        <v>2.1151620370370372</v>
      </c>
      <c r="H12" s="281">
        <f>+IFERROR(Q12/U12,0)</f>
        <v>1.6115520282186948</v>
      </c>
      <c r="J12" s="286">
        <f t="shared" ref="J12:J13" si="2">AA12*AK12</f>
        <v>3456</v>
      </c>
      <c r="K12" s="71">
        <f>(X12*AC12)+Y12</f>
        <v>7310</v>
      </c>
      <c r="L12" s="287">
        <f>+IF(K12-J12&gt;0,0,J12-K12)</f>
        <v>0</v>
      </c>
      <c r="N12" s="165">
        <f>+IFERROR(VLOOKUP(W12,'Stock Prov. Serv.'!A:D,4,0),0)</f>
        <v>0</v>
      </c>
      <c r="O12" s="148">
        <f>+IFERROR(VLOOKUP(W12,'Stock Taller'!A:D,4,0),0)</f>
        <v>0</v>
      </c>
      <c r="P12" s="148">
        <f>+SUMIF('Stock CD'!B:B,'Conteo 18-02-26'!W12,'Stock CD'!E:E)</f>
        <v>0</v>
      </c>
      <c r="Q12" s="89">
        <f>+N12+O12+P12+K12</f>
        <v>7310</v>
      </c>
      <c r="S12" s="188">
        <f>+IFERROR(VLOOKUP(W12,'Stock Taller'!A:G,7,0),0)</f>
        <v>0</v>
      </c>
      <c r="T12" s="148">
        <f>+IFERROR(SUMIF('Stock CD'!B:B,'Conteo 18-02-26'!W12,'Stock CD'!K:K),0)</f>
        <v>1080</v>
      </c>
      <c r="U12" s="89">
        <f>+S12+T12+J12</f>
        <v>4536</v>
      </c>
      <c r="W12" s="67" t="s">
        <v>14</v>
      </c>
      <c r="X12" s="70">
        <v>1</v>
      </c>
      <c r="Y12" s="287"/>
      <c r="AA12" s="173">
        <f>+SUMIFS(Consumo!F:F,Consumo!D:D,'Conteo 18-02-26'!W12)</f>
        <v>1152</v>
      </c>
      <c r="AB12" s="72">
        <f t="shared" si="0"/>
        <v>3.2831999999999999</v>
      </c>
      <c r="AC12" s="176">
        <v>7310</v>
      </c>
      <c r="AD12" s="176">
        <v>3000</v>
      </c>
      <c r="AE12" s="86">
        <v>167</v>
      </c>
      <c r="AF12" s="71">
        <f t="shared" si="1"/>
        <v>8.5500000000000007</v>
      </c>
      <c r="AG12" s="99">
        <f>+AE12/AH12</f>
        <v>58596.491228070176</v>
      </c>
      <c r="AH12" s="87">
        <v>2.8500000000000001E-3</v>
      </c>
      <c r="AI12" s="88" t="s">
        <v>7</v>
      </c>
      <c r="AJ12" s="148" t="s">
        <v>391</v>
      </c>
      <c r="AK12" s="145">
        <v>3</v>
      </c>
      <c r="AM12" s="165">
        <v>70</v>
      </c>
      <c r="AN12" s="89">
        <v>30</v>
      </c>
    </row>
    <row r="13" spans="1:45" ht="20.25" customHeight="1" x14ac:dyDescent="0.3">
      <c r="A13" t="s">
        <v>7</v>
      </c>
      <c r="B13" s="67">
        <v>1095500</v>
      </c>
      <c r="C13" s="69" t="s">
        <v>17</v>
      </c>
      <c r="D13" s="88">
        <v>0</v>
      </c>
      <c r="E13" s="271"/>
      <c r="G13" s="280">
        <f>+IFERROR(K13/J13,0)</f>
        <v>0.57870370370370372</v>
      </c>
      <c r="H13" s="281">
        <f>+IFERROR(Q13/U13,0)</f>
        <v>0.44091710758377423</v>
      </c>
      <c r="J13" s="286">
        <f t="shared" si="2"/>
        <v>3456</v>
      </c>
      <c r="K13" s="71">
        <f>(X13*AC13)+Y13</f>
        <v>2000</v>
      </c>
      <c r="L13" s="287">
        <f>+IF(K13-J13&gt;0,0,J13-K13)</f>
        <v>1456</v>
      </c>
      <c r="N13" s="165">
        <f>+IFERROR(VLOOKUP(W13,'Stock Prov. Serv.'!A:D,4,0),0)</f>
        <v>0</v>
      </c>
      <c r="O13" s="148">
        <f>+IFERROR(VLOOKUP(W13,'Stock Taller'!A:D,4,0),0)</f>
        <v>0</v>
      </c>
      <c r="P13" s="148">
        <f>+SUMIF('Stock CD'!B:B,'Conteo 18-02-26'!W13,'Stock CD'!E:E)</f>
        <v>0</v>
      </c>
      <c r="Q13" s="89">
        <f>+N13+O13+P13+K13</f>
        <v>2000</v>
      </c>
      <c r="S13" s="188">
        <f>+IFERROR(VLOOKUP(W13,'Stock Taller'!A:G,7,0),0)</f>
        <v>0</v>
      </c>
      <c r="T13" s="148">
        <f>+IFERROR(SUMIF('Stock CD'!B:B,'Conteo 18-02-26'!W13,'Stock CD'!K:K),0)</f>
        <v>1080</v>
      </c>
      <c r="U13" s="89">
        <f>+S13+T13+J13</f>
        <v>4536</v>
      </c>
      <c r="W13" s="67" t="s">
        <v>16</v>
      </c>
      <c r="X13" s="70">
        <v>1</v>
      </c>
      <c r="Y13" s="287"/>
      <c r="AA13" s="173">
        <f>+SUMIFS(Consumo!F:F,Consumo!D:D,'Conteo 18-02-26'!W13)</f>
        <v>1152</v>
      </c>
      <c r="AB13" s="72">
        <f t="shared" si="0"/>
        <v>2.016</v>
      </c>
      <c r="AC13" s="176">
        <v>2000</v>
      </c>
      <c r="AD13" s="176">
        <v>3000</v>
      </c>
      <c r="AE13" s="86">
        <v>147</v>
      </c>
      <c r="AF13" s="71">
        <f t="shared" si="1"/>
        <v>5.25</v>
      </c>
      <c r="AG13" s="99">
        <f>+AE13/AH13</f>
        <v>84000</v>
      </c>
      <c r="AH13" s="87">
        <v>1.75E-3</v>
      </c>
      <c r="AI13" s="88" t="s">
        <v>7</v>
      </c>
      <c r="AJ13" s="148" t="s">
        <v>391</v>
      </c>
      <c r="AK13" s="145">
        <v>3</v>
      </c>
      <c r="AM13" s="165">
        <v>70</v>
      </c>
      <c r="AN13" s="89">
        <v>30</v>
      </c>
    </row>
    <row r="14" spans="1:45" ht="24.75" customHeight="1" x14ac:dyDescent="0.3">
      <c r="A14" t="s">
        <v>7</v>
      </c>
      <c r="B14" s="67">
        <v>1175500</v>
      </c>
      <c r="C14" s="69" t="s">
        <v>28</v>
      </c>
      <c r="D14" s="88">
        <v>25</v>
      </c>
      <c r="E14" s="413">
        <v>1</v>
      </c>
      <c r="G14" s="280">
        <f>+IFERROR(K14/J14,0)</f>
        <v>0.58258854683879524</v>
      </c>
      <c r="H14" s="281">
        <f>+IFERROR(Q14/U14,0)</f>
        <v>1.6003946914083383E-2</v>
      </c>
      <c r="J14" s="404">
        <f>AB14*AK14</f>
        <v>112.98539999999997</v>
      </c>
      <c r="K14" s="71">
        <f>+((X14*AC14)+Y14)*AH14</f>
        <v>65.823999999999998</v>
      </c>
      <c r="L14" s="287">
        <f t="shared" ref="L14:L15" si="3">+IF(K14-J14&gt;0,0,J14-K14)</f>
        <v>47.161399999999972</v>
      </c>
      <c r="N14" s="165">
        <f>+IFERROR(VLOOKUP(W14,'Stock Prov. Serv.'!A:D,4,0),0)</f>
        <v>0</v>
      </c>
      <c r="O14" s="148">
        <f>+IFERROR(VLOOKUP(W14,'Stock Taller'!A:D,4,0),0)</f>
        <v>0</v>
      </c>
      <c r="P14" s="148">
        <f>+SUMIF('Stock CD'!B:B,'Conteo 18-02-26'!W14,'Stock CD'!E:E)</f>
        <v>0</v>
      </c>
      <c r="Q14" s="89">
        <f>+N14+O14+P14+K14</f>
        <v>65.823999999999998</v>
      </c>
      <c r="S14" s="188">
        <f>+IFERROR(VLOOKUP(W14,'Stock Taller'!A:G,7,0),0)</f>
        <v>0</v>
      </c>
      <c r="T14" s="148">
        <f>+IFERROR(SUMIF('Stock CD'!B:B,'Conteo 18-02-26'!W14,'Stock CD'!K:K),0)</f>
        <v>4000</v>
      </c>
      <c r="U14" s="406">
        <f>+S14+T14+J14</f>
        <v>4112.9853999999996</v>
      </c>
      <c r="W14" s="67" t="s">
        <v>27</v>
      </c>
      <c r="X14" s="70">
        <v>4</v>
      </c>
      <c r="Y14" s="287"/>
      <c r="AA14" s="173">
        <f>+SUMIFS(Consumo!F:F,Consumo!D:D,'Conteo 18-02-26'!W14)</f>
        <v>4028</v>
      </c>
      <c r="AB14" s="72">
        <f>+AA14*AH14</f>
        <v>37.661799999999992</v>
      </c>
      <c r="AC14" s="176">
        <v>1760</v>
      </c>
      <c r="AD14" s="176">
        <f>+AF14/AH14</f>
        <v>1764.7058823529414</v>
      </c>
      <c r="AE14" s="86">
        <f>+AH14*AG14</f>
        <v>171.66599999999997</v>
      </c>
      <c r="AF14" s="403">
        <v>16.5</v>
      </c>
      <c r="AG14" s="99">
        <v>18360</v>
      </c>
      <c r="AH14" s="87">
        <v>9.3499999999999989E-3</v>
      </c>
      <c r="AI14" s="88" t="s">
        <v>471</v>
      </c>
      <c r="AJ14" s="148" t="s">
        <v>390</v>
      </c>
      <c r="AK14" s="145">
        <v>3</v>
      </c>
      <c r="AL14" s="274"/>
      <c r="AM14" s="165">
        <v>70</v>
      </c>
      <c r="AN14" s="89">
        <v>30</v>
      </c>
    </row>
    <row r="15" spans="1:45" ht="38.25" thickBot="1" x14ac:dyDescent="0.35">
      <c r="A15" t="s">
        <v>7</v>
      </c>
      <c r="B15" s="74">
        <v>1093500</v>
      </c>
      <c r="C15" s="75" t="s">
        <v>475</v>
      </c>
      <c r="D15" s="93">
        <v>0</v>
      </c>
      <c r="E15" s="272"/>
      <c r="G15" s="282">
        <f>+IFERROR(K15/J15,0)</f>
        <v>1.1574074074074074</v>
      </c>
      <c r="H15" s="283">
        <f>+IFERROR(Q15/U15,0)</f>
        <v>3.9873606033037516E-2</v>
      </c>
      <c r="J15" s="308">
        <f>AB15*AK15</f>
        <v>38.534399999999998</v>
      </c>
      <c r="K15" s="77">
        <f>+((X15*AC15)+Y15)*AH15</f>
        <v>44.6</v>
      </c>
      <c r="L15" s="289">
        <f t="shared" si="3"/>
        <v>0</v>
      </c>
      <c r="N15" s="166">
        <f>+IFERROR(VLOOKUP(W15,'Stock Prov. Serv.'!A:D,4,0),0)</f>
        <v>0</v>
      </c>
      <c r="O15" s="149">
        <f>+IFERROR(VLOOKUP(W15,'Stock Taller'!A:D,4,0),0)</f>
        <v>0</v>
      </c>
      <c r="P15" s="149">
        <f>+SUMIF('Stock CD'!B:B,'Conteo 18-02-26'!W15,'Stock CD'!E:E)</f>
        <v>0</v>
      </c>
      <c r="Q15" s="94">
        <f>+N15+O15+P15+K15</f>
        <v>44.6</v>
      </c>
      <c r="S15" s="219">
        <f>+IFERROR(VLOOKUP(W15,'Stock Taller'!A:G,7,0),0)</f>
        <v>0</v>
      </c>
      <c r="T15" s="149">
        <f>+IFERROR(SUMIF('Stock CD'!B:B,'Conteo 18-02-26'!W15,'Stock CD'!K:K),0)</f>
        <v>1080</v>
      </c>
      <c r="U15" s="310">
        <f>+S15+T15+J15</f>
        <v>1118.5344</v>
      </c>
      <c r="W15" s="260" t="s">
        <v>29</v>
      </c>
      <c r="X15" s="76">
        <v>4</v>
      </c>
      <c r="Y15" s="289"/>
      <c r="AA15" s="174">
        <f>+SUMIFS(Consumo!F:F,Consumo!D:D,'Conteo 18-02-26'!W15)</f>
        <v>1152</v>
      </c>
      <c r="AB15" s="78">
        <f>+AA15*AH15</f>
        <v>12.844799999999999</v>
      </c>
      <c r="AC15" s="177">
        <v>1000</v>
      </c>
      <c r="AD15" s="177">
        <f>+AF15/AH15</f>
        <v>8968.6098654708512</v>
      </c>
      <c r="AE15" s="91">
        <f>+AH15*AG15</f>
        <v>137.70250000000001</v>
      </c>
      <c r="AF15" s="77">
        <v>100</v>
      </c>
      <c r="AG15" s="100">
        <v>12350</v>
      </c>
      <c r="AH15" s="92">
        <v>1.115E-2</v>
      </c>
      <c r="AI15" s="93" t="s">
        <v>471</v>
      </c>
      <c r="AJ15" s="149" t="s">
        <v>390</v>
      </c>
      <c r="AK15" s="94">
        <v>3</v>
      </c>
      <c r="AL15" s="274"/>
      <c r="AM15" s="166">
        <v>70</v>
      </c>
      <c r="AN15" s="94">
        <v>30</v>
      </c>
    </row>
    <row r="16" spans="1:45" ht="19.5" thickBot="1" x14ac:dyDescent="0.35">
      <c r="AL16" s="274"/>
    </row>
    <row r="17" spans="1:45" ht="24" thickBot="1" x14ac:dyDescent="0.4">
      <c r="B17" s="252"/>
      <c r="C17" s="493" t="s">
        <v>461</v>
      </c>
      <c r="D17" s="494"/>
      <c r="E17" s="495"/>
      <c r="G17" s="267"/>
      <c r="K17" s="267"/>
    </row>
    <row r="18" spans="1:45" ht="27" thickBot="1" x14ac:dyDescent="0.45">
      <c r="C18" s="250" t="s">
        <v>298</v>
      </c>
      <c r="D18" s="251" t="s">
        <v>462</v>
      </c>
      <c r="E18" s="251"/>
      <c r="G18" s="268"/>
      <c r="H18" s="269"/>
      <c r="J18" s="198"/>
      <c r="K18" s="268"/>
      <c r="N18" s="269"/>
      <c r="O18" s="269"/>
      <c r="P18" s="269"/>
      <c r="Q18" s="269"/>
      <c r="S18" s="500"/>
      <c r="T18" s="500"/>
      <c r="U18" s="500"/>
      <c r="Y18" s="199"/>
      <c r="AA18" s="497" t="s">
        <v>392</v>
      </c>
      <c r="AB18" s="498"/>
      <c r="AC18" s="498"/>
      <c r="AD18" s="498"/>
      <c r="AE18" s="498"/>
      <c r="AF18" s="498"/>
      <c r="AG18" s="498"/>
      <c r="AH18" s="498"/>
      <c r="AI18" s="498"/>
      <c r="AJ18" s="498"/>
      <c r="AK18" s="499"/>
      <c r="AL18" s="37"/>
      <c r="AM18" s="37"/>
      <c r="AN18" s="37"/>
      <c r="AO18" s="37"/>
      <c r="AP18" s="37"/>
      <c r="AQ18" s="37"/>
      <c r="AR18" s="37"/>
      <c r="AS18" s="37"/>
    </row>
    <row r="19" spans="1:45" ht="87" customHeight="1" thickBot="1" x14ac:dyDescent="0.3">
      <c r="B19" s="95" t="s">
        <v>311</v>
      </c>
      <c r="C19" s="9" t="s">
        <v>2</v>
      </c>
      <c r="D19" s="96" t="s">
        <v>460</v>
      </c>
      <c r="E19" s="96" t="s">
        <v>467</v>
      </c>
      <c r="G19" s="9" t="s">
        <v>396</v>
      </c>
      <c r="H19" s="80" t="s">
        <v>397</v>
      </c>
      <c r="J19" s="9" t="s">
        <v>393</v>
      </c>
      <c r="K19" s="9" t="s">
        <v>394</v>
      </c>
      <c r="L19" s="9" t="s">
        <v>388</v>
      </c>
      <c r="N19" s="80" t="s">
        <v>399</v>
      </c>
      <c r="O19" s="80" t="s">
        <v>398</v>
      </c>
      <c r="P19" s="80" t="s">
        <v>400</v>
      </c>
      <c r="Q19" s="80" t="s">
        <v>401</v>
      </c>
      <c r="S19" s="276" t="s">
        <v>402</v>
      </c>
      <c r="T19" s="80" t="s">
        <v>403</v>
      </c>
      <c r="U19" s="277" t="s">
        <v>404</v>
      </c>
      <c r="W19" s="9" t="s">
        <v>0</v>
      </c>
      <c r="X19" s="96" t="s">
        <v>465</v>
      </c>
      <c r="Y19" s="9" t="s">
        <v>470</v>
      </c>
      <c r="AA19" s="25" t="s">
        <v>383</v>
      </c>
      <c r="AB19" s="25" t="s">
        <v>384</v>
      </c>
      <c r="AC19" s="25" t="s">
        <v>385</v>
      </c>
      <c r="AD19" s="25" t="s">
        <v>386</v>
      </c>
      <c r="AE19" s="25" t="s">
        <v>379</v>
      </c>
      <c r="AF19" s="25" t="s">
        <v>387</v>
      </c>
      <c r="AG19" s="25" t="s">
        <v>381</v>
      </c>
      <c r="AH19" s="25" t="s">
        <v>297</v>
      </c>
      <c r="AI19" s="25" t="s">
        <v>1</v>
      </c>
      <c r="AJ19" s="25" t="s">
        <v>389</v>
      </c>
      <c r="AK19" s="25" t="s">
        <v>469</v>
      </c>
      <c r="AM19" s="407" t="s">
        <v>564</v>
      </c>
      <c r="AN19" s="407" t="s">
        <v>565</v>
      </c>
    </row>
    <row r="20" spans="1:45" ht="24.75" customHeight="1" x14ac:dyDescent="0.3">
      <c r="A20" t="s">
        <v>298</v>
      </c>
      <c r="B20" s="220">
        <v>1078500</v>
      </c>
      <c r="C20" s="221" t="s">
        <v>24</v>
      </c>
      <c r="D20" s="84">
        <v>0</v>
      </c>
      <c r="E20" s="270"/>
      <c r="G20" s="278">
        <f>+IFERROR(K20/J20,0)</f>
        <v>13.888888888888889</v>
      </c>
      <c r="H20" s="279">
        <f>+IFERROR(Q20/U20,0)</f>
        <v>2.2522522522522523</v>
      </c>
      <c r="J20" s="284">
        <f t="shared" ref="J20" si="4">AA20*AK20</f>
        <v>144</v>
      </c>
      <c r="K20" s="66">
        <f>(X20*AC20)+Y20</f>
        <v>2000</v>
      </c>
      <c r="L20" s="285">
        <f>+IF(K20-J20&gt;0,0,J20-K20)</f>
        <v>0</v>
      </c>
      <c r="N20" s="169">
        <f>+IFERROR(VLOOKUP(W20,'Stock Prov. Serv.'!A:D,4,0),0)</f>
        <v>0</v>
      </c>
      <c r="O20" s="147">
        <f>+IFERROR(VLOOKUP(W20,'Stock Taller'!A:D,4,0),0)</f>
        <v>0</v>
      </c>
      <c r="P20" s="147">
        <f>+SUMIF('Stock CD'!B:B,'Conteo 18-02-26'!W20,'Stock CD'!E:E)</f>
        <v>0</v>
      </c>
      <c r="Q20" s="85">
        <f>+N20+O20+P20+K20</f>
        <v>2000</v>
      </c>
      <c r="S20" s="218">
        <f>+IFERROR(VLOOKUP(W20,'Stock Taller'!A:G,7,0),0)</f>
        <v>0</v>
      </c>
      <c r="T20" s="147">
        <f>+IFERROR(SUMIF('Stock CD'!B:B,'Conteo 18-02-26'!W20,'Stock CD'!K:K),0)</f>
        <v>744</v>
      </c>
      <c r="U20" s="309">
        <f>+S20+T20+J20</f>
        <v>888</v>
      </c>
      <c r="W20" s="220" t="s">
        <v>23</v>
      </c>
      <c r="X20" s="222">
        <v>1</v>
      </c>
      <c r="Y20" s="285"/>
      <c r="AA20" s="172">
        <f>+SUMIFS(Consumo!F:F,Consumo!D:D,'Conteo 18-02-26'!W20)</f>
        <v>48</v>
      </c>
      <c r="AB20" s="81">
        <f t="shared" ref="AB20:AB21" si="5">+AA20*AH20</f>
        <v>0.16560000000000002</v>
      </c>
      <c r="AC20" s="175">
        <v>2000</v>
      </c>
      <c r="AD20" s="175">
        <v>1000</v>
      </c>
      <c r="AE20" s="82">
        <v>132.20677000000001</v>
      </c>
      <c r="AF20" s="261">
        <f>+AD20*AH20</f>
        <v>3.45</v>
      </c>
      <c r="AG20" s="291">
        <f>+AE20/AH20</f>
        <v>38320.802898550719</v>
      </c>
      <c r="AH20" s="83">
        <v>3.4500000000000004E-3</v>
      </c>
      <c r="AI20" s="84" t="s">
        <v>298</v>
      </c>
      <c r="AJ20" s="147" t="s">
        <v>391</v>
      </c>
      <c r="AK20" s="85">
        <v>3</v>
      </c>
      <c r="AL20" s="274"/>
      <c r="AM20" s="439">
        <v>70</v>
      </c>
      <c r="AN20" s="290">
        <v>30</v>
      </c>
    </row>
    <row r="21" spans="1:45" ht="30.75" customHeight="1" thickBot="1" x14ac:dyDescent="0.35">
      <c r="A21" t="s">
        <v>298</v>
      </c>
      <c r="B21" s="74">
        <v>1106500</v>
      </c>
      <c r="C21" s="75" t="s">
        <v>26</v>
      </c>
      <c r="D21" s="93">
        <v>40</v>
      </c>
      <c r="E21" s="414">
        <v>1</v>
      </c>
      <c r="G21" s="282">
        <f>+IFERROR(K21/J21,0)</f>
        <v>0</v>
      </c>
      <c r="H21" s="283">
        <f>+IFERROR(Q21/U21,0)</f>
        <v>0</v>
      </c>
      <c r="J21" s="288">
        <f>AB21*AK21</f>
        <v>19.113</v>
      </c>
      <c r="K21" s="77">
        <f>(X21*AC21)+Y21</f>
        <v>0</v>
      </c>
      <c r="L21" s="289">
        <f>+IF(K21-J21&gt;0,0,J21-K21)</f>
        <v>19.113</v>
      </c>
      <c r="N21" s="166">
        <f>+IFERROR(VLOOKUP(W21,'Stock Prov. Serv.'!A:D,4,0),0)</f>
        <v>0</v>
      </c>
      <c r="O21" s="149">
        <f>+IFERROR(VLOOKUP(W21,'Stock Taller'!A:D,4,0),0)</f>
        <v>0</v>
      </c>
      <c r="P21" s="149">
        <f>+SUMIF('Stock CD'!B:B,'Conteo 18-02-26'!W21,'Stock CD'!E:E)</f>
        <v>0</v>
      </c>
      <c r="Q21" s="94">
        <f>+N21+O21+P21+K21</f>
        <v>0</v>
      </c>
      <c r="S21" s="219">
        <f>+IFERROR(VLOOKUP(W21,'Stock Taller'!A:G,7,0),0)</f>
        <v>0</v>
      </c>
      <c r="T21" s="149">
        <f>+IFERROR(SUMIF('Stock CD'!B:B,'Conteo 18-02-26'!W21,'Stock CD'!K:K),0)</f>
        <v>4520</v>
      </c>
      <c r="U21" s="310">
        <f>+S21+T21+J21</f>
        <v>4539.1130000000003</v>
      </c>
      <c r="W21" s="260" t="s">
        <v>25</v>
      </c>
      <c r="X21" s="76">
        <v>0</v>
      </c>
      <c r="Y21" s="289"/>
      <c r="AA21" s="174">
        <f>+SUMIFS(Consumo!F:F,Consumo!D:D,'Conteo 18-02-26'!W21)</f>
        <v>5540</v>
      </c>
      <c r="AB21" s="78">
        <f t="shared" si="5"/>
        <v>6.3709999999999996</v>
      </c>
      <c r="AC21" s="177">
        <v>17000</v>
      </c>
      <c r="AD21" s="177">
        <v>26000</v>
      </c>
      <c r="AE21" s="91">
        <v>3.52</v>
      </c>
      <c r="AF21" s="77">
        <f>+AD21*AH21</f>
        <v>29.9</v>
      </c>
      <c r="AG21" s="100">
        <f>AE21/AH21</f>
        <v>3060.8695652173915</v>
      </c>
      <c r="AH21" s="92">
        <v>1.15E-3</v>
      </c>
      <c r="AI21" s="93" t="s">
        <v>298</v>
      </c>
      <c r="AJ21" s="149" t="s">
        <v>390</v>
      </c>
      <c r="AK21" s="94">
        <v>3</v>
      </c>
      <c r="AL21" s="274"/>
      <c r="AM21" s="440">
        <v>70</v>
      </c>
      <c r="AN21" s="146">
        <v>30</v>
      </c>
    </row>
    <row r="22" spans="1:45" ht="19.5" thickBot="1" x14ac:dyDescent="0.35"/>
    <row r="23" spans="1:45" ht="24" thickBot="1" x14ac:dyDescent="0.4">
      <c r="B23" s="252"/>
      <c r="C23" s="493" t="s">
        <v>461</v>
      </c>
      <c r="D23" s="494"/>
      <c r="E23" s="495"/>
      <c r="G23" s="267"/>
      <c r="K23" s="267"/>
    </row>
    <row r="24" spans="1:45" ht="27" thickBot="1" x14ac:dyDescent="0.45">
      <c r="C24" s="250" t="s">
        <v>408</v>
      </c>
      <c r="D24" s="251" t="s">
        <v>462</v>
      </c>
      <c r="E24" s="251"/>
      <c r="G24" s="268"/>
      <c r="H24" s="269"/>
      <c r="J24" s="198"/>
      <c r="K24" s="268"/>
      <c r="N24" s="269"/>
      <c r="O24" s="269"/>
      <c r="P24" s="269"/>
      <c r="Q24" s="269"/>
      <c r="S24" s="500"/>
      <c r="T24" s="500"/>
      <c r="U24" s="500"/>
      <c r="Y24" s="199"/>
      <c r="AA24" s="497" t="s">
        <v>392</v>
      </c>
      <c r="AB24" s="498"/>
      <c r="AC24" s="498"/>
      <c r="AD24" s="498"/>
      <c r="AE24" s="498"/>
      <c r="AF24" s="498"/>
      <c r="AG24" s="498"/>
      <c r="AH24" s="498"/>
      <c r="AI24" s="498"/>
      <c r="AJ24" s="498"/>
      <c r="AK24" s="499"/>
      <c r="AL24" s="37"/>
      <c r="AM24" s="37"/>
      <c r="AN24" s="37"/>
      <c r="AO24" s="37"/>
      <c r="AP24" s="37"/>
      <c r="AQ24" s="37"/>
      <c r="AR24" s="37"/>
      <c r="AS24" s="37"/>
    </row>
    <row r="25" spans="1:45" ht="87" customHeight="1" thickBot="1" x14ac:dyDescent="0.3">
      <c r="B25" s="95" t="s">
        <v>311</v>
      </c>
      <c r="C25" s="9" t="s">
        <v>2</v>
      </c>
      <c r="D25" s="96" t="s">
        <v>460</v>
      </c>
      <c r="E25" s="96" t="s">
        <v>467</v>
      </c>
      <c r="G25" s="9" t="s">
        <v>396</v>
      </c>
      <c r="H25" s="80" t="s">
        <v>397</v>
      </c>
      <c r="J25" s="9" t="s">
        <v>529</v>
      </c>
      <c r="K25" s="9" t="s">
        <v>394</v>
      </c>
      <c r="L25" s="9" t="s">
        <v>388</v>
      </c>
      <c r="N25" s="80" t="s">
        <v>399</v>
      </c>
      <c r="O25" s="80" t="s">
        <v>398</v>
      </c>
      <c r="P25" s="80" t="s">
        <v>400</v>
      </c>
      <c r="Q25" s="80" t="s">
        <v>401</v>
      </c>
      <c r="S25" s="276" t="s">
        <v>402</v>
      </c>
      <c r="T25" s="80" t="s">
        <v>403</v>
      </c>
      <c r="U25" s="277" t="s">
        <v>404</v>
      </c>
      <c r="W25" s="9" t="s">
        <v>0</v>
      </c>
      <c r="X25" s="96" t="s">
        <v>465</v>
      </c>
      <c r="Y25" s="9" t="s">
        <v>470</v>
      </c>
      <c r="AA25" s="25" t="s">
        <v>383</v>
      </c>
      <c r="AB25" s="25" t="s">
        <v>384</v>
      </c>
      <c r="AC25" s="25" t="s">
        <v>385</v>
      </c>
      <c r="AD25" s="25" t="s">
        <v>386</v>
      </c>
      <c r="AE25" s="25" t="s">
        <v>379</v>
      </c>
      <c r="AF25" s="25" t="s">
        <v>387</v>
      </c>
      <c r="AG25" s="25" t="s">
        <v>381</v>
      </c>
      <c r="AH25" s="25" t="s">
        <v>297</v>
      </c>
      <c r="AI25" s="25" t="s">
        <v>1</v>
      </c>
      <c r="AJ25" s="25" t="s">
        <v>389</v>
      </c>
      <c r="AK25" s="25" t="s">
        <v>469</v>
      </c>
      <c r="AM25" s="407" t="s">
        <v>564</v>
      </c>
      <c r="AN25" s="407" t="s">
        <v>565</v>
      </c>
    </row>
    <row r="26" spans="1:45" ht="24.75" customHeight="1" x14ac:dyDescent="0.3">
      <c r="A26" t="s">
        <v>408</v>
      </c>
      <c r="B26" s="220">
        <v>1130500</v>
      </c>
      <c r="C26" s="221" t="s">
        <v>409</v>
      </c>
      <c r="D26" s="84">
        <v>1000</v>
      </c>
      <c r="E26" s="270">
        <v>1</v>
      </c>
      <c r="G26" s="278">
        <f>+IFERROR(K26/J26,0)</f>
        <v>0.67925067925067917</v>
      </c>
      <c r="H26" s="279">
        <f>+IFERROR(Q26/U26,0)</f>
        <v>0.38590825539002122</v>
      </c>
      <c r="J26" s="284">
        <f t="shared" ref="J26:J27" si="6">AA26*AK26</f>
        <v>3552</v>
      </c>
      <c r="K26" s="66">
        <f>(X26*AC26)+Y26</f>
        <v>2412.6984126984125</v>
      </c>
      <c r="L26" s="285">
        <f t="shared" ref="L26:L27" si="7">+IF(K26-J26&gt;0,0,J26-K26)</f>
        <v>1139.3015873015875</v>
      </c>
      <c r="N26" s="169">
        <f>+IFERROR(VLOOKUP(W26,'Stock Prov. Serv.'!A:D,4,0),0)</f>
        <v>0</v>
      </c>
      <c r="O26" s="147">
        <f>+IFERROR(VLOOKUP(W26,'Stock Taller'!A:D,4,0),0)</f>
        <v>0</v>
      </c>
      <c r="P26" s="147">
        <f>+SUMIF('Stock CD'!B:B,'Conteo 18-02-26'!W26,'Stock CD'!E:E)</f>
        <v>0</v>
      </c>
      <c r="Q26" s="85">
        <f>+N26+O26+P26+K26</f>
        <v>2412.6984126984125</v>
      </c>
      <c r="S26" s="218">
        <f>+IFERROR(VLOOKUP(W26,'Stock Taller'!A:G,7,0),0)</f>
        <v>0</v>
      </c>
      <c r="T26" s="147">
        <f>+IFERROR(SUMIF('Stock CD'!B:B,'Conteo 18-02-26'!W26,'Stock CD'!K:K),0)</f>
        <v>2700</v>
      </c>
      <c r="U26" s="309">
        <f>+S26+T26+J26</f>
        <v>6252</v>
      </c>
      <c r="W26" s="220" t="s">
        <v>405</v>
      </c>
      <c r="X26" s="222">
        <v>2</v>
      </c>
      <c r="Y26" s="285"/>
      <c r="AA26" s="172">
        <f>+SUMIFS(Consumo!F:F,Consumo!D:D,'Conteo 18-02-26'!W26)</f>
        <v>888</v>
      </c>
      <c r="AB26" s="81">
        <f t="shared" si="0"/>
        <v>2.7972000000000001</v>
      </c>
      <c r="AC26" s="175">
        <f>3.8/AH26</f>
        <v>1206.3492063492063</v>
      </c>
      <c r="AD26" s="175">
        <v>1000</v>
      </c>
      <c r="AE26" s="82">
        <v>29.06</v>
      </c>
      <c r="AF26" s="261">
        <f t="shared" ref="AF26:AF27" si="8">+AD26*AH26</f>
        <v>3.15</v>
      </c>
      <c r="AG26" s="291">
        <f t="shared" ref="AG26:AG27" si="9">AE26/AH26</f>
        <v>9225.3968253968251</v>
      </c>
      <c r="AH26" s="83">
        <f>31.5/10/1000</f>
        <v>3.15E-3</v>
      </c>
      <c r="AI26" s="84" t="s">
        <v>408</v>
      </c>
      <c r="AJ26" s="147" t="s">
        <v>391</v>
      </c>
      <c r="AK26" s="85">
        <v>4</v>
      </c>
      <c r="AL26" s="274"/>
      <c r="AM26" s="439">
        <v>70</v>
      </c>
      <c r="AN26" s="290">
        <v>30</v>
      </c>
    </row>
    <row r="27" spans="1:45" ht="30.75" customHeight="1" thickBot="1" x14ac:dyDescent="0.35">
      <c r="A27" t="s">
        <v>408</v>
      </c>
      <c r="B27" s="74">
        <v>1168500</v>
      </c>
      <c r="C27" s="75" t="s">
        <v>406</v>
      </c>
      <c r="D27" s="93">
        <v>0</v>
      </c>
      <c r="E27" s="272"/>
      <c r="G27" s="282">
        <f>+IFERROR(K27/J27,0)</f>
        <v>13.194444444444443</v>
      </c>
      <c r="H27" s="283">
        <f>+IFERROR(Q27/U27,0)</f>
        <v>4.2792792792792786</v>
      </c>
      <c r="J27" s="288">
        <f t="shared" si="6"/>
        <v>576</v>
      </c>
      <c r="K27" s="77">
        <f>(X27*AC27)+Y27</f>
        <v>7599.9999999999991</v>
      </c>
      <c r="L27" s="289">
        <f t="shared" si="7"/>
        <v>0</v>
      </c>
      <c r="N27" s="166">
        <f>+IFERROR(VLOOKUP(W27,'Stock Prov. Serv.'!A:D,4,0),0)</f>
        <v>0</v>
      </c>
      <c r="O27" s="149">
        <f>+IFERROR(VLOOKUP(W27,'Stock Taller'!A:D,4,0),0)</f>
        <v>0</v>
      </c>
      <c r="P27" s="149">
        <f>+SUMIF('Stock CD'!B:B,'Conteo 18-02-26'!W27,'Stock CD'!E:E)</f>
        <v>0</v>
      </c>
      <c r="Q27" s="94">
        <f>+N27+O27+P27+K27</f>
        <v>7599.9999999999991</v>
      </c>
      <c r="S27" s="219">
        <f>+IFERROR(VLOOKUP(W27,'Stock Taller'!A:G,7,0),0)</f>
        <v>0</v>
      </c>
      <c r="T27" s="149">
        <f>+IFERROR(SUMIF('Stock CD'!B:B,'Conteo 18-02-26'!W27,'Stock CD'!K:K),0)</f>
        <v>1200</v>
      </c>
      <c r="U27" s="310">
        <f>+S27+T27+J27</f>
        <v>1776</v>
      </c>
      <c r="W27" s="260" t="s">
        <v>407</v>
      </c>
      <c r="X27" s="76">
        <v>1</v>
      </c>
      <c r="Y27" s="289"/>
      <c r="AA27" s="174">
        <f>+SUMIFS(Consumo!F:F,Consumo!D:D,'Conteo 18-02-26'!W27)</f>
        <v>144</v>
      </c>
      <c r="AB27" s="78">
        <f t="shared" si="0"/>
        <v>7.2000000000000008E-2</v>
      </c>
      <c r="AC27" s="177">
        <f>3.8/AH27</f>
        <v>7599.9999999999991</v>
      </c>
      <c r="AD27" s="177">
        <v>1000</v>
      </c>
      <c r="AE27" s="91">
        <v>15.47</v>
      </c>
      <c r="AF27" s="77">
        <f t="shared" si="8"/>
        <v>0.5</v>
      </c>
      <c r="AG27" s="100">
        <f t="shared" si="9"/>
        <v>30940</v>
      </c>
      <c r="AH27" s="92">
        <f>0.5/1000</f>
        <v>5.0000000000000001E-4</v>
      </c>
      <c r="AI27" s="93" t="s">
        <v>408</v>
      </c>
      <c r="AJ27" s="149" t="s">
        <v>391</v>
      </c>
      <c r="AK27" s="94">
        <v>4</v>
      </c>
      <c r="AL27" s="274"/>
      <c r="AM27" s="166">
        <v>70</v>
      </c>
      <c r="AN27" s="94">
        <v>30</v>
      </c>
    </row>
    <row r="28" spans="1:45" ht="19.5" thickBot="1" x14ac:dyDescent="0.35"/>
    <row r="29" spans="1:45" ht="24" thickBot="1" x14ac:dyDescent="0.4">
      <c r="B29" s="252"/>
      <c r="C29" s="493" t="s">
        <v>461</v>
      </c>
      <c r="D29" s="494"/>
      <c r="E29" s="495"/>
      <c r="G29" s="267"/>
      <c r="L29" s="267"/>
    </row>
    <row r="30" spans="1:45" ht="27" thickBot="1" x14ac:dyDescent="0.45">
      <c r="C30" s="250" t="s">
        <v>380</v>
      </c>
      <c r="D30" s="251" t="s">
        <v>462</v>
      </c>
      <c r="E30" s="251"/>
      <c r="G30" s="268"/>
      <c r="H30" s="269"/>
      <c r="J30" s="198"/>
      <c r="K30" s="268"/>
      <c r="N30" s="269"/>
      <c r="O30" s="269"/>
      <c r="P30" s="269"/>
      <c r="Q30" s="269"/>
      <c r="S30" s="500"/>
      <c r="T30" s="500"/>
      <c r="U30" s="500"/>
      <c r="Y30" s="199"/>
      <c r="AA30" s="497" t="s">
        <v>392</v>
      </c>
      <c r="AB30" s="498"/>
      <c r="AC30" s="498"/>
      <c r="AD30" s="498"/>
      <c r="AE30" s="498"/>
      <c r="AF30" s="498"/>
      <c r="AG30" s="498"/>
      <c r="AH30" s="498"/>
      <c r="AI30" s="498"/>
      <c r="AJ30" s="498"/>
      <c r="AK30" s="499"/>
      <c r="AL30" s="37"/>
      <c r="AM30" s="37"/>
      <c r="AN30" s="37"/>
      <c r="AO30" s="37"/>
      <c r="AP30" s="37"/>
      <c r="AQ30" s="37"/>
      <c r="AR30" s="37"/>
      <c r="AS30" s="37"/>
    </row>
    <row r="31" spans="1:45" ht="87" customHeight="1" thickBot="1" x14ac:dyDescent="0.3">
      <c r="B31" s="95" t="s">
        <v>311</v>
      </c>
      <c r="C31" s="9" t="s">
        <v>2</v>
      </c>
      <c r="D31" s="96" t="s">
        <v>460</v>
      </c>
      <c r="E31" s="96" t="s">
        <v>467</v>
      </c>
      <c r="G31" s="9" t="s">
        <v>396</v>
      </c>
      <c r="H31" s="80" t="s">
        <v>397</v>
      </c>
      <c r="J31" s="9" t="s">
        <v>393</v>
      </c>
      <c r="K31" s="9" t="s">
        <v>394</v>
      </c>
      <c r="L31" s="9" t="s">
        <v>388</v>
      </c>
      <c r="N31" s="80" t="s">
        <v>399</v>
      </c>
      <c r="O31" s="80" t="s">
        <v>398</v>
      </c>
      <c r="P31" s="80" t="s">
        <v>400</v>
      </c>
      <c r="Q31" s="80" t="s">
        <v>401</v>
      </c>
      <c r="S31" s="276" t="s">
        <v>402</v>
      </c>
      <c r="T31" s="80" t="s">
        <v>403</v>
      </c>
      <c r="U31" s="277" t="s">
        <v>404</v>
      </c>
      <c r="W31" s="9" t="s">
        <v>0</v>
      </c>
      <c r="X31" s="96" t="s">
        <v>465</v>
      </c>
      <c r="Y31" s="9" t="s">
        <v>470</v>
      </c>
      <c r="AA31" s="25" t="s">
        <v>383</v>
      </c>
      <c r="AB31" s="25" t="s">
        <v>384</v>
      </c>
      <c r="AC31" s="25" t="s">
        <v>385</v>
      </c>
      <c r="AD31" s="25" t="s">
        <v>386</v>
      </c>
      <c r="AE31" s="25" t="s">
        <v>379</v>
      </c>
      <c r="AF31" s="25" t="s">
        <v>387</v>
      </c>
      <c r="AG31" s="25" t="s">
        <v>381</v>
      </c>
      <c r="AH31" s="25" t="s">
        <v>297</v>
      </c>
      <c r="AI31" s="25" t="s">
        <v>1</v>
      </c>
      <c r="AJ31" s="25" t="s">
        <v>389</v>
      </c>
      <c r="AK31" s="25" t="s">
        <v>469</v>
      </c>
      <c r="AM31" s="407" t="s">
        <v>564</v>
      </c>
      <c r="AN31" s="407" t="s">
        <v>565</v>
      </c>
    </row>
    <row r="32" spans="1:45" ht="38.25" thickBot="1" x14ac:dyDescent="0.3">
      <c r="A32" t="s">
        <v>560</v>
      </c>
      <c r="B32" s="255">
        <v>1182500</v>
      </c>
      <c r="C32" s="256" t="s">
        <v>369</v>
      </c>
      <c r="D32" s="297">
        <v>0</v>
      </c>
      <c r="E32" s="273"/>
      <c r="G32" s="302">
        <f>+IFERROR(K32/J32,0)</f>
        <v>2.4457651576295638</v>
      </c>
      <c r="H32" s="303">
        <f>+IFERROR(Q32/U32,0)</f>
        <v>1.7948044897034308</v>
      </c>
      <c r="J32" s="304">
        <f>AA32*AK32</f>
        <v>25488</v>
      </c>
      <c r="K32" s="258">
        <f>(X32*AC32)+Y32</f>
        <v>62337.662337662325</v>
      </c>
      <c r="L32" s="299">
        <f>+IF(K32-J32&gt;0,0,J32-K32)</f>
        <v>0</v>
      </c>
      <c r="N32" s="305">
        <f>+IFERROR(VLOOKUP(W32,'Stock Prov. Serv.'!A:D,4,0),0)</f>
        <v>0</v>
      </c>
      <c r="O32" s="262">
        <f>+IFERROR(VLOOKUP(W32,'Stock Taller'!A:D,4,0),0)</f>
        <v>0</v>
      </c>
      <c r="P32" s="262">
        <f>+SUMIF('Stock CD'!B:B,'Conteo 18-02-26'!W32,'Stock CD'!E:E)</f>
        <v>0</v>
      </c>
      <c r="Q32" s="263">
        <f>+N32+O32+P32+K32</f>
        <v>62337.662337662325</v>
      </c>
      <c r="S32" s="306">
        <f>+IFERROR(VLOOKUP(W32,'Stock Taller'!A:G,7,0),0)</f>
        <v>1264.2857142857142</v>
      </c>
      <c r="T32" s="262">
        <f>+IFERROR(SUMIF('Stock CD'!B:B,'Conteo 18-02-26'!W32,'Stock CD'!K:K),0)</f>
        <v>7980</v>
      </c>
      <c r="U32" s="307">
        <f>+S32+T32+J32</f>
        <v>34732.28571428571</v>
      </c>
      <c r="W32" s="300" t="s">
        <v>370</v>
      </c>
      <c r="X32" s="257">
        <v>4</v>
      </c>
      <c r="Y32" s="299"/>
      <c r="AA32" s="292">
        <f>+SUMIFS(Consumo!F:F,Consumo!D:D,'Conteo 18-02-26'!W32)</f>
        <v>8496</v>
      </c>
      <c r="AB32" s="259">
        <f>+AA32*AH32</f>
        <v>2.9735999999999998</v>
      </c>
      <c r="AC32" s="293">
        <f>(6/AH32)/1.1</f>
        <v>15584.415584415581</v>
      </c>
      <c r="AD32" s="293">
        <f>+AF32/AH32</f>
        <v>17142.857142857141</v>
      </c>
      <c r="AE32" s="294">
        <f>+AH32*AG32</f>
        <v>11.270000000000001</v>
      </c>
      <c r="AF32" s="258">
        <v>6</v>
      </c>
      <c r="AG32" s="295">
        <v>32200.000000000004</v>
      </c>
      <c r="AH32" s="296">
        <v>3.5E-4</v>
      </c>
      <c r="AI32" s="297" t="s">
        <v>380</v>
      </c>
      <c r="AJ32" s="262" t="s">
        <v>390</v>
      </c>
      <c r="AK32" s="263">
        <v>3</v>
      </c>
      <c r="AM32" s="305">
        <v>70</v>
      </c>
      <c r="AN32" s="263">
        <v>30</v>
      </c>
    </row>
    <row r="33" spans="1:45" ht="19.5" thickBot="1" x14ac:dyDescent="0.35"/>
    <row r="34" spans="1:45" ht="24" thickBot="1" x14ac:dyDescent="0.4">
      <c r="B34" s="252"/>
      <c r="C34" s="493" t="s">
        <v>461</v>
      </c>
      <c r="D34" s="494"/>
      <c r="E34" s="495"/>
      <c r="G34" s="267"/>
      <c r="L34" s="267"/>
    </row>
    <row r="35" spans="1:45" ht="27" thickBot="1" x14ac:dyDescent="0.45">
      <c r="C35" s="250" t="s">
        <v>463</v>
      </c>
      <c r="D35" s="251" t="s">
        <v>462</v>
      </c>
      <c r="E35" s="251"/>
      <c r="G35" s="268"/>
      <c r="H35" s="269"/>
      <c r="J35" s="198"/>
      <c r="K35" s="268"/>
      <c r="N35" s="269"/>
      <c r="O35" s="269"/>
      <c r="P35" s="269"/>
      <c r="Q35" s="269"/>
      <c r="S35" s="500"/>
      <c r="T35" s="500"/>
      <c r="U35" s="500"/>
      <c r="Y35" s="199"/>
      <c r="AA35" s="497" t="s">
        <v>392</v>
      </c>
      <c r="AB35" s="498"/>
      <c r="AC35" s="498"/>
      <c r="AD35" s="498"/>
      <c r="AE35" s="498"/>
      <c r="AF35" s="498"/>
      <c r="AG35" s="498"/>
      <c r="AH35" s="498"/>
      <c r="AI35" s="498"/>
      <c r="AJ35" s="498"/>
      <c r="AK35" s="499"/>
      <c r="AL35" s="37"/>
      <c r="AM35" s="37"/>
      <c r="AN35" s="37"/>
      <c r="AO35" s="37"/>
      <c r="AP35" s="37"/>
      <c r="AQ35" s="37"/>
      <c r="AR35" s="37"/>
      <c r="AS35" s="37"/>
    </row>
    <row r="36" spans="1:45" ht="87" customHeight="1" thickBot="1" x14ac:dyDescent="0.3">
      <c r="B36" s="95" t="s">
        <v>311</v>
      </c>
      <c r="C36" s="9" t="s">
        <v>2</v>
      </c>
      <c r="D36" s="96" t="s">
        <v>460</v>
      </c>
      <c r="E36" s="96" t="s">
        <v>467</v>
      </c>
      <c r="G36" s="9" t="s">
        <v>396</v>
      </c>
      <c r="H36" s="80" t="s">
        <v>397</v>
      </c>
      <c r="J36" s="9" t="s">
        <v>393</v>
      </c>
      <c r="K36" s="9" t="s">
        <v>394</v>
      </c>
      <c r="L36" s="9" t="s">
        <v>388</v>
      </c>
      <c r="N36" s="80" t="s">
        <v>399</v>
      </c>
      <c r="O36" s="80" t="s">
        <v>398</v>
      </c>
      <c r="P36" s="80" t="s">
        <v>400</v>
      </c>
      <c r="Q36" s="80" t="s">
        <v>401</v>
      </c>
      <c r="S36" s="276" t="s">
        <v>402</v>
      </c>
      <c r="T36" s="80" t="s">
        <v>403</v>
      </c>
      <c r="U36" s="277" t="s">
        <v>404</v>
      </c>
      <c r="W36" s="9" t="s">
        <v>0</v>
      </c>
      <c r="X36" s="96" t="s">
        <v>465</v>
      </c>
      <c r="Y36" s="9" t="s">
        <v>470</v>
      </c>
      <c r="AA36" s="25" t="s">
        <v>383</v>
      </c>
      <c r="AB36" s="25" t="s">
        <v>384</v>
      </c>
      <c r="AC36" s="25" t="s">
        <v>385</v>
      </c>
      <c r="AD36" s="25" t="s">
        <v>386</v>
      </c>
      <c r="AE36" s="25" t="s">
        <v>379</v>
      </c>
      <c r="AF36" s="25" t="s">
        <v>387</v>
      </c>
      <c r="AG36" s="25" t="s">
        <v>381</v>
      </c>
      <c r="AH36" s="25" t="s">
        <v>297</v>
      </c>
      <c r="AI36" s="25" t="s">
        <v>1</v>
      </c>
      <c r="AJ36" s="25" t="s">
        <v>389</v>
      </c>
      <c r="AK36" s="25" t="s">
        <v>469</v>
      </c>
      <c r="AM36" s="407" t="s">
        <v>564</v>
      </c>
      <c r="AN36" s="407" t="s">
        <v>565</v>
      </c>
    </row>
    <row r="37" spans="1:45" ht="38.25" thickBot="1" x14ac:dyDescent="0.3">
      <c r="A37" t="s">
        <v>463</v>
      </c>
      <c r="B37" s="255">
        <v>1136500</v>
      </c>
      <c r="C37" s="256" t="s">
        <v>32</v>
      </c>
      <c r="D37" s="297">
        <v>0</v>
      </c>
      <c r="E37" s="273"/>
      <c r="G37" s="302">
        <f>+IFERROR(K37/J37,0)</f>
        <v>7.1319444444444446</v>
      </c>
      <c r="H37" s="303">
        <f>+IFERROR(Q37/U37,0)</f>
        <v>0.91463634693962037</v>
      </c>
      <c r="J37" s="304">
        <f>AA37*AK37</f>
        <v>144</v>
      </c>
      <c r="K37" s="258">
        <f>(X37*AC37)+Y37</f>
        <v>1027</v>
      </c>
      <c r="L37" s="299">
        <f>+IF(K37-J37&gt;0,0,J37-K37)</f>
        <v>0</v>
      </c>
      <c r="N37" s="305">
        <f>+IFERROR(VLOOKUP(W37,'Stock Prov. Serv.'!A:D,4,0),0)</f>
        <v>0</v>
      </c>
      <c r="O37" s="262">
        <f>+IFERROR(VLOOKUP(W37,'Stock Taller'!A:D,4,0),0)</f>
        <v>0</v>
      </c>
      <c r="P37" s="262">
        <f>+SUMIF('Stock CD'!B:B,'Conteo 18-02-26'!W37,'Stock CD'!E:E)</f>
        <v>0</v>
      </c>
      <c r="Q37" s="263">
        <f>+N37+O37+P37+K37</f>
        <v>1027</v>
      </c>
      <c r="S37" s="306">
        <f>+IFERROR(VLOOKUP(W37,'Stock Taller'!A:G,7,0),0)</f>
        <v>234.85063176895309</v>
      </c>
      <c r="T37" s="262">
        <f>+IFERROR(SUMIF('Stock CD'!B:B,'Conteo 18-02-26'!W37,'Stock CD'!K:K),0)</f>
        <v>744</v>
      </c>
      <c r="U37" s="307">
        <f>+S37+T37+J37</f>
        <v>1122.850631768953</v>
      </c>
      <c r="W37" s="300" t="s">
        <v>423</v>
      </c>
      <c r="X37" s="257">
        <v>2</v>
      </c>
      <c r="Y37" s="299"/>
      <c r="AA37" s="292">
        <f>+SUMIFS(Consumo!F:F,Consumo!D:D,'Conteo 18-02-26'!W37)</f>
        <v>48</v>
      </c>
      <c r="AB37" s="259">
        <f>+AA37*AH37</f>
        <v>9.6000000000000002E-2</v>
      </c>
      <c r="AC37" s="293">
        <f>1.027/AH37</f>
        <v>513.5</v>
      </c>
      <c r="AD37" s="293">
        <f>+AF37/AH37</f>
        <v>543.5</v>
      </c>
      <c r="AE37" s="294">
        <f t="shared" ref="AE37" si="10">+AH37*AG37</f>
        <v>0.36499999999999999</v>
      </c>
      <c r="AF37" s="258">
        <v>1.087</v>
      </c>
      <c r="AG37" s="295">
        <v>182.5</v>
      </c>
      <c r="AH37" s="296">
        <v>2E-3</v>
      </c>
      <c r="AI37" s="297" t="s">
        <v>31</v>
      </c>
      <c r="AJ37" s="262" t="s">
        <v>390</v>
      </c>
      <c r="AK37" s="263">
        <v>3</v>
      </c>
      <c r="AM37" s="305">
        <v>70</v>
      </c>
      <c r="AN37" s="263">
        <v>30</v>
      </c>
    </row>
    <row r="38" spans="1:45" ht="19.5" thickBot="1" x14ac:dyDescent="0.35"/>
    <row r="39" spans="1:45" ht="24" thickBot="1" x14ac:dyDescent="0.4">
      <c r="B39" s="252"/>
      <c r="C39" s="493" t="s">
        <v>461</v>
      </c>
      <c r="D39" s="494"/>
      <c r="E39" s="495"/>
      <c r="G39" s="267"/>
      <c r="L39" s="267"/>
    </row>
    <row r="40" spans="1:45" ht="27" thickBot="1" x14ac:dyDescent="0.45">
      <c r="C40" s="250" t="s">
        <v>459</v>
      </c>
      <c r="D40" s="251" t="s">
        <v>462</v>
      </c>
      <c r="E40" s="251"/>
      <c r="G40" s="268"/>
      <c r="H40" s="269"/>
      <c r="J40" s="198"/>
      <c r="K40" s="268"/>
      <c r="N40" s="269"/>
      <c r="O40" s="269"/>
      <c r="P40" s="269"/>
      <c r="Q40" s="269"/>
      <c r="S40" s="500"/>
      <c r="T40" s="500"/>
      <c r="U40" s="500"/>
      <c r="Y40" s="199"/>
      <c r="AA40" s="497" t="s">
        <v>392</v>
      </c>
      <c r="AB40" s="498"/>
      <c r="AC40" s="498"/>
      <c r="AD40" s="498"/>
      <c r="AE40" s="498"/>
      <c r="AF40" s="498"/>
      <c r="AG40" s="498"/>
      <c r="AH40" s="498"/>
      <c r="AI40" s="498"/>
      <c r="AJ40" s="498"/>
      <c r="AK40" s="499"/>
      <c r="AL40" s="37"/>
      <c r="AM40" s="37"/>
      <c r="AN40" s="37"/>
      <c r="AO40" s="37"/>
      <c r="AP40" s="37"/>
      <c r="AQ40" s="37"/>
      <c r="AR40" s="37"/>
      <c r="AS40" s="37"/>
    </row>
    <row r="41" spans="1:45" ht="87" customHeight="1" thickBot="1" x14ac:dyDescent="0.3">
      <c r="B41" s="95" t="s">
        <v>311</v>
      </c>
      <c r="C41" s="9" t="s">
        <v>2</v>
      </c>
      <c r="D41" s="96" t="s">
        <v>460</v>
      </c>
      <c r="E41" s="96" t="s">
        <v>467</v>
      </c>
      <c r="G41" s="9" t="s">
        <v>396</v>
      </c>
      <c r="H41" s="80" t="s">
        <v>397</v>
      </c>
      <c r="J41" s="9" t="s">
        <v>393</v>
      </c>
      <c r="K41" s="9" t="s">
        <v>394</v>
      </c>
      <c r="L41" s="9" t="s">
        <v>388</v>
      </c>
      <c r="N41" s="80" t="s">
        <v>399</v>
      </c>
      <c r="O41" s="80" t="s">
        <v>398</v>
      </c>
      <c r="P41" s="80" t="s">
        <v>400</v>
      </c>
      <c r="Q41" s="80" t="s">
        <v>401</v>
      </c>
      <c r="S41" s="276" t="s">
        <v>402</v>
      </c>
      <c r="T41" s="80" t="s">
        <v>403</v>
      </c>
      <c r="U41" s="277" t="s">
        <v>404</v>
      </c>
      <c r="W41" s="9" t="s">
        <v>0</v>
      </c>
      <c r="X41" s="96" t="s">
        <v>465</v>
      </c>
      <c r="Y41" s="9" t="s">
        <v>470</v>
      </c>
      <c r="AA41" s="25" t="s">
        <v>383</v>
      </c>
      <c r="AB41" s="25" t="s">
        <v>384</v>
      </c>
      <c r="AC41" s="25" t="s">
        <v>385</v>
      </c>
      <c r="AD41" s="25" t="s">
        <v>386</v>
      </c>
      <c r="AE41" s="25" t="s">
        <v>379</v>
      </c>
      <c r="AF41" s="25" t="s">
        <v>387</v>
      </c>
      <c r="AG41" s="25" t="s">
        <v>381</v>
      </c>
      <c r="AH41" s="25" t="s">
        <v>297</v>
      </c>
      <c r="AI41" s="25" t="s">
        <v>1</v>
      </c>
      <c r="AJ41" s="25" t="s">
        <v>389</v>
      </c>
      <c r="AK41" s="25" t="s">
        <v>469</v>
      </c>
      <c r="AM41" s="407" t="s">
        <v>564</v>
      </c>
      <c r="AN41" s="407" t="s">
        <v>565</v>
      </c>
    </row>
    <row r="42" spans="1:45" ht="19.5" thickBot="1" x14ac:dyDescent="0.35">
      <c r="A42" t="s">
        <v>459</v>
      </c>
      <c r="B42" s="255">
        <v>5312600</v>
      </c>
      <c r="C42" s="256" t="s">
        <v>458</v>
      </c>
      <c r="D42" s="297">
        <v>0</v>
      </c>
      <c r="E42" s="273"/>
      <c r="G42" s="302">
        <f>+IFERROR(K42/J42,0)</f>
        <v>0.33333333333333331</v>
      </c>
      <c r="H42" s="303">
        <f>+IFERROR(Q42/U42,0)</f>
        <v>0.17842350092397885</v>
      </c>
      <c r="J42" s="304">
        <f>AA42*AK42</f>
        <v>900</v>
      </c>
      <c r="K42" s="258">
        <f>(X42*AC42)+Y42</f>
        <v>300</v>
      </c>
      <c r="L42" s="299">
        <f>+IF(K42-J42&gt;0,0,J42-K42)</f>
        <v>600</v>
      </c>
      <c r="N42" s="305">
        <f>+IFERROR(VLOOKUP(W42,'Stock Prov. Serv.'!A:D,4,0),0)</f>
        <v>0</v>
      </c>
      <c r="O42" s="262">
        <f>+IFERROR(VLOOKUP(W42,'Stock Taller'!A:D,4,0),0)</f>
        <v>0</v>
      </c>
      <c r="P42" s="262">
        <f>+SUMIF('Stock CD'!B:B,'Conteo 18-02-26'!W42,'Stock CD'!E:E)</f>
        <v>0</v>
      </c>
      <c r="Q42" s="263">
        <f>+N42+O42+P42+K42</f>
        <v>300</v>
      </c>
      <c r="S42" s="306">
        <f>+IFERROR(VLOOKUP(W42,'Stock Taller'!A:G,7,0),0)</f>
        <v>313.39285714285717</v>
      </c>
      <c r="T42" s="262">
        <f>+IFERROR(SUMIF('Stock CD'!B:B,'Conteo 18-02-26'!W42,'Stock CD'!K:K),0)</f>
        <v>468</v>
      </c>
      <c r="U42" s="307">
        <f>+S42+T42+J42</f>
        <v>1681.3928571428571</v>
      </c>
      <c r="W42" s="300" t="s">
        <v>425</v>
      </c>
      <c r="X42" s="257">
        <v>1</v>
      </c>
      <c r="Y42" s="299"/>
      <c r="AA42" s="292">
        <f>+SUMIFS(Consumo!F:F,Consumo!D:D,'Conteo 18-02-26'!W42)</f>
        <v>300</v>
      </c>
      <c r="AB42" s="259">
        <f>+AA42*AH42</f>
        <v>11.200000000000001</v>
      </c>
      <c r="AC42" s="293">
        <v>300</v>
      </c>
      <c r="AD42" s="293">
        <v>1200</v>
      </c>
      <c r="AE42" s="295">
        <v>1100</v>
      </c>
      <c r="AF42" s="258">
        <f t="shared" ref="AF42" si="11">+AD42*AH42</f>
        <v>44.800000000000004</v>
      </c>
      <c r="AG42" s="295">
        <f t="shared" ref="AG42" si="12">AE42/AH42</f>
        <v>29464.28571428571</v>
      </c>
      <c r="AH42" s="296">
        <v>3.7333333333333336E-2</v>
      </c>
      <c r="AI42" s="297" t="s">
        <v>459</v>
      </c>
      <c r="AJ42" s="262" t="s">
        <v>391</v>
      </c>
      <c r="AK42" s="298">
        <v>3</v>
      </c>
      <c r="AM42" s="305">
        <v>70</v>
      </c>
      <c r="AN42" s="263">
        <v>30</v>
      </c>
    </row>
    <row r="43" spans="1:45" ht="19.5" thickBot="1" x14ac:dyDescent="0.35"/>
    <row r="44" spans="1:45" ht="24" thickBot="1" x14ac:dyDescent="0.4">
      <c r="B44" s="252"/>
      <c r="C44" s="493" t="s">
        <v>461</v>
      </c>
      <c r="D44" s="494"/>
      <c r="E44" s="495"/>
      <c r="G44" s="267"/>
      <c r="L44" s="267"/>
    </row>
    <row r="45" spans="1:45" ht="27" thickBot="1" x14ac:dyDescent="0.45">
      <c r="C45" s="250" t="s">
        <v>455</v>
      </c>
      <c r="D45" s="251" t="s">
        <v>462</v>
      </c>
      <c r="E45" s="251"/>
      <c r="G45" s="268"/>
      <c r="H45" s="269"/>
      <c r="J45" s="198"/>
      <c r="K45" s="268"/>
      <c r="N45" s="269"/>
      <c r="O45" s="269"/>
      <c r="P45" s="269"/>
      <c r="Q45" s="269"/>
      <c r="S45" s="500"/>
      <c r="T45" s="500"/>
      <c r="U45" s="500"/>
      <c r="Y45" s="199"/>
      <c r="AA45" s="497" t="s">
        <v>392</v>
      </c>
      <c r="AB45" s="498"/>
      <c r="AC45" s="498"/>
      <c r="AD45" s="498"/>
      <c r="AE45" s="498"/>
      <c r="AF45" s="498"/>
      <c r="AG45" s="498"/>
      <c r="AH45" s="498"/>
      <c r="AI45" s="498"/>
      <c r="AJ45" s="498"/>
      <c r="AK45" s="499"/>
      <c r="AL45" s="37"/>
      <c r="AM45" s="37"/>
      <c r="AN45" s="37"/>
      <c r="AO45" s="37"/>
      <c r="AP45" s="37"/>
      <c r="AQ45" s="37"/>
      <c r="AR45" s="37"/>
      <c r="AS45" s="37"/>
    </row>
    <row r="46" spans="1:45" ht="87" customHeight="1" thickBot="1" x14ac:dyDescent="0.3">
      <c r="B46" s="95" t="s">
        <v>311</v>
      </c>
      <c r="C46" s="9" t="s">
        <v>2</v>
      </c>
      <c r="D46" s="96" t="s">
        <v>460</v>
      </c>
      <c r="E46" s="96" t="s">
        <v>467</v>
      </c>
      <c r="G46" s="9" t="s">
        <v>396</v>
      </c>
      <c r="H46" s="80" t="s">
        <v>397</v>
      </c>
      <c r="J46" s="9" t="s">
        <v>393</v>
      </c>
      <c r="K46" s="9" t="s">
        <v>394</v>
      </c>
      <c r="L46" s="9" t="s">
        <v>388</v>
      </c>
      <c r="N46" s="80" t="s">
        <v>399</v>
      </c>
      <c r="O46" s="80" t="s">
        <v>398</v>
      </c>
      <c r="P46" s="80" t="s">
        <v>400</v>
      </c>
      <c r="Q46" s="80" t="s">
        <v>401</v>
      </c>
      <c r="S46" s="276" t="s">
        <v>402</v>
      </c>
      <c r="T46" s="80" t="s">
        <v>403</v>
      </c>
      <c r="U46" s="277" t="s">
        <v>404</v>
      </c>
      <c r="W46" s="9" t="s">
        <v>0</v>
      </c>
      <c r="X46" s="96" t="s">
        <v>465</v>
      </c>
      <c r="Y46" s="9" t="s">
        <v>470</v>
      </c>
      <c r="AA46" s="25" t="s">
        <v>383</v>
      </c>
      <c r="AB46" s="25" t="s">
        <v>384</v>
      </c>
      <c r="AC46" s="25" t="s">
        <v>385</v>
      </c>
      <c r="AD46" s="25" t="s">
        <v>386</v>
      </c>
      <c r="AE46" s="25" t="s">
        <v>379</v>
      </c>
      <c r="AF46" s="25" t="s">
        <v>387</v>
      </c>
      <c r="AG46" s="25" t="s">
        <v>381</v>
      </c>
      <c r="AH46" s="25" t="s">
        <v>297</v>
      </c>
      <c r="AI46" s="25" t="s">
        <v>1</v>
      </c>
      <c r="AJ46" s="25" t="s">
        <v>389</v>
      </c>
      <c r="AK46" s="25" t="s">
        <v>469</v>
      </c>
      <c r="AM46" s="407" t="s">
        <v>564</v>
      </c>
      <c r="AN46" s="407" t="s">
        <v>565</v>
      </c>
    </row>
    <row r="47" spans="1:45" ht="38.25" thickBot="1" x14ac:dyDescent="0.3">
      <c r="A47" t="s">
        <v>561</v>
      </c>
      <c r="B47" s="255">
        <v>5323600</v>
      </c>
      <c r="C47" s="256" t="s">
        <v>454</v>
      </c>
      <c r="D47" s="297">
        <v>0</v>
      </c>
      <c r="E47" s="273"/>
      <c r="G47" s="302">
        <f>+IFERROR(K47/J47,0)</f>
        <v>0</v>
      </c>
      <c r="H47" s="303">
        <f>+IFERROR(Q47/U47,0)</f>
        <v>0</v>
      </c>
      <c r="J47" s="304">
        <f>AA47*AK47</f>
        <v>1332</v>
      </c>
      <c r="K47" s="258">
        <f>(X47*AC47)+Y47</f>
        <v>0</v>
      </c>
      <c r="L47" s="299">
        <f>+IF(K47-J47&gt;0,0,J47-K47)</f>
        <v>1332</v>
      </c>
      <c r="N47" s="305">
        <f>+IFERROR(VLOOKUP(W47,'Stock Prov. Serv.'!A:D,4,0),0)</f>
        <v>0</v>
      </c>
      <c r="O47" s="262">
        <f>+IFERROR(VLOOKUP(W47,'Stock Taller'!A:D,4,0),0)</f>
        <v>0</v>
      </c>
      <c r="P47" s="262">
        <f>+SUMIF('Stock CD'!B:B,'Conteo 18-02-26'!W47,'Stock CD'!E:E)</f>
        <v>0</v>
      </c>
      <c r="Q47" s="263">
        <f>+N47+O47+P47+K47</f>
        <v>0</v>
      </c>
      <c r="S47" s="306">
        <f>+IFERROR(VLOOKUP(W47,'Stock Taller'!A:G,7,0),0)</f>
        <v>0</v>
      </c>
      <c r="T47" s="262">
        <f>+IFERROR(SUMIF('Stock CD'!B:B,'Conteo 18-02-26'!W47,'Stock CD'!K:K),0)</f>
        <v>720</v>
      </c>
      <c r="U47" s="307">
        <f>+S47+T47+J47</f>
        <v>2052</v>
      </c>
      <c r="W47" s="317" t="s">
        <v>456</v>
      </c>
      <c r="X47" s="257">
        <v>0</v>
      </c>
      <c r="Y47" s="299"/>
      <c r="AA47" s="292">
        <f>+SUMIFS(Consumo!F:F,Consumo!D:D,'Conteo 18-02-26'!W47)</f>
        <v>444</v>
      </c>
      <c r="AB47" s="259">
        <f t="shared" ref="AB47" si="13">+AA47*AH47</f>
        <v>20.035499999999999</v>
      </c>
      <c r="AC47" s="293">
        <v>60</v>
      </c>
      <c r="AD47" s="293">
        <f>600000/AE47</f>
        <v>5854.8009367681498</v>
      </c>
      <c r="AE47" s="294">
        <v>102.48</v>
      </c>
      <c r="AF47" s="258">
        <f t="shared" ref="AF47" si="14">+AD47*AH47</f>
        <v>264.19789227166274</v>
      </c>
      <c r="AG47" s="295">
        <f t="shared" ref="AG47" si="15">AE47/AH47</f>
        <v>2271.0249307479226</v>
      </c>
      <c r="AH47" s="296">
        <f>+(180.5/4)/1000</f>
        <v>4.5124999999999998E-2</v>
      </c>
      <c r="AI47" s="297" t="s">
        <v>455</v>
      </c>
      <c r="AJ47" s="262" t="s">
        <v>391</v>
      </c>
      <c r="AK47" s="263">
        <v>3</v>
      </c>
      <c r="AM47" s="305">
        <v>70</v>
      </c>
      <c r="AN47" s="263">
        <v>30</v>
      </c>
    </row>
    <row r="48" spans="1:45" ht="15.95" customHeight="1" thickBot="1" x14ac:dyDescent="0.35">
      <c r="C48" s="197"/>
      <c r="D48" s="412"/>
      <c r="E48" s="197"/>
      <c r="AJ48" s="57"/>
    </row>
    <row r="49" spans="1:45" ht="26.25" customHeight="1" thickBot="1" x14ac:dyDescent="0.4">
      <c r="B49" s="252"/>
      <c r="C49" s="493" t="s">
        <v>461</v>
      </c>
      <c r="D49" s="494"/>
      <c r="E49" s="495"/>
      <c r="G49" s="267"/>
      <c r="L49" s="267"/>
      <c r="AJ49" s="57"/>
    </row>
    <row r="50" spans="1:45" ht="27" thickBot="1" x14ac:dyDescent="0.45">
      <c r="C50" s="250" t="s">
        <v>37</v>
      </c>
      <c r="D50" s="251" t="s">
        <v>462</v>
      </c>
      <c r="E50" s="251"/>
      <c r="G50" s="268"/>
      <c r="H50" s="269"/>
      <c r="J50" s="198"/>
      <c r="K50" s="268"/>
      <c r="N50" s="269"/>
      <c r="O50" s="269"/>
      <c r="P50" s="269"/>
      <c r="Q50" s="269"/>
      <c r="S50" s="500"/>
      <c r="T50" s="500"/>
      <c r="U50" s="500"/>
      <c r="Y50" s="199"/>
      <c r="AA50" s="497" t="s">
        <v>392</v>
      </c>
      <c r="AB50" s="498"/>
      <c r="AC50" s="498"/>
      <c r="AD50" s="498"/>
      <c r="AE50" s="498"/>
      <c r="AF50" s="498"/>
      <c r="AG50" s="498"/>
      <c r="AH50" s="498"/>
      <c r="AI50" s="498"/>
      <c r="AJ50" s="498"/>
      <c r="AK50" s="499"/>
      <c r="AL50" s="37"/>
      <c r="AM50" s="37"/>
      <c r="AN50" s="37"/>
      <c r="AO50" s="37"/>
      <c r="AP50" s="37"/>
      <c r="AQ50" s="37"/>
      <c r="AR50" s="37"/>
      <c r="AS50" s="37"/>
    </row>
    <row r="51" spans="1:45" ht="87" customHeight="1" thickBot="1" x14ac:dyDescent="0.3">
      <c r="B51" s="95" t="s">
        <v>311</v>
      </c>
      <c r="C51" s="9" t="s">
        <v>2</v>
      </c>
      <c r="D51" s="96" t="s">
        <v>460</v>
      </c>
      <c r="E51" s="96" t="s">
        <v>467</v>
      </c>
      <c r="G51" s="97" t="s">
        <v>396</v>
      </c>
      <c r="H51" s="25" t="s">
        <v>397</v>
      </c>
      <c r="J51" s="9" t="s">
        <v>393</v>
      </c>
      <c r="K51" s="9" t="s">
        <v>394</v>
      </c>
      <c r="L51" s="9" t="s">
        <v>388</v>
      </c>
      <c r="N51" s="80" t="s">
        <v>399</v>
      </c>
      <c r="O51" s="80" t="s">
        <v>398</v>
      </c>
      <c r="P51" s="80" t="s">
        <v>400</v>
      </c>
      <c r="Q51" s="80" t="s">
        <v>401</v>
      </c>
      <c r="S51" s="276" t="s">
        <v>402</v>
      </c>
      <c r="T51" s="80" t="s">
        <v>403</v>
      </c>
      <c r="U51" s="277" t="s">
        <v>404</v>
      </c>
      <c r="W51" s="9" t="s">
        <v>0</v>
      </c>
      <c r="X51" s="96" t="s">
        <v>465</v>
      </c>
      <c r="Y51" s="9" t="s">
        <v>470</v>
      </c>
      <c r="AA51" s="25" t="s">
        <v>383</v>
      </c>
      <c r="AB51" s="25" t="s">
        <v>384</v>
      </c>
      <c r="AC51" s="25" t="s">
        <v>385</v>
      </c>
      <c r="AD51" s="25" t="s">
        <v>386</v>
      </c>
      <c r="AE51" s="25" t="s">
        <v>379</v>
      </c>
      <c r="AF51" s="25" t="s">
        <v>387</v>
      </c>
      <c r="AG51" s="25" t="s">
        <v>381</v>
      </c>
      <c r="AH51" s="25" t="s">
        <v>297</v>
      </c>
      <c r="AI51" s="25" t="s">
        <v>1</v>
      </c>
      <c r="AJ51" s="25" t="s">
        <v>389</v>
      </c>
      <c r="AK51" s="25" t="s">
        <v>469</v>
      </c>
      <c r="AM51" s="407" t="s">
        <v>564</v>
      </c>
      <c r="AN51" s="407" t="s">
        <v>565</v>
      </c>
    </row>
    <row r="52" spans="1:45" ht="37.5" x14ac:dyDescent="0.3">
      <c r="A52" t="s">
        <v>562</v>
      </c>
      <c r="B52" s="220"/>
      <c r="C52" s="221" t="s">
        <v>309</v>
      </c>
      <c r="D52" s="84">
        <v>0</v>
      </c>
      <c r="E52" s="270"/>
      <c r="G52" s="278">
        <f>+IFERROR(K52/J52,0)</f>
        <v>0.86805555555555558</v>
      </c>
      <c r="H52" s="279">
        <f>+IFERROR(Q52/U52,0)</f>
        <v>0.66137566137566139</v>
      </c>
      <c r="J52" s="284">
        <f>AA52*AK52</f>
        <v>3456</v>
      </c>
      <c r="K52" s="66">
        <f>(X52*AC52)+Y52</f>
        <v>3000</v>
      </c>
      <c r="L52" s="285">
        <f t="shared" ref="L52:L56" si="16">+IF(K52-J52&gt;0,0,J52-K52)</f>
        <v>456</v>
      </c>
      <c r="N52" s="169">
        <f>+IFERROR(VLOOKUP(W52,'Stock Prov. Serv.'!A:D,4,0),0)</f>
        <v>0</v>
      </c>
      <c r="O52" s="147">
        <f>+IFERROR(VLOOKUP(W52,'Stock Taller'!A:D,4,0),0)</f>
        <v>0</v>
      </c>
      <c r="P52" s="147">
        <f>+SUMIF('Stock CD'!B:B,'Conteo 18-02-26'!W52,'Stock CD'!E:E)</f>
        <v>0</v>
      </c>
      <c r="Q52" s="85">
        <f>+N52+O52+P52+K52</f>
        <v>3000</v>
      </c>
      <c r="S52" s="218">
        <f>+IFERROR(VLOOKUP(W52,'Stock Taller'!A:G,7,0),0)</f>
        <v>0</v>
      </c>
      <c r="T52" s="147">
        <f>+IFERROR(SUMIF('Stock CD'!B:B,'Conteo 18-02-26'!W52,'Stock CD'!K:K),0)</f>
        <v>1080</v>
      </c>
      <c r="U52" s="85">
        <f>+S52+T52+J52</f>
        <v>4536</v>
      </c>
      <c r="W52" s="220" t="s">
        <v>11</v>
      </c>
      <c r="X52" s="222">
        <v>1</v>
      </c>
      <c r="Y52" s="285"/>
      <c r="AA52" s="172">
        <f>+SUMIFS(Consumo!F:F,Consumo!D:D,'Conteo 18-02-26'!W52)</f>
        <v>1152</v>
      </c>
      <c r="AB52" s="81">
        <f>+AA52*AH52</f>
        <v>2.0735999999999999</v>
      </c>
      <c r="AC52" s="175">
        <v>3000</v>
      </c>
      <c r="AD52" s="175">
        <v>10000</v>
      </c>
      <c r="AE52" s="66" t="s">
        <v>395</v>
      </c>
      <c r="AF52" s="66">
        <f>+AD52*AH52</f>
        <v>18</v>
      </c>
      <c r="AG52" s="291">
        <f>+AE52/AH52</f>
        <v>0</v>
      </c>
      <c r="AH52" s="83">
        <v>1.8E-3</v>
      </c>
      <c r="AI52" s="84" t="s">
        <v>12</v>
      </c>
      <c r="AJ52" s="147" t="s">
        <v>391</v>
      </c>
      <c r="AK52" s="85">
        <v>3</v>
      </c>
      <c r="AM52" s="439">
        <v>70</v>
      </c>
      <c r="AN52" s="290">
        <v>30</v>
      </c>
    </row>
    <row r="53" spans="1:45" ht="37.5" x14ac:dyDescent="0.25">
      <c r="A53" t="s">
        <v>562</v>
      </c>
      <c r="B53" s="73">
        <v>1111500</v>
      </c>
      <c r="C53" s="69" t="s">
        <v>19</v>
      </c>
      <c r="D53" s="88">
        <v>20000</v>
      </c>
      <c r="E53" s="271">
        <v>1</v>
      </c>
      <c r="G53" s="280">
        <f>+IFERROR(K53/J53,0)</f>
        <v>0</v>
      </c>
      <c r="H53" s="281">
        <f>+IFERROR(Q53/U53,0)</f>
        <v>0</v>
      </c>
      <c r="J53" s="286">
        <f t="shared" ref="J53:J56" si="17">AA53*AK53</f>
        <v>16620</v>
      </c>
      <c r="K53" s="71">
        <f>(X53*AC53)+Y53</f>
        <v>0</v>
      </c>
      <c r="L53" s="287">
        <f t="shared" si="16"/>
        <v>16620</v>
      </c>
      <c r="N53" s="165">
        <f>+IFERROR(VLOOKUP(W53,'Stock Prov. Serv.'!A:D,4,0),0)</f>
        <v>0</v>
      </c>
      <c r="O53" s="148">
        <f>+IFERROR(VLOOKUP(W53,'Stock Taller'!A:D,4,0),0)</f>
        <v>0</v>
      </c>
      <c r="P53" s="148">
        <f>+SUMIF('Stock CD'!B:B,'Conteo 18-02-26'!W53,'Stock CD'!E:E)</f>
        <v>0</v>
      </c>
      <c r="Q53" s="89">
        <f>+N53+O53+P53+K53</f>
        <v>0</v>
      </c>
      <c r="S53" s="188">
        <f>+IFERROR(VLOOKUP(W53,'Stock Taller'!A:G,7,0),0)</f>
        <v>0</v>
      </c>
      <c r="T53" s="148">
        <f>+IFERROR(SUMIF('Stock CD'!B:B,'Conteo 18-02-26'!W53,'Stock CD'!K:K),0)</f>
        <v>0</v>
      </c>
      <c r="U53" s="89">
        <f>+S53+T53+J53</f>
        <v>16620</v>
      </c>
      <c r="W53" s="67" t="s">
        <v>18</v>
      </c>
      <c r="X53" s="70">
        <v>0</v>
      </c>
      <c r="Y53" s="287"/>
      <c r="AA53" s="173">
        <f>+SUMIFS(Consumo!F:F,Consumo!D:D,'Conteo 18-02-26'!W53)</f>
        <v>5540</v>
      </c>
      <c r="AB53" s="72">
        <f>+AA53*AH53</f>
        <v>29.085000000000001</v>
      </c>
      <c r="AC53" s="176">
        <v>2900</v>
      </c>
      <c r="AD53" s="176">
        <v>10000</v>
      </c>
      <c r="AE53" s="86" t="s">
        <v>547</v>
      </c>
      <c r="AF53" s="71">
        <f>+AD53*AH53</f>
        <v>52.5</v>
      </c>
      <c r="AG53" s="99">
        <f t="shared" ref="AG53" si="18">+AE53/AH53</f>
        <v>0</v>
      </c>
      <c r="AH53" s="87">
        <v>5.2500000000000003E-3</v>
      </c>
      <c r="AI53" s="88" t="s">
        <v>37</v>
      </c>
      <c r="AJ53" s="148" t="s">
        <v>391</v>
      </c>
      <c r="AK53" s="89">
        <v>3</v>
      </c>
      <c r="AM53" s="165">
        <v>70</v>
      </c>
      <c r="AN53" s="89">
        <v>30</v>
      </c>
    </row>
    <row r="54" spans="1:45" ht="32.25" customHeight="1" x14ac:dyDescent="0.25">
      <c r="A54" t="s">
        <v>562</v>
      </c>
      <c r="B54" s="67">
        <v>1112500</v>
      </c>
      <c r="C54" s="69" t="s">
        <v>38</v>
      </c>
      <c r="D54" s="88">
        <v>0</v>
      </c>
      <c r="E54" s="271"/>
      <c r="G54" s="280">
        <f>+IFERROR(K54/J54,0)</f>
        <v>1.0632642211589578</v>
      </c>
      <c r="H54" s="281">
        <f>+IFERROR(Q54/U54,0)</f>
        <v>0.77942322681215892</v>
      </c>
      <c r="J54" s="286">
        <f t="shared" si="17"/>
        <v>1504.8000000000002</v>
      </c>
      <c r="K54" s="71">
        <f>(X54*AC54)+Y54</f>
        <v>1600</v>
      </c>
      <c r="L54" s="287">
        <f t="shared" si="16"/>
        <v>0</v>
      </c>
      <c r="N54" s="165">
        <f>+IFERROR(VLOOKUP(W54,'Stock Prov. Serv.'!A:D,4,0),0)</f>
        <v>0</v>
      </c>
      <c r="O54" s="148">
        <f>+IFERROR(VLOOKUP(W54,'Stock Taller'!A:D,4,0),0)</f>
        <v>0</v>
      </c>
      <c r="P54" s="148">
        <f>+SUMIF('Stock CD'!B:B,'Conteo 18-02-26'!W54,'Stock CD'!E:E)</f>
        <v>0</v>
      </c>
      <c r="Q54" s="89">
        <f>+N54+O54+P54+K54</f>
        <v>1600</v>
      </c>
      <c r="S54" s="188">
        <f>+IFERROR(VLOOKUP(W54,'Stock Taller'!A:G,7,0),0)</f>
        <v>0</v>
      </c>
      <c r="T54" s="148">
        <f>+IFERROR(SUMIF('Stock CD'!B:B,'Conteo 18-02-26'!W54,'Stock CD'!K:K),0)</f>
        <v>548</v>
      </c>
      <c r="U54" s="89">
        <f>+S54+T54+J54</f>
        <v>2052.8000000000002</v>
      </c>
      <c r="W54" s="67" t="s">
        <v>36</v>
      </c>
      <c r="X54" s="70">
        <v>4</v>
      </c>
      <c r="Y54" s="287"/>
      <c r="AA54" s="173">
        <f>+SUMIFS(Consumo!F:F,Consumo!D:D,'Conteo 18-02-26'!W54)</f>
        <v>501.6</v>
      </c>
      <c r="AB54" s="72">
        <f>+AA54*AH54</f>
        <v>3.762</v>
      </c>
      <c r="AC54" s="176">
        <v>400</v>
      </c>
      <c r="AD54" s="176">
        <v>5000</v>
      </c>
      <c r="AE54" s="90">
        <v>82.5</v>
      </c>
      <c r="AF54" s="71">
        <f>+AD54*AH54</f>
        <v>37.5</v>
      </c>
      <c r="AG54" s="99">
        <f>AE54/AH54</f>
        <v>11000</v>
      </c>
      <c r="AH54" s="87">
        <v>7.4999999999999997E-3</v>
      </c>
      <c r="AI54" s="88" t="s">
        <v>37</v>
      </c>
      <c r="AJ54" s="148" t="s">
        <v>391</v>
      </c>
      <c r="AK54" s="89">
        <v>3</v>
      </c>
      <c r="AM54" s="165">
        <v>70</v>
      </c>
      <c r="AN54" s="89">
        <v>30</v>
      </c>
    </row>
    <row r="55" spans="1:45" ht="32.25" customHeight="1" x14ac:dyDescent="0.25">
      <c r="A55" t="s">
        <v>562</v>
      </c>
      <c r="B55" s="311"/>
      <c r="C55" s="312" t="s">
        <v>473</v>
      </c>
      <c r="D55" s="409">
        <v>0</v>
      </c>
      <c r="E55" s="313"/>
      <c r="G55" s="280">
        <f>+IFERROR(K55/J55,0)</f>
        <v>1.2183235867446394</v>
      </c>
      <c r="H55" s="281">
        <f>+IFERROR(Q55/U55,0)</f>
        <v>1.2183235867446394</v>
      </c>
      <c r="J55" s="286">
        <f t="shared" ref="J55" si="19">AA55*AK55</f>
        <v>2052</v>
      </c>
      <c r="K55" s="71">
        <f>(X55*AC55)+Y55</f>
        <v>2500</v>
      </c>
      <c r="L55" s="287">
        <f t="shared" si="16"/>
        <v>0</v>
      </c>
      <c r="N55" s="165">
        <f>+IFERROR(VLOOKUP(W55,'Stock Prov. Serv.'!A:D,4,0),0)</f>
        <v>0</v>
      </c>
      <c r="O55" s="148">
        <f>+IFERROR(VLOOKUP(W55,'Stock Taller'!A:D,4,0),0)</f>
        <v>0</v>
      </c>
      <c r="P55" s="148">
        <f>+SUMIF('Stock CD'!B:B,'Conteo 18-02-26'!W55,'Stock CD'!E:E)</f>
        <v>0</v>
      </c>
      <c r="Q55" s="89">
        <f>+N55+O55+P55+K55</f>
        <v>2500</v>
      </c>
      <c r="S55" s="188">
        <f>+IFERROR(VLOOKUP(W55,'Stock Taller'!A:G,7,0),0)</f>
        <v>0</v>
      </c>
      <c r="T55" s="148">
        <f>+IFERROR(SUMIF('Stock CD'!B:B,'Conteo 18-02-26'!W55,'Stock CD'!K:K),0)</f>
        <v>0</v>
      </c>
      <c r="U55" s="89">
        <f>+S55+T55+J55</f>
        <v>2052</v>
      </c>
      <c r="W55" s="311" t="s">
        <v>472</v>
      </c>
      <c r="X55" s="242">
        <v>5</v>
      </c>
      <c r="Y55" s="314"/>
      <c r="AA55" s="173">
        <f>+SUMIFS(Consumo!F:F,Consumo!D:D,'Conteo 18-02-26'!W55)</f>
        <v>684</v>
      </c>
      <c r="AB55" s="72">
        <f>+AA55*AH55</f>
        <v>8.1053999999999995</v>
      </c>
      <c r="AC55" s="243">
        <v>500</v>
      </c>
      <c r="AD55" s="243">
        <v>10000</v>
      </c>
      <c r="AE55" s="315">
        <v>90</v>
      </c>
      <c r="AF55" s="71">
        <f>+AD55*AH55</f>
        <v>118.5</v>
      </c>
      <c r="AG55" s="99">
        <f>AE55/AH55</f>
        <v>7594.9367088607596</v>
      </c>
      <c r="AH55" s="316">
        <v>1.1849999999999999E-2</v>
      </c>
      <c r="AI55" s="88" t="s">
        <v>37</v>
      </c>
      <c r="AJ55" s="148" t="s">
        <v>391</v>
      </c>
      <c r="AK55" s="89">
        <v>3</v>
      </c>
      <c r="AM55" s="165">
        <v>70</v>
      </c>
      <c r="AN55" s="89">
        <v>30</v>
      </c>
    </row>
    <row r="56" spans="1:45" ht="37.700000000000003" customHeight="1" thickBot="1" x14ac:dyDescent="0.3">
      <c r="A56" t="s">
        <v>562</v>
      </c>
      <c r="B56" s="260">
        <v>1114500</v>
      </c>
      <c r="C56" s="75" t="s">
        <v>39</v>
      </c>
      <c r="D56" s="93">
        <v>0</v>
      </c>
      <c r="E56" s="272"/>
      <c r="G56" s="282">
        <f>+IFERROR(K56/J56,0)</f>
        <v>0.8120939530234883</v>
      </c>
      <c r="H56" s="283">
        <f>+IFERROR(Q56/U56,0)</f>
        <v>0.49477316553334011</v>
      </c>
      <c r="J56" s="288">
        <f t="shared" si="17"/>
        <v>24012</v>
      </c>
      <c r="K56" s="77">
        <f>(X56*AC56)+Y56</f>
        <v>19500</v>
      </c>
      <c r="L56" s="289">
        <f t="shared" si="16"/>
        <v>4512</v>
      </c>
      <c r="N56" s="166">
        <f>+IFERROR(VLOOKUP(W56,'Stock Prov. Serv.'!A:D,4,0),0)</f>
        <v>0</v>
      </c>
      <c r="O56" s="149">
        <f>+IFERROR(VLOOKUP(W56,'Stock Taller'!A:D,4,0),0)</f>
        <v>0</v>
      </c>
      <c r="P56" s="149">
        <f>+SUMIF('Stock CD'!B:B,'Conteo 18-02-26'!W56,'Stock CD'!E:E)</f>
        <v>0</v>
      </c>
      <c r="Q56" s="94">
        <f>+N56+O56+P56+K56</f>
        <v>19500</v>
      </c>
      <c r="S56" s="219">
        <f>+IFERROR(VLOOKUP(W56,'Stock Taller'!A:G,7,0),0)</f>
        <v>8600.0000000000018</v>
      </c>
      <c r="T56" s="149">
        <f>+IFERROR(SUMIF('Stock CD'!B:B,'Conteo 18-02-26'!W56,'Stock CD'!K:K),0)</f>
        <v>6800</v>
      </c>
      <c r="U56" s="94">
        <f>+S56+T56+J56</f>
        <v>39412</v>
      </c>
      <c r="W56" s="260" t="s">
        <v>468</v>
      </c>
      <c r="X56" s="76">
        <v>30</v>
      </c>
      <c r="Y56" s="289"/>
      <c r="AA56" s="174">
        <f>+SUMIFS(Consumo!F:F,Consumo!D:D,'Conteo 18-02-26'!W56)</f>
        <v>8004</v>
      </c>
      <c r="AB56" s="78">
        <f>+AA56*AH56</f>
        <v>284.142</v>
      </c>
      <c r="AC56" s="177">
        <v>650</v>
      </c>
      <c r="AD56" s="177">
        <v>10000</v>
      </c>
      <c r="AE56" s="301">
        <v>112.5</v>
      </c>
      <c r="AF56" s="77">
        <f>+AD56*AH56</f>
        <v>354.99999999999994</v>
      </c>
      <c r="AG56" s="100">
        <f>AE56/AH56</f>
        <v>3169.0140845070428</v>
      </c>
      <c r="AH56" s="92">
        <v>3.5499999999999997E-2</v>
      </c>
      <c r="AI56" s="93" t="s">
        <v>37</v>
      </c>
      <c r="AJ56" s="149" t="s">
        <v>391</v>
      </c>
      <c r="AK56" s="94">
        <v>3</v>
      </c>
      <c r="AM56" s="166">
        <v>70</v>
      </c>
      <c r="AN56" s="94">
        <v>30</v>
      </c>
    </row>
    <row r="57" spans="1:45" ht="26.25" customHeight="1" thickBot="1" x14ac:dyDescent="0.35">
      <c r="C57" s="197"/>
      <c r="D57" s="412"/>
      <c r="E57" s="197"/>
      <c r="AJ57" s="57"/>
    </row>
    <row r="58" spans="1:45" ht="26.25" customHeight="1" thickBot="1" x14ac:dyDescent="0.4">
      <c r="B58" s="252"/>
      <c r="C58" s="493" t="s">
        <v>461</v>
      </c>
      <c r="D58" s="494"/>
      <c r="E58" s="495"/>
      <c r="G58" s="267"/>
      <c r="L58" s="267"/>
      <c r="AJ58" s="57"/>
    </row>
    <row r="59" spans="1:45" ht="27" thickBot="1" x14ac:dyDescent="0.45">
      <c r="C59" s="250" t="s">
        <v>21</v>
      </c>
      <c r="D59" s="251" t="s">
        <v>462</v>
      </c>
      <c r="E59" s="251"/>
      <c r="G59" s="268"/>
      <c r="H59" s="269"/>
      <c r="J59" s="198"/>
      <c r="K59" s="268"/>
      <c r="N59" s="269"/>
      <c r="O59" s="269"/>
      <c r="P59" s="269"/>
      <c r="Q59" s="269"/>
      <c r="S59" s="500"/>
      <c r="T59" s="500"/>
      <c r="U59" s="500"/>
      <c r="Y59" s="199"/>
      <c r="AA59" s="497" t="s">
        <v>392</v>
      </c>
      <c r="AB59" s="498"/>
      <c r="AC59" s="498"/>
      <c r="AD59" s="498"/>
      <c r="AE59" s="498"/>
      <c r="AF59" s="498"/>
      <c r="AG59" s="498"/>
      <c r="AH59" s="498"/>
      <c r="AI59" s="498"/>
      <c r="AJ59" s="498"/>
      <c r="AK59" s="499"/>
      <c r="AL59" s="37"/>
      <c r="AM59" s="37"/>
      <c r="AN59" s="37"/>
      <c r="AO59" s="37"/>
      <c r="AP59" s="37"/>
      <c r="AQ59" s="37"/>
      <c r="AR59" s="37"/>
      <c r="AS59" s="37"/>
    </row>
    <row r="60" spans="1:45" ht="87" customHeight="1" thickBot="1" x14ac:dyDescent="0.3">
      <c r="B60" s="95" t="s">
        <v>311</v>
      </c>
      <c r="C60" s="9" t="s">
        <v>2</v>
      </c>
      <c r="D60" s="96" t="s">
        <v>460</v>
      </c>
      <c r="E60" s="96" t="s">
        <v>467</v>
      </c>
      <c r="G60" s="9" t="s">
        <v>396</v>
      </c>
      <c r="H60" s="80" t="s">
        <v>397</v>
      </c>
      <c r="J60" s="9" t="s">
        <v>393</v>
      </c>
      <c r="K60" s="9" t="s">
        <v>394</v>
      </c>
      <c r="L60" s="9" t="s">
        <v>388</v>
      </c>
      <c r="N60" s="80" t="s">
        <v>399</v>
      </c>
      <c r="O60" s="80" t="s">
        <v>398</v>
      </c>
      <c r="P60" s="80" t="s">
        <v>400</v>
      </c>
      <c r="Q60" s="80" t="s">
        <v>401</v>
      </c>
      <c r="S60" s="276" t="s">
        <v>402</v>
      </c>
      <c r="T60" s="80" t="s">
        <v>403</v>
      </c>
      <c r="U60" s="277" t="s">
        <v>404</v>
      </c>
      <c r="W60" s="9" t="s">
        <v>0</v>
      </c>
      <c r="X60" s="96" t="s">
        <v>465</v>
      </c>
      <c r="Y60" s="9" t="s">
        <v>470</v>
      </c>
      <c r="AA60" s="25" t="s">
        <v>383</v>
      </c>
      <c r="AB60" s="25" t="s">
        <v>384</v>
      </c>
      <c r="AC60" s="25" t="s">
        <v>385</v>
      </c>
      <c r="AD60" s="25" t="s">
        <v>386</v>
      </c>
      <c r="AE60" s="25" t="s">
        <v>379</v>
      </c>
      <c r="AF60" s="25" t="s">
        <v>387</v>
      </c>
      <c r="AG60" s="25" t="s">
        <v>381</v>
      </c>
      <c r="AH60" s="25" t="s">
        <v>297</v>
      </c>
      <c r="AI60" s="25" t="s">
        <v>1</v>
      </c>
      <c r="AJ60" s="25" t="s">
        <v>389</v>
      </c>
      <c r="AK60" s="25" t="s">
        <v>469</v>
      </c>
      <c r="AM60" s="407" t="s">
        <v>564</v>
      </c>
      <c r="AN60" s="407" t="s">
        <v>565</v>
      </c>
    </row>
    <row r="61" spans="1:45" ht="19.5" thickBot="1" x14ac:dyDescent="0.35">
      <c r="A61" t="s">
        <v>21</v>
      </c>
      <c r="B61" s="255">
        <v>5161600</v>
      </c>
      <c r="C61" s="256" t="s">
        <v>22</v>
      </c>
      <c r="D61" s="297">
        <v>0</v>
      </c>
      <c r="E61" s="273"/>
      <c r="G61" s="302">
        <f>+IFERROR(K61/J61,0)</f>
        <v>9.0252707581227443E-2</v>
      </c>
      <c r="H61" s="303">
        <f>+IFERROR(Q61/U61,0)</f>
        <v>7.0955534531693468E-2</v>
      </c>
      <c r="J61" s="304">
        <f>AA61*AK61</f>
        <v>16620</v>
      </c>
      <c r="K61" s="258">
        <f>(X61*AC61)+Y61</f>
        <v>1500</v>
      </c>
      <c r="L61" s="299">
        <f>+IF(K61-J61&gt;0,0,J61-K61)</f>
        <v>15120</v>
      </c>
      <c r="N61" s="305">
        <f>+IFERROR(VLOOKUP(W61,'Stock Prov. Serv.'!A:D,4,0),0)</f>
        <v>0</v>
      </c>
      <c r="O61" s="262">
        <f>+IFERROR(VLOOKUP(W61,'Stock Taller'!A:D,4,0),0)</f>
        <v>0</v>
      </c>
      <c r="P61" s="262">
        <f>+SUMIF('Stock CD'!B:B,'Conteo 18-02-26'!W61,'Stock CD'!E:E)</f>
        <v>0</v>
      </c>
      <c r="Q61" s="263">
        <f>+N61+O61+P61+K61</f>
        <v>1500</v>
      </c>
      <c r="S61" s="306">
        <f>+IFERROR(VLOOKUP(W61,'Stock Taller'!A:G,7,0),0)</f>
        <v>0</v>
      </c>
      <c r="T61" s="262">
        <f>+IFERROR(SUMIF('Stock CD'!B:B,'Conteo 18-02-26'!W61,'Stock CD'!K:K),0)</f>
        <v>4520</v>
      </c>
      <c r="U61" s="307">
        <f>+S61+T61+J61</f>
        <v>21140</v>
      </c>
      <c r="W61" s="300" t="s">
        <v>20</v>
      </c>
      <c r="X61" s="257">
        <v>3</v>
      </c>
      <c r="Y61" s="299"/>
      <c r="AA61" s="292">
        <f>+SUMIFS(Consumo!F:F,Consumo!D:D,'Conteo 18-02-26'!W61)</f>
        <v>5540</v>
      </c>
      <c r="AB61" s="259">
        <f>+AA61*AH61</f>
        <v>25.207000000000001</v>
      </c>
      <c r="AC61" s="293">
        <v>500</v>
      </c>
      <c r="AD61" s="293">
        <v>2200</v>
      </c>
      <c r="AE61" s="294">
        <f>+AH61*AG61</f>
        <v>5.6619402840000008</v>
      </c>
      <c r="AF61" s="258">
        <f>+AD61*AH61</f>
        <v>10.01</v>
      </c>
      <c r="AG61" s="295">
        <v>1244.3824800000002</v>
      </c>
      <c r="AH61" s="296">
        <v>4.5500000000000002E-3</v>
      </c>
      <c r="AI61" s="297" t="s">
        <v>21</v>
      </c>
      <c r="AJ61" s="262" t="s">
        <v>390</v>
      </c>
      <c r="AK61" s="298">
        <v>3</v>
      </c>
      <c r="AM61" s="305">
        <v>70</v>
      </c>
      <c r="AN61" s="263">
        <v>30</v>
      </c>
    </row>
    <row r="62" spans="1:45" ht="19.5" thickBot="1" x14ac:dyDescent="0.35"/>
    <row r="63" spans="1:45" ht="24" thickBot="1" x14ac:dyDescent="0.4">
      <c r="B63" s="252"/>
      <c r="C63" s="493" t="s">
        <v>461</v>
      </c>
      <c r="D63" s="494"/>
      <c r="E63" s="495"/>
      <c r="G63" s="267"/>
      <c r="L63" s="267"/>
    </row>
    <row r="64" spans="1:45" ht="27" thickBot="1" x14ac:dyDescent="0.45">
      <c r="C64" s="250" t="s">
        <v>464</v>
      </c>
      <c r="D64" s="251" t="s">
        <v>462</v>
      </c>
      <c r="E64" s="251"/>
      <c r="G64" s="268"/>
      <c r="H64" s="269"/>
      <c r="J64" s="198"/>
      <c r="K64" s="268"/>
      <c r="N64" s="269"/>
      <c r="O64" s="269"/>
      <c r="P64" s="269"/>
      <c r="Q64" s="269"/>
      <c r="S64" s="500"/>
      <c r="T64" s="500"/>
      <c r="U64" s="500"/>
      <c r="Y64" s="199"/>
      <c r="AA64" s="497" t="s">
        <v>392</v>
      </c>
      <c r="AB64" s="498"/>
      <c r="AC64" s="498"/>
      <c r="AD64" s="498"/>
      <c r="AE64" s="498"/>
      <c r="AF64" s="498"/>
      <c r="AG64" s="498"/>
      <c r="AH64" s="498"/>
      <c r="AI64" s="498"/>
      <c r="AJ64" s="498"/>
      <c r="AK64" s="499"/>
      <c r="AL64" s="37"/>
      <c r="AM64" s="37"/>
      <c r="AN64" s="37"/>
      <c r="AO64" s="37"/>
      <c r="AP64" s="37"/>
      <c r="AQ64" s="37"/>
      <c r="AR64" s="37"/>
      <c r="AS64" s="37"/>
    </row>
    <row r="65" spans="1:40" ht="87" customHeight="1" thickBot="1" x14ac:dyDescent="0.3">
      <c r="B65" s="95" t="s">
        <v>311</v>
      </c>
      <c r="C65" s="9" t="s">
        <v>2</v>
      </c>
      <c r="D65" s="96" t="s">
        <v>460</v>
      </c>
      <c r="E65" s="96" t="s">
        <v>467</v>
      </c>
      <c r="G65" s="97" t="s">
        <v>396</v>
      </c>
      <c r="H65" s="25" t="s">
        <v>397</v>
      </c>
      <c r="J65" s="9" t="s">
        <v>477</v>
      </c>
      <c r="K65" s="9" t="s">
        <v>528</v>
      </c>
      <c r="L65" s="9" t="s">
        <v>478</v>
      </c>
      <c r="N65" s="80" t="s">
        <v>479</v>
      </c>
      <c r="O65" s="80" t="s">
        <v>480</v>
      </c>
      <c r="P65" s="80" t="s">
        <v>481</v>
      </c>
      <c r="Q65" s="80" t="s">
        <v>482</v>
      </c>
      <c r="S65" s="276" t="s">
        <v>483</v>
      </c>
      <c r="T65" s="80" t="s">
        <v>484</v>
      </c>
      <c r="U65" s="277" t="s">
        <v>485</v>
      </c>
      <c r="W65" s="9" t="s">
        <v>0</v>
      </c>
      <c r="X65" s="96" t="s">
        <v>465</v>
      </c>
      <c r="Y65" s="9" t="s">
        <v>470</v>
      </c>
      <c r="AA65" s="25" t="s">
        <v>476</v>
      </c>
      <c r="AB65" s="25" t="s">
        <v>384</v>
      </c>
      <c r="AC65" s="25" t="s">
        <v>385</v>
      </c>
      <c r="AD65" s="25" t="s">
        <v>386</v>
      </c>
      <c r="AE65" s="25" t="s">
        <v>379</v>
      </c>
      <c r="AF65" s="25" t="s">
        <v>387</v>
      </c>
      <c r="AG65" s="25" t="s">
        <v>381</v>
      </c>
      <c r="AH65" s="25" t="s">
        <v>297</v>
      </c>
      <c r="AI65" s="25" t="s">
        <v>1</v>
      </c>
      <c r="AJ65" s="25" t="s">
        <v>389</v>
      </c>
      <c r="AK65" s="25" t="s">
        <v>469</v>
      </c>
      <c r="AM65" s="407" t="s">
        <v>564</v>
      </c>
      <c r="AN65" s="407" t="s">
        <v>565</v>
      </c>
    </row>
    <row r="66" spans="1:40" ht="19.5" thickBot="1" x14ac:dyDescent="0.35">
      <c r="A66" t="s">
        <v>464</v>
      </c>
      <c r="B66" s="255">
        <v>1165500</v>
      </c>
      <c r="C66" s="256" t="s">
        <v>410</v>
      </c>
      <c r="D66" s="297">
        <v>0</v>
      </c>
      <c r="E66" s="273"/>
      <c r="G66" s="302">
        <f>+IFERROR(K66/J66,0)</f>
        <v>0.73076923076923073</v>
      </c>
      <c r="H66" s="303">
        <f>+IFERROR(Q66/U66,0)</f>
        <v>0.55882352941176472</v>
      </c>
      <c r="J66" s="304">
        <f>AA66*AK66</f>
        <v>4.1052631578947372</v>
      </c>
      <c r="K66" s="258">
        <f>X66</f>
        <v>3</v>
      </c>
      <c r="L66" s="299">
        <f>+IF(K66-J66&gt;0,0,J66-K66)</f>
        <v>1.1052631578947372</v>
      </c>
      <c r="N66" s="305">
        <f>+IFERROR(VLOOKUP(W66,'Stock Prov. Serv.'!A:D,4,0),0)</f>
        <v>0</v>
      </c>
      <c r="O66" s="262">
        <f>+IFERROR(VLOOKUP(W66,'Stock Taller'!A:D,4,0),0)</f>
        <v>0</v>
      </c>
      <c r="P66" s="262">
        <f>+(SUMIF('Stock CD'!B:B,'Conteo 18-02-26'!W66,'Stock CD'!E:E)/AC66)</f>
        <v>0</v>
      </c>
      <c r="Q66" s="263">
        <f>+N66+O66+P66+K66</f>
        <v>3</v>
      </c>
      <c r="S66" s="306">
        <f>+IFERROR(VLOOKUP(W66,'Stock Taller'!A:G,7,0),0)</f>
        <v>0</v>
      </c>
      <c r="T66" s="320">
        <f>+(IFERROR(SUMIF('Stock CD'!B:B,'Conteo 18-02-26'!W66,'Stock CD'!K:K),0)/AC66)</f>
        <v>1.263157894736842</v>
      </c>
      <c r="U66" s="307">
        <f>+S66+T66+J66</f>
        <v>5.3684210526315788</v>
      </c>
      <c r="W66" s="300" t="s">
        <v>411</v>
      </c>
      <c r="X66" s="257">
        <v>3</v>
      </c>
      <c r="Y66" s="299"/>
      <c r="AA66" s="319">
        <f>+(SUMIFS(Consumo!F:F,Consumo!D:D,'Conteo 18-02-26'!W66)/AC66)</f>
        <v>1.368421052631579</v>
      </c>
      <c r="AB66" s="259">
        <f>+AA66*AH66</f>
        <v>0</v>
      </c>
      <c r="AC66" s="293">
        <v>950</v>
      </c>
      <c r="AD66" s="293"/>
      <c r="AE66" s="294"/>
      <c r="AF66" s="258"/>
      <c r="AG66" s="295"/>
      <c r="AH66" s="296"/>
      <c r="AI66" s="297" t="s">
        <v>412</v>
      </c>
      <c r="AJ66" s="262" t="s">
        <v>416</v>
      </c>
      <c r="AK66" s="298">
        <v>3</v>
      </c>
      <c r="AM66" s="305">
        <v>100</v>
      </c>
      <c r="AN66" s="263">
        <v>0</v>
      </c>
    </row>
    <row r="67" spans="1:40" ht="26.25" customHeight="1" thickBot="1" x14ac:dyDescent="0.35">
      <c r="C67" s="197"/>
      <c r="D67" s="412"/>
      <c r="E67" s="197"/>
      <c r="AJ67" s="57"/>
    </row>
    <row r="68" spans="1:40" ht="24" thickBot="1" x14ac:dyDescent="0.4">
      <c r="B68" s="252"/>
      <c r="C68" s="493" t="s">
        <v>461</v>
      </c>
      <c r="D68" s="494"/>
      <c r="E68" s="495"/>
      <c r="G68" s="267"/>
      <c r="L68" s="267"/>
    </row>
    <row r="69" spans="1:40" ht="26.25" customHeight="1" thickBot="1" x14ac:dyDescent="0.35">
      <c r="C69" s="250" t="s">
        <v>378</v>
      </c>
      <c r="D69" s="251" t="s">
        <v>546</v>
      </c>
      <c r="E69" s="251"/>
      <c r="AJ69" s="57"/>
    </row>
    <row r="70" spans="1:40" ht="87" customHeight="1" thickBot="1" x14ac:dyDescent="0.3">
      <c r="B70" s="95" t="s">
        <v>311</v>
      </c>
      <c r="C70" s="9" t="s">
        <v>2</v>
      </c>
      <c r="D70" s="96" t="s">
        <v>460</v>
      </c>
      <c r="E70" s="96" t="s">
        <v>467</v>
      </c>
      <c r="G70" s="97" t="s">
        <v>396</v>
      </c>
      <c r="H70" s="25" t="s">
        <v>397</v>
      </c>
      <c r="J70" s="9" t="s">
        <v>393</v>
      </c>
      <c r="K70" s="9" t="s">
        <v>394</v>
      </c>
      <c r="L70" s="9" t="s">
        <v>388</v>
      </c>
      <c r="N70" s="80" t="s">
        <v>399</v>
      </c>
      <c r="O70" s="80" t="s">
        <v>398</v>
      </c>
      <c r="P70" s="80" t="s">
        <v>400</v>
      </c>
      <c r="Q70" s="80" t="s">
        <v>401</v>
      </c>
      <c r="S70" s="276" t="s">
        <v>402</v>
      </c>
      <c r="T70" s="80" t="s">
        <v>403</v>
      </c>
      <c r="U70" s="277" t="s">
        <v>404</v>
      </c>
      <c r="W70" s="9" t="s">
        <v>0</v>
      </c>
      <c r="X70" s="96" t="s">
        <v>465</v>
      </c>
      <c r="Y70" s="9" t="s">
        <v>470</v>
      </c>
      <c r="AA70" s="25" t="s">
        <v>383</v>
      </c>
      <c r="AB70" s="25" t="s">
        <v>384</v>
      </c>
      <c r="AC70" s="25" t="s">
        <v>385</v>
      </c>
      <c r="AD70" s="25" t="s">
        <v>386</v>
      </c>
      <c r="AE70" s="25" t="s">
        <v>379</v>
      </c>
      <c r="AF70" s="25" t="s">
        <v>387</v>
      </c>
      <c r="AG70" s="25" t="s">
        <v>381</v>
      </c>
      <c r="AH70" s="25" t="s">
        <v>297</v>
      </c>
      <c r="AI70" s="25" t="s">
        <v>1</v>
      </c>
      <c r="AJ70" s="25" t="s">
        <v>389</v>
      </c>
      <c r="AK70" s="25" t="s">
        <v>469</v>
      </c>
      <c r="AM70" s="407" t="s">
        <v>564</v>
      </c>
      <c r="AN70" s="407" t="s">
        <v>565</v>
      </c>
    </row>
    <row r="71" spans="1:40" ht="38.25" thickBot="1" x14ac:dyDescent="0.35">
      <c r="A71" t="s">
        <v>378</v>
      </c>
      <c r="B71" s="255">
        <v>5167600</v>
      </c>
      <c r="C71" s="256" t="s">
        <v>305</v>
      </c>
      <c r="D71" s="297">
        <v>0</v>
      </c>
      <c r="E71" s="273"/>
      <c r="G71" s="302">
        <f>+IFERROR(K71/J71,0)</f>
        <v>1.6346153846153846</v>
      </c>
      <c r="H71" s="303">
        <f>+IFERROR(Q71/U71,0)</f>
        <v>1.6346153846153846</v>
      </c>
      <c r="J71" s="304">
        <f>AA71*AK71</f>
        <v>1872</v>
      </c>
      <c r="K71" s="258">
        <f>(X71*AC71)+Y71</f>
        <v>3060</v>
      </c>
      <c r="L71" s="299">
        <f>+IF(K71-J71&gt;0,0,J71-K71)</f>
        <v>0</v>
      </c>
      <c r="N71" s="305">
        <f>+IFERROR(VLOOKUP(W71,'Stock Prov. Serv.'!A:D,4,0),0)</f>
        <v>0</v>
      </c>
      <c r="O71" s="262">
        <f>+IFERROR(VLOOKUP(W71,'Stock Taller'!A:D,4,0),0)</f>
        <v>0</v>
      </c>
      <c r="P71" s="262">
        <f>+(SUMIF('Stock CD'!B:B,'Conteo 18-02-26'!W71,'Stock CD'!E:E)/AC71)</f>
        <v>0</v>
      </c>
      <c r="Q71" s="263">
        <f>+N71+O71+P71+K71</f>
        <v>3060</v>
      </c>
      <c r="S71" s="306">
        <f>+IFERROR(VLOOKUP(W71,'Stock Taller'!A:G,7,0),0)</f>
        <v>0</v>
      </c>
      <c r="T71" s="320">
        <f>+(IFERROR(SUMIF('Stock CD'!B:B,'Conteo 18-02-26'!W71,'Stock CD'!K:K),0)/AC71)</f>
        <v>0</v>
      </c>
      <c r="U71" s="307">
        <f>+S71+T71+J71</f>
        <v>1872</v>
      </c>
      <c r="W71" s="300" t="s">
        <v>304</v>
      </c>
      <c r="X71" s="257">
        <v>3</v>
      </c>
      <c r="Y71" s="299"/>
      <c r="AA71" s="408">
        <f>+SUMIFS(Consumo!F:F,Consumo!D:D,'Conteo 18-02-26'!W71)</f>
        <v>624</v>
      </c>
      <c r="AB71" s="259">
        <f>+AA71*AH71</f>
        <v>9.7343999999999991</v>
      </c>
      <c r="AC71" s="293">
        <v>1020</v>
      </c>
      <c r="AD71" s="293">
        <v>500</v>
      </c>
      <c r="AE71" s="294">
        <v>75</v>
      </c>
      <c r="AF71" s="258">
        <f>+AD71*AH71</f>
        <v>7.8</v>
      </c>
      <c r="AG71" s="295">
        <f t="shared" ref="AG71" si="20">AE71/AH71</f>
        <v>4807.6923076923076</v>
      </c>
      <c r="AH71" s="296">
        <v>1.5599999999999999E-2</v>
      </c>
      <c r="AI71" s="297" t="s">
        <v>378</v>
      </c>
      <c r="AJ71" s="262" t="s">
        <v>391</v>
      </c>
      <c r="AK71" s="298">
        <v>3</v>
      </c>
      <c r="AM71" s="305">
        <v>70</v>
      </c>
      <c r="AN71" s="263">
        <v>30</v>
      </c>
    </row>
    <row r="72" spans="1:40" ht="26.25" customHeight="1" x14ac:dyDescent="0.3">
      <c r="C72" s="197"/>
      <c r="D72" s="412"/>
      <c r="E72" s="197"/>
      <c r="AJ72" s="57"/>
    </row>
    <row r="73" spans="1:40" ht="26.25" customHeight="1" x14ac:dyDescent="0.3">
      <c r="C73" s="197"/>
      <c r="D73" s="412"/>
      <c r="E73" s="197"/>
      <c r="AJ73" s="57"/>
    </row>
    <row r="74" spans="1:40" ht="26.25" customHeight="1" x14ac:dyDescent="0.3">
      <c r="C74" s="197"/>
      <c r="D74" s="412"/>
      <c r="E74" s="197"/>
      <c r="AJ74" s="57"/>
    </row>
    <row r="75" spans="1:40" ht="26.25" customHeight="1" x14ac:dyDescent="0.3">
      <c r="C75" s="197"/>
      <c r="D75" s="412"/>
      <c r="E75" s="197"/>
      <c r="AJ75" s="57"/>
    </row>
    <row r="76" spans="1:40" ht="26.25" customHeight="1" thickBot="1" x14ac:dyDescent="0.35">
      <c r="C76" s="197"/>
      <c r="D76" s="412"/>
      <c r="E76" s="197"/>
      <c r="AJ76" s="57"/>
    </row>
    <row r="77" spans="1:40" ht="53.1" customHeight="1" thickBot="1" x14ac:dyDescent="0.35">
      <c r="B77" s="62" t="s">
        <v>382</v>
      </c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244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4"/>
    </row>
    <row r="78" spans="1:40" ht="26.25" customHeight="1" thickBot="1" x14ac:dyDescent="0.35"/>
    <row r="79" spans="1:40" ht="51" customHeight="1" thickBot="1" x14ac:dyDescent="0.35">
      <c r="B79" s="3" t="s">
        <v>311</v>
      </c>
      <c r="C79" s="3" t="s">
        <v>2</v>
      </c>
      <c r="D79" s="3"/>
      <c r="E79" s="3"/>
      <c r="G79" s="3" t="s">
        <v>368</v>
      </c>
      <c r="J79" s="3" t="s">
        <v>393</v>
      </c>
      <c r="K79" s="3" t="s">
        <v>388</v>
      </c>
      <c r="L79" s="3" t="s">
        <v>0</v>
      </c>
      <c r="W79" s="3" t="s">
        <v>377</v>
      </c>
      <c r="X79" s="3" t="s">
        <v>4</v>
      </c>
      <c r="Y79" s="3" t="s">
        <v>5</v>
      </c>
      <c r="AA79" s="3" t="s">
        <v>3</v>
      </c>
      <c r="AB79" s="3" t="s">
        <v>384</v>
      </c>
      <c r="AC79" s="3" t="s">
        <v>385</v>
      </c>
      <c r="AD79" s="3" t="s">
        <v>386</v>
      </c>
      <c r="AE79" s="3" t="s">
        <v>379</v>
      </c>
      <c r="AF79" s="3" t="s">
        <v>387</v>
      </c>
      <c r="AG79" s="3" t="s">
        <v>381</v>
      </c>
      <c r="AH79" s="3" t="s">
        <v>297</v>
      </c>
      <c r="AI79" s="36" t="s">
        <v>1</v>
      </c>
    </row>
    <row r="80" spans="1:40" s="207" customFormat="1" ht="47.65" customHeight="1" x14ac:dyDescent="0.3">
      <c r="B80" s="201">
        <v>1213500</v>
      </c>
      <c r="C80" s="203" t="s">
        <v>372</v>
      </c>
      <c r="D80" s="217"/>
      <c r="E80" s="203"/>
      <c r="G80" s="206">
        <f>+IFERROR(Y80/J80,0)</f>
        <v>0</v>
      </c>
      <c r="H80" s="208">
        <f>+IFERROR(Q80/U80,0)</f>
        <v>0</v>
      </c>
      <c r="J80" s="204" t="e">
        <f>AA80*#REF!</f>
        <v>#REF!</v>
      </c>
      <c r="K80" s="204" t="e">
        <f>+IF(G80-D80-C80&gt;0,0,D80-G80-C80)</f>
        <v>#VALUE!</v>
      </c>
      <c r="L80" s="202" t="s">
        <v>376</v>
      </c>
      <c r="N80" s="209">
        <f>+IFERROR(VLOOKUP(L80,'Stock Prov. Serv.'!A:D,4,0),0)</f>
        <v>0</v>
      </c>
      <c r="O80" s="209">
        <f>+IFERROR(VLOOKUP(L80,'Stock Taller'!A:D,4,0),0)</f>
        <v>0</v>
      </c>
      <c r="P80" s="209">
        <f>+SUMIF('Stock CD'!B:B,'Conteo 18-02-26'!L80,'Stock CD'!E:E)</f>
        <v>0</v>
      </c>
      <c r="Q80" s="210">
        <f>+N80+O80+P80+Y80</f>
        <v>0</v>
      </c>
      <c r="S80" s="211">
        <f>+IFERROR(VLOOKUP(L80,'Stock Taller'!A:G,7,0),0)</f>
        <v>0</v>
      </c>
      <c r="T80" s="209">
        <f>+IFERROR(SUMIF('Stock CD'!B:B,'Conteo 18-02-26'!L80,'Stock CD'!K:K),0)</f>
        <v>15960</v>
      </c>
      <c r="U80" s="210" t="e">
        <f>+S80+T80+J80</f>
        <v>#REF!</v>
      </c>
      <c r="W80" s="204"/>
      <c r="X80" s="204"/>
      <c r="Y80" s="204">
        <f>(W80*AC80)+X80</f>
        <v>0</v>
      </c>
      <c r="AA80" s="212">
        <f>+(SUMIFS(Consumo!F:F,Consumo!D:D,'Conteo 18-02-26'!L80))*2</f>
        <v>16992</v>
      </c>
      <c r="AB80" s="205">
        <f>+AA80*AH80</f>
        <v>2.0696256000000002</v>
      </c>
      <c r="AC80" s="213">
        <v>30000</v>
      </c>
      <c r="AD80" s="213">
        <v>1000</v>
      </c>
      <c r="AE80" s="214">
        <v>4.19E-2</v>
      </c>
      <c r="AF80" s="204">
        <f>+AD80*AH80</f>
        <v>0.12180000000000001</v>
      </c>
      <c r="AG80" s="215">
        <f>AE80/AH80</f>
        <v>344.00656814449917</v>
      </c>
      <c r="AH80" s="216">
        <v>1.2180000000000001E-4</v>
      </c>
      <c r="AI80" s="217" t="s">
        <v>373</v>
      </c>
      <c r="AJ80" s="210" t="s">
        <v>391</v>
      </c>
      <c r="AK80" s="275"/>
    </row>
    <row r="81" spans="2:35" ht="36" x14ac:dyDescent="0.3">
      <c r="B81" s="58">
        <v>1113500</v>
      </c>
      <c r="C81" s="61" t="s">
        <v>40</v>
      </c>
      <c r="D81" s="60"/>
      <c r="E81" s="61"/>
      <c r="F81" s="207"/>
      <c r="G81" s="53"/>
      <c r="H81" s="207"/>
      <c r="I81" s="207"/>
      <c r="J81" s="53" t="e">
        <f>AA81*#REF!</f>
        <v>#REF!</v>
      </c>
      <c r="K81" s="53">
        <f>+IF(G81-D81&gt;0,0,D81-G81)</f>
        <v>0</v>
      </c>
      <c r="L81" s="59" t="s">
        <v>301</v>
      </c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53">
        <v>0</v>
      </c>
      <c r="X81" s="53"/>
      <c r="Y81" s="53">
        <f>W81*AC81+X81</f>
        <v>0</v>
      </c>
      <c r="Z81" s="207"/>
      <c r="AA81" s="55">
        <f>+SUMIFS(Consumo!F:F,Consumo!D:D,'Conteo 18-02-26'!L81)</f>
        <v>408</v>
      </c>
      <c r="AB81" s="53"/>
      <c r="AC81" s="53"/>
      <c r="AD81" s="53"/>
      <c r="AE81" s="53"/>
      <c r="AF81" s="53"/>
      <c r="AG81" s="53"/>
      <c r="AH81" s="54"/>
      <c r="AI81" s="60" t="s">
        <v>37</v>
      </c>
    </row>
    <row r="82" spans="2:35" ht="36" x14ac:dyDescent="0.3">
      <c r="B82" s="43"/>
      <c r="C82" s="41" t="s">
        <v>308</v>
      </c>
      <c r="D82" s="40"/>
      <c r="E82" s="41"/>
      <c r="F82" s="207"/>
      <c r="G82" s="42" t="e">
        <f>+Y82/J82</f>
        <v>#REF!</v>
      </c>
      <c r="H82" s="207"/>
      <c r="I82" s="207"/>
      <c r="J82" s="42" t="e">
        <f>AA82*#REF!</f>
        <v>#REF!</v>
      </c>
      <c r="K82" s="42" t="e">
        <f>+IF(G82+#REF!+J82-D82&gt;0,0,D82-G82-#REF!-J82)</f>
        <v>#REF!</v>
      </c>
      <c r="L82" s="39" t="s">
        <v>8</v>
      </c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42"/>
      <c r="X82" s="42"/>
      <c r="Y82" s="42">
        <f>W82*AC82+X82</f>
        <v>0</v>
      </c>
      <c r="Z82" s="207"/>
      <c r="AA82" s="49">
        <f>+SUMIFS(Consumo!F:F,Consumo!D:D,'Conteo 18-02-26'!L82)</f>
        <v>360</v>
      </c>
      <c r="AB82" s="42"/>
      <c r="AC82" s="42">
        <v>500</v>
      </c>
      <c r="AD82" s="42">
        <v>1000</v>
      </c>
      <c r="AE82" s="42"/>
      <c r="AF82" s="42"/>
      <c r="AG82" s="42"/>
      <c r="AH82" s="51"/>
      <c r="AI82" s="40" t="s">
        <v>9</v>
      </c>
    </row>
    <row r="83" spans="2:35" ht="36" x14ac:dyDescent="0.3">
      <c r="B83" s="43"/>
      <c r="C83" s="41" t="s">
        <v>34</v>
      </c>
      <c r="D83" s="40"/>
      <c r="E83" s="41"/>
      <c r="F83" s="207"/>
      <c r="G83" s="42" t="e">
        <f>+Y83/J83</f>
        <v>#REF!</v>
      </c>
      <c r="H83" s="207"/>
      <c r="I83" s="207"/>
      <c r="J83" s="42" t="e">
        <f>AA83*#REF!</f>
        <v>#REF!</v>
      </c>
      <c r="K83" s="42" t="e">
        <f>+IF(G83+#REF!+J83-D83&gt;0,0,D83-G83-#REF!-J83)</f>
        <v>#REF!</v>
      </c>
      <c r="L83" s="39" t="s">
        <v>299</v>
      </c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42"/>
      <c r="X83" s="42"/>
      <c r="Y83" s="42">
        <f>W83*AC83+X83</f>
        <v>0</v>
      </c>
      <c r="Z83" s="207"/>
      <c r="AA83" s="49">
        <f>+SUMIFS(Consumo!F:F,Consumo!D:D,'Conteo 18-02-26'!L83)</f>
        <v>180</v>
      </c>
      <c r="AB83" s="42"/>
      <c r="AC83" s="42">
        <v>939</v>
      </c>
      <c r="AD83" s="42"/>
      <c r="AE83" s="42"/>
      <c r="AF83" s="42"/>
      <c r="AG83" s="42"/>
      <c r="AH83" s="51"/>
      <c r="AI83" s="40" t="s">
        <v>33</v>
      </c>
    </row>
    <row r="84" spans="2:35" ht="36.75" thickBot="1" x14ac:dyDescent="0.35">
      <c r="B84" s="44"/>
      <c r="C84" s="47" t="s">
        <v>35</v>
      </c>
      <c r="D84" s="46"/>
      <c r="E84" s="47"/>
      <c r="F84" s="207"/>
      <c r="G84" s="48" t="e">
        <f>+Y84/J84</f>
        <v>#REF!</v>
      </c>
      <c r="H84" s="207"/>
      <c r="I84" s="207"/>
      <c r="J84" s="48" t="e">
        <f>AA84*#REF!</f>
        <v>#REF!</v>
      </c>
      <c r="K84" s="48" t="e">
        <f>+IF(G84+#REF!+J84-D84&gt;0,0,D84-G84-#REF!-J84)</f>
        <v>#REF!</v>
      </c>
      <c r="L84" s="45" t="s">
        <v>300</v>
      </c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48"/>
      <c r="X84" s="48"/>
      <c r="Y84" s="48">
        <f>W84*AC84+X84</f>
        <v>0</v>
      </c>
      <c r="Z84" s="207"/>
      <c r="AA84" s="50">
        <f>+SUMIFS(Consumo!F:F,Consumo!D:D,'Conteo 18-02-26'!L84)</f>
        <v>180</v>
      </c>
      <c r="AB84" s="48"/>
      <c r="AC84" s="48"/>
      <c r="AD84" s="48"/>
      <c r="AE84" s="48"/>
      <c r="AF84" s="48"/>
      <c r="AG84" s="48"/>
      <c r="AH84" s="52"/>
      <c r="AI84" s="46" t="s">
        <v>33</v>
      </c>
    </row>
    <row r="85" spans="2:35" x14ac:dyDescent="0.3">
      <c r="B85" s="56"/>
    </row>
    <row r="86" spans="2:35" x14ac:dyDescent="0.3">
      <c r="L86" s="7" t="s">
        <v>307</v>
      </c>
    </row>
  </sheetData>
  <autoFilter ref="B10:C37"/>
  <mergeCells count="33">
    <mergeCell ref="AA59:AK59"/>
    <mergeCell ref="S30:U30"/>
    <mergeCell ref="AA30:AK30"/>
    <mergeCell ref="C39:E39"/>
    <mergeCell ref="C44:E44"/>
    <mergeCell ref="C49:E49"/>
    <mergeCell ref="C58:E58"/>
    <mergeCell ref="C34:E34"/>
    <mergeCell ref="S50:U50"/>
    <mergeCell ref="S35:U35"/>
    <mergeCell ref="S40:U40"/>
    <mergeCell ref="S45:U45"/>
    <mergeCell ref="S9:U9"/>
    <mergeCell ref="S18:U18"/>
    <mergeCell ref="C63:E63"/>
    <mergeCell ref="C23:E23"/>
    <mergeCell ref="S24:U24"/>
    <mergeCell ref="C68:E68"/>
    <mergeCell ref="S3:U3"/>
    <mergeCell ref="AA3:AJ3"/>
    <mergeCell ref="AA64:AK64"/>
    <mergeCell ref="AA50:AK50"/>
    <mergeCell ref="S59:U59"/>
    <mergeCell ref="S64:U64"/>
    <mergeCell ref="AA45:AK45"/>
    <mergeCell ref="AA40:AK40"/>
    <mergeCell ref="AA35:AK35"/>
    <mergeCell ref="AA9:AK9"/>
    <mergeCell ref="AA18:AK18"/>
    <mergeCell ref="AA24:AK24"/>
    <mergeCell ref="C8:E8"/>
    <mergeCell ref="C17:E17"/>
    <mergeCell ref="C29:E29"/>
  </mergeCells>
  <conditionalFormatting sqref="B20:B21">
    <cfRule type="duplicateValues" dxfId="28" priority="14"/>
  </conditionalFormatting>
  <conditionalFormatting sqref="B26:B27">
    <cfRule type="duplicateValues" dxfId="27" priority="12"/>
  </conditionalFormatting>
  <conditionalFormatting sqref="B32">
    <cfRule type="duplicateValues" dxfId="26" priority="4"/>
  </conditionalFormatting>
  <conditionalFormatting sqref="B37">
    <cfRule type="duplicateValues" dxfId="25" priority="6"/>
  </conditionalFormatting>
  <conditionalFormatting sqref="B42">
    <cfRule type="duplicateValues" dxfId="24" priority="8"/>
  </conditionalFormatting>
  <conditionalFormatting sqref="B47">
    <cfRule type="duplicateValues" dxfId="23" priority="10"/>
  </conditionalFormatting>
  <conditionalFormatting sqref="B54:B56">
    <cfRule type="duplicateValues" dxfId="22" priority="54"/>
  </conditionalFormatting>
  <conditionalFormatting sqref="B61">
    <cfRule type="duplicateValues" dxfId="21" priority="16"/>
  </conditionalFormatting>
  <conditionalFormatting sqref="B66">
    <cfRule type="duplicateValues" dxfId="20" priority="57"/>
  </conditionalFormatting>
  <conditionalFormatting sqref="B71">
    <cfRule type="duplicateValues" dxfId="19" priority="1"/>
  </conditionalFormatting>
  <conditionalFormatting sqref="B80">
    <cfRule type="duplicateValues" dxfId="18" priority="30"/>
  </conditionalFormatting>
  <conditionalFormatting sqref="B81 B85">
    <cfRule type="duplicateValues" dxfId="17" priority="42"/>
  </conditionalFormatting>
  <conditionalFormatting sqref="B82 B11:B15 B52:B53">
    <cfRule type="duplicateValues" dxfId="16" priority="82"/>
  </conditionalFormatting>
  <conditionalFormatting sqref="B83:B84">
    <cfRule type="duplicateValues" dxfId="15" priority="40"/>
  </conditionalFormatting>
  <conditionalFormatting sqref="L80">
    <cfRule type="duplicateValues" dxfId="14" priority="31"/>
  </conditionalFormatting>
  <conditionalFormatting sqref="L81 W54:W56">
    <cfRule type="duplicateValues" dxfId="13" priority="56"/>
  </conditionalFormatting>
  <conditionalFormatting sqref="L82 W11:W15 W52:W53">
    <cfRule type="duplicateValues" dxfId="12" priority="92"/>
  </conditionalFormatting>
  <conditionalFormatting sqref="L83:L84">
    <cfRule type="duplicateValues" dxfId="11" priority="41"/>
  </conditionalFormatting>
  <conditionalFormatting sqref="W20:W21">
    <cfRule type="duplicateValues" dxfId="10" priority="15"/>
  </conditionalFormatting>
  <conditionalFormatting sqref="W26:W27">
    <cfRule type="duplicateValues" dxfId="9" priority="13"/>
  </conditionalFormatting>
  <conditionalFormatting sqref="W32">
    <cfRule type="duplicateValues" dxfId="8" priority="5"/>
  </conditionalFormatting>
  <conditionalFormatting sqref="W37">
    <cfRule type="duplicateValues" dxfId="7" priority="7"/>
  </conditionalFormatting>
  <conditionalFormatting sqref="W42">
    <cfRule type="duplicateValues" dxfId="6" priority="9"/>
  </conditionalFormatting>
  <conditionalFormatting sqref="W47">
    <cfRule type="duplicateValues" dxfId="5" priority="11"/>
  </conditionalFormatting>
  <conditionalFormatting sqref="W61">
    <cfRule type="duplicateValues" dxfId="4" priority="17"/>
  </conditionalFormatting>
  <conditionalFormatting sqref="W66">
    <cfRule type="duplicateValues" dxfId="3" priority="59"/>
  </conditionalFormatting>
  <conditionalFormatting sqref="W71">
    <cfRule type="duplicateValues" dxfId="2" priority="2"/>
  </conditionalFormatting>
  <printOptions horizontalCentered="1"/>
  <pageMargins left="0" right="0" top="0" bottom="0" header="0" footer="0"/>
  <pageSetup paperSize="9" scale="9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686DA"/>
  </sheetPr>
  <dimension ref="A1:I19"/>
  <sheetViews>
    <sheetView zoomScaleNormal="100" workbookViewId="0">
      <selection activeCell="J20" sqref="J20"/>
    </sheetView>
  </sheetViews>
  <sheetFormatPr baseColWidth="10" defaultRowHeight="23.25" x14ac:dyDescent="0.35"/>
  <cols>
    <col min="1" max="1" width="10.140625" customWidth="1"/>
    <col min="2" max="2" width="40.85546875" style="106" customWidth="1"/>
    <col min="3" max="3" width="8.42578125" style="102" customWidth="1"/>
    <col min="4" max="4" width="8" style="102" customWidth="1"/>
    <col min="5" max="5" width="3.5703125" style="102" customWidth="1"/>
    <col min="6" max="6" width="8.42578125" customWidth="1"/>
    <col min="7" max="7" width="8" style="103" customWidth="1"/>
    <col min="8" max="8" width="8.28515625" style="103" customWidth="1"/>
    <col min="9" max="9" width="7.42578125" customWidth="1"/>
  </cols>
  <sheetData>
    <row r="1" spans="1:9" ht="41.65" customHeight="1" thickBot="1" x14ac:dyDescent="0.4">
      <c r="A1" s="501" t="s">
        <v>433</v>
      </c>
      <c r="B1" s="502"/>
      <c r="C1" s="502"/>
      <c r="D1" s="503"/>
      <c r="F1" s="504" t="s">
        <v>392</v>
      </c>
      <c r="G1" s="505"/>
      <c r="H1" s="505"/>
      <c r="I1" s="506"/>
    </row>
    <row r="2" spans="1:9" s="106" customFormat="1" ht="75.75" thickBot="1" x14ac:dyDescent="0.3">
      <c r="A2" s="105" t="s">
        <v>430</v>
      </c>
      <c r="B2" s="116" t="s">
        <v>417</v>
      </c>
      <c r="C2" s="105" t="s">
        <v>431</v>
      </c>
      <c r="D2" s="105" t="s">
        <v>432</v>
      </c>
      <c r="E2" s="112"/>
      <c r="F2" s="125" t="s">
        <v>434</v>
      </c>
      <c r="G2" s="240" t="s">
        <v>418</v>
      </c>
      <c r="H2" s="240" t="s">
        <v>419</v>
      </c>
      <c r="I2" s="105" t="s">
        <v>420</v>
      </c>
    </row>
    <row r="3" spans="1:9" s="106" customFormat="1" x14ac:dyDescent="0.3">
      <c r="A3" s="234" t="s">
        <v>375</v>
      </c>
      <c r="B3" s="236" t="s">
        <v>374</v>
      </c>
      <c r="C3" s="235"/>
      <c r="D3" s="145">
        <f>+C3*H3</f>
        <v>0</v>
      </c>
      <c r="E3" s="112"/>
      <c r="F3" s="241">
        <v>0</v>
      </c>
      <c r="G3" s="237">
        <v>1.2899999999999999E-3</v>
      </c>
      <c r="H3" s="238">
        <f>1299*2</f>
        <v>2598</v>
      </c>
      <c r="I3" s="239">
        <v>3.3514199999999996</v>
      </c>
    </row>
    <row r="4" spans="1:9" x14ac:dyDescent="0.35">
      <c r="A4" s="114" t="s">
        <v>370</v>
      </c>
      <c r="B4" s="107" t="s">
        <v>422</v>
      </c>
      <c r="C4" s="110"/>
      <c r="D4" s="145">
        <f>+C4*H4</f>
        <v>0</v>
      </c>
      <c r="E4" s="113"/>
      <c r="F4" s="117">
        <v>10</v>
      </c>
      <c r="G4" s="118">
        <v>2.16E-3</v>
      </c>
      <c r="H4" s="119">
        <v>13888.888888888889</v>
      </c>
      <c r="I4" s="120">
        <f>+G4*H4</f>
        <v>30</v>
      </c>
    </row>
    <row r="5" spans="1:9" x14ac:dyDescent="0.35">
      <c r="A5" s="114" t="s">
        <v>423</v>
      </c>
      <c r="B5" s="107" t="s">
        <v>424</v>
      </c>
      <c r="C5" s="110"/>
      <c r="D5" s="145">
        <f t="shared" ref="D5:D19" si="0">+C5*H5</f>
        <v>0</v>
      </c>
      <c r="E5" s="113"/>
      <c r="F5" s="117">
        <v>5</v>
      </c>
      <c r="G5" s="118">
        <v>2E-3</v>
      </c>
      <c r="H5" s="119">
        <v>500</v>
      </c>
      <c r="I5" s="120">
        <v>1.0535000000000001</v>
      </c>
    </row>
    <row r="6" spans="1:9" x14ac:dyDescent="0.35">
      <c r="A6" s="114" t="s">
        <v>425</v>
      </c>
      <c r="B6" s="107" t="s">
        <v>421</v>
      </c>
      <c r="C6" s="110"/>
      <c r="D6" s="145">
        <f t="shared" si="0"/>
        <v>0</v>
      </c>
      <c r="E6" s="113"/>
      <c r="F6" s="117">
        <v>0</v>
      </c>
      <c r="G6" s="118">
        <v>2.3983333333333336E-2</v>
      </c>
      <c r="H6" s="119">
        <v>1250.8686587908269</v>
      </c>
      <c r="I6" s="120">
        <f t="shared" ref="I6" si="1">+G6*H6</f>
        <v>30</v>
      </c>
    </row>
    <row r="7" spans="1:9" x14ac:dyDescent="0.35">
      <c r="A7" s="114" t="s">
        <v>426</v>
      </c>
      <c r="B7" s="107" t="s">
        <v>427</v>
      </c>
      <c r="C7" s="110"/>
      <c r="D7" s="145">
        <f t="shared" si="0"/>
        <v>0</v>
      </c>
      <c r="E7" s="113"/>
      <c r="F7" s="117">
        <v>0</v>
      </c>
      <c r="G7" s="118">
        <v>9.4999999999999998E-3</v>
      </c>
      <c r="H7" s="119">
        <v>500</v>
      </c>
      <c r="I7" s="120">
        <v>7</v>
      </c>
    </row>
    <row r="8" spans="1:9" x14ac:dyDescent="0.35">
      <c r="A8" s="114" t="s">
        <v>8</v>
      </c>
      <c r="B8" s="107" t="s">
        <v>10</v>
      </c>
      <c r="C8" s="110"/>
      <c r="D8" s="145">
        <f t="shared" si="0"/>
        <v>0</v>
      </c>
      <c r="E8" s="113"/>
      <c r="F8" s="117">
        <v>0</v>
      </c>
      <c r="G8" s="118">
        <v>0</v>
      </c>
      <c r="H8" s="119">
        <v>3100</v>
      </c>
      <c r="I8" s="120">
        <v>11</v>
      </c>
    </row>
    <row r="9" spans="1:9" x14ac:dyDescent="0.35">
      <c r="A9" s="114" t="s">
        <v>11</v>
      </c>
      <c r="B9" s="107" t="s">
        <v>428</v>
      </c>
      <c r="C9" s="110"/>
      <c r="D9" s="145">
        <f t="shared" si="0"/>
        <v>0</v>
      </c>
      <c r="E9" s="113"/>
      <c r="F9" s="117">
        <v>0</v>
      </c>
      <c r="G9" s="118"/>
      <c r="H9" s="119"/>
      <c r="I9" s="120"/>
    </row>
    <row r="10" spans="1:9" x14ac:dyDescent="0.35">
      <c r="A10" s="114" t="s">
        <v>14</v>
      </c>
      <c r="B10" s="107" t="s">
        <v>15</v>
      </c>
      <c r="C10" s="110"/>
      <c r="D10" s="145">
        <f t="shared" si="0"/>
        <v>0</v>
      </c>
      <c r="E10" s="113"/>
      <c r="F10" s="117">
        <v>0</v>
      </c>
      <c r="G10" s="118">
        <v>2.8500000000000001E-3</v>
      </c>
      <c r="H10" s="119">
        <v>5000</v>
      </c>
      <c r="I10" s="120">
        <v>14.25</v>
      </c>
    </row>
    <row r="11" spans="1:9" x14ac:dyDescent="0.35">
      <c r="A11" s="114" t="s">
        <v>16</v>
      </c>
      <c r="B11" s="107" t="s">
        <v>17</v>
      </c>
      <c r="C11" s="110"/>
      <c r="D11" s="145">
        <f t="shared" si="0"/>
        <v>0</v>
      </c>
      <c r="E11" s="113"/>
      <c r="F11" s="117">
        <v>0</v>
      </c>
      <c r="G11" s="118">
        <v>1.75E-3</v>
      </c>
      <c r="H11" s="119">
        <v>5500</v>
      </c>
      <c r="I11" s="120">
        <v>11</v>
      </c>
    </row>
    <row r="12" spans="1:9" x14ac:dyDescent="0.35">
      <c r="A12" s="114" t="s">
        <v>18</v>
      </c>
      <c r="B12" s="107" t="s">
        <v>19</v>
      </c>
      <c r="C12" s="110"/>
      <c r="D12" s="145">
        <f t="shared" si="0"/>
        <v>0</v>
      </c>
      <c r="E12" s="113"/>
      <c r="F12" s="117">
        <v>0</v>
      </c>
      <c r="G12" s="118">
        <v>5.2500000000000003E-3</v>
      </c>
      <c r="H12" s="121"/>
      <c r="I12" s="145"/>
    </row>
    <row r="13" spans="1:9" x14ac:dyDescent="0.35">
      <c r="A13" s="114" t="s">
        <v>20</v>
      </c>
      <c r="B13" s="107" t="s">
        <v>429</v>
      </c>
      <c r="C13" s="110"/>
      <c r="D13" s="145">
        <f t="shared" si="0"/>
        <v>0</v>
      </c>
      <c r="E13" s="113"/>
      <c r="F13" s="117">
        <v>0</v>
      </c>
      <c r="G13" s="118">
        <v>4.5500000000000002E-3</v>
      </c>
      <c r="H13" s="119">
        <v>500</v>
      </c>
      <c r="I13" s="120">
        <v>2.2999999999999998</v>
      </c>
    </row>
    <row r="14" spans="1:9" ht="18.75" x14ac:dyDescent="0.3">
      <c r="A14" s="140" t="s">
        <v>411</v>
      </c>
      <c r="B14" s="107" t="s">
        <v>410</v>
      </c>
      <c r="C14" s="5"/>
      <c r="D14" s="145">
        <f t="shared" si="0"/>
        <v>0</v>
      </c>
      <c r="E14"/>
      <c r="F14" s="117">
        <v>0</v>
      </c>
      <c r="G14" s="185">
        <f>+IFERROR((F14*J14)/H14,0)</f>
        <v>0</v>
      </c>
      <c r="H14" s="119">
        <v>950</v>
      </c>
      <c r="I14" s="120">
        <v>0</v>
      </c>
    </row>
    <row r="15" spans="1:9" x14ac:dyDescent="0.35">
      <c r="A15" s="114" t="s">
        <v>23</v>
      </c>
      <c r="B15" s="108" t="s">
        <v>435</v>
      </c>
      <c r="C15" s="110"/>
      <c r="D15" s="145">
        <f t="shared" si="0"/>
        <v>0</v>
      </c>
      <c r="E15" s="113"/>
      <c r="F15" s="117">
        <v>0</v>
      </c>
      <c r="G15" s="118">
        <v>3.4500000000000004E-3</v>
      </c>
      <c r="H15" s="119">
        <v>2000</v>
      </c>
      <c r="I15" s="120">
        <v>7.2</v>
      </c>
    </row>
    <row r="16" spans="1:9" x14ac:dyDescent="0.35">
      <c r="A16" s="114" t="s">
        <v>36</v>
      </c>
      <c r="B16" s="107" t="s">
        <v>38</v>
      </c>
      <c r="C16" s="110"/>
      <c r="D16" s="145">
        <f t="shared" si="0"/>
        <v>0</v>
      </c>
      <c r="E16" s="113"/>
      <c r="F16" s="117">
        <v>0</v>
      </c>
      <c r="G16" s="118">
        <v>7.4999999999999997E-3</v>
      </c>
      <c r="H16" s="119">
        <v>400</v>
      </c>
      <c r="I16" s="120">
        <v>11.4</v>
      </c>
    </row>
    <row r="17" spans="1:9" x14ac:dyDescent="0.35">
      <c r="A17" s="114" t="s">
        <v>25</v>
      </c>
      <c r="B17" s="108" t="s">
        <v>26</v>
      </c>
      <c r="C17" s="110"/>
      <c r="D17" s="145">
        <f t="shared" si="0"/>
        <v>0</v>
      </c>
      <c r="E17" s="113"/>
      <c r="F17" s="117">
        <v>0</v>
      </c>
      <c r="G17" s="118">
        <v>1.15E-3</v>
      </c>
      <c r="H17" s="119">
        <v>2000</v>
      </c>
      <c r="I17" s="120">
        <v>18.8</v>
      </c>
    </row>
    <row r="18" spans="1:9" x14ac:dyDescent="0.35">
      <c r="A18" s="114" t="s">
        <v>27</v>
      </c>
      <c r="B18" s="107" t="s">
        <v>28</v>
      </c>
      <c r="C18" s="110"/>
      <c r="D18" s="145">
        <f t="shared" si="0"/>
        <v>0</v>
      </c>
      <c r="E18" s="113"/>
      <c r="F18" s="117">
        <v>0</v>
      </c>
      <c r="G18" s="118">
        <v>9.3499999999999989E-3</v>
      </c>
      <c r="H18" s="119">
        <v>4000</v>
      </c>
      <c r="I18" s="120">
        <v>17</v>
      </c>
    </row>
    <row r="19" spans="1:9" ht="24" thickBot="1" x14ac:dyDescent="0.4">
      <c r="A19" s="115" t="s">
        <v>29</v>
      </c>
      <c r="B19" s="109" t="s">
        <v>30</v>
      </c>
      <c r="C19" s="111"/>
      <c r="D19" s="146">
        <f t="shared" si="0"/>
        <v>0</v>
      </c>
      <c r="E19" s="113"/>
      <c r="F19" s="122">
        <v>0</v>
      </c>
      <c r="G19" s="144">
        <v>1.115E-2</v>
      </c>
      <c r="H19" s="123"/>
      <c r="I19" s="124"/>
    </row>
  </sheetData>
  <autoFilter ref="A2:F19"/>
  <mergeCells count="2">
    <mergeCell ref="A1:D1"/>
    <mergeCell ref="F1:I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21"/>
  <sheetViews>
    <sheetView zoomScaleNormal="100" workbookViewId="0">
      <selection activeCell="A22" sqref="A22"/>
    </sheetView>
  </sheetViews>
  <sheetFormatPr baseColWidth="10" defaultRowHeight="18.75" x14ac:dyDescent="0.3"/>
  <cols>
    <col min="1" max="1" width="10.140625" customWidth="1"/>
    <col min="2" max="2" width="36.5703125" style="106" customWidth="1"/>
    <col min="3" max="3" width="9.42578125" customWidth="1"/>
    <col min="4" max="4" width="9.5703125" customWidth="1"/>
    <col min="5" max="5" width="4" customWidth="1"/>
    <col min="6" max="7" width="8.140625" customWidth="1"/>
    <col min="8" max="8" width="8.42578125" style="103" customWidth="1"/>
    <col min="9" max="9" width="8.5703125" style="103" customWidth="1"/>
    <col min="10" max="10" width="7.5703125" customWidth="1"/>
  </cols>
  <sheetData>
    <row r="1" spans="1:10" ht="36" customHeight="1" thickBot="1" x14ac:dyDescent="0.3">
      <c r="A1" s="507" t="s">
        <v>440</v>
      </c>
      <c r="B1" s="507"/>
      <c r="C1" s="507"/>
      <c r="D1" s="508"/>
      <c r="F1" s="509" t="s">
        <v>392</v>
      </c>
      <c r="G1" s="510"/>
      <c r="H1" s="510"/>
      <c r="I1" s="510"/>
      <c r="J1" s="511"/>
    </row>
    <row r="2" spans="1:10" ht="57" thickBot="1" x14ac:dyDescent="0.3">
      <c r="A2" s="105" t="s">
        <v>430</v>
      </c>
      <c r="B2" s="128" t="s">
        <v>417</v>
      </c>
      <c r="C2" s="105" t="s">
        <v>438</v>
      </c>
      <c r="D2" s="104" t="s">
        <v>437</v>
      </c>
      <c r="F2" s="105" t="s">
        <v>439</v>
      </c>
      <c r="G2" s="105" t="s">
        <v>402</v>
      </c>
      <c r="H2" s="105" t="s">
        <v>418</v>
      </c>
      <c r="I2" s="105" t="s">
        <v>419</v>
      </c>
      <c r="J2" s="105" t="s">
        <v>420</v>
      </c>
    </row>
    <row r="3" spans="1:10" ht="18" customHeight="1" x14ac:dyDescent="0.3">
      <c r="A3" s="137" t="s">
        <v>370</v>
      </c>
      <c r="B3" s="138" t="s">
        <v>422</v>
      </c>
      <c r="C3" s="126"/>
      <c r="D3" s="139"/>
      <c r="F3" s="130">
        <v>9.1028571428571431E-2</v>
      </c>
      <c r="G3" s="186">
        <f>+IFERROR((F3*J3)/H3,0)</f>
        <v>1264.2857142857142</v>
      </c>
      <c r="H3" s="131">
        <v>2.16E-3</v>
      </c>
      <c r="I3" s="132">
        <v>13888.888888888889</v>
      </c>
      <c r="J3" s="133">
        <f>+H3*I3</f>
        <v>30</v>
      </c>
    </row>
    <row r="4" spans="1:10" ht="18" customHeight="1" x14ac:dyDescent="0.3">
      <c r="A4" s="140" t="s">
        <v>423</v>
      </c>
      <c r="B4" s="129" t="s">
        <v>424</v>
      </c>
      <c r="C4" s="127"/>
      <c r="D4" s="141"/>
      <c r="F4" s="134">
        <v>0.44584837545126355</v>
      </c>
      <c r="G4" s="185">
        <f t="shared" ref="G4:G21" si="0">+IFERROR((F4*J4)/H4,0)</f>
        <v>234.85063176895309</v>
      </c>
      <c r="H4" s="118">
        <v>2E-3</v>
      </c>
      <c r="I4" s="119">
        <f>1/H4</f>
        <v>500</v>
      </c>
      <c r="J4" s="120">
        <f>1053.5/1000</f>
        <v>1.0535000000000001</v>
      </c>
    </row>
    <row r="5" spans="1:10" x14ac:dyDescent="0.3">
      <c r="A5" s="140" t="s">
        <v>426</v>
      </c>
      <c r="B5" s="129" t="s">
        <v>427</v>
      </c>
      <c r="C5" s="127"/>
      <c r="D5" s="141"/>
      <c r="F5" s="117">
        <v>0</v>
      </c>
      <c r="G5" s="185">
        <f t="shared" si="0"/>
        <v>0</v>
      </c>
      <c r="H5" s="118">
        <v>9.4999999999999998E-3</v>
      </c>
      <c r="I5" s="119">
        <v>500</v>
      </c>
      <c r="J5" s="120">
        <v>7</v>
      </c>
    </row>
    <row r="6" spans="1:10" x14ac:dyDescent="0.3">
      <c r="A6" s="140" t="s">
        <v>8</v>
      </c>
      <c r="B6" s="129" t="s">
        <v>10</v>
      </c>
      <c r="C6" s="127"/>
      <c r="D6" s="141"/>
      <c r="F6" s="117">
        <v>0</v>
      </c>
      <c r="G6" s="185">
        <f t="shared" si="0"/>
        <v>0</v>
      </c>
      <c r="H6" s="118" t="e">
        <f>+VLOOKUP(A6,'Conteo 18-02-26'!C:AJ,32,0)</f>
        <v>#N/A</v>
      </c>
      <c r="I6" s="119">
        <v>3100</v>
      </c>
      <c r="J6" s="120">
        <v>11</v>
      </c>
    </row>
    <row r="7" spans="1:10" x14ac:dyDescent="0.3">
      <c r="A7" s="140" t="s">
        <v>14</v>
      </c>
      <c r="B7" s="129" t="s">
        <v>15</v>
      </c>
      <c r="C7" s="127"/>
      <c r="D7" s="141"/>
      <c r="F7" s="134">
        <v>0.5531062124248497</v>
      </c>
      <c r="G7" s="185">
        <f t="shared" si="0"/>
        <v>0</v>
      </c>
      <c r="H7" s="118" t="e">
        <f>+VLOOKUP(A7,'Conteo 18-02-26'!C:AJ,32,0)</f>
        <v>#N/A</v>
      </c>
      <c r="I7" s="119">
        <v>5000</v>
      </c>
      <c r="J7" s="120" t="e">
        <f>+I7*H7</f>
        <v>#N/A</v>
      </c>
    </row>
    <row r="8" spans="1:10" x14ac:dyDescent="0.3">
      <c r="A8" s="140" t="s">
        <v>16</v>
      </c>
      <c r="B8" s="129" t="s">
        <v>17</v>
      </c>
      <c r="C8" s="127"/>
      <c r="D8" s="141"/>
      <c r="F8" s="134">
        <v>0.27600000000000002</v>
      </c>
      <c r="G8" s="185">
        <f t="shared" si="0"/>
        <v>0</v>
      </c>
      <c r="H8" s="118" t="e">
        <f>+VLOOKUP(A8,'Conteo 18-02-26'!C:AJ,32,0)</f>
        <v>#N/A</v>
      </c>
      <c r="I8" s="119">
        <v>5500</v>
      </c>
      <c r="J8" s="120">
        <v>11</v>
      </c>
    </row>
    <row r="9" spans="1:10" x14ac:dyDescent="0.3">
      <c r="A9" s="140" t="s">
        <v>23</v>
      </c>
      <c r="B9" s="129" t="s">
        <v>24</v>
      </c>
      <c r="C9" s="127"/>
      <c r="D9" s="141"/>
      <c r="F9" s="134">
        <v>0.28500000000000003</v>
      </c>
      <c r="G9" s="185">
        <f t="shared" si="0"/>
        <v>0</v>
      </c>
      <c r="H9" s="118" t="e">
        <f>+VLOOKUP(A9,'Conteo 18-02-26'!C:AJ,32,0)</f>
        <v>#N/A</v>
      </c>
      <c r="I9" s="119">
        <v>2000</v>
      </c>
      <c r="J9" s="120">
        <v>7.2</v>
      </c>
    </row>
    <row r="10" spans="1:10" x14ac:dyDescent="0.3">
      <c r="A10" s="140" t="s">
        <v>36</v>
      </c>
      <c r="B10" s="129" t="s">
        <v>38</v>
      </c>
      <c r="C10" s="127"/>
      <c r="D10" s="141"/>
      <c r="F10" s="134">
        <v>0.27400000000000002</v>
      </c>
      <c r="G10" s="185">
        <f t="shared" si="0"/>
        <v>0</v>
      </c>
      <c r="H10" s="118" t="e">
        <f>+VLOOKUP(A10,'Conteo 18-02-26'!C:AJ,32,0)</f>
        <v>#N/A</v>
      </c>
      <c r="I10" s="119">
        <v>400</v>
      </c>
      <c r="J10" s="120">
        <v>11.4</v>
      </c>
    </row>
    <row r="11" spans="1:10" x14ac:dyDescent="0.3">
      <c r="A11" s="140" t="s">
        <v>25</v>
      </c>
      <c r="B11" s="129" t="s">
        <v>26</v>
      </c>
      <c r="C11" s="127"/>
      <c r="D11" s="141"/>
      <c r="F11" s="117">
        <v>4.1040000000000001</v>
      </c>
      <c r="G11" s="185">
        <f t="shared" si="0"/>
        <v>0</v>
      </c>
      <c r="H11" s="118" t="e">
        <f>+VLOOKUP(A11,'Conteo 18-02-26'!C:AJ,32,0)</f>
        <v>#N/A</v>
      </c>
      <c r="I11" s="119">
        <v>2000</v>
      </c>
      <c r="J11" s="120">
        <v>18.8</v>
      </c>
    </row>
    <row r="12" spans="1:10" x14ac:dyDescent="0.3">
      <c r="A12" s="140" t="s">
        <v>27</v>
      </c>
      <c r="B12" s="129" t="s">
        <v>28</v>
      </c>
      <c r="C12" s="127"/>
      <c r="D12" s="141"/>
      <c r="F12" s="117">
        <v>2.1590909090909092</v>
      </c>
      <c r="G12" s="185">
        <f t="shared" si="0"/>
        <v>0</v>
      </c>
      <c r="H12" s="118" t="e">
        <f>+VLOOKUP(A12,'Conteo 18-02-26'!C:AJ,32,0)</f>
        <v>#N/A</v>
      </c>
      <c r="I12" s="119">
        <v>4000</v>
      </c>
      <c r="J12" s="120">
        <v>17</v>
      </c>
    </row>
    <row r="13" spans="1:10" x14ac:dyDescent="0.3">
      <c r="A13" s="140" t="s">
        <v>29</v>
      </c>
      <c r="B13" s="129" t="s">
        <v>30</v>
      </c>
      <c r="C13" s="127"/>
      <c r="D13" s="141"/>
      <c r="F13" s="117">
        <v>1.4790996784565917</v>
      </c>
      <c r="G13" s="185">
        <f t="shared" si="0"/>
        <v>0</v>
      </c>
      <c r="H13" s="118" t="e">
        <f>+VLOOKUP(A13,'Conteo 18-02-26'!C:AJ,32,0)</f>
        <v>#N/A</v>
      </c>
      <c r="I13" s="119"/>
      <c r="J13" s="120"/>
    </row>
    <row r="14" spans="1:10" x14ac:dyDescent="0.3">
      <c r="A14" s="140" t="s">
        <v>18</v>
      </c>
      <c r="B14" s="129" t="s">
        <v>19</v>
      </c>
      <c r="C14" s="5"/>
      <c r="D14" s="135"/>
      <c r="F14" s="117">
        <v>0</v>
      </c>
      <c r="G14" s="185">
        <f t="shared" si="0"/>
        <v>0</v>
      </c>
      <c r="H14" s="118" t="e">
        <f>+VLOOKUP(A14,'Conteo 18-02-26'!C:AJ,32,0)</f>
        <v>#N/A</v>
      </c>
      <c r="I14" s="121"/>
      <c r="J14" s="135"/>
    </row>
    <row r="15" spans="1:10" x14ac:dyDescent="0.3">
      <c r="A15" s="140" t="s">
        <v>20</v>
      </c>
      <c r="B15" s="129" t="s">
        <v>22</v>
      </c>
      <c r="C15" s="5"/>
      <c r="D15" s="135"/>
      <c r="F15" s="117">
        <v>0</v>
      </c>
      <c r="G15" s="185">
        <f t="shared" si="0"/>
        <v>0</v>
      </c>
      <c r="H15" s="118" t="e">
        <f>+VLOOKUP(A15,'Conteo 18-02-26'!C:AJ,32,0)</f>
        <v>#N/A</v>
      </c>
      <c r="I15" s="119">
        <v>500</v>
      </c>
      <c r="J15" s="120">
        <v>2.2999999999999998</v>
      </c>
    </row>
    <row r="16" spans="1:10" x14ac:dyDescent="0.3">
      <c r="A16" s="140" t="s">
        <v>411</v>
      </c>
      <c r="B16" s="88" t="s">
        <v>410</v>
      </c>
      <c r="C16" s="5"/>
      <c r="D16" s="135"/>
      <c r="F16" s="117">
        <v>0</v>
      </c>
      <c r="G16" s="185">
        <f t="shared" si="0"/>
        <v>0</v>
      </c>
      <c r="H16" s="118" t="e">
        <f>+VLOOKUP(A16,'Conteo 18-02-26'!C:AJ,32,0)</f>
        <v>#N/A</v>
      </c>
      <c r="I16" s="121"/>
      <c r="J16" s="135"/>
    </row>
    <row r="17" spans="1:10" x14ac:dyDescent="0.3">
      <c r="A17" s="140" t="s">
        <v>405</v>
      </c>
      <c r="B17" s="129" t="s">
        <v>409</v>
      </c>
      <c r="C17" s="5"/>
      <c r="D17" s="135"/>
      <c r="F17" s="117">
        <v>0</v>
      </c>
      <c r="G17" s="185">
        <f t="shared" si="0"/>
        <v>0</v>
      </c>
      <c r="H17" s="118" t="e">
        <f>+VLOOKUP(A17,'Conteo 18-02-26'!C:AJ,32,0)</f>
        <v>#N/A</v>
      </c>
      <c r="I17" s="121"/>
      <c r="J17" s="135"/>
    </row>
    <row r="18" spans="1:10" x14ac:dyDescent="0.3">
      <c r="A18" s="140" t="s">
        <v>425</v>
      </c>
      <c r="B18" s="129" t="s">
        <v>458</v>
      </c>
      <c r="C18" s="5"/>
      <c r="D18" s="135"/>
      <c r="F18" s="117">
        <v>1.3</v>
      </c>
      <c r="G18" s="185">
        <f>+IFERROR((F18*J18)/H18,0)</f>
        <v>313.39285714285717</v>
      </c>
      <c r="H18" s="118">
        <v>3.7333333333333336E-2</v>
      </c>
      <c r="I18" s="119">
        <v>238</v>
      </c>
      <c r="J18" s="120">
        <v>9</v>
      </c>
    </row>
    <row r="19" spans="1:10" x14ac:dyDescent="0.3">
      <c r="A19" s="140" t="s">
        <v>407</v>
      </c>
      <c r="B19" s="129" t="s">
        <v>406</v>
      </c>
      <c r="C19" s="5"/>
      <c r="D19" s="135"/>
      <c r="F19" s="117">
        <v>0</v>
      </c>
      <c r="G19" s="185">
        <f t="shared" si="0"/>
        <v>0</v>
      </c>
      <c r="H19" s="118" t="e">
        <f>+VLOOKUP(A19,'Conteo 18-02-26'!C:AJ,32,0)</f>
        <v>#N/A</v>
      </c>
      <c r="I19" s="119">
        <v>8000</v>
      </c>
      <c r="J19" s="120">
        <v>3.4</v>
      </c>
    </row>
    <row r="20" spans="1:10" x14ac:dyDescent="0.3">
      <c r="A20" s="140" t="s">
        <v>376</v>
      </c>
      <c r="B20" s="129" t="s">
        <v>372</v>
      </c>
      <c r="C20" s="5"/>
      <c r="D20" s="135"/>
      <c r="F20" s="117">
        <v>0</v>
      </c>
      <c r="G20" s="185">
        <f t="shared" si="0"/>
        <v>0</v>
      </c>
      <c r="H20" s="118" t="e">
        <f>+VLOOKUP(A20,'Conteo 18-02-26'!C:AJ,32,0)</f>
        <v>#N/A</v>
      </c>
      <c r="I20" s="121"/>
      <c r="J20" s="135"/>
    </row>
    <row r="21" spans="1:10" ht="19.5" thickBot="1" x14ac:dyDescent="0.35">
      <c r="A21" s="142" t="s">
        <v>468</v>
      </c>
      <c r="B21" s="143" t="s">
        <v>436</v>
      </c>
      <c r="C21" s="65"/>
      <c r="D21" s="136"/>
      <c r="F21" s="122">
        <v>17.2</v>
      </c>
      <c r="G21" s="187">
        <f t="shared" si="0"/>
        <v>8600.0000000000018</v>
      </c>
      <c r="H21" s="144">
        <v>3.5499999999999997E-2</v>
      </c>
      <c r="I21" s="123">
        <v>500</v>
      </c>
      <c r="J21" s="124">
        <f>500*H21</f>
        <v>17.75</v>
      </c>
    </row>
  </sheetData>
  <autoFilter ref="B2:J21"/>
  <mergeCells count="2">
    <mergeCell ref="A1:D1"/>
    <mergeCell ref="F1:J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FFFF00"/>
  </sheetPr>
  <dimension ref="A1:XEX49"/>
  <sheetViews>
    <sheetView topLeftCell="A10" zoomScale="90" zoomScaleNormal="90" workbookViewId="0">
      <selection activeCell="B35" sqref="B35"/>
    </sheetView>
  </sheetViews>
  <sheetFormatPr baseColWidth="10" defaultRowHeight="15" x14ac:dyDescent="0.25"/>
  <cols>
    <col min="1" max="1" width="33.42578125" style="152" customWidth="1"/>
    <col min="2" max="2" width="13.140625" customWidth="1"/>
    <col min="3" max="3" width="6.7109375" customWidth="1"/>
    <col min="4" max="4" width="8.140625" customWidth="1"/>
    <col min="5" max="6" width="8.28515625" style="150" customWidth="1"/>
    <col min="7" max="7" width="9.140625" customWidth="1"/>
    <col min="8" max="8" width="5.7109375" customWidth="1"/>
    <col min="9" max="9" width="8.140625" style="151" customWidth="1"/>
    <col min="10" max="10" width="6.7109375" style="151" customWidth="1"/>
    <col min="11" max="11" width="9" style="151" customWidth="1"/>
    <col min="12" max="12" width="7.5703125" style="151" customWidth="1"/>
    <col min="13" max="13" width="10.140625" style="151" customWidth="1"/>
    <col min="14" max="14" width="29" bestFit="1" customWidth="1"/>
    <col min="15" max="18" width="11.28515625" customWidth="1"/>
  </cols>
  <sheetData>
    <row r="1" spans="1:13" ht="26.65" customHeight="1" x14ac:dyDescent="0.4">
      <c r="A1" s="518" t="s">
        <v>453</v>
      </c>
      <c r="B1" s="519"/>
      <c r="C1" s="519"/>
      <c r="D1" s="519"/>
      <c r="E1" s="519"/>
      <c r="F1" s="519"/>
      <c r="G1" s="520"/>
      <c r="H1" s="159"/>
      <c r="I1" s="512" t="s">
        <v>392</v>
      </c>
      <c r="J1" s="513"/>
      <c r="K1" s="513"/>
      <c r="L1" s="513"/>
      <c r="M1" s="514"/>
    </row>
    <row r="2" spans="1:13" ht="15" customHeight="1" thickBot="1" x14ac:dyDescent="0.3">
      <c r="A2" s="521"/>
      <c r="B2" s="522"/>
      <c r="C2" s="522"/>
      <c r="D2" s="522"/>
      <c r="E2" s="522"/>
      <c r="F2" s="522"/>
      <c r="G2" s="523"/>
      <c r="I2" s="515"/>
      <c r="J2" s="516"/>
      <c r="K2" s="516"/>
      <c r="L2" s="516"/>
      <c r="M2" s="517"/>
    </row>
    <row r="3" spans="1:13" s="156" customFormat="1" ht="87" customHeight="1" thickBot="1" x14ac:dyDescent="0.3">
      <c r="A3" s="25" t="s">
        <v>441</v>
      </c>
      <c r="B3" s="155" t="s">
        <v>442</v>
      </c>
      <c r="C3" s="168" t="s">
        <v>443</v>
      </c>
      <c r="D3" s="168" t="s">
        <v>451</v>
      </c>
      <c r="E3" s="79" t="s">
        <v>450</v>
      </c>
      <c r="F3" s="25" t="s">
        <v>444</v>
      </c>
      <c r="G3" s="154" t="s">
        <v>445</v>
      </c>
      <c r="H3" s="160"/>
      <c r="I3" s="171" t="s">
        <v>447</v>
      </c>
      <c r="J3" s="171" t="s">
        <v>446</v>
      </c>
      <c r="K3" s="153" t="s">
        <v>448</v>
      </c>
      <c r="L3" s="158" t="s">
        <v>449</v>
      </c>
      <c r="M3" s="158" t="s">
        <v>452</v>
      </c>
    </row>
    <row r="4" spans="1:13" ht="18.75" x14ac:dyDescent="0.25">
      <c r="A4" s="169" t="s">
        <v>26</v>
      </c>
      <c r="B4" s="147" t="s">
        <v>25</v>
      </c>
      <c r="C4" s="147">
        <v>557</v>
      </c>
      <c r="D4" s="147">
        <f>+IFERROR(VLOOKUP(C4,'Stock ISIS LK'!A:D,4,0),IFERROR(VLOOKUP(C4,'Stock ISIS CH'!A:D,4,0),0))</f>
        <v>0</v>
      </c>
      <c r="E4" s="167">
        <f>+D4*F4*J4</f>
        <v>0</v>
      </c>
      <c r="F4" s="167">
        <v>1</v>
      </c>
      <c r="G4" s="170">
        <v>1.2999999999999999E-2</v>
      </c>
      <c r="H4" s="161"/>
      <c r="I4" s="178">
        <v>33.333333333333336</v>
      </c>
      <c r="J4" s="167">
        <v>24</v>
      </c>
      <c r="K4" s="167">
        <f t="shared" ref="K4:K30" si="0">+I4*J4*F4</f>
        <v>800</v>
      </c>
      <c r="L4" s="182">
        <f t="shared" ref="L4:L30" si="1">+K4*G4</f>
        <v>10.4</v>
      </c>
      <c r="M4" s="180">
        <f>+IFERROR(VLOOKUP(C4,'Est Madre LK 10-25'!A:C,3),VLOOKUP(C4,'Est Madre CH 10-25'!A:C,3,0))</f>
        <v>1440</v>
      </c>
    </row>
    <row r="5" spans="1:13" ht="18.75" x14ac:dyDescent="0.25">
      <c r="A5" s="165" t="s">
        <v>26</v>
      </c>
      <c r="B5" s="148" t="s">
        <v>25</v>
      </c>
      <c r="C5" s="148">
        <v>558</v>
      </c>
      <c r="D5" s="148">
        <f>+IFERROR(VLOOKUP(C5,'Stock ISIS LK'!A:D,4,0),IFERROR(VLOOKUP(C5,'Stock ISIS CH'!A:D,4,0),0))</f>
        <v>0</v>
      </c>
      <c r="E5" s="162">
        <f t="shared" ref="E5:E45" si="2">+D5*F5*J5</f>
        <v>0</v>
      </c>
      <c r="F5" s="162">
        <v>1</v>
      </c>
      <c r="G5" s="163">
        <v>1.2999999999999999E-2</v>
      </c>
      <c r="H5" s="161"/>
      <c r="I5" s="179">
        <v>108.33333333333333</v>
      </c>
      <c r="J5" s="162">
        <v>24</v>
      </c>
      <c r="K5" s="162">
        <f t="shared" si="0"/>
        <v>2600</v>
      </c>
      <c r="L5" s="183">
        <f t="shared" si="1"/>
        <v>33.799999999999997</v>
      </c>
      <c r="M5" s="181">
        <f>+IFERROR(VLOOKUP(C5,'Est Madre LK 10-25'!A:C,3),VLOOKUP(C5,'Est Madre CH 10-25'!A:C,3,0))</f>
        <v>1440</v>
      </c>
    </row>
    <row r="6" spans="1:13" ht="18.75" x14ac:dyDescent="0.25">
      <c r="A6" s="165" t="s">
        <v>26</v>
      </c>
      <c r="B6" s="148" t="s">
        <v>25</v>
      </c>
      <c r="C6" s="148">
        <v>573</v>
      </c>
      <c r="D6" s="148">
        <f>+IFERROR(VLOOKUP(C6,'Stock ISIS LK'!A:D,4,0),IFERROR(VLOOKUP(C6,'Stock ISIS CH'!A:D,4,0),0))</f>
        <v>0</v>
      </c>
      <c r="E6" s="162">
        <f t="shared" si="2"/>
        <v>0</v>
      </c>
      <c r="F6" s="162">
        <v>1</v>
      </c>
      <c r="G6" s="163">
        <v>1.2999999999999999E-2</v>
      </c>
      <c r="H6" s="161"/>
      <c r="I6" s="179">
        <v>16.666666666666668</v>
      </c>
      <c r="J6" s="162">
        <v>24</v>
      </c>
      <c r="K6" s="162">
        <f t="shared" si="0"/>
        <v>400</v>
      </c>
      <c r="L6" s="183">
        <f t="shared" si="1"/>
        <v>5.2</v>
      </c>
      <c r="M6" s="181">
        <f>+IFERROR(VLOOKUP(C6,'Est Madre LK 10-25'!A:C,3),VLOOKUP(C6,'Est Madre CH 10-25'!A:C,3,0))</f>
        <v>24</v>
      </c>
    </row>
    <row r="7" spans="1:13" ht="18.75" x14ac:dyDescent="0.25">
      <c r="A7" s="165" t="s">
        <v>26</v>
      </c>
      <c r="B7" s="148" t="s">
        <v>25</v>
      </c>
      <c r="C7" s="148">
        <v>755</v>
      </c>
      <c r="D7" s="148">
        <f>+IFERROR(VLOOKUP(C7,'Stock ISIS LK'!A:D,4,0),IFERROR(VLOOKUP(C7,'Stock ISIS CH'!A:D,4,0),0))</f>
        <v>0</v>
      </c>
      <c r="E7" s="162">
        <f t="shared" si="2"/>
        <v>0</v>
      </c>
      <c r="F7" s="162">
        <v>1</v>
      </c>
      <c r="G7" s="163">
        <v>1.2999999999999999E-2</v>
      </c>
      <c r="H7" s="161"/>
      <c r="I7" s="179">
        <v>15</v>
      </c>
      <c r="J7" s="162">
        <v>24</v>
      </c>
      <c r="K7" s="162">
        <f t="shared" si="0"/>
        <v>360</v>
      </c>
      <c r="L7" s="183">
        <f t="shared" si="1"/>
        <v>4.68</v>
      </c>
      <c r="M7" s="181">
        <f>+IFERROR(VLOOKUP(C7,'Est Madre LK 10-25'!A:C,3),VLOOKUP(C7,'Est Madre CH 10-25'!A:C,3,0))</f>
        <v>2136</v>
      </c>
    </row>
    <row r="8" spans="1:13" ht="18.75" x14ac:dyDescent="0.25">
      <c r="A8" s="165" t="s">
        <v>26</v>
      </c>
      <c r="B8" s="148" t="s">
        <v>25</v>
      </c>
      <c r="C8" s="148">
        <v>762</v>
      </c>
      <c r="D8" s="148">
        <f>+IFERROR(VLOOKUP(C8,'Stock ISIS LK'!A:D,4,0),IFERROR(VLOOKUP(C8,'Stock ISIS CH'!A:D,4,0),0))</f>
        <v>0</v>
      </c>
      <c r="E8" s="162">
        <f t="shared" si="2"/>
        <v>0</v>
      </c>
      <c r="F8" s="162">
        <v>1</v>
      </c>
      <c r="G8" s="163">
        <v>1.2999999999999999E-2</v>
      </c>
      <c r="H8" s="161"/>
      <c r="I8" s="179">
        <v>5</v>
      </c>
      <c r="J8" s="162">
        <v>24</v>
      </c>
      <c r="K8" s="162">
        <f t="shared" si="0"/>
        <v>120</v>
      </c>
      <c r="L8" s="183">
        <f t="shared" si="1"/>
        <v>1.5599999999999998</v>
      </c>
      <c r="M8" s="181">
        <f>+IFERROR(VLOOKUP(C8,'Est Madre LK 10-25'!A:C,3),VLOOKUP(C8,'Est Madre CH 10-25'!A:C,3,0))</f>
        <v>2136</v>
      </c>
    </row>
    <row r="9" spans="1:13" ht="18.75" x14ac:dyDescent="0.25">
      <c r="A9" s="165" t="s">
        <v>26</v>
      </c>
      <c r="B9" s="148" t="s">
        <v>25</v>
      </c>
      <c r="C9" s="148">
        <v>763</v>
      </c>
      <c r="D9" s="148">
        <f>+IFERROR(VLOOKUP(C9,'Stock ISIS LK'!A:D,4,0),IFERROR(VLOOKUP(C9,'Stock ISIS CH'!A:D,4,0),0))</f>
        <v>0</v>
      </c>
      <c r="E9" s="162">
        <f t="shared" si="2"/>
        <v>0</v>
      </c>
      <c r="F9" s="162">
        <v>1</v>
      </c>
      <c r="G9" s="163">
        <v>1.2999999999999999E-2</v>
      </c>
      <c r="H9" s="161"/>
      <c r="I9" s="179">
        <v>10</v>
      </c>
      <c r="J9" s="162">
        <v>24</v>
      </c>
      <c r="K9" s="162">
        <f t="shared" si="0"/>
        <v>240</v>
      </c>
      <c r="L9" s="183">
        <f t="shared" si="1"/>
        <v>3.1199999999999997</v>
      </c>
      <c r="M9" s="181">
        <f>+IFERROR(VLOOKUP(C9,'Est Madre LK 10-25'!A:C,3),VLOOKUP(C9,'Est Madre CH 10-25'!A:C,3,0))</f>
        <v>2136</v>
      </c>
    </row>
    <row r="10" spans="1:13" ht="18.75" x14ac:dyDescent="0.25">
      <c r="A10" s="165" t="s">
        <v>28</v>
      </c>
      <c r="B10" s="148" t="s">
        <v>27</v>
      </c>
      <c r="C10" s="148">
        <v>557</v>
      </c>
      <c r="D10" s="148">
        <f>+IFERROR(VLOOKUP(C10,'Stock ISIS LK'!A:D,4,0),IFERROR(VLOOKUP(C10,'Stock ISIS CH'!A:D,4,0),0))</f>
        <v>0</v>
      </c>
      <c r="E10" s="162">
        <f t="shared" si="2"/>
        <v>0</v>
      </c>
      <c r="F10" s="162">
        <v>1</v>
      </c>
      <c r="G10" s="163">
        <v>9.4999999999999998E-3</v>
      </c>
      <c r="H10" s="161"/>
      <c r="I10" s="179">
        <v>33.333333333333336</v>
      </c>
      <c r="J10" s="162">
        <v>24</v>
      </c>
      <c r="K10" s="162">
        <f t="shared" si="0"/>
        <v>800</v>
      </c>
      <c r="L10" s="183">
        <f t="shared" si="1"/>
        <v>7.6</v>
      </c>
      <c r="M10" s="181">
        <f>+IFERROR(VLOOKUP(C10,'Est Madre LK 10-25'!A:C,3),VLOOKUP(C10,'Est Madre CH 10-25'!A:C,3,0))</f>
        <v>1440</v>
      </c>
    </row>
    <row r="11" spans="1:13" ht="18.75" x14ac:dyDescent="0.25">
      <c r="A11" s="165" t="s">
        <v>28</v>
      </c>
      <c r="B11" s="148" t="s">
        <v>27</v>
      </c>
      <c r="C11" s="148">
        <v>558</v>
      </c>
      <c r="D11" s="148">
        <f>+IFERROR(VLOOKUP(C11,'Stock ISIS LK'!A:D,4,0),IFERROR(VLOOKUP(C11,'Stock ISIS CH'!A:D,4,0),0))</f>
        <v>0</v>
      </c>
      <c r="E11" s="162">
        <f t="shared" si="2"/>
        <v>0</v>
      </c>
      <c r="F11" s="162">
        <v>1</v>
      </c>
      <c r="G11" s="163">
        <v>9.4999999999999998E-3</v>
      </c>
      <c r="H11" s="161"/>
      <c r="I11" s="179">
        <v>108.33333333333333</v>
      </c>
      <c r="J11" s="162">
        <v>24</v>
      </c>
      <c r="K11" s="162">
        <f t="shared" si="0"/>
        <v>2600</v>
      </c>
      <c r="L11" s="183">
        <f t="shared" si="1"/>
        <v>24.7</v>
      </c>
      <c r="M11" s="181">
        <f>+IFERROR(VLOOKUP(C11,'Est Madre LK 10-25'!A:C,3),VLOOKUP(C11,'Est Madre CH 10-25'!A:C,3,0))</f>
        <v>1440</v>
      </c>
    </row>
    <row r="12" spans="1:13" ht="18.75" x14ac:dyDescent="0.25">
      <c r="A12" s="165" t="s">
        <v>28</v>
      </c>
      <c r="B12" s="148" t="s">
        <v>27</v>
      </c>
      <c r="C12" s="148">
        <v>655</v>
      </c>
      <c r="D12" s="148">
        <f>+IFERROR(VLOOKUP(C12,'Stock ISIS LK'!A:D,4,0),IFERROR(VLOOKUP(C12,'Stock ISIS CH'!A:D,4,0),0))</f>
        <v>0</v>
      </c>
      <c r="E12" s="162">
        <f t="shared" si="2"/>
        <v>0</v>
      </c>
      <c r="F12" s="162">
        <v>1</v>
      </c>
      <c r="G12" s="163">
        <v>9.4999999999999998E-3</v>
      </c>
      <c r="H12" s="161"/>
      <c r="I12" s="179">
        <v>10</v>
      </c>
      <c r="J12" s="162">
        <v>24</v>
      </c>
      <c r="K12" s="162">
        <f t="shared" si="0"/>
        <v>240</v>
      </c>
      <c r="L12" s="183">
        <f t="shared" si="1"/>
        <v>2.2799999999999998</v>
      </c>
      <c r="M12" s="181">
        <f>+IFERROR(VLOOKUP(C12,'Est Madre LK 10-25'!A:C,3),VLOOKUP(C12,'Est Madre CH 10-25'!A:C,3,0))</f>
        <v>2136</v>
      </c>
    </row>
    <row r="13" spans="1:13" ht="18.75" x14ac:dyDescent="0.25">
      <c r="A13" s="165" t="s">
        <v>28</v>
      </c>
      <c r="B13" s="148" t="s">
        <v>27</v>
      </c>
      <c r="C13" s="148">
        <v>762</v>
      </c>
      <c r="D13" s="148">
        <f>+IFERROR(VLOOKUP(C13,'Stock ISIS LK'!A:D,4,0),IFERROR(VLOOKUP(C13,'Stock ISIS CH'!A:D,4,0),0))</f>
        <v>0</v>
      </c>
      <c r="E13" s="162">
        <f t="shared" si="2"/>
        <v>0</v>
      </c>
      <c r="F13" s="162">
        <v>1</v>
      </c>
      <c r="G13" s="163">
        <v>9.4999999999999998E-3</v>
      </c>
      <c r="H13" s="161"/>
      <c r="I13" s="179">
        <v>5</v>
      </c>
      <c r="J13" s="162">
        <v>24</v>
      </c>
      <c r="K13" s="162">
        <f t="shared" si="0"/>
        <v>120</v>
      </c>
      <c r="L13" s="183">
        <f t="shared" si="1"/>
        <v>1.1399999999999999</v>
      </c>
      <c r="M13" s="181">
        <f>+IFERROR(VLOOKUP(C13,'Est Madre LK 10-25'!A:C,3),VLOOKUP(C13,'Est Madre CH 10-25'!A:C,3,0))</f>
        <v>2136</v>
      </c>
    </row>
    <row r="14" spans="1:13" ht="18.75" x14ac:dyDescent="0.25">
      <c r="A14" s="165" t="s">
        <v>28</v>
      </c>
      <c r="B14" s="148" t="s">
        <v>27</v>
      </c>
      <c r="C14" s="148">
        <v>763</v>
      </c>
      <c r="D14" s="148">
        <f>+IFERROR(VLOOKUP(C14,'Stock ISIS LK'!A:D,4,0),IFERROR(VLOOKUP(C14,'Stock ISIS CH'!A:D,4,0),0))</f>
        <v>0</v>
      </c>
      <c r="E14" s="162">
        <f t="shared" si="2"/>
        <v>0</v>
      </c>
      <c r="F14" s="162">
        <v>1</v>
      </c>
      <c r="G14" s="163">
        <v>9.4999999999999998E-3</v>
      </c>
      <c r="H14" s="161"/>
      <c r="I14" s="179">
        <v>10</v>
      </c>
      <c r="J14" s="162">
        <v>24</v>
      </c>
      <c r="K14" s="162">
        <f t="shared" si="0"/>
        <v>240</v>
      </c>
      <c r="L14" s="183">
        <f t="shared" si="1"/>
        <v>2.2799999999999998</v>
      </c>
      <c r="M14" s="181">
        <f>+IFERROR(VLOOKUP(C14,'Est Madre LK 10-25'!A:C,3),VLOOKUP(C14,'Est Madre CH 10-25'!A:C,3,0))</f>
        <v>2136</v>
      </c>
    </row>
    <row r="15" spans="1:13" ht="18.75" x14ac:dyDescent="0.25">
      <c r="A15" s="165" t="s">
        <v>30</v>
      </c>
      <c r="B15" s="148" t="s">
        <v>29</v>
      </c>
      <c r="C15" s="148">
        <v>654</v>
      </c>
      <c r="D15" s="148">
        <f>+IFERROR(VLOOKUP(C15,'Stock ISIS LK'!A:D,4,0),IFERROR(VLOOKUP(C15,'Stock ISIS CH'!A:D,4,0),0))</f>
        <v>0</v>
      </c>
      <c r="E15" s="162">
        <f t="shared" si="2"/>
        <v>0</v>
      </c>
      <c r="F15" s="162">
        <v>1</v>
      </c>
      <c r="G15" s="163">
        <v>1.1300000000000001E-2</v>
      </c>
      <c r="H15" s="161"/>
      <c r="I15" s="179">
        <v>37.5</v>
      </c>
      <c r="J15" s="162">
        <v>24</v>
      </c>
      <c r="K15" s="162">
        <f t="shared" si="0"/>
        <v>900</v>
      </c>
      <c r="L15" s="183">
        <f t="shared" si="1"/>
        <v>10.170000000000002</v>
      </c>
      <c r="M15" s="181">
        <f>+IFERROR(VLOOKUP(C15,'Est Madre LK 10-25'!A:C,3),VLOOKUP(C15,'Est Madre CH 10-25'!A:C,3,0))</f>
        <v>2136</v>
      </c>
    </row>
    <row r="16" spans="1:13" ht="18.75" x14ac:dyDescent="0.25">
      <c r="A16" s="165" t="s">
        <v>30</v>
      </c>
      <c r="B16" s="148" t="s">
        <v>29</v>
      </c>
      <c r="C16" s="148">
        <v>769</v>
      </c>
      <c r="D16" s="148">
        <f>+IFERROR(VLOOKUP(C16,'Stock ISIS LK'!A:D,4,0),IFERROR(VLOOKUP(C16,'Stock ISIS CH'!A:D,4,0),0))</f>
        <v>0</v>
      </c>
      <c r="E16" s="162">
        <f t="shared" si="2"/>
        <v>0</v>
      </c>
      <c r="F16" s="162">
        <v>1</v>
      </c>
      <c r="G16" s="163">
        <v>1.1300000000000001E-2</v>
      </c>
      <c r="H16" s="161"/>
      <c r="I16" s="179">
        <v>7.5</v>
      </c>
      <c r="J16" s="162">
        <v>24</v>
      </c>
      <c r="K16" s="162">
        <f t="shared" si="0"/>
        <v>180</v>
      </c>
      <c r="L16" s="183">
        <f t="shared" si="1"/>
        <v>2.0340000000000003</v>
      </c>
      <c r="M16" s="181">
        <f>+IFERROR(VLOOKUP(C16,'Est Madre LK 10-25'!A:C,3),VLOOKUP(C16,'Est Madre CH 10-25'!A:C,3,0))</f>
        <v>2136</v>
      </c>
    </row>
    <row r="17" spans="1:13" ht="18.75" x14ac:dyDescent="0.25">
      <c r="A17" s="165" t="s">
        <v>428</v>
      </c>
      <c r="B17" s="148" t="s">
        <v>11</v>
      </c>
      <c r="C17" s="148">
        <v>654</v>
      </c>
      <c r="D17" s="148">
        <f>+IFERROR(VLOOKUP(C17,'Stock ISIS LK'!A:D,4,0),IFERROR(VLOOKUP(C17,'Stock ISIS CH'!A:D,4,0),0))</f>
        <v>0</v>
      </c>
      <c r="E17" s="162">
        <f t="shared" si="2"/>
        <v>0</v>
      </c>
      <c r="F17" s="162">
        <v>1</v>
      </c>
      <c r="G17" s="163">
        <v>2E-3</v>
      </c>
      <c r="H17" s="161"/>
      <c r="I17" s="179">
        <v>37.5</v>
      </c>
      <c r="J17" s="162">
        <v>24</v>
      </c>
      <c r="K17" s="162">
        <f t="shared" si="0"/>
        <v>900</v>
      </c>
      <c r="L17" s="183">
        <f t="shared" si="1"/>
        <v>1.8</v>
      </c>
      <c r="M17" s="181">
        <f>+IFERROR(VLOOKUP(C17,'Est Madre LK 10-25'!A:C,3),VLOOKUP(C17,'Est Madre CH 10-25'!A:C,3,0))</f>
        <v>2136</v>
      </c>
    </row>
    <row r="18" spans="1:13" ht="18.75" x14ac:dyDescent="0.25">
      <c r="A18" s="165" t="s">
        <v>428</v>
      </c>
      <c r="B18" s="148" t="s">
        <v>11</v>
      </c>
      <c r="C18" s="148">
        <v>769</v>
      </c>
      <c r="D18" s="148">
        <f>+IFERROR(VLOOKUP(C18,'Stock ISIS LK'!A:D,4,0),IFERROR(VLOOKUP(C18,'Stock ISIS CH'!A:D,4,0),0))</f>
        <v>0</v>
      </c>
      <c r="E18" s="162">
        <f t="shared" si="2"/>
        <v>0</v>
      </c>
      <c r="F18" s="162">
        <v>1</v>
      </c>
      <c r="G18" s="163">
        <v>2E-3</v>
      </c>
      <c r="H18" s="161"/>
      <c r="I18" s="179">
        <v>7.5</v>
      </c>
      <c r="J18" s="162">
        <v>24</v>
      </c>
      <c r="K18" s="162">
        <f t="shared" si="0"/>
        <v>180</v>
      </c>
      <c r="L18" s="183">
        <f t="shared" si="1"/>
        <v>0.36</v>
      </c>
      <c r="M18" s="181">
        <f>+IFERROR(VLOOKUP(C18,'Est Madre LK 10-25'!A:C,3),VLOOKUP(C18,'Est Madre CH 10-25'!A:C,3,0))</f>
        <v>2136</v>
      </c>
    </row>
    <row r="19" spans="1:13" ht="18.75" x14ac:dyDescent="0.25">
      <c r="A19" s="165" t="s">
        <v>15</v>
      </c>
      <c r="B19" s="148" t="s">
        <v>14</v>
      </c>
      <c r="C19" s="148">
        <v>654</v>
      </c>
      <c r="D19" s="148">
        <f>+IFERROR(VLOOKUP(C19,'Stock ISIS LK'!A:D,4,0),IFERROR(VLOOKUP(C19,'Stock ISIS CH'!A:D,4,0),0))</f>
        <v>0</v>
      </c>
      <c r="E19" s="162">
        <f t="shared" si="2"/>
        <v>0</v>
      </c>
      <c r="F19" s="162">
        <v>1</v>
      </c>
      <c r="G19" s="163">
        <v>2.5999999999999999E-3</v>
      </c>
      <c r="H19" s="161"/>
      <c r="I19" s="179">
        <v>37.5</v>
      </c>
      <c r="J19" s="162">
        <v>24</v>
      </c>
      <c r="K19" s="162">
        <f t="shared" si="0"/>
        <v>900</v>
      </c>
      <c r="L19" s="183">
        <f t="shared" si="1"/>
        <v>2.34</v>
      </c>
      <c r="M19" s="181">
        <f>+IFERROR(VLOOKUP(C19,'Est Madre LK 10-25'!A:C,3),VLOOKUP(C19,'Est Madre CH 10-25'!A:C,3,0))</f>
        <v>2136</v>
      </c>
    </row>
    <row r="20" spans="1:13" ht="18.75" x14ac:dyDescent="0.25">
      <c r="A20" s="165" t="s">
        <v>15</v>
      </c>
      <c r="B20" s="148" t="s">
        <v>14</v>
      </c>
      <c r="C20" s="148">
        <v>769</v>
      </c>
      <c r="D20" s="148">
        <f>+IFERROR(VLOOKUP(C20,'Stock ISIS LK'!A:D,4,0),IFERROR(VLOOKUP(C20,'Stock ISIS CH'!A:D,4,0),0))</f>
        <v>0</v>
      </c>
      <c r="E20" s="162">
        <f t="shared" si="2"/>
        <v>0</v>
      </c>
      <c r="F20" s="162">
        <v>1</v>
      </c>
      <c r="G20" s="163">
        <v>2.5999999999999999E-3</v>
      </c>
      <c r="H20" s="161"/>
      <c r="I20" s="179">
        <v>7.5</v>
      </c>
      <c r="J20" s="162">
        <v>24</v>
      </c>
      <c r="K20" s="162">
        <f t="shared" si="0"/>
        <v>180</v>
      </c>
      <c r="L20" s="183">
        <f t="shared" si="1"/>
        <v>0.46799999999999997</v>
      </c>
      <c r="M20" s="181">
        <f>+IFERROR(VLOOKUP(C20,'Est Madre LK 10-25'!A:C,3),VLOOKUP(C20,'Est Madre CH 10-25'!A:C,3,0))</f>
        <v>2136</v>
      </c>
    </row>
    <row r="21" spans="1:13" ht="18.75" x14ac:dyDescent="0.25">
      <c r="A21" s="165" t="s">
        <v>17</v>
      </c>
      <c r="B21" s="148" t="s">
        <v>16</v>
      </c>
      <c r="C21" s="148">
        <v>654</v>
      </c>
      <c r="D21" s="148">
        <f>+IFERROR(VLOOKUP(C21,'Stock ISIS LK'!A:D,4,0),IFERROR(VLOOKUP(C21,'Stock ISIS CH'!A:D,4,0),0))</f>
        <v>0</v>
      </c>
      <c r="E21" s="162">
        <f t="shared" si="2"/>
        <v>0</v>
      </c>
      <c r="F21" s="162">
        <v>1</v>
      </c>
      <c r="G21" s="163">
        <v>2.7499999999999998E-3</v>
      </c>
      <c r="H21" s="161"/>
      <c r="I21" s="179">
        <v>37.5</v>
      </c>
      <c r="J21" s="162">
        <v>24</v>
      </c>
      <c r="K21" s="162">
        <f t="shared" si="0"/>
        <v>900</v>
      </c>
      <c r="L21" s="183">
        <f t="shared" si="1"/>
        <v>2.4749999999999996</v>
      </c>
      <c r="M21" s="181">
        <f>+IFERROR(VLOOKUP(C21,'Est Madre LK 10-25'!A:C,3),VLOOKUP(C21,'Est Madre CH 10-25'!A:C,3,0))</f>
        <v>2136</v>
      </c>
    </row>
    <row r="22" spans="1:13" ht="18.75" x14ac:dyDescent="0.25">
      <c r="A22" s="165" t="s">
        <v>17</v>
      </c>
      <c r="B22" s="148" t="s">
        <v>16</v>
      </c>
      <c r="C22" s="148">
        <v>769</v>
      </c>
      <c r="D22" s="148">
        <f>+IFERROR(VLOOKUP(C22,'Stock ISIS LK'!A:D,4,0),IFERROR(VLOOKUP(C22,'Stock ISIS CH'!A:D,4,0),0))</f>
        <v>0</v>
      </c>
      <c r="E22" s="162">
        <f t="shared" si="2"/>
        <v>0</v>
      </c>
      <c r="F22" s="162">
        <v>1</v>
      </c>
      <c r="G22" s="163">
        <v>2.7499999999999998E-3</v>
      </c>
      <c r="H22" s="161"/>
      <c r="I22" s="179">
        <v>7.5</v>
      </c>
      <c r="J22" s="162">
        <v>24</v>
      </c>
      <c r="K22" s="162">
        <f t="shared" si="0"/>
        <v>180</v>
      </c>
      <c r="L22" s="183">
        <f t="shared" si="1"/>
        <v>0.495</v>
      </c>
      <c r="M22" s="181">
        <f>+IFERROR(VLOOKUP(C22,'Est Madre LK 10-25'!A:C,3),VLOOKUP(C22,'Est Madre CH 10-25'!A:C,3,0))</f>
        <v>2136</v>
      </c>
    </row>
    <row r="23" spans="1:13" ht="18.75" x14ac:dyDescent="0.25">
      <c r="A23" s="165" t="s">
        <v>429</v>
      </c>
      <c r="B23" s="148" t="s">
        <v>20</v>
      </c>
      <c r="C23" s="148">
        <v>557</v>
      </c>
      <c r="D23" s="148">
        <f>+IFERROR(VLOOKUP(C23,'Stock ISIS LK'!A:D,4,0),IFERROR(VLOOKUP(C23,'Stock ISIS CH'!A:D,4,0),0))</f>
        <v>0</v>
      </c>
      <c r="E23" s="162">
        <f t="shared" si="2"/>
        <v>0</v>
      </c>
      <c r="F23" s="162">
        <v>1</v>
      </c>
      <c r="G23" s="163">
        <v>4.5999999999999999E-3</v>
      </c>
      <c r="H23" s="161"/>
      <c r="I23" s="179">
        <v>33.333333333333336</v>
      </c>
      <c r="J23" s="162">
        <v>24</v>
      </c>
      <c r="K23" s="162">
        <f t="shared" si="0"/>
        <v>800</v>
      </c>
      <c r="L23" s="183">
        <f t="shared" si="1"/>
        <v>3.6799999999999997</v>
      </c>
      <c r="M23" s="181">
        <f>+IFERROR(VLOOKUP(C23,'Est Madre LK 10-25'!A:C,3),VLOOKUP(C23,'Est Madre CH 10-25'!A:C,3,0))</f>
        <v>1440</v>
      </c>
    </row>
    <row r="24" spans="1:13" ht="18.75" x14ac:dyDescent="0.25">
      <c r="A24" s="165" t="s">
        <v>429</v>
      </c>
      <c r="B24" s="148" t="s">
        <v>20</v>
      </c>
      <c r="C24" s="148">
        <v>558</v>
      </c>
      <c r="D24" s="148">
        <f>+IFERROR(VLOOKUP(C24,'Stock ISIS LK'!A:D,4,0),IFERROR(VLOOKUP(C24,'Stock ISIS CH'!A:D,4,0),0))</f>
        <v>0</v>
      </c>
      <c r="E24" s="162">
        <f t="shared" si="2"/>
        <v>0</v>
      </c>
      <c r="F24" s="162">
        <v>1</v>
      </c>
      <c r="G24" s="163">
        <v>4.5999999999999999E-3</v>
      </c>
      <c r="H24" s="161"/>
      <c r="I24" s="179">
        <v>108.33333333333333</v>
      </c>
      <c r="J24" s="162">
        <v>24</v>
      </c>
      <c r="K24" s="162">
        <f t="shared" si="0"/>
        <v>2600</v>
      </c>
      <c r="L24" s="183">
        <f t="shared" si="1"/>
        <v>11.959999999999999</v>
      </c>
      <c r="M24" s="181">
        <f>+IFERROR(VLOOKUP(C24,'Est Madre LK 10-25'!A:C,3),VLOOKUP(C24,'Est Madre CH 10-25'!A:C,3,0))</f>
        <v>1440</v>
      </c>
    </row>
    <row r="25" spans="1:13" ht="18.75" x14ac:dyDescent="0.25">
      <c r="A25" s="165" t="s">
        <v>429</v>
      </c>
      <c r="B25" s="148" t="s">
        <v>20</v>
      </c>
      <c r="C25" s="148">
        <v>573</v>
      </c>
      <c r="D25" s="148">
        <f>+IFERROR(VLOOKUP(C25,'Stock ISIS LK'!A:D,4,0),IFERROR(VLOOKUP(C25,'Stock ISIS CH'!A:D,4,0),0))</f>
        <v>0</v>
      </c>
      <c r="E25" s="162">
        <f t="shared" si="2"/>
        <v>0</v>
      </c>
      <c r="F25" s="162">
        <v>1</v>
      </c>
      <c r="G25" s="163">
        <v>4.5999999999999999E-3</v>
      </c>
      <c r="H25" s="161"/>
      <c r="I25" s="179">
        <v>16.666666666666668</v>
      </c>
      <c r="J25" s="162">
        <v>24</v>
      </c>
      <c r="K25" s="162">
        <f t="shared" si="0"/>
        <v>400</v>
      </c>
      <c r="L25" s="183">
        <f t="shared" si="1"/>
        <v>1.8399999999999999</v>
      </c>
      <c r="M25" s="181">
        <f>+IFERROR(VLOOKUP(C25,'Est Madre LK 10-25'!A:C,3),VLOOKUP(C25,'Est Madre CH 10-25'!A:C,3,0))</f>
        <v>24</v>
      </c>
    </row>
    <row r="26" spans="1:13" ht="18.75" x14ac:dyDescent="0.25">
      <c r="A26" s="165" t="s">
        <v>429</v>
      </c>
      <c r="B26" s="148" t="s">
        <v>20</v>
      </c>
      <c r="C26" s="148">
        <v>755</v>
      </c>
      <c r="D26" s="148">
        <f>+IFERROR(VLOOKUP(C26,'Stock ISIS LK'!A:D,4,0),IFERROR(VLOOKUP(C26,'Stock ISIS CH'!A:D,4,0),0))</f>
        <v>0</v>
      </c>
      <c r="E26" s="162">
        <f t="shared" si="2"/>
        <v>0</v>
      </c>
      <c r="F26" s="162">
        <v>1</v>
      </c>
      <c r="G26" s="163">
        <v>4.5999999999999999E-3</v>
      </c>
      <c r="H26" s="161"/>
      <c r="I26" s="179">
        <v>15</v>
      </c>
      <c r="J26" s="162">
        <v>24</v>
      </c>
      <c r="K26" s="162">
        <f t="shared" si="0"/>
        <v>360</v>
      </c>
      <c r="L26" s="183">
        <f t="shared" si="1"/>
        <v>1.6559999999999999</v>
      </c>
      <c r="M26" s="181">
        <f>+IFERROR(VLOOKUP(C26,'Est Madre LK 10-25'!A:C,3),VLOOKUP(C26,'Est Madre CH 10-25'!A:C,3,0))</f>
        <v>2136</v>
      </c>
    </row>
    <row r="27" spans="1:13" ht="18.75" x14ac:dyDescent="0.25">
      <c r="A27" s="165" t="s">
        <v>429</v>
      </c>
      <c r="B27" s="148" t="s">
        <v>20</v>
      </c>
      <c r="C27" s="148">
        <v>762</v>
      </c>
      <c r="D27" s="148">
        <f>+IFERROR(VLOOKUP(C27,'Stock ISIS LK'!A:D,4,0),IFERROR(VLOOKUP(C27,'Stock ISIS CH'!A:D,4,0),0))</f>
        <v>0</v>
      </c>
      <c r="E27" s="162">
        <f t="shared" si="2"/>
        <v>0</v>
      </c>
      <c r="F27" s="162">
        <v>1</v>
      </c>
      <c r="G27" s="163">
        <v>4.5999999999999999E-3</v>
      </c>
      <c r="H27" s="161"/>
      <c r="I27" s="179">
        <v>5</v>
      </c>
      <c r="J27" s="162">
        <v>24</v>
      </c>
      <c r="K27" s="162">
        <f t="shared" si="0"/>
        <v>120</v>
      </c>
      <c r="L27" s="183">
        <f t="shared" si="1"/>
        <v>0.55200000000000005</v>
      </c>
      <c r="M27" s="181">
        <f>+IFERROR(VLOOKUP(C27,'Est Madre LK 10-25'!A:C,3),VLOOKUP(C27,'Est Madre CH 10-25'!A:C,3,0))</f>
        <v>2136</v>
      </c>
    </row>
    <row r="28" spans="1:13" ht="18.75" x14ac:dyDescent="0.25">
      <c r="A28" s="165" t="s">
        <v>429</v>
      </c>
      <c r="B28" s="148" t="s">
        <v>20</v>
      </c>
      <c r="C28" s="148">
        <v>763</v>
      </c>
      <c r="D28" s="148">
        <f>+IFERROR(VLOOKUP(C28,'Stock ISIS LK'!A:D,4,0),IFERROR(VLOOKUP(C28,'Stock ISIS CH'!A:D,4,0),0))</f>
        <v>0</v>
      </c>
      <c r="E28" s="162">
        <f t="shared" si="2"/>
        <v>0</v>
      </c>
      <c r="F28" s="162">
        <v>1</v>
      </c>
      <c r="G28" s="163">
        <v>4.5999999999999999E-3</v>
      </c>
      <c r="H28" s="161"/>
      <c r="I28" s="179">
        <v>10</v>
      </c>
      <c r="J28" s="162">
        <v>24</v>
      </c>
      <c r="K28" s="162">
        <f t="shared" si="0"/>
        <v>240</v>
      </c>
      <c r="L28" s="183">
        <f t="shared" si="1"/>
        <v>1.1040000000000001</v>
      </c>
      <c r="M28" s="181">
        <f>+IFERROR(VLOOKUP(C28,'Est Madre LK 10-25'!A:C,3),VLOOKUP(C28,'Est Madre CH 10-25'!A:C,3,0))</f>
        <v>2136</v>
      </c>
    </row>
    <row r="29" spans="1:13" ht="18.75" x14ac:dyDescent="0.25">
      <c r="A29" s="165" t="s">
        <v>435</v>
      </c>
      <c r="B29" s="148" t="s">
        <v>23</v>
      </c>
      <c r="C29" s="148">
        <v>548</v>
      </c>
      <c r="D29" s="148">
        <f>+IFERROR(VLOOKUP(C29,'Stock ISIS LK'!A:D,4,0),IFERROR(VLOOKUP(C29,'Stock ISIS CH'!A:D,4,0),0))</f>
        <v>0</v>
      </c>
      <c r="E29" s="162">
        <f t="shared" si="2"/>
        <v>0</v>
      </c>
      <c r="F29" s="162">
        <v>1</v>
      </c>
      <c r="G29" s="163">
        <v>3.0000000000000001E-3</v>
      </c>
      <c r="H29" s="161"/>
      <c r="I29" s="179">
        <v>25</v>
      </c>
      <c r="J29" s="162">
        <v>24</v>
      </c>
      <c r="K29" s="162">
        <f t="shared" si="0"/>
        <v>600</v>
      </c>
      <c r="L29" s="183">
        <f t="shared" si="1"/>
        <v>1.8</v>
      </c>
      <c r="M29" s="181">
        <f>+IFERROR(VLOOKUP(C29,'Est Madre LK 10-25'!A:C,3),VLOOKUP(C29,'Est Madre CH 10-25'!A:C,3,0))</f>
        <v>1440</v>
      </c>
    </row>
    <row r="30" spans="1:13" ht="18.75" x14ac:dyDescent="0.25">
      <c r="A30" s="165" t="s">
        <v>435</v>
      </c>
      <c r="B30" s="148" t="s">
        <v>23</v>
      </c>
      <c r="C30" s="148">
        <v>864</v>
      </c>
      <c r="D30" s="148">
        <f>+IFERROR(VLOOKUP(C30,'Stock ISIS LK'!A:D,4,0),IFERROR(VLOOKUP(C30,'Stock ISIS CH'!A:D,4,0),0))</f>
        <v>0</v>
      </c>
      <c r="E30" s="162">
        <f t="shared" si="2"/>
        <v>0</v>
      </c>
      <c r="F30" s="162">
        <v>1</v>
      </c>
      <c r="G30" s="163">
        <v>3.0000000000000001E-3</v>
      </c>
      <c r="H30" s="161"/>
      <c r="I30" s="179">
        <v>12</v>
      </c>
      <c r="J30" s="162">
        <v>12</v>
      </c>
      <c r="K30" s="162">
        <f t="shared" si="0"/>
        <v>144</v>
      </c>
      <c r="L30" s="183">
        <f t="shared" si="1"/>
        <v>0.432</v>
      </c>
      <c r="M30" s="181">
        <f>+IFERROR(VLOOKUP(C30,'Est Madre LK 10-25'!A:C,3),VLOOKUP(C30,'Est Madre CH 10-25'!A:C,3,0))</f>
        <v>2136</v>
      </c>
    </row>
    <row r="31" spans="1:13" ht="18.75" x14ac:dyDescent="0.25">
      <c r="A31" s="165" t="s">
        <v>38</v>
      </c>
      <c r="B31" s="148" t="s">
        <v>36</v>
      </c>
      <c r="C31" s="148">
        <v>515</v>
      </c>
      <c r="D31" s="148">
        <f>+IFERROR(VLOOKUP(C31,'Stock ISIS LK'!A:D,4,0),IFERROR(VLOOKUP(C31,'Stock ISIS CH'!A:D,4,0),0))</f>
        <v>0</v>
      </c>
      <c r="E31" s="162">
        <f t="shared" si="2"/>
        <v>0</v>
      </c>
      <c r="F31" s="162">
        <v>1</v>
      </c>
      <c r="G31" s="163">
        <v>7.4999999999999997E-3</v>
      </c>
      <c r="H31" s="161"/>
      <c r="I31" s="179">
        <v>26.666666666666668</v>
      </c>
      <c r="J31" s="162">
        <v>12</v>
      </c>
      <c r="K31" s="162">
        <f t="shared" ref="K31:K49" si="3">+I31*J31*F31</f>
        <v>320</v>
      </c>
      <c r="L31" s="183">
        <f t="shared" ref="L31:L44" si="4">+K31*G31</f>
        <v>2.4</v>
      </c>
      <c r="M31" s="181">
        <f>+IFERROR(VLOOKUP(C31,'Est Madre LK 10-25'!A:C,3),VLOOKUP(C31,'Est Madre CH 10-25'!A:C,3,0))</f>
        <v>0</v>
      </c>
    </row>
    <row r="32" spans="1:13" ht="18.75" x14ac:dyDescent="0.25">
      <c r="A32" s="165" t="s">
        <v>38</v>
      </c>
      <c r="B32" s="148" t="s">
        <v>36</v>
      </c>
      <c r="C32" s="148">
        <v>615</v>
      </c>
      <c r="D32" s="148">
        <f>+IFERROR(VLOOKUP(C32,'Stock ISIS LK'!A:D,4,0),IFERROR(VLOOKUP(C32,'Stock ISIS CH'!A:D,4,0),0))</f>
        <v>0</v>
      </c>
      <c r="E32" s="162">
        <f t="shared" si="2"/>
        <v>0</v>
      </c>
      <c r="F32" s="162">
        <v>1</v>
      </c>
      <c r="G32" s="163">
        <v>7.4999999999999997E-3</v>
      </c>
      <c r="H32" s="161"/>
      <c r="I32" s="179">
        <v>19</v>
      </c>
      <c r="J32" s="162">
        <v>12</v>
      </c>
      <c r="K32" s="162">
        <f t="shared" si="3"/>
        <v>228</v>
      </c>
      <c r="L32" s="183">
        <f t="shared" si="4"/>
        <v>1.71</v>
      </c>
      <c r="M32" s="181">
        <f>+IFERROR(VLOOKUP(C32,'Est Madre LK 10-25'!A:C,3),VLOOKUP(C32,'Est Madre CH 10-25'!A:C,3,0))</f>
        <v>2136</v>
      </c>
    </row>
    <row r="33" spans="1:13 16378:16378" ht="18.75" x14ac:dyDescent="0.25">
      <c r="A33" s="165" t="s">
        <v>39</v>
      </c>
      <c r="B33" s="148" t="s">
        <v>468</v>
      </c>
      <c r="C33" s="148">
        <v>544</v>
      </c>
      <c r="D33" s="148">
        <f>+IFERROR(VLOOKUP(C33,'Stock ISIS LK'!A:D,4,0),IFERROR(VLOOKUP(C33,'Stock ISIS CH'!A:D,4,0),0))</f>
        <v>0</v>
      </c>
      <c r="E33" s="162">
        <f t="shared" si="2"/>
        <v>0</v>
      </c>
      <c r="F33" s="162">
        <v>1</v>
      </c>
      <c r="G33" s="163">
        <v>3.5499999999999997E-2</v>
      </c>
      <c r="H33" s="161"/>
      <c r="I33" s="179">
        <v>466.66666666666669</v>
      </c>
      <c r="J33" s="162">
        <v>12</v>
      </c>
      <c r="K33" s="162">
        <f t="shared" si="3"/>
        <v>5600</v>
      </c>
      <c r="L33" s="183">
        <f t="shared" si="4"/>
        <v>198.79999999999998</v>
      </c>
      <c r="M33" s="181">
        <f>+IFERROR(VLOOKUP(C33,'Est Madre LK 10-25'!A:C,3),VLOOKUP(C33,'Est Madre CH 10-25'!A:C,3,0))</f>
        <v>1440</v>
      </c>
    </row>
    <row r="34" spans="1:13 16378:16378" ht="18.75" x14ac:dyDescent="0.25">
      <c r="A34" s="165" t="s">
        <v>39</v>
      </c>
      <c r="B34" s="148" t="s">
        <v>468</v>
      </c>
      <c r="C34" s="148">
        <v>802</v>
      </c>
      <c r="D34" s="148">
        <f>+IFERROR(VLOOKUP(C34,'Stock ISIS LK'!A:D,4,0),IFERROR(VLOOKUP(C34,'Stock ISIS CH'!A:D,4,0),0))</f>
        <v>0</v>
      </c>
      <c r="E34" s="162">
        <f t="shared" si="2"/>
        <v>0</v>
      </c>
      <c r="F34" s="162">
        <v>1</v>
      </c>
      <c r="G34" s="163">
        <v>3.5499999999999997E-2</v>
      </c>
      <c r="H34" s="161"/>
      <c r="I34" s="179">
        <v>100</v>
      </c>
      <c r="J34" s="162">
        <v>12</v>
      </c>
      <c r="K34" s="162">
        <f t="shared" si="3"/>
        <v>1200</v>
      </c>
      <c r="L34" s="183">
        <f t="shared" si="4"/>
        <v>42.599999999999994</v>
      </c>
      <c r="M34" s="181">
        <f>+IFERROR(VLOOKUP(C34,'Est Madre LK 10-25'!A:C,3),VLOOKUP(C34,'Est Madre CH 10-25'!A:C,3,0))</f>
        <v>2136</v>
      </c>
    </row>
    <row r="35" spans="1:13 16378:16378" ht="18.75" x14ac:dyDescent="0.25">
      <c r="A35" s="165" t="s">
        <v>410</v>
      </c>
      <c r="B35" s="148" t="s">
        <v>411</v>
      </c>
      <c r="C35" s="148">
        <v>280</v>
      </c>
      <c r="D35" s="148">
        <f>+IFERROR(VLOOKUP(C35,'Stock ISIS LK'!A:D,4,0),IFERROR(VLOOKUP(C35,'Stock ISIS CH'!A:D,4,0),0))</f>
        <v>0</v>
      </c>
      <c r="E35" s="162">
        <f t="shared" si="2"/>
        <v>0</v>
      </c>
      <c r="F35" s="162">
        <v>1</v>
      </c>
      <c r="G35" s="163"/>
      <c r="H35" s="161"/>
      <c r="I35" s="179">
        <v>100</v>
      </c>
      <c r="J35" s="162">
        <v>12</v>
      </c>
      <c r="K35" s="162">
        <f t="shared" si="3"/>
        <v>1200</v>
      </c>
      <c r="L35" s="183">
        <f t="shared" si="4"/>
        <v>0</v>
      </c>
      <c r="M35" s="181" t="e">
        <f>+IFERROR(VLOOKUP(C35,'Est Madre LK 10-25'!A:C,3),VLOOKUP(C35,'Est Madre CH 10-25'!A:C,3,0))</f>
        <v>#N/A</v>
      </c>
    </row>
    <row r="36" spans="1:13 16378:16378" ht="18.75" x14ac:dyDescent="0.25">
      <c r="A36" s="165" t="s">
        <v>422</v>
      </c>
      <c r="B36" s="148" t="s">
        <v>370</v>
      </c>
      <c r="C36" s="148">
        <v>546</v>
      </c>
      <c r="D36" s="148">
        <f>+IFERROR(VLOOKUP(C36,'Stock ISIS LK'!A:D,4,0),IFERROR(VLOOKUP(C36,'Stock ISIS CH'!A:D,4,0),0))</f>
        <v>0</v>
      </c>
      <c r="E36" s="162">
        <f t="shared" si="2"/>
        <v>0</v>
      </c>
      <c r="F36" s="162">
        <v>1</v>
      </c>
      <c r="G36" s="163">
        <v>4.0000000000000001E-3</v>
      </c>
      <c r="H36" s="161"/>
      <c r="I36" s="179">
        <v>530</v>
      </c>
      <c r="J36" s="162">
        <v>12</v>
      </c>
      <c r="K36" s="162">
        <f t="shared" si="3"/>
        <v>6360</v>
      </c>
      <c r="L36" s="183">
        <f t="shared" si="4"/>
        <v>25.44</v>
      </c>
      <c r="M36" s="181">
        <f>+IFERROR(VLOOKUP(C36,'Est Madre LK 10-25'!A:C,3),VLOOKUP(C36,'Est Madre CH 10-25'!A:C,3,0))</f>
        <v>1440</v>
      </c>
    </row>
    <row r="37" spans="1:13 16378:16378" ht="18.75" x14ac:dyDescent="0.25">
      <c r="A37" s="165" t="s">
        <v>422</v>
      </c>
      <c r="B37" s="148" t="s">
        <v>370</v>
      </c>
      <c r="C37" s="148">
        <v>809</v>
      </c>
      <c r="D37" s="148">
        <f>+IFERROR(VLOOKUP(C37,'Stock ISIS LK'!A:D,4,0),IFERROR(VLOOKUP(C37,'Stock ISIS CH'!A:D,4,0),0))</f>
        <v>0</v>
      </c>
      <c r="E37" s="162">
        <f t="shared" si="2"/>
        <v>0</v>
      </c>
      <c r="F37" s="162">
        <v>1</v>
      </c>
      <c r="G37" s="163">
        <v>4.0000000000000001E-3</v>
      </c>
      <c r="H37" s="161"/>
      <c r="I37" s="179">
        <v>135</v>
      </c>
      <c r="J37" s="162">
        <v>12</v>
      </c>
      <c r="K37" s="162">
        <f t="shared" si="3"/>
        <v>1620</v>
      </c>
      <c r="L37" s="183">
        <f t="shared" si="4"/>
        <v>6.48</v>
      </c>
      <c r="M37" s="181">
        <f>+IFERROR(VLOOKUP(C37,'Est Madre LK 10-25'!A:C,3),VLOOKUP(C37,'Est Madre CH 10-25'!A:C,3,0))</f>
        <v>2136</v>
      </c>
    </row>
    <row r="38" spans="1:13 16378:16378" ht="18.75" x14ac:dyDescent="0.25">
      <c r="A38" s="165" t="s">
        <v>372</v>
      </c>
      <c r="B38" s="148" t="s">
        <v>376</v>
      </c>
      <c r="C38" s="148">
        <v>546</v>
      </c>
      <c r="D38" s="148">
        <f>+IFERROR(VLOOKUP(C38,'Stock ISIS LK'!A:D,4,0),IFERROR(VLOOKUP(C38,'Stock ISIS CH'!A:D,4,0),0))</f>
        <v>0</v>
      </c>
      <c r="E38" s="162">
        <f t="shared" si="2"/>
        <v>0</v>
      </c>
      <c r="F38" s="162">
        <v>2</v>
      </c>
      <c r="G38" s="163">
        <v>1.2180000000000001E-4</v>
      </c>
      <c r="H38" s="161"/>
      <c r="I38" s="179">
        <v>530</v>
      </c>
      <c r="J38" s="162">
        <v>12</v>
      </c>
      <c r="K38" s="162">
        <f t="shared" si="3"/>
        <v>12720</v>
      </c>
      <c r="L38" s="183">
        <f t="shared" si="4"/>
        <v>1.549296</v>
      </c>
      <c r="M38" s="181">
        <f>+IFERROR(VLOOKUP(C38,'Est Madre LK 10-25'!A:C,3),VLOOKUP(C38,'Est Madre CH 10-25'!A:C,3,0))</f>
        <v>1440</v>
      </c>
    </row>
    <row r="39" spans="1:13 16378:16378" ht="18.75" x14ac:dyDescent="0.25">
      <c r="A39" s="165" t="s">
        <v>372</v>
      </c>
      <c r="B39" s="148" t="s">
        <v>376</v>
      </c>
      <c r="C39" s="148">
        <v>809</v>
      </c>
      <c r="D39" s="148">
        <f>+IFERROR(VLOOKUP(C39,'Stock ISIS LK'!A:D,4,0),IFERROR(VLOOKUP(C39,'Stock ISIS CH'!A:D,4,0),0))</f>
        <v>0</v>
      </c>
      <c r="E39" s="162">
        <f t="shared" si="2"/>
        <v>0</v>
      </c>
      <c r="F39" s="162">
        <v>2</v>
      </c>
      <c r="G39" s="163">
        <v>1.2180000000000001E-4</v>
      </c>
      <c r="H39" s="161"/>
      <c r="I39" s="179">
        <v>135</v>
      </c>
      <c r="J39" s="162">
        <v>12</v>
      </c>
      <c r="K39" s="162">
        <f t="shared" si="3"/>
        <v>3240</v>
      </c>
      <c r="L39" s="183">
        <f t="shared" si="4"/>
        <v>0.39463200000000004</v>
      </c>
      <c r="M39" s="181">
        <f>+IFERROR(VLOOKUP(C39,'Est Madre LK 10-25'!A:C,3),VLOOKUP(C39,'Est Madre CH 10-25'!A:C,3,0))</f>
        <v>2136</v>
      </c>
    </row>
    <row r="40" spans="1:13 16378:16378" ht="18.75" x14ac:dyDescent="0.25">
      <c r="A40" s="165" t="s">
        <v>424</v>
      </c>
      <c r="B40" s="148" t="s">
        <v>423</v>
      </c>
      <c r="C40" s="148">
        <v>548</v>
      </c>
      <c r="D40" s="148">
        <f>+IFERROR(VLOOKUP(C40,'Stock ISIS LK'!A:D,4,0),IFERROR(VLOOKUP(C40,'Stock ISIS CH'!A:D,4,0),0))</f>
        <v>0</v>
      </c>
      <c r="E40" s="162">
        <f t="shared" si="2"/>
        <v>0</v>
      </c>
      <c r="F40" s="162">
        <v>1</v>
      </c>
      <c r="G40" s="163">
        <v>2.41E-2</v>
      </c>
      <c r="H40" s="161"/>
      <c r="I40" s="179">
        <v>25</v>
      </c>
      <c r="J40" s="162">
        <v>24</v>
      </c>
      <c r="K40" s="162">
        <f t="shared" si="3"/>
        <v>600</v>
      </c>
      <c r="L40" s="183">
        <f t="shared" si="4"/>
        <v>14.459999999999999</v>
      </c>
      <c r="M40" s="181">
        <f>+IFERROR(VLOOKUP(C40,'Est Madre LK 10-25'!A:C,3),VLOOKUP(C40,'Est Madre CH 10-25'!A:C,3,0))</f>
        <v>1440</v>
      </c>
    </row>
    <row r="41" spans="1:13 16378:16378" ht="18.75" x14ac:dyDescent="0.25">
      <c r="A41" s="165" t="s">
        <v>424</v>
      </c>
      <c r="B41" s="148" t="s">
        <v>423</v>
      </c>
      <c r="C41" s="148">
        <v>864</v>
      </c>
      <c r="D41" s="148">
        <f>+IFERROR(VLOOKUP(C41,'Stock ISIS LK'!A:D,4,0),IFERROR(VLOOKUP(C41,'Stock ISIS CH'!A:D,4,0),0))</f>
        <v>0</v>
      </c>
      <c r="E41" s="162">
        <f t="shared" si="2"/>
        <v>0</v>
      </c>
      <c r="F41" s="162">
        <v>1</v>
      </c>
      <c r="G41" s="163">
        <v>2.41E-2</v>
      </c>
      <c r="H41" s="161"/>
      <c r="I41" s="179">
        <v>12</v>
      </c>
      <c r="J41" s="162">
        <v>12</v>
      </c>
      <c r="K41" s="162">
        <f t="shared" si="3"/>
        <v>144</v>
      </c>
      <c r="L41" s="183">
        <f t="shared" si="4"/>
        <v>3.4704000000000002</v>
      </c>
      <c r="M41" s="181">
        <f>+IFERROR(VLOOKUP(C41,'Est Madre LK 10-25'!A:C,3),VLOOKUP(C41,'Est Madre CH 10-25'!A:C,3,0))</f>
        <v>2136</v>
      </c>
    </row>
    <row r="42" spans="1:13 16378:16378" ht="18.75" x14ac:dyDescent="0.25">
      <c r="A42" s="165" t="s">
        <v>409</v>
      </c>
      <c r="B42" s="148" t="s">
        <v>405</v>
      </c>
      <c r="C42" s="148">
        <v>57</v>
      </c>
      <c r="D42" s="148">
        <f>+IFERROR(VLOOKUP(C42,'Stock ISIS LK'!A:D,4,0),IFERROR(VLOOKUP(C42,'Stock ISIS CH'!A:D,4,0),0))</f>
        <v>0</v>
      </c>
      <c r="E42" s="162">
        <f t="shared" si="2"/>
        <v>0</v>
      </c>
      <c r="F42" s="162">
        <v>1</v>
      </c>
      <c r="G42" s="163">
        <v>3.15E-3</v>
      </c>
      <c r="H42" s="161"/>
      <c r="I42" s="179">
        <v>100</v>
      </c>
      <c r="J42" s="162">
        <v>12</v>
      </c>
      <c r="K42" s="162">
        <f t="shared" si="3"/>
        <v>1200</v>
      </c>
      <c r="L42" s="183">
        <f t="shared" si="4"/>
        <v>3.7800000000000002</v>
      </c>
      <c r="M42" s="181" t="e">
        <f>+IFERROR(VLOOKUP(C42,'Est Madre LK 10-25'!A:C,3),VLOOKUP(C42,'Est Madre CH 10-25'!A:C,3,0))</f>
        <v>#N/A</v>
      </c>
    </row>
    <row r="43" spans="1:13 16378:16378" ht="21" x14ac:dyDescent="0.25">
      <c r="A43" s="165" t="s">
        <v>409</v>
      </c>
      <c r="B43" s="148" t="s">
        <v>405</v>
      </c>
      <c r="C43" s="148">
        <v>498</v>
      </c>
      <c r="D43" s="148">
        <f>+IFERROR(VLOOKUP(C43,'Stock ISIS LK'!A:D,4,0),IFERROR(VLOOKUP(C43,'Stock ISIS CH'!A:D,4,0),0))</f>
        <v>0</v>
      </c>
      <c r="E43" s="162">
        <f t="shared" si="2"/>
        <v>0</v>
      </c>
      <c r="F43" s="162">
        <v>1</v>
      </c>
      <c r="G43" s="163">
        <v>3.15E-3</v>
      </c>
      <c r="H43" s="161"/>
      <c r="I43" s="179">
        <v>25</v>
      </c>
      <c r="J43" s="162">
        <v>12</v>
      </c>
      <c r="K43" s="162">
        <f t="shared" si="3"/>
        <v>300</v>
      </c>
      <c r="L43" s="183">
        <f t="shared" si="4"/>
        <v>0.94500000000000006</v>
      </c>
      <c r="M43" s="181" t="e">
        <f>+IFERROR(VLOOKUP(C43,'Est Madre LK 10-25'!A:C,3),VLOOKUP(C43,'Est Madre CH 10-25'!A:C,3,0))</f>
        <v>#N/A</v>
      </c>
      <c r="XEX43" s="157"/>
    </row>
    <row r="44" spans="1:13 16378:16378" ht="21" x14ac:dyDescent="0.25">
      <c r="A44" s="165" t="s">
        <v>409</v>
      </c>
      <c r="B44" s="148" t="s">
        <v>405</v>
      </c>
      <c r="C44" s="148">
        <v>499</v>
      </c>
      <c r="D44" s="148">
        <f>+IFERROR(VLOOKUP(C44,'Stock ISIS LK'!A:D,4,0),IFERROR(VLOOKUP(C44,'Stock ISIS CH'!A:D,4,0),0))</f>
        <v>0</v>
      </c>
      <c r="E44" s="162">
        <f t="shared" si="2"/>
        <v>0</v>
      </c>
      <c r="F44" s="162">
        <v>1</v>
      </c>
      <c r="G44" s="163">
        <v>3.15E-3</v>
      </c>
      <c r="H44" s="161"/>
      <c r="I44" s="179">
        <v>100</v>
      </c>
      <c r="J44" s="162">
        <v>12</v>
      </c>
      <c r="K44" s="162">
        <f t="shared" si="3"/>
        <v>1200</v>
      </c>
      <c r="L44" s="183">
        <f t="shared" si="4"/>
        <v>3.7800000000000002</v>
      </c>
      <c r="M44" s="181" t="e">
        <f>+IFERROR(VLOOKUP(C44,'Est Madre LK 10-25'!A:C,3),VLOOKUP(C44,'Est Madre CH 10-25'!A:C,3,0))</f>
        <v>#N/A</v>
      </c>
      <c r="XEX44" s="157"/>
    </row>
    <row r="45" spans="1:13 16378:16378" ht="18.75" x14ac:dyDescent="0.3">
      <c r="A45" s="165" t="s">
        <v>406</v>
      </c>
      <c r="B45" s="68" t="s">
        <v>407</v>
      </c>
      <c r="C45" s="148">
        <v>499</v>
      </c>
      <c r="D45" s="129">
        <f>+IFERROR(VLOOKUP(C45,'Stock ISIS LK'!A:D,4,0),IFERROR(VLOOKUP(C45,'Stock ISIS CH'!A:D,4,0),0))</f>
        <v>0</v>
      </c>
      <c r="E45" s="148">
        <f t="shared" si="2"/>
        <v>0</v>
      </c>
      <c r="F45" s="162">
        <v>1</v>
      </c>
      <c r="G45" s="163">
        <v>5.0000000000000001E-4</v>
      </c>
      <c r="I45" s="226">
        <v>100</v>
      </c>
      <c r="J45" s="162">
        <v>12</v>
      </c>
      <c r="K45" s="162">
        <f t="shared" si="3"/>
        <v>1200</v>
      </c>
      <c r="L45" s="183">
        <f>+K45*G45</f>
        <v>0.6</v>
      </c>
      <c r="M45" s="227" t="e">
        <f>+IFERROR(VLOOKUP(C45,'Est Madre LK 10-25'!A:C,3),VLOOKUP(C45,'Est Madre CH 10-25'!A:C,3,0))</f>
        <v>#N/A</v>
      </c>
    </row>
    <row r="46" spans="1:13 16378:16378" ht="21" x14ac:dyDescent="0.25">
      <c r="A46" s="165" t="s">
        <v>454</v>
      </c>
      <c r="B46" s="148" t="s">
        <v>456</v>
      </c>
      <c r="C46" s="148">
        <v>323</v>
      </c>
      <c r="D46" s="148">
        <f>+IFERROR(VLOOKUP(C46,'Stock ISIS LK'!A:D,4,0),IFERROR(VLOOKUP(C46,'Stock ISIS CH'!A:D,4,0),0))</f>
        <v>0</v>
      </c>
      <c r="E46" s="162">
        <f t="shared" ref="E46:E47" si="5">+D46*F46*J46</f>
        <v>0</v>
      </c>
      <c r="F46" s="162">
        <v>1</v>
      </c>
      <c r="G46" s="163">
        <v>4.5124999999999998E-2</v>
      </c>
      <c r="H46" s="161"/>
      <c r="I46" s="179">
        <v>20</v>
      </c>
      <c r="J46" s="162">
        <v>12</v>
      </c>
      <c r="K46" s="162">
        <f t="shared" si="3"/>
        <v>240</v>
      </c>
      <c r="L46" s="183">
        <f t="shared" ref="L46:L49" si="6">+K46*G46</f>
        <v>10.83</v>
      </c>
      <c r="M46" s="181" t="e">
        <f>+IFERROR(VLOOKUP(C46,'Est Madre LK 10-25'!A:C,3),VLOOKUP(C46,'Est Madre CH 10-25'!A:C,3,0))</f>
        <v>#N/A</v>
      </c>
      <c r="XEX46" s="157"/>
    </row>
    <row r="47" spans="1:13 16378:16378" ht="18.75" x14ac:dyDescent="0.3">
      <c r="A47" s="165" t="s">
        <v>454</v>
      </c>
      <c r="B47" s="68" t="s">
        <v>456</v>
      </c>
      <c r="C47" s="148">
        <v>839</v>
      </c>
      <c r="D47" s="129">
        <f>+IFERROR(VLOOKUP(C47,'Stock ISIS LK'!A:D,4,0),IFERROR(VLOOKUP(C47,'Stock ISIS CH'!A:D,4,0),0))</f>
        <v>0</v>
      </c>
      <c r="E47" s="148">
        <f t="shared" si="5"/>
        <v>0</v>
      </c>
      <c r="F47" s="162">
        <v>1</v>
      </c>
      <c r="G47" s="163">
        <v>4.5124999999999998E-2</v>
      </c>
      <c r="I47" s="226">
        <v>40</v>
      </c>
      <c r="J47" s="162">
        <v>12</v>
      </c>
      <c r="K47" s="162">
        <f t="shared" si="3"/>
        <v>480</v>
      </c>
      <c r="L47" s="183">
        <f t="shared" si="6"/>
        <v>21.66</v>
      </c>
      <c r="M47" s="227">
        <f>+IFERROR(VLOOKUP(C47,'Est Madre LK 10-25'!A:C,3),VLOOKUP(C47,'Est Madre CH 10-25'!A:C,3,0))</f>
        <v>2136</v>
      </c>
    </row>
    <row r="48" spans="1:13 16378:16378" s="228" customFormat="1" ht="18.75" x14ac:dyDescent="0.25">
      <c r="A48" s="165" t="s">
        <v>458</v>
      </c>
      <c r="B48" s="223" t="s">
        <v>425</v>
      </c>
      <c r="C48" s="148">
        <v>312</v>
      </c>
      <c r="D48" s="148">
        <f>+IFERROR(VLOOKUP(C48,'Stock ISIS LK'!A:D,4,0),IFERROR(VLOOKUP(C48,'Stock ISIS CH'!A:D,4,0),0))</f>
        <v>0</v>
      </c>
      <c r="E48" s="148">
        <f t="shared" ref="E48:E49" si="7">+D48*F48*J48</f>
        <v>0</v>
      </c>
      <c r="F48" s="162">
        <v>1</v>
      </c>
      <c r="G48" s="245">
        <v>3.7333333333333336E-2</v>
      </c>
      <c r="I48" s="179">
        <v>27</v>
      </c>
      <c r="J48" s="162">
        <v>12</v>
      </c>
      <c r="K48" s="162">
        <f t="shared" si="3"/>
        <v>324</v>
      </c>
      <c r="L48" s="183">
        <f t="shared" si="6"/>
        <v>12.096000000000002</v>
      </c>
      <c r="M48" s="229" t="e">
        <f>+IFERROR(VLOOKUP(C48,'Est Madre LK 10-25'!A:C,3),VLOOKUP(C48,'Est Madre CH 10-25'!A:C,3,0))</f>
        <v>#N/A</v>
      </c>
    </row>
    <row r="49" spans="1:13" s="228" customFormat="1" ht="19.5" thickBot="1" x14ac:dyDescent="0.3">
      <c r="A49" s="166" t="s">
        <v>458</v>
      </c>
      <c r="B49" s="225" t="s">
        <v>425</v>
      </c>
      <c r="C49" s="149">
        <v>856</v>
      </c>
      <c r="D49" s="149">
        <f>+IFERROR(VLOOKUP(C49,'Stock ISIS LK'!A:D,4,0),IFERROR(VLOOKUP(C49,'Stock ISIS CH'!A:D,4,0),0))</f>
        <v>0</v>
      </c>
      <c r="E49" s="149">
        <f t="shared" si="7"/>
        <v>0</v>
      </c>
      <c r="F49" s="164">
        <v>1</v>
      </c>
      <c r="G49" s="246">
        <v>3.7333333333333336E-2</v>
      </c>
      <c r="I49" s="224">
        <v>6</v>
      </c>
      <c r="J49" s="164">
        <v>24</v>
      </c>
      <c r="K49" s="164">
        <f t="shared" si="3"/>
        <v>144</v>
      </c>
      <c r="L49" s="184">
        <f t="shared" si="6"/>
        <v>5.3760000000000003</v>
      </c>
      <c r="M49" s="230">
        <f>+IFERROR(VLOOKUP(C49,'Est Madre LK 10-25'!A:C,3),VLOOKUP(C49,'Est Madre CH 10-25'!A:C,3,0))</f>
        <v>2136</v>
      </c>
    </row>
  </sheetData>
  <autoFilter ref="A3:XEX41"/>
  <mergeCells count="2">
    <mergeCell ref="I1:M2"/>
    <mergeCell ref="A1:G2"/>
  </mergeCells>
  <phoneticPr fontId="31" type="noConversion"/>
  <conditionalFormatting sqref="B45">
    <cfRule type="duplicateValues" dxfId="1" priority="2"/>
  </conditionalFormatting>
  <conditionalFormatting sqref="B47">
    <cfRule type="duplicateValues" dxfId="0" priority="1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25" orientation="portrait" r:id="rId1"/>
  <ignoredErrors>
    <ignoredError sqref="E38:E39 E40:E45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8"/>
  <sheetViews>
    <sheetView topLeftCell="A521" workbookViewId="0">
      <selection activeCell="L544" sqref="L544"/>
    </sheetView>
  </sheetViews>
  <sheetFormatPr baseColWidth="10" defaultRowHeight="15" x14ac:dyDescent="0.25"/>
  <cols>
    <col min="1" max="1" width="6.42578125" style="190" customWidth="1"/>
    <col min="2" max="10" width="11.42578125" style="190"/>
  </cols>
  <sheetData>
    <row r="1" spans="1:10" x14ac:dyDescent="0.25">
      <c r="A1" s="189"/>
      <c r="B1" s="189"/>
      <c r="C1" s="189"/>
      <c r="D1" s="189"/>
      <c r="E1" s="189"/>
      <c r="G1" s="189"/>
      <c r="H1" s="189"/>
      <c r="J1" s="189"/>
    </row>
    <row r="2" spans="1:10" x14ac:dyDescent="0.25">
      <c r="A2" s="189"/>
      <c r="B2" s="189"/>
      <c r="C2" s="189"/>
      <c r="D2" s="191"/>
      <c r="E2" s="191"/>
      <c r="F2" s="191"/>
      <c r="G2" s="191"/>
      <c r="H2" s="191"/>
      <c r="I2" s="191"/>
      <c r="J2" s="191"/>
    </row>
    <row r="3" spans="1:10" x14ac:dyDescent="0.25">
      <c r="A3" s="189"/>
      <c r="B3" s="189"/>
      <c r="C3" s="189"/>
      <c r="D3" s="191"/>
      <c r="E3" s="191"/>
      <c r="F3" s="191"/>
      <c r="G3" s="191"/>
      <c r="H3" s="191"/>
      <c r="I3" s="191"/>
      <c r="J3" s="191"/>
    </row>
    <row r="4" spans="1:10" x14ac:dyDescent="0.25">
      <c r="A4" s="189"/>
      <c r="B4" s="189"/>
      <c r="C4" s="189"/>
      <c r="D4" s="191"/>
      <c r="E4" s="191"/>
      <c r="F4" s="191"/>
      <c r="G4" s="191"/>
      <c r="H4" s="191"/>
      <c r="I4" s="191"/>
      <c r="J4" s="191"/>
    </row>
    <row r="5" spans="1:10" x14ac:dyDescent="0.25">
      <c r="A5" s="189"/>
      <c r="B5" s="189"/>
      <c r="C5" s="189"/>
      <c r="D5" s="191"/>
      <c r="E5" s="191"/>
      <c r="F5" s="191"/>
      <c r="G5" s="191"/>
      <c r="H5" s="191"/>
      <c r="I5" s="191"/>
      <c r="J5" s="191"/>
    </row>
    <row r="6" spans="1:10" x14ac:dyDescent="0.25">
      <c r="A6" s="189"/>
      <c r="B6" s="189"/>
      <c r="C6" s="189"/>
      <c r="D6" s="191"/>
      <c r="E6" s="191"/>
      <c r="F6" s="191"/>
      <c r="G6" s="191"/>
      <c r="H6" s="191"/>
      <c r="I6" s="191"/>
      <c r="J6" s="191"/>
    </row>
    <row r="7" spans="1:10" x14ac:dyDescent="0.25">
      <c r="A7" s="189"/>
      <c r="B7" s="189"/>
      <c r="C7" s="189"/>
      <c r="D7" s="191"/>
      <c r="E7" s="191"/>
      <c r="F7" s="191"/>
      <c r="G7" s="191"/>
      <c r="H7" s="191"/>
      <c r="I7" s="191"/>
      <c r="J7" s="191"/>
    </row>
    <row r="8" spans="1:10" x14ac:dyDescent="0.25">
      <c r="A8" s="189"/>
      <c r="B8" s="189"/>
      <c r="C8" s="189"/>
      <c r="D8" s="191"/>
      <c r="E8" s="191"/>
      <c r="F8" s="191"/>
      <c r="G8" s="191"/>
      <c r="H8" s="191"/>
      <c r="I8" s="191"/>
      <c r="J8" s="191"/>
    </row>
    <row r="9" spans="1:10" x14ac:dyDescent="0.25">
      <c r="A9" s="189"/>
      <c r="B9" s="189"/>
      <c r="C9" s="189"/>
      <c r="D9" s="191"/>
      <c r="E9" s="191"/>
      <c r="F9" s="191"/>
      <c r="G9" s="191"/>
      <c r="H9" s="191"/>
      <c r="I9" s="191"/>
      <c r="J9" s="191"/>
    </row>
    <row r="10" spans="1:10" x14ac:dyDescent="0.25">
      <c r="A10" s="189"/>
      <c r="B10" s="189"/>
      <c r="C10" s="189"/>
      <c r="D10" s="191"/>
      <c r="E10" s="191"/>
      <c r="F10" s="191"/>
      <c r="G10" s="191"/>
      <c r="H10" s="191"/>
      <c r="I10" s="191"/>
      <c r="J10" s="191"/>
    </row>
    <row r="11" spans="1:10" x14ac:dyDescent="0.25">
      <c r="A11" s="189"/>
      <c r="B11" s="189"/>
      <c r="C11" s="189"/>
      <c r="D11" s="191"/>
      <c r="E11" s="191"/>
      <c r="F11" s="191"/>
      <c r="G11" s="191"/>
      <c r="H11" s="191"/>
      <c r="I11" s="191"/>
      <c r="J11" s="191"/>
    </row>
    <row r="12" spans="1:10" x14ac:dyDescent="0.25">
      <c r="A12" s="189"/>
      <c r="B12" s="189"/>
      <c r="C12" s="189"/>
      <c r="D12" s="191"/>
      <c r="E12" s="191"/>
      <c r="F12" s="191"/>
      <c r="G12" s="191"/>
      <c r="H12" s="191"/>
      <c r="I12" s="191"/>
      <c r="J12" s="191"/>
    </row>
    <row r="13" spans="1:10" x14ac:dyDescent="0.25">
      <c r="A13" s="189"/>
      <c r="B13" s="189"/>
      <c r="C13" s="189"/>
      <c r="D13" s="191"/>
      <c r="E13" s="191"/>
      <c r="F13" s="191"/>
      <c r="G13" s="191"/>
      <c r="H13" s="191"/>
      <c r="I13" s="191"/>
      <c r="J13" s="191"/>
    </row>
    <row r="14" spans="1:10" x14ac:dyDescent="0.25">
      <c r="A14" s="189"/>
      <c r="B14" s="189"/>
      <c r="C14" s="189"/>
      <c r="D14" s="191"/>
      <c r="E14" s="191"/>
      <c r="F14" s="191"/>
      <c r="G14" s="191"/>
      <c r="H14" s="191"/>
      <c r="I14" s="191"/>
      <c r="J14" s="191"/>
    </row>
    <row r="15" spans="1:10" x14ac:dyDescent="0.25">
      <c r="A15" s="189"/>
      <c r="B15" s="189"/>
      <c r="C15" s="189"/>
      <c r="D15" s="191"/>
      <c r="E15" s="191"/>
      <c r="F15" s="191"/>
      <c r="G15" s="191"/>
      <c r="H15" s="191"/>
      <c r="I15" s="191"/>
      <c r="J15" s="191"/>
    </row>
    <row r="16" spans="1:10" x14ac:dyDescent="0.25">
      <c r="A16" s="189"/>
      <c r="B16" s="189"/>
      <c r="C16" s="189"/>
      <c r="D16" s="191"/>
      <c r="E16" s="191"/>
      <c r="F16" s="191"/>
      <c r="G16" s="191"/>
      <c r="H16" s="191"/>
      <c r="I16" s="191"/>
      <c r="J16" s="191"/>
    </row>
    <row r="17" spans="1:10" x14ac:dyDescent="0.25">
      <c r="A17" s="189"/>
      <c r="B17" s="189"/>
      <c r="C17" s="189"/>
      <c r="D17" s="191"/>
      <c r="E17" s="191"/>
      <c r="F17" s="191"/>
      <c r="G17" s="191"/>
      <c r="H17" s="191"/>
      <c r="I17" s="191"/>
      <c r="J17" s="191"/>
    </row>
    <row r="18" spans="1:10" x14ac:dyDescent="0.25">
      <c r="A18" s="189"/>
      <c r="B18" s="189"/>
      <c r="C18" s="189"/>
      <c r="D18" s="191"/>
      <c r="E18" s="191"/>
      <c r="F18" s="191"/>
      <c r="G18" s="191"/>
      <c r="H18" s="191"/>
      <c r="I18" s="191"/>
      <c r="J18" s="191"/>
    </row>
    <row r="19" spans="1:10" x14ac:dyDescent="0.25">
      <c r="A19" s="189"/>
      <c r="B19" s="189"/>
      <c r="C19" s="189"/>
      <c r="D19" s="191"/>
      <c r="E19" s="191"/>
      <c r="F19" s="191"/>
      <c r="G19" s="191"/>
      <c r="H19" s="191"/>
      <c r="I19" s="191"/>
      <c r="J19" s="191"/>
    </row>
    <row r="20" spans="1:10" x14ac:dyDescent="0.25">
      <c r="A20" s="189"/>
      <c r="B20" s="189"/>
      <c r="C20" s="189"/>
      <c r="D20" s="191"/>
      <c r="E20" s="191"/>
      <c r="F20" s="191"/>
      <c r="G20" s="191"/>
      <c r="H20" s="191"/>
      <c r="I20" s="191"/>
      <c r="J20" s="191"/>
    </row>
    <row r="21" spans="1:10" x14ac:dyDescent="0.25">
      <c r="A21" s="189"/>
      <c r="B21" s="189"/>
      <c r="C21" s="189"/>
      <c r="D21" s="191"/>
      <c r="E21" s="191"/>
      <c r="F21" s="191"/>
      <c r="G21" s="191"/>
      <c r="H21" s="191"/>
      <c r="I21" s="191"/>
      <c r="J21" s="191"/>
    </row>
    <row r="22" spans="1:10" x14ac:dyDescent="0.25">
      <c r="A22" s="189"/>
      <c r="B22" s="189"/>
      <c r="C22" s="189"/>
      <c r="D22" s="191"/>
      <c r="E22" s="191"/>
      <c r="F22" s="191"/>
      <c r="G22" s="191"/>
      <c r="H22" s="191"/>
      <c r="I22" s="191"/>
      <c r="J22" s="191"/>
    </row>
    <row r="23" spans="1:10" x14ac:dyDescent="0.25">
      <c r="A23" s="189"/>
      <c r="B23" s="189"/>
      <c r="C23" s="189"/>
      <c r="D23" s="191"/>
      <c r="E23" s="191"/>
      <c r="F23" s="191"/>
      <c r="G23" s="191"/>
      <c r="H23" s="191"/>
      <c r="I23" s="191"/>
      <c r="J23" s="191"/>
    </row>
    <row r="24" spans="1:10" x14ac:dyDescent="0.25">
      <c r="A24" s="189"/>
      <c r="B24" s="189"/>
      <c r="C24" s="189"/>
      <c r="D24" s="191"/>
      <c r="E24" s="191"/>
      <c r="F24" s="191"/>
      <c r="G24" s="191"/>
      <c r="H24" s="191"/>
      <c r="I24" s="191"/>
      <c r="J24" s="191"/>
    </row>
    <row r="25" spans="1:10" x14ac:dyDescent="0.25">
      <c r="A25" s="189"/>
      <c r="B25" s="189"/>
      <c r="C25" s="189"/>
      <c r="D25" s="191"/>
      <c r="E25" s="191"/>
      <c r="F25" s="191"/>
      <c r="G25" s="191"/>
      <c r="H25" s="191"/>
      <c r="I25" s="191"/>
      <c r="J25" s="191"/>
    </row>
    <row r="26" spans="1:10" x14ac:dyDescent="0.25">
      <c r="A26" s="189"/>
      <c r="B26" s="189"/>
      <c r="C26" s="189"/>
      <c r="D26" s="191"/>
      <c r="E26" s="191"/>
      <c r="F26" s="191"/>
      <c r="G26" s="191"/>
      <c r="H26" s="191"/>
      <c r="I26" s="191"/>
      <c r="J26" s="191"/>
    </row>
    <row r="27" spans="1:10" x14ac:dyDescent="0.25">
      <c r="A27" s="189"/>
      <c r="B27" s="189"/>
      <c r="C27" s="189"/>
      <c r="D27" s="191"/>
      <c r="E27" s="191"/>
      <c r="F27" s="191"/>
      <c r="G27" s="191"/>
      <c r="H27" s="191"/>
      <c r="I27" s="191"/>
      <c r="J27" s="191"/>
    </row>
    <row r="28" spans="1:10" x14ac:dyDescent="0.25">
      <c r="A28" s="189"/>
      <c r="B28" s="189"/>
      <c r="C28" s="189"/>
      <c r="D28" s="191"/>
      <c r="E28" s="191"/>
      <c r="F28" s="191"/>
      <c r="G28" s="191"/>
      <c r="H28" s="191"/>
      <c r="I28" s="191"/>
      <c r="J28" s="191"/>
    </row>
    <row r="29" spans="1:10" x14ac:dyDescent="0.25">
      <c r="A29" s="189"/>
      <c r="B29" s="189"/>
      <c r="C29" s="189"/>
      <c r="D29" s="191"/>
      <c r="E29" s="191"/>
      <c r="F29" s="191"/>
      <c r="G29" s="191"/>
      <c r="H29" s="191"/>
      <c r="I29" s="191"/>
      <c r="J29" s="191"/>
    </row>
    <row r="30" spans="1:10" x14ac:dyDescent="0.25">
      <c r="A30" s="189"/>
      <c r="B30" s="189"/>
      <c r="C30" s="189"/>
      <c r="D30" s="191"/>
      <c r="E30" s="191"/>
      <c r="F30" s="191"/>
      <c r="G30" s="191"/>
      <c r="H30" s="191"/>
      <c r="I30" s="191"/>
      <c r="J30" s="191"/>
    </row>
    <row r="31" spans="1:10" x14ac:dyDescent="0.25">
      <c r="A31" s="189"/>
      <c r="B31" s="189"/>
      <c r="C31" s="189"/>
      <c r="D31" s="191"/>
      <c r="E31" s="191"/>
      <c r="F31" s="191"/>
      <c r="G31" s="191"/>
      <c r="H31" s="191"/>
      <c r="I31" s="191"/>
      <c r="J31" s="191"/>
    </row>
    <row r="32" spans="1:10" x14ac:dyDescent="0.25">
      <c r="A32" s="189"/>
      <c r="B32" s="189"/>
      <c r="C32" s="189"/>
      <c r="D32" s="191"/>
      <c r="E32" s="191"/>
      <c r="F32" s="191"/>
      <c r="G32" s="191"/>
      <c r="H32" s="191"/>
      <c r="I32" s="191"/>
      <c r="J32" s="191"/>
    </row>
    <row r="33" spans="1:10" x14ac:dyDescent="0.25">
      <c r="A33" s="189"/>
      <c r="B33" s="189"/>
      <c r="C33" s="189"/>
      <c r="D33" s="191"/>
      <c r="E33" s="191"/>
      <c r="F33" s="191"/>
      <c r="G33" s="191"/>
      <c r="H33" s="191"/>
      <c r="I33" s="191"/>
      <c r="J33" s="191"/>
    </row>
    <row r="34" spans="1:10" x14ac:dyDescent="0.25">
      <c r="A34" s="189"/>
      <c r="B34" s="189"/>
      <c r="C34" s="189"/>
      <c r="D34" s="191"/>
      <c r="E34" s="191"/>
      <c r="F34" s="191"/>
      <c r="G34" s="191"/>
      <c r="H34" s="191"/>
      <c r="I34" s="191"/>
      <c r="J34" s="191"/>
    </row>
    <row r="35" spans="1:10" x14ac:dyDescent="0.25">
      <c r="A35" s="189"/>
      <c r="B35" s="189"/>
      <c r="C35" s="189"/>
      <c r="D35" s="191"/>
      <c r="E35" s="191"/>
      <c r="F35" s="191"/>
      <c r="G35" s="191"/>
      <c r="H35" s="191"/>
      <c r="I35" s="191"/>
      <c r="J35" s="191"/>
    </row>
    <row r="36" spans="1:10" x14ac:dyDescent="0.25">
      <c r="A36" s="189"/>
      <c r="B36" s="189"/>
      <c r="C36" s="189"/>
      <c r="D36" s="191"/>
      <c r="E36" s="191"/>
      <c r="F36" s="191"/>
      <c r="G36" s="191"/>
      <c r="H36" s="191"/>
      <c r="I36" s="191"/>
      <c r="J36" s="191"/>
    </row>
    <row r="37" spans="1:10" x14ac:dyDescent="0.25">
      <c r="A37" s="189"/>
      <c r="B37" s="189"/>
      <c r="C37" s="189"/>
      <c r="D37" s="191"/>
      <c r="E37" s="191"/>
      <c r="F37" s="191"/>
      <c r="G37" s="191"/>
      <c r="H37" s="191"/>
      <c r="I37" s="191"/>
      <c r="J37" s="191"/>
    </row>
    <row r="38" spans="1:10" x14ac:dyDescent="0.25">
      <c r="A38" s="189"/>
      <c r="B38" s="189"/>
      <c r="C38" s="189"/>
      <c r="D38" s="191"/>
      <c r="E38" s="191"/>
      <c r="F38" s="191"/>
      <c r="G38" s="191"/>
      <c r="H38" s="191"/>
      <c r="I38" s="191"/>
      <c r="J38" s="191"/>
    </row>
    <row r="39" spans="1:10" x14ac:dyDescent="0.25">
      <c r="A39" s="189"/>
      <c r="B39" s="189"/>
      <c r="C39" s="189"/>
      <c r="D39" s="191"/>
      <c r="E39" s="191"/>
      <c r="F39" s="191"/>
      <c r="G39" s="191"/>
      <c r="H39" s="191"/>
      <c r="I39" s="191"/>
      <c r="J39" s="191"/>
    </row>
    <row r="40" spans="1:10" x14ac:dyDescent="0.25">
      <c r="A40" s="189"/>
      <c r="B40" s="189"/>
      <c r="C40" s="189"/>
      <c r="D40" s="191"/>
      <c r="E40" s="191"/>
      <c r="F40" s="191"/>
      <c r="G40" s="191"/>
      <c r="H40" s="191"/>
      <c r="I40" s="191"/>
      <c r="J40" s="191"/>
    </row>
    <row r="41" spans="1:10" x14ac:dyDescent="0.25">
      <c r="A41" s="189"/>
      <c r="B41" s="189"/>
      <c r="C41" s="189"/>
      <c r="D41" s="191"/>
      <c r="E41" s="191"/>
      <c r="F41" s="191"/>
      <c r="G41" s="191"/>
      <c r="H41" s="191"/>
      <c r="I41" s="191"/>
      <c r="J41" s="191"/>
    </row>
    <row r="42" spans="1:10" x14ac:dyDescent="0.25">
      <c r="A42" s="189"/>
      <c r="B42" s="189"/>
      <c r="C42" s="189"/>
      <c r="D42" s="191"/>
      <c r="E42" s="191"/>
      <c r="F42" s="191"/>
      <c r="G42" s="191"/>
      <c r="H42" s="191"/>
      <c r="I42" s="191"/>
      <c r="J42" s="191"/>
    </row>
    <row r="43" spans="1:10" x14ac:dyDescent="0.25">
      <c r="A43" s="189"/>
      <c r="B43" s="189"/>
      <c r="C43" s="189"/>
      <c r="D43" s="191"/>
      <c r="E43" s="191"/>
      <c r="F43" s="191"/>
      <c r="G43" s="191"/>
      <c r="H43" s="191"/>
      <c r="I43" s="191"/>
      <c r="J43" s="191"/>
    </row>
    <row r="44" spans="1:10" x14ac:dyDescent="0.25">
      <c r="A44" s="189"/>
      <c r="B44" s="189"/>
      <c r="C44" s="189"/>
      <c r="D44" s="191"/>
      <c r="E44" s="191"/>
      <c r="F44" s="191"/>
      <c r="G44" s="191"/>
      <c r="H44" s="191"/>
      <c r="I44" s="191"/>
      <c r="J44" s="191"/>
    </row>
    <row r="45" spans="1:10" x14ac:dyDescent="0.25">
      <c r="A45" s="189"/>
      <c r="B45" s="189"/>
      <c r="C45" s="189"/>
      <c r="D45" s="191"/>
      <c r="E45" s="191"/>
      <c r="F45" s="191"/>
      <c r="G45" s="191"/>
      <c r="H45" s="191"/>
      <c r="I45" s="191"/>
      <c r="J45" s="191"/>
    </row>
    <row r="46" spans="1:10" x14ac:dyDescent="0.25">
      <c r="A46" s="189"/>
      <c r="B46" s="189"/>
      <c r="C46" s="189"/>
      <c r="D46" s="191"/>
      <c r="E46" s="191"/>
      <c r="F46" s="191"/>
      <c r="G46" s="191"/>
      <c r="H46" s="191"/>
      <c r="I46" s="191"/>
      <c r="J46" s="191"/>
    </row>
    <row r="47" spans="1:10" x14ac:dyDescent="0.25">
      <c r="A47" s="189"/>
      <c r="B47" s="189"/>
      <c r="C47" s="189"/>
      <c r="D47" s="191"/>
      <c r="E47" s="191"/>
      <c r="F47" s="191"/>
      <c r="G47" s="191"/>
      <c r="H47" s="191"/>
      <c r="I47" s="191"/>
      <c r="J47" s="191"/>
    </row>
    <row r="48" spans="1:10" x14ac:dyDescent="0.25">
      <c r="A48" s="189"/>
      <c r="B48" s="189"/>
      <c r="C48" s="189"/>
      <c r="D48" s="191"/>
      <c r="E48" s="191"/>
      <c r="F48" s="191"/>
      <c r="G48" s="191"/>
      <c r="H48" s="191"/>
      <c r="I48" s="191"/>
      <c r="J48" s="191"/>
    </row>
    <row r="49" spans="1:10" x14ac:dyDescent="0.25">
      <c r="A49" s="189"/>
      <c r="B49" s="189"/>
      <c r="C49" s="189"/>
      <c r="D49" s="191"/>
      <c r="E49" s="191"/>
      <c r="F49" s="191"/>
      <c r="G49" s="191"/>
      <c r="H49" s="191"/>
      <c r="I49" s="191"/>
      <c r="J49" s="191"/>
    </row>
    <row r="50" spans="1:10" x14ac:dyDescent="0.25">
      <c r="A50" s="189"/>
      <c r="B50" s="189"/>
      <c r="C50" s="189"/>
      <c r="D50" s="191"/>
      <c r="E50" s="191"/>
      <c r="F50" s="191"/>
      <c r="G50" s="191"/>
      <c r="H50" s="191"/>
      <c r="I50" s="191"/>
      <c r="J50" s="191"/>
    </row>
    <row r="51" spans="1:10" x14ac:dyDescent="0.25">
      <c r="A51" s="189"/>
      <c r="B51" s="189"/>
      <c r="C51" s="189"/>
      <c r="D51" s="191"/>
      <c r="E51" s="191"/>
      <c r="F51" s="191"/>
      <c r="G51" s="191"/>
      <c r="H51" s="191"/>
      <c r="I51" s="191"/>
      <c r="J51" s="191"/>
    </row>
    <row r="52" spans="1:10" x14ac:dyDescent="0.25">
      <c r="A52" s="189"/>
      <c r="B52" s="189"/>
      <c r="C52" s="189"/>
      <c r="D52" s="191"/>
      <c r="E52" s="191"/>
      <c r="F52" s="191"/>
      <c r="G52" s="191"/>
      <c r="H52" s="191"/>
      <c r="I52" s="191"/>
      <c r="J52" s="191"/>
    </row>
    <row r="53" spans="1:10" x14ac:dyDescent="0.25">
      <c r="A53" s="189"/>
      <c r="B53" s="189"/>
      <c r="C53" s="189"/>
      <c r="D53" s="191"/>
      <c r="E53" s="191"/>
      <c r="F53" s="191"/>
      <c r="G53" s="191"/>
      <c r="H53" s="191"/>
      <c r="I53" s="191"/>
      <c r="J53" s="191"/>
    </row>
    <row r="54" spans="1:10" x14ac:dyDescent="0.25">
      <c r="A54" s="189"/>
      <c r="B54" s="189"/>
      <c r="C54" s="189"/>
      <c r="D54" s="191"/>
      <c r="E54" s="191"/>
      <c r="F54" s="191"/>
      <c r="G54" s="191"/>
      <c r="H54" s="191"/>
      <c r="I54" s="191"/>
      <c r="J54" s="191"/>
    </row>
    <row r="55" spans="1:10" x14ac:dyDescent="0.25">
      <c r="A55" s="189"/>
      <c r="B55" s="189"/>
      <c r="C55" s="189"/>
      <c r="D55" s="191"/>
      <c r="E55" s="191"/>
      <c r="F55" s="191"/>
      <c r="G55" s="191"/>
      <c r="H55" s="191"/>
      <c r="I55" s="191"/>
      <c r="J55" s="191"/>
    </row>
    <row r="56" spans="1:10" x14ac:dyDescent="0.25">
      <c r="A56" s="189"/>
      <c r="B56" s="189"/>
      <c r="C56" s="189"/>
      <c r="D56" s="191"/>
      <c r="E56" s="191"/>
      <c r="F56" s="191"/>
      <c r="G56" s="191"/>
      <c r="H56" s="191"/>
      <c r="I56" s="191"/>
      <c r="J56" s="191"/>
    </row>
    <row r="57" spans="1:10" x14ac:dyDescent="0.25">
      <c r="A57" s="189"/>
      <c r="B57" s="189"/>
      <c r="C57" s="189"/>
      <c r="D57" s="191"/>
      <c r="E57" s="191"/>
      <c r="F57" s="191"/>
      <c r="G57" s="191"/>
      <c r="H57" s="191"/>
      <c r="I57" s="191"/>
      <c r="J57" s="191"/>
    </row>
    <row r="58" spans="1:10" x14ac:dyDescent="0.25">
      <c r="A58" s="189"/>
      <c r="B58" s="189"/>
      <c r="C58" s="189"/>
      <c r="D58" s="191"/>
      <c r="E58" s="191"/>
      <c r="F58" s="191"/>
      <c r="G58" s="191"/>
      <c r="H58" s="191"/>
      <c r="I58" s="191"/>
      <c r="J58" s="191"/>
    </row>
    <row r="59" spans="1:10" x14ac:dyDescent="0.25">
      <c r="A59" s="189"/>
      <c r="B59" s="189"/>
      <c r="C59" s="189"/>
      <c r="D59" s="191"/>
      <c r="E59" s="191"/>
      <c r="F59" s="191"/>
      <c r="G59" s="191"/>
      <c r="H59" s="191"/>
      <c r="I59" s="191"/>
      <c r="J59" s="191"/>
    </row>
    <row r="60" spans="1:10" x14ac:dyDescent="0.25">
      <c r="A60" s="189"/>
      <c r="B60" s="189"/>
      <c r="C60" s="189"/>
      <c r="D60" s="191"/>
      <c r="E60" s="191"/>
      <c r="F60" s="191"/>
      <c r="G60" s="191"/>
      <c r="H60" s="191"/>
      <c r="I60" s="191"/>
      <c r="J60" s="191"/>
    </row>
    <row r="61" spans="1:10" x14ac:dyDescent="0.25">
      <c r="A61" s="189"/>
      <c r="B61" s="189"/>
      <c r="C61" s="189"/>
      <c r="D61" s="191"/>
      <c r="E61" s="191"/>
      <c r="F61" s="191"/>
      <c r="G61" s="191"/>
      <c r="H61" s="191"/>
      <c r="I61" s="191"/>
      <c r="J61" s="191"/>
    </row>
    <row r="62" spans="1:10" x14ac:dyDescent="0.25">
      <c r="A62" s="189"/>
      <c r="B62" s="189"/>
      <c r="C62" s="189"/>
      <c r="D62" s="191"/>
      <c r="E62" s="191"/>
      <c r="F62" s="191"/>
      <c r="G62" s="191"/>
      <c r="H62" s="191"/>
      <c r="I62" s="191"/>
      <c r="J62" s="191"/>
    </row>
    <row r="63" spans="1:10" x14ac:dyDescent="0.25">
      <c r="A63" s="189"/>
      <c r="B63" s="189"/>
      <c r="C63" s="189"/>
      <c r="D63" s="191"/>
      <c r="E63" s="191"/>
      <c r="F63" s="191"/>
      <c r="G63" s="191"/>
      <c r="H63" s="191"/>
      <c r="I63" s="191"/>
      <c r="J63" s="191"/>
    </row>
    <row r="64" spans="1:10" x14ac:dyDescent="0.25">
      <c r="A64" s="189"/>
      <c r="B64" s="189"/>
      <c r="C64" s="189"/>
      <c r="D64" s="191"/>
      <c r="E64" s="191"/>
      <c r="F64" s="191"/>
      <c r="G64" s="191"/>
      <c r="H64" s="191"/>
      <c r="I64" s="191"/>
      <c r="J64" s="191"/>
    </row>
    <row r="65" spans="1:10" x14ac:dyDescent="0.25">
      <c r="A65" s="189"/>
      <c r="B65" s="189"/>
      <c r="C65" s="189"/>
      <c r="D65" s="191"/>
      <c r="E65" s="191"/>
      <c r="F65" s="191"/>
      <c r="G65" s="191"/>
      <c r="H65" s="191"/>
      <c r="I65" s="191"/>
      <c r="J65" s="191"/>
    </row>
    <row r="66" spans="1:10" x14ac:dyDescent="0.25">
      <c r="A66" s="189"/>
      <c r="B66" s="189"/>
      <c r="C66" s="189"/>
      <c r="D66" s="191"/>
      <c r="E66" s="191"/>
      <c r="F66" s="191"/>
      <c r="G66" s="191"/>
      <c r="H66" s="191"/>
      <c r="I66" s="191"/>
      <c r="J66" s="191"/>
    </row>
    <row r="67" spans="1:10" x14ac:dyDescent="0.25">
      <c r="A67" s="189"/>
      <c r="B67" s="189"/>
      <c r="C67" s="189"/>
      <c r="D67" s="191"/>
      <c r="E67" s="191"/>
      <c r="F67" s="191"/>
      <c r="G67" s="191"/>
      <c r="H67" s="191"/>
      <c r="I67" s="191"/>
      <c r="J67" s="191"/>
    </row>
    <row r="68" spans="1:10" x14ac:dyDescent="0.25">
      <c r="A68" s="189"/>
      <c r="B68" s="189"/>
      <c r="C68" s="189"/>
      <c r="D68" s="191"/>
      <c r="E68" s="191"/>
      <c r="F68" s="191"/>
      <c r="G68" s="191"/>
      <c r="H68" s="191"/>
      <c r="I68" s="191"/>
      <c r="J68" s="191"/>
    </row>
    <row r="69" spans="1:10" x14ac:dyDescent="0.25">
      <c r="A69" s="189"/>
      <c r="B69" s="189"/>
      <c r="C69" s="189"/>
      <c r="D69" s="191"/>
      <c r="E69" s="191"/>
      <c r="F69" s="191"/>
      <c r="G69" s="191"/>
      <c r="H69" s="191"/>
      <c r="I69" s="191"/>
      <c r="J69" s="191"/>
    </row>
    <row r="70" spans="1:10" x14ac:dyDescent="0.25">
      <c r="A70" s="189"/>
      <c r="B70" s="189"/>
      <c r="C70" s="189"/>
      <c r="D70" s="191"/>
      <c r="E70" s="191"/>
      <c r="F70" s="191"/>
      <c r="G70" s="191"/>
      <c r="H70" s="191"/>
      <c r="I70" s="191"/>
      <c r="J70" s="191"/>
    </row>
    <row r="71" spans="1:10" x14ac:dyDescent="0.25">
      <c r="A71" s="189"/>
      <c r="B71" s="189"/>
      <c r="C71" s="189"/>
      <c r="D71" s="191"/>
      <c r="E71" s="191"/>
      <c r="F71" s="191"/>
      <c r="G71" s="191"/>
      <c r="H71" s="191"/>
      <c r="I71" s="191"/>
      <c r="J71" s="191"/>
    </row>
    <row r="72" spans="1:10" x14ac:dyDescent="0.25">
      <c r="A72" s="189"/>
      <c r="B72" s="189"/>
      <c r="C72" s="189"/>
      <c r="D72" s="191"/>
      <c r="E72" s="191"/>
      <c r="F72" s="191"/>
      <c r="G72" s="191"/>
      <c r="H72" s="191"/>
      <c r="I72" s="191"/>
      <c r="J72" s="191"/>
    </row>
    <row r="73" spans="1:10" x14ac:dyDescent="0.25">
      <c r="A73" s="189"/>
      <c r="B73" s="189"/>
      <c r="C73" s="189"/>
      <c r="D73" s="191"/>
      <c r="E73" s="191"/>
      <c r="F73" s="191"/>
      <c r="G73" s="191"/>
      <c r="H73" s="191"/>
      <c r="I73" s="191"/>
      <c r="J73" s="191"/>
    </row>
    <row r="74" spans="1:10" x14ac:dyDescent="0.25">
      <c r="A74" s="189"/>
      <c r="B74" s="189"/>
      <c r="C74" s="189"/>
      <c r="D74" s="191"/>
      <c r="E74" s="191"/>
      <c r="F74" s="191"/>
      <c r="G74" s="191"/>
      <c r="H74" s="191"/>
      <c r="I74" s="191"/>
      <c r="J74" s="191"/>
    </row>
    <row r="75" spans="1:10" x14ac:dyDescent="0.25">
      <c r="A75" s="189"/>
      <c r="B75" s="189"/>
      <c r="C75" s="189"/>
      <c r="D75" s="191"/>
      <c r="E75" s="191"/>
      <c r="F75" s="191"/>
      <c r="G75" s="191"/>
      <c r="H75" s="191"/>
      <c r="I75" s="191"/>
      <c r="J75" s="191"/>
    </row>
    <row r="76" spans="1:10" x14ac:dyDescent="0.25">
      <c r="A76" s="189"/>
      <c r="B76" s="189"/>
      <c r="C76" s="189"/>
      <c r="D76" s="191"/>
      <c r="E76" s="191"/>
      <c r="F76" s="191"/>
      <c r="G76" s="191"/>
      <c r="H76" s="191"/>
      <c r="I76" s="191"/>
      <c r="J76" s="191"/>
    </row>
    <row r="77" spans="1:10" x14ac:dyDescent="0.25">
      <c r="A77" s="189"/>
      <c r="B77" s="189"/>
      <c r="C77" s="189"/>
      <c r="D77" s="191"/>
      <c r="E77" s="191"/>
      <c r="F77" s="191"/>
      <c r="G77" s="191"/>
      <c r="H77" s="191"/>
      <c r="I77" s="191"/>
      <c r="J77" s="191"/>
    </row>
    <row r="78" spans="1:10" x14ac:dyDescent="0.25">
      <c r="A78" s="189"/>
      <c r="B78" s="189"/>
      <c r="C78" s="189"/>
      <c r="D78" s="191"/>
      <c r="E78" s="191"/>
      <c r="F78" s="191"/>
      <c r="G78" s="191"/>
      <c r="H78" s="191"/>
      <c r="I78" s="191"/>
      <c r="J78" s="191"/>
    </row>
    <row r="79" spans="1:10" x14ac:dyDescent="0.25">
      <c r="A79" s="189"/>
      <c r="B79" s="189"/>
      <c r="C79" s="189"/>
      <c r="D79" s="191"/>
      <c r="E79" s="191"/>
      <c r="F79" s="191"/>
      <c r="G79" s="191"/>
      <c r="H79" s="191"/>
      <c r="I79" s="191"/>
      <c r="J79" s="191"/>
    </row>
    <row r="80" spans="1:10" x14ac:dyDescent="0.25">
      <c r="A80" s="189"/>
      <c r="B80" s="189"/>
      <c r="C80" s="189"/>
      <c r="D80" s="191"/>
      <c r="E80" s="191"/>
      <c r="F80" s="191"/>
      <c r="G80" s="191"/>
      <c r="H80" s="191"/>
      <c r="I80" s="191"/>
      <c r="J80" s="191"/>
    </row>
    <row r="81" spans="1:10" x14ac:dyDescent="0.25">
      <c r="A81" s="189"/>
      <c r="B81" s="189"/>
      <c r="C81" s="189"/>
      <c r="D81" s="191"/>
      <c r="E81" s="191"/>
      <c r="F81" s="191"/>
      <c r="G81" s="191"/>
      <c r="H81" s="191"/>
      <c r="I81" s="191"/>
      <c r="J81" s="191"/>
    </row>
    <row r="82" spans="1:10" x14ac:dyDescent="0.25">
      <c r="A82" s="189"/>
      <c r="B82" s="189"/>
      <c r="C82" s="189"/>
      <c r="D82" s="191"/>
      <c r="E82" s="191"/>
      <c r="F82" s="191"/>
      <c r="G82" s="191"/>
      <c r="H82" s="191"/>
      <c r="I82" s="191"/>
      <c r="J82" s="191"/>
    </row>
    <row r="83" spans="1:10" x14ac:dyDescent="0.25">
      <c r="A83" s="189"/>
      <c r="B83" s="189"/>
      <c r="C83" s="189"/>
      <c r="D83" s="191"/>
      <c r="E83" s="191"/>
      <c r="F83" s="191"/>
      <c r="G83" s="191"/>
      <c r="H83" s="191"/>
      <c r="I83" s="191"/>
      <c r="J83" s="191"/>
    </row>
    <row r="84" spans="1:10" x14ac:dyDescent="0.25">
      <c r="A84" s="189"/>
      <c r="B84" s="189"/>
      <c r="C84" s="189"/>
      <c r="D84" s="191"/>
      <c r="E84" s="191"/>
      <c r="F84" s="191"/>
      <c r="G84" s="191"/>
      <c r="H84" s="191"/>
      <c r="I84" s="191"/>
      <c r="J84" s="191"/>
    </row>
    <row r="85" spans="1:10" x14ac:dyDescent="0.25">
      <c r="A85" s="189"/>
      <c r="B85" s="189"/>
      <c r="C85" s="189"/>
      <c r="D85" s="191"/>
      <c r="E85" s="191"/>
      <c r="F85" s="191"/>
      <c r="G85" s="191"/>
      <c r="H85" s="191"/>
      <c r="I85" s="191"/>
      <c r="J85" s="191"/>
    </row>
    <row r="86" spans="1:10" x14ac:dyDescent="0.25">
      <c r="A86" s="189"/>
      <c r="B86" s="189"/>
      <c r="C86" s="189"/>
      <c r="D86" s="191"/>
      <c r="E86" s="191"/>
      <c r="F86" s="191"/>
      <c r="G86" s="191"/>
      <c r="H86" s="191"/>
      <c r="I86" s="191"/>
      <c r="J86" s="191"/>
    </row>
    <row r="87" spans="1:10" x14ac:dyDescent="0.25">
      <c r="A87" s="189"/>
      <c r="B87" s="189"/>
      <c r="C87" s="189"/>
      <c r="D87" s="191"/>
      <c r="E87" s="191"/>
      <c r="F87" s="191"/>
      <c r="G87" s="191"/>
      <c r="H87" s="191"/>
      <c r="I87" s="191"/>
      <c r="J87" s="191"/>
    </row>
    <row r="88" spans="1:10" x14ac:dyDescent="0.25">
      <c r="A88" s="189"/>
      <c r="B88" s="189"/>
      <c r="C88" s="189"/>
      <c r="D88" s="191"/>
      <c r="E88" s="191"/>
      <c r="F88" s="191"/>
      <c r="G88" s="191"/>
      <c r="H88" s="191"/>
      <c r="I88" s="191"/>
      <c r="J88" s="191"/>
    </row>
    <row r="89" spans="1:10" x14ac:dyDescent="0.25">
      <c r="A89" s="189"/>
      <c r="B89" s="189"/>
      <c r="C89" s="189"/>
      <c r="D89" s="191"/>
      <c r="E89" s="191"/>
      <c r="F89" s="191"/>
      <c r="G89" s="191"/>
      <c r="H89" s="191"/>
      <c r="I89" s="191"/>
      <c r="J89" s="191"/>
    </row>
    <row r="90" spans="1:10" x14ac:dyDescent="0.25">
      <c r="A90" s="189"/>
      <c r="B90" s="189"/>
      <c r="C90" s="189"/>
      <c r="D90" s="191"/>
      <c r="E90" s="191"/>
      <c r="F90" s="191"/>
      <c r="G90" s="191"/>
      <c r="H90" s="191"/>
      <c r="I90" s="191"/>
      <c r="J90" s="191"/>
    </row>
    <row r="91" spans="1:10" x14ac:dyDescent="0.25">
      <c r="A91" s="189"/>
      <c r="B91" s="189"/>
      <c r="C91" s="189"/>
      <c r="D91" s="191"/>
      <c r="E91" s="191"/>
      <c r="F91" s="191"/>
      <c r="G91" s="191"/>
      <c r="H91" s="191"/>
      <c r="I91" s="191"/>
      <c r="J91" s="191"/>
    </row>
    <row r="92" spans="1:10" x14ac:dyDescent="0.25">
      <c r="A92" s="189"/>
      <c r="B92" s="189"/>
      <c r="C92" s="189"/>
      <c r="D92" s="191"/>
      <c r="E92" s="191"/>
      <c r="F92" s="191"/>
      <c r="G92" s="191"/>
      <c r="H92" s="191"/>
      <c r="I92" s="191"/>
      <c r="J92" s="191"/>
    </row>
    <row r="93" spans="1:10" x14ac:dyDescent="0.25">
      <c r="A93" s="189"/>
      <c r="B93" s="189"/>
      <c r="C93" s="189"/>
      <c r="D93" s="191"/>
      <c r="E93" s="191"/>
      <c r="F93" s="191"/>
      <c r="G93" s="191"/>
      <c r="H93" s="191"/>
      <c r="I93" s="191"/>
      <c r="J93" s="191"/>
    </row>
    <row r="94" spans="1:10" x14ac:dyDescent="0.25">
      <c r="A94" s="189"/>
      <c r="B94" s="189"/>
      <c r="C94" s="189"/>
      <c r="D94" s="191"/>
      <c r="E94" s="191"/>
      <c r="F94" s="191"/>
      <c r="G94" s="191"/>
      <c r="H94" s="191"/>
      <c r="I94" s="191"/>
      <c r="J94" s="191"/>
    </row>
    <row r="95" spans="1:10" x14ac:dyDescent="0.25">
      <c r="A95" s="189"/>
      <c r="B95" s="189"/>
      <c r="C95" s="189"/>
      <c r="D95" s="191"/>
      <c r="E95" s="191"/>
      <c r="F95" s="191"/>
      <c r="G95" s="191"/>
      <c r="H95" s="191"/>
      <c r="I95" s="191"/>
      <c r="J95" s="191"/>
    </row>
    <row r="96" spans="1:10" x14ac:dyDescent="0.25">
      <c r="A96" s="189"/>
      <c r="B96" s="189"/>
      <c r="C96" s="189"/>
      <c r="D96" s="191"/>
      <c r="E96" s="191"/>
      <c r="F96" s="191"/>
      <c r="G96" s="191"/>
      <c r="H96" s="191"/>
      <c r="I96" s="191"/>
      <c r="J96" s="191"/>
    </row>
    <row r="97" spans="1:10" x14ac:dyDescent="0.25">
      <c r="A97" s="189"/>
      <c r="B97" s="189"/>
      <c r="C97" s="189"/>
      <c r="D97" s="191"/>
      <c r="E97" s="191"/>
      <c r="F97" s="191"/>
      <c r="G97" s="191"/>
      <c r="H97" s="191"/>
      <c r="I97" s="191"/>
      <c r="J97" s="191"/>
    </row>
    <row r="98" spans="1:10" x14ac:dyDescent="0.25">
      <c r="A98" s="189"/>
      <c r="B98" s="189"/>
      <c r="C98" s="189"/>
      <c r="D98" s="191"/>
      <c r="E98" s="191"/>
      <c r="F98" s="191"/>
      <c r="G98" s="191"/>
      <c r="H98" s="191"/>
      <c r="I98" s="191"/>
      <c r="J98" s="191"/>
    </row>
    <row r="99" spans="1:10" x14ac:dyDescent="0.25">
      <c r="A99" s="189"/>
      <c r="B99" s="189"/>
      <c r="C99" s="189"/>
      <c r="D99" s="191"/>
      <c r="E99" s="191"/>
      <c r="F99" s="191"/>
      <c r="G99" s="191"/>
      <c r="H99" s="191"/>
      <c r="I99" s="191"/>
      <c r="J99" s="191"/>
    </row>
    <row r="100" spans="1:10" x14ac:dyDescent="0.25">
      <c r="A100" s="189"/>
      <c r="B100" s="189"/>
      <c r="C100" s="189"/>
      <c r="D100" s="191"/>
      <c r="E100" s="191"/>
      <c r="F100" s="191"/>
      <c r="G100" s="191"/>
      <c r="H100" s="191"/>
      <c r="I100" s="191"/>
      <c r="J100" s="191"/>
    </row>
    <row r="101" spans="1:10" x14ac:dyDescent="0.25">
      <c r="A101" s="189"/>
      <c r="B101" s="189"/>
      <c r="C101" s="189"/>
      <c r="D101" s="191"/>
      <c r="E101" s="191"/>
      <c r="F101" s="191"/>
      <c r="G101" s="191"/>
      <c r="H101" s="191"/>
      <c r="I101" s="191"/>
      <c r="J101" s="191"/>
    </row>
    <row r="102" spans="1:10" x14ac:dyDescent="0.25">
      <c r="A102" s="189"/>
      <c r="B102" s="189"/>
      <c r="C102" s="189"/>
      <c r="D102" s="191"/>
      <c r="E102" s="191"/>
      <c r="F102" s="191"/>
      <c r="G102" s="191"/>
      <c r="H102" s="191"/>
      <c r="I102" s="191"/>
      <c r="J102" s="191"/>
    </row>
    <row r="103" spans="1:10" x14ac:dyDescent="0.25">
      <c r="A103" s="189"/>
      <c r="B103" s="189"/>
      <c r="C103" s="189"/>
      <c r="D103" s="191"/>
      <c r="E103" s="191"/>
      <c r="F103" s="191"/>
      <c r="G103" s="191"/>
      <c r="H103" s="191"/>
      <c r="I103" s="191"/>
      <c r="J103" s="191"/>
    </row>
    <row r="104" spans="1:10" x14ac:dyDescent="0.25">
      <c r="A104" s="189"/>
      <c r="B104" s="189"/>
      <c r="C104" s="189"/>
      <c r="D104" s="191"/>
      <c r="E104" s="191"/>
      <c r="F104" s="191"/>
      <c r="G104" s="191"/>
      <c r="H104" s="191"/>
      <c r="I104" s="191"/>
      <c r="J104" s="191"/>
    </row>
    <row r="105" spans="1:10" x14ac:dyDescent="0.25">
      <c r="A105" s="189"/>
      <c r="B105" s="189"/>
      <c r="C105" s="189"/>
      <c r="D105" s="191"/>
      <c r="E105" s="191"/>
      <c r="F105" s="191"/>
      <c r="G105" s="191"/>
      <c r="H105" s="191"/>
      <c r="I105" s="191"/>
      <c r="J105" s="191"/>
    </row>
    <row r="106" spans="1:10" x14ac:dyDescent="0.25">
      <c r="A106" s="189"/>
      <c r="B106" s="189"/>
      <c r="C106" s="189"/>
      <c r="D106" s="191"/>
      <c r="E106" s="191"/>
      <c r="F106" s="191"/>
      <c r="G106" s="191"/>
      <c r="H106" s="191"/>
      <c r="I106" s="191"/>
      <c r="J106" s="191"/>
    </row>
    <row r="107" spans="1:10" x14ac:dyDescent="0.25">
      <c r="A107" s="189"/>
      <c r="B107" s="189"/>
      <c r="C107" s="189"/>
      <c r="D107" s="191"/>
      <c r="E107" s="191"/>
      <c r="F107" s="191"/>
      <c r="G107" s="191"/>
      <c r="H107" s="191"/>
      <c r="I107" s="191"/>
      <c r="J107" s="191"/>
    </row>
    <row r="108" spans="1:10" x14ac:dyDescent="0.25">
      <c r="A108" s="189"/>
      <c r="B108" s="189"/>
      <c r="C108" s="189"/>
      <c r="D108" s="191"/>
      <c r="E108" s="191"/>
      <c r="F108" s="191"/>
      <c r="G108" s="191"/>
      <c r="H108" s="191"/>
      <c r="I108" s="191"/>
      <c r="J108" s="191"/>
    </row>
    <row r="109" spans="1:10" x14ac:dyDescent="0.25">
      <c r="A109" s="189"/>
      <c r="B109" s="189"/>
      <c r="C109" s="189"/>
      <c r="D109" s="191"/>
      <c r="E109" s="191"/>
      <c r="F109" s="191"/>
      <c r="G109" s="191"/>
      <c r="H109" s="191"/>
      <c r="I109" s="191"/>
      <c r="J109" s="191"/>
    </row>
    <row r="110" spans="1:10" x14ac:dyDescent="0.25">
      <c r="A110" s="189"/>
      <c r="B110" s="189"/>
      <c r="C110" s="189"/>
      <c r="D110" s="191"/>
      <c r="E110" s="191"/>
      <c r="F110" s="191"/>
      <c r="G110" s="191"/>
      <c r="H110" s="191"/>
      <c r="I110" s="191"/>
      <c r="J110" s="191"/>
    </row>
    <row r="111" spans="1:10" x14ac:dyDescent="0.25">
      <c r="A111" s="189"/>
      <c r="B111" s="189"/>
      <c r="C111" s="189"/>
      <c r="D111" s="191"/>
      <c r="E111" s="191"/>
      <c r="F111" s="191"/>
      <c r="G111" s="191"/>
      <c r="H111" s="191"/>
      <c r="I111" s="191"/>
      <c r="J111" s="191"/>
    </row>
    <row r="112" spans="1:10" x14ac:dyDescent="0.25">
      <c r="A112" s="189"/>
      <c r="B112" s="189"/>
      <c r="C112" s="189"/>
      <c r="D112" s="191"/>
      <c r="E112" s="191"/>
      <c r="F112" s="191"/>
      <c r="G112" s="191"/>
      <c r="H112" s="191"/>
      <c r="I112" s="191"/>
      <c r="J112" s="191"/>
    </row>
    <row r="113" spans="1:10" x14ac:dyDescent="0.25">
      <c r="A113" s="189"/>
      <c r="B113" s="189"/>
      <c r="C113" s="189"/>
      <c r="D113" s="191"/>
      <c r="E113" s="191"/>
      <c r="F113" s="191"/>
      <c r="G113" s="191"/>
      <c r="H113" s="191"/>
      <c r="I113" s="191"/>
      <c r="J113" s="191"/>
    </row>
    <row r="114" spans="1:10" x14ac:dyDescent="0.25">
      <c r="A114" s="189"/>
      <c r="B114" s="189"/>
      <c r="C114" s="189"/>
      <c r="D114" s="191"/>
      <c r="E114" s="191"/>
      <c r="F114" s="191"/>
      <c r="G114" s="191"/>
      <c r="H114" s="191"/>
      <c r="I114" s="191"/>
      <c r="J114" s="191"/>
    </row>
    <row r="115" spans="1:10" x14ac:dyDescent="0.25">
      <c r="A115" s="189"/>
      <c r="B115" s="189"/>
      <c r="C115" s="189"/>
      <c r="D115" s="191"/>
      <c r="E115" s="191"/>
      <c r="F115" s="191"/>
      <c r="G115" s="191"/>
      <c r="H115" s="191"/>
      <c r="I115" s="191"/>
      <c r="J115" s="191"/>
    </row>
    <row r="116" spans="1:10" x14ac:dyDescent="0.25">
      <c r="A116" s="189"/>
      <c r="B116" s="189"/>
      <c r="C116" s="189"/>
      <c r="D116" s="191"/>
      <c r="E116" s="191"/>
      <c r="F116" s="191"/>
      <c r="G116" s="191"/>
      <c r="H116" s="191"/>
      <c r="I116" s="191"/>
      <c r="J116" s="191"/>
    </row>
    <row r="117" spans="1:10" x14ac:dyDescent="0.25">
      <c r="A117" s="189"/>
      <c r="B117" s="189"/>
      <c r="C117" s="189"/>
      <c r="D117" s="191"/>
      <c r="E117" s="191"/>
      <c r="F117" s="191"/>
      <c r="G117" s="191"/>
      <c r="H117" s="191"/>
      <c r="I117" s="191"/>
      <c r="J117" s="191"/>
    </row>
    <row r="118" spans="1:10" x14ac:dyDescent="0.25">
      <c r="A118" s="189"/>
      <c r="B118" s="189"/>
      <c r="C118" s="189"/>
      <c r="D118" s="191"/>
      <c r="E118" s="191"/>
      <c r="F118" s="191"/>
      <c r="G118" s="191"/>
      <c r="H118" s="191"/>
      <c r="I118" s="191"/>
      <c r="J118" s="191"/>
    </row>
    <row r="119" spans="1:10" x14ac:dyDescent="0.25">
      <c r="A119" s="189"/>
      <c r="B119" s="189"/>
      <c r="C119" s="189"/>
      <c r="D119" s="191"/>
      <c r="E119" s="191"/>
      <c r="F119" s="191"/>
      <c r="G119" s="191"/>
      <c r="H119" s="191"/>
      <c r="I119" s="191"/>
      <c r="J119" s="191"/>
    </row>
    <row r="120" spans="1:10" x14ac:dyDescent="0.25">
      <c r="A120" s="189"/>
      <c r="B120" s="189"/>
      <c r="C120" s="189"/>
      <c r="D120" s="191"/>
      <c r="E120" s="191"/>
      <c r="F120" s="191"/>
      <c r="G120" s="191"/>
      <c r="H120" s="191"/>
      <c r="I120" s="191"/>
      <c r="J120" s="191"/>
    </row>
    <row r="121" spans="1:10" x14ac:dyDescent="0.25">
      <c r="A121" s="189"/>
      <c r="B121" s="189"/>
      <c r="C121" s="189"/>
      <c r="D121" s="191"/>
      <c r="E121" s="191"/>
      <c r="F121" s="191"/>
      <c r="G121" s="191"/>
      <c r="H121" s="191"/>
      <c r="I121" s="191"/>
      <c r="J121" s="191"/>
    </row>
    <row r="122" spans="1:10" x14ac:dyDescent="0.25">
      <c r="A122" s="189"/>
      <c r="B122" s="189"/>
      <c r="C122" s="189"/>
      <c r="D122" s="191"/>
      <c r="E122" s="191"/>
      <c r="F122" s="191"/>
      <c r="G122" s="191"/>
      <c r="H122" s="191"/>
      <c r="I122" s="191"/>
      <c r="J122" s="191"/>
    </row>
    <row r="123" spans="1:10" x14ac:dyDescent="0.25">
      <c r="A123" s="189"/>
      <c r="B123" s="189"/>
      <c r="C123" s="189"/>
      <c r="D123" s="191"/>
      <c r="E123" s="191"/>
      <c r="F123" s="191"/>
      <c r="G123" s="191"/>
      <c r="H123" s="191"/>
      <c r="I123" s="191"/>
      <c r="J123" s="191"/>
    </row>
    <row r="124" spans="1:10" x14ac:dyDescent="0.25">
      <c r="A124" s="189"/>
      <c r="B124" s="189"/>
      <c r="C124" s="189"/>
      <c r="D124" s="191"/>
      <c r="E124" s="191"/>
      <c r="F124" s="191"/>
      <c r="G124" s="191"/>
      <c r="H124" s="191"/>
      <c r="I124" s="191"/>
      <c r="J124" s="191"/>
    </row>
    <row r="125" spans="1:10" x14ac:dyDescent="0.25">
      <c r="A125" s="189"/>
      <c r="B125" s="189"/>
      <c r="C125" s="189"/>
      <c r="D125" s="191"/>
      <c r="E125" s="191"/>
      <c r="F125" s="191"/>
      <c r="G125" s="191"/>
      <c r="H125" s="191"/>
      <c r="I125" s="191"/>
      <c r="J125" s="191"/>
    </row>
    <row r="126" spans="1:10" x14ac:dyDescent="0.25">
      <c r="A126" s="189"/>
      <c r="B126" s="189"/>
      <c r="C126" s="189"/>
      <c r="D126" s="191"/>
      <c r="E126" s="191"/>
      <c r="F126" s="191"/>
      <c r="G126" s="191"/>
      <c r="H126" s="191"/>
      <c r="I126" s="191"/>
      <c r="J126" s="191"/>
    </row>
    <row r="127" spans="1:10" x14ac:dyDescent="0.25">
      <c r="A127" s="189"/>
      <c r="B127" s="189"/>
      <c r="C127" s="189"/>
      <c r="D127" s="191"/>
      <c r="E127" s="191"/>
      <c r="F127" s="191"/>
      <c r="G127" s="191"/>
      <c r="H127" s="191"/>
      <c r="I127" s="191"/>
      <c r="J127" s="191"/>
    </row>
    <row r="128" spans="1:10" x14ac:dyDescent="0.25">
      <c r="A128" s="189"/>
      <c r="B128" s="189"/>
      <c r="C128" s="189"/>
      <c r="D128" s="191"/>
      <c r="E128" s="191"/>
      <c r="F128" s="191"/>
      <c r="G128" s="191"/>
      <c r="H128" s="191"/>
      <c r="I128" s="191"/>
      <c r="J128" s="191"/>
    </row>
    <row r="129" spans="1:10" x14ac:dyDescent="0.25">
      <c r="A129" s="189"/>
      <c r="B129" s="189"/>
      <c r="C129" s="189"/>
      <c r="D129" s="191"/>
      <c r="E129" s="191"/>
      <c r="F129" s="191"/>
      <c r="G129" s="191"/>
      <c r="H129" s="191"/>
      <c r="I129" s="191"/>
      <c r="J129" s="191"/>
    </row>
    <row r="130" spans="1:10" x14ac:dyDescent="0.25">
      <c r="A130" s="189"/>
      <c r="B130" s="189"/>
      <c r="C130" s="189"/>
      <c r="D130" s="191"/>
      <c r="E130" s="191"/>
      <c r="F130" s="191"/>
      <c r="G130" s="191"/>
      <c r="H130" s="191"/>
      <c r="I130" s="191"/>
      <c r="J130" s="191"/>
    </row>
    <row r="131" spans="1:10" x14ac:dyDescent="0.25">
      <c r="A131" s="189"/>
      <c r="B131" s="189"/>
      <c r="C131" s="189"/>
      <c r="D131" s="191"/>
      <c r="E131" s="191"/>
      <c r="F131" s="191"/>
      <c r="G131" s="191"/>
      <c r="H131" s="191"/>
      <c r="I131" s="191"/>
      <c r="J131" s="191"/>
    </row>
    <row r="132" spans="1:10" x14ac:dyDescent="0.25">
      <c r="A132" s="189"/>
      <c r="B132" s="189"/>
      <c r="C132" s="189"/>
      <c r="D132" s="191"/>
      <c r="E132" s="191"/>
      <c r="F132" s="191"/>
      <c r="G132" s="191"/>
      <c r="H132" s="191"/>
      <c r="I132" s="191"/>
      <c r="J132" s="191"/>
    </row>
    <row r="133" spans="1:10" x14ac:dyDescent="0.25">
      <c r="A133" s="189"/>
      <c r="B133" s="189"/>
      <c r="C133" s="189"/>
      <c r="D133" s="191"/>
      <c r="E133" s="191"/>
      <c r="F133" s="191"/>
      <c r="G133" s="191"/>
      <c r="H133" s="191"/>
      <c r="I133" s="191"/>
      <c r="J133" s="191"/>
    </row>
    <row r="134" spans="1:10" x14ac:dyDescent="0.25">
      <c r="A134" s="189"/>
      <c r="B134" s="189"/>
      <c r="C134" s="189"/>
      <c r="D134" s="191"/>
      <c r="E134" s="191"/>
      <c r="F134" s="191"/>
      <c r="G134" s="191"/>
      <c r="H134" s="191"/>
      <c r="I134" s="191"/>
      <c r="J134" s="191"/>
    </row>
    <row r="135" spans="1:10" x14ac:dyDescent="0.25">
      <c r="A135" s="189"/>
      <c r="B135" s="189"/>
      <c r="C135" s="189"/>
      <c r="D135" s="191"/>
      <c r="E135" s="191"/>
      <c r="F135" s="191"/>
      <c r="G135" s="191"/>
      <c r="H135" s="191"/>
      <c r="I135" s="191"/>
      <c r="J135" s="191"/>
    </row>
    <row r="136" spans="1:10" x14ac:dyDescent="0.25">
      <c r="A136" s="189"/>
      <c r="B136" s="189"/>
      <c r="C136" s="189"/>
      <c r="D136" s="191"/>
      <c r="E136" s="191"/>
      <c r="F136" s="191"/>
      <c r="G136" s="191"/>
      <c r="H136" s="191"/>
      <c r="I136" s="191"/>
      <c r="J136" s="191"/>
    </row>
    <row r="137" spans="1:10" x14ac:dyDescent="0.25">
      <c r="A137" s="189"/>
      <c r="B137" s="189"/>
      <c r="C137" s="189"/>
      <c r="D137" s="191"/>
      <c r="E137" s="191"/>
      <c r="F137" s="191"/>
      <c r="G137" s="191"/>
      <c r="H137" s="191"/>
      <c r="I137" s="191"/>
      <c r="J137" s="191"/>
    </row>
    <row r="138" spans="1:10" x14ac:dyDescent="0.25">
      <c r="A138" s="189"/>
      <c r="B138" s="189"/>
      <c r="C138" s="189"/>
      <c r="D138" s="191"/>
      <c r="E138" s="191"/>
      <c r="F138" s="191"/>
      <c r="G138" s="191"/>
      <c r="H138" s="191"/>
      <c r="I138" s="191"/>
      <c r="J138" s="191"/>
    </row>
    <row r="139" spans="1:10" x14ac:dyDescent="0.25">
      <c r="A139" s="189"/>
      <c r="B139" s="189"/>
      <c r="C139" s="189"/>
      <c r="D139" s="191"/>
      <c r="E139" s="191"/>
      <c r="F139" s="191"/>
      <c r="G139" s="191"/>
      <c r="H139" s="191"/>
      <c r="I139" s="191"/>
      <c r="J139" s="191"/>
    </row>
    <row r="140" spans="1:10" x14ac:dyDescent="0.25">
      <c r="A140" s="189"/>
      <c r="B140" s="189"/>
      <c r="C140" s="189"/>
      <c r="D140" s="191"/>
      <c r="E140" s="191"/>
      <c r="F140" s="191"/>
      <c r="G140" s="191"/>
      <c r="H140" s="191"/>
      <c r="I140" s="191"/>
      <c r="J140" s="191"/>
    </row>
    <row r="141" spans="1:10" x14ac:dyDescent="0.25">
      <c r="A141" s="189"/>
      <c r="B141" s="189"/>
      <c r="C141" s="189"/>
      <c r="D141" s="191"/>
      <c r="E141" s="191"/>
      <c r="F141" s="191"/>
      <c r="G141" s="191"/>
      <c r="H141" s="191"/>
      <c r="I141" s="191"/>
      <c r="J141" s="191"/>
    </row>
    <row r="142" spans="1:10" x14ac:dyDescent="0.25">
      <c r="A142" s="189"/>
      <c r="B142" s="189"/>
      <c r="C142" s="189"/>
      <c r="D142" s="191"/>
      <c r="E142" s="191"/>
      <c r="F142" s="191"/>
      <c r="G142" s="191"/>
      <c r="H142" s="191"/>
      <c r="I142" s="191"/>
      <c r="J142" s="191"/>
    </row>
    <row r="143" spans="1:10" x14ac:dyDescent="0.25">
      <c r="A143" s="189"/>
      <c r="B143" s="189"/>
      <c r="C143" s="189"/>
      <c r="D143" s="191"/>
      <c r="E143" s="191"/>
      <c r="F143" s="191"/>
      <c r="G143" s="191"/>
      <c r="H143" s="191"/>
      <c r="I143" s="191"/>
      <c r="J143" s="191"/>
    </row>
    <row r="144" spans="1:10" x14ac:dyDescent="0.25">
      <c r="A144" s="189"/>
      <c r="B144" s="189"/>
      <c r="C144" s="189"/>
      <c r="D144" s="191"/>
      <c r="E144" s="191"/>
      <c r="F144" s="191"/>
      <c r="G144" s="191"/>
      <c r="H144" s="191"/>
      <c r="I144" s="191"/>
      <c r="J144" s="191"/>
    </row>
    <row r="145" spans="1:10" x14ac:dyDescent="0.25">
      <c r="A145" s="189"/>
      <c r="B145" s="189"/>
      <c r="C145" s="189"/>
      <c r="D145" s="191"/>
      <c r="E145" s="191"/>
      <c r="F145" s="191"/>
      <c r="G145" s="191"/>
      <c r="H145" s="191"/>
      <c r="I145" s="191"/>
      <c r="J145" s="191"/>
    </row>
    <row r="146" spans="1:10" x14ac:dyDescent="0.25">
      <c r="A146" s="189"/>
      <c r="B146" s="189"/>
      <c r="C146" s="189"/>
      <c r="D146" s="191"/>
      <c r="E146" s="191"/>
      <c r="F146" s="191"/>
      <c r="G146" s="191"/>
      <c r="H146" s="191"/>
      <c r="I146" s="191"/>
      <c r="J146" s="191"/>
    </row>
    <row r="147" spans="1:10" x14ac:dyDescent="0.25">
      <c r="A147" s="189"/>
      <c r="B147" s="189"/>
      <c r="C147" s="189"/>
      <c r="D147" s="191"/>
      <c r="E147" s="191"/>
      <c r="F147" s="191"/>
      <c r="G147" s="191"/>
      <c r="H147" s="191"/>
      <c r="I147" s="191"/>
      <c r="J147" s="191"/>
    </row>
    <row r="148" spans="1:10" x14ac:dyDescent="0.25">
      <c r="A148" s="189"/>
      <c r="B148" s="189"/>
      <c r="C148" s="189"/>
      <c r="D148" s="191"/>
      <c r="E148" s="191"/>
      <c r="F148" s="191"/>
      <c r="G148" s="191"/>
      <c r="H148" s="191"/>
      <c r="I148" s="191"/>
      <c r="J148" s="191"/>
    </row>
    <row r="149" spans="1:10" x14ac:dyDescent="0.25">
      <c r="A149" s="189"/>
      <c r="B149" s="189"/>
      <c r="C149" s="189"/>
      <c r="D149" s="191"/>
      <c r="E149" s="191"/>
      <c r="F149" s="191"/>
      <c r="G149" s="191"/>
      <c r="H149" s="191"/>
      <c r="I149" s="191"/>
      <c r="J149" s="191"/>
    </row>
    <row r="150" spans="1:10" x14ac:dyDescent="0.25">
      <c r="A150" s="189"/>
      <c r="B150" s="189"/>
      <c r="C150" s="189"/>
      <c r="D150" s="191"/>
      <c r="E150" s="191"/>
      <c r="F150" s="191"/>
      <c r="G150" s="191"/>
      <c r="H150" s="191"/>
      <c r="I150" s="191"/>
      <c r="J150" s="191"/>
    </row>
    <row r="151" spans="1:10" x14ac:dyDescent="0.25">
      <c r="A151" s="189"/>
      <c r="B151" s="189"/>
      <c r="C151" s="189"/>
      <c r="D151" s="191"/>
      <c r="E151" s="191"/>
      <c r="F151" s="191"/>
      <c r="G151" s="191"/>
      <c r="H151" s="191"/>
      <c r="I151" s="191"/>
      <c r="J151" s="191"/>
    </row>
    <row r="152" spans="1:10" x14ac:dyDescent="0.25">
      <c r="A152" s="189"/>
      <c r="B152" s="189"/>
      <c r="C152" s="189"/>
      <c r="D152" s="191"/>
      <c r="E152" s="191"/>
      <c r="F152" s="191"/>
      <c r="G152" s="191"/>
      <c r="H152" s="191"/>
      <c r="I152" s="191"/>
      <c r="J152" s="191"/>
    </row>
    <row r="153" spans="1:10" x14ac:dyDescent="0.25">
      <c r="A153" s="189"/>
      <c r="B153" s="189"/>
      <c r="C153" s="189"/>
      <c r="D153" s="191"/>
      <c r="E153" s="191"/>
      <c r="F153" s="191"/>
      <c r="G153" s="191"/>
      <c r="H153" s="191"/>
      <c r="I153" s="191"/>
      <c r="J153" s="191"/>
    </row>
    <row r="154" spans="1:10" x14ac:dyDescent="0.25">
      <c r="A154" s="189"/>
      <c r="B154" s="189"/>
      <c r="C154" s="189"/>
      <c r="D154" s="191"/>
      <c r="E154" s="191"/>
      <c r="F154" s="191"/>
      <c r="G154" s="191"/>
      <c r="H154" s="191"/>
      <c r="I154" s="191"/>
      <c r="J154" s="191"/>
    </row>
    <row r="155" spans="1:10" x14ac:dyDescent="0.25">
      <c r="A155" s="189"/>
      <c r="B155" s="189"/>
      <c r="C155" s="189"/>
      <c r="D155" s="191"/>
      <c r="E155" s="191"/>
      <c r="F155" s="191"/>
      <c r="G155" s="191"/>
      <c r="H155" s="191"/>
      <c r="I155" s="191"/>
      <c r="J155" s="191"/>
    </row>
    <row r="156" spans="1:10" x14ac:dyDescent="0.25">
      <c r="A156" s="189"/>
      <c r="B156" s="189"/>
      <c r="C156" s="189"/>
      <c r="D156" s="191"/>
      <c r="E156" s="191"/>
      <c r="F156" s="191"/>
      <c r="G156" s="191"/>
      <c r="H156" s="191"/>
      <c r="I156" s="191"/>
      <c r="J156" s="191"/>
    </row>
    <row r="157" spans="1:10" x14ac:dyDescent="0.25">
      <c r="A157" s="189"/>
      <c r="B157" s="189"/>
      <c r="C157" s="189"/>
      <c r="D157" s="191"/>
      <c r="E157" s="191"/>
      <c r="F157" s="191"/>
      <c r="G157" s="191"/>
      <c r="H157" s="191"/>
      <c r="I157" s="191"/>
      <c r="J157" s="191"/>
    </row>
    <row r="158" spans="1:10" x14ac:dyDescent="0.25">
      <c r="A158" s="189"/>
      <c r="B158" s="189"/>
      <c r="C158" s="189"/>
      <c r="D158" s="191"/>
      <c r="E158" s="191"/>
      <c r="F158" s="191"/>
      <c r="G158" s="191"/>
      <c r="H158" s="191"/>
      <c r="I158" s="191"/>
      <c r="J158" s="191"/>
    </row>
    <row r="159" spans="1:10" x14ac:dyDescent="0.25">
      <c r="A159" s="189"/>
      <c r="B159" s="189"/>
      <c r="C159" s="189"/>
      <c r="D159" s="191"/>
      <c r="E159" s="191"/>
      <c r="F159" s="191"/>
      <c r="G159" s="191"/>
      <c r="H159" s="191"/>
      <c r="I159" s="191"/>
      <c r="J159" s="191"/>
    </row>
    <row r="160" spans="1:10" x14ac:dyDescent="0.25">
      <c r="A160" s="189"/>
      <c r="B160" s="189"/>
      <c r="C160" s="189"/>
      <c r="D160" s="191"/>
      <c r="E160" s="191"/>
      <c r="F160" s="191"/>
      <c r="G160" s="191"/>
      <c r="H160" s="191"/>
      <c r="I160" s="191"/>
      <c r="J160" s="191"/>
    </row>
    <row r="161" spans="1:10" x14ac:dyDescent="0.25">
      <c r="A161" s="189"/>
      <c r="B161" s="189"/>
      <c r="C161" s="189"/>
      <c r="D161" s="191"/>
      <c r="E161" s="191"/>
      <c r="F161" s="191"/>
      <c r="G161" s="191"/>
      <c r="H161" s="191"/>
      <c r="I161" s="191"/>
      <c r="J161" s="191"/>
    </row>
    <row r="162" spans="1:10" x14ac:dyDescent="0.25">
      <c r="A162" s="189"/>
      <c r="B162" s="189"/>
      <c r="C162" s="189"/>
      <c r="D162" s="191"/>
      <c r="E162" s="191"/>
      <c r="F162" s="191"/>
      <c r="G162" s="191"/>
      <c r="H162" s="191"/>
      <c r="I162" s="191"/>
      <c r="J162" s="191"/>
    </row>
    <row r="163" spans="1:10" x14ac:dyDescent="0.25">
      <c r="A163" s="189"/>
      <c r="B163" s="189"/>
      <c r="C163" s="189"/>
      <c r="D163" s="191"/>
      <c r="E163" s="191"/>
      <c r="F163" s="191"/>
      <c r="G163" s="191"/>
      <c r="H163" s="191"/>
      <c r="I163" s="191"/>
      <c r="J163" s="191"/>
    </row>
    <row r="164" spans="1:10" x14ac:dyDescent="0.25">
      <c r="A164" s="189"/>
      <c r="B164" s="189"/>
      <c r="C164" s="189"/>
      <c r="D164" s="191"/>
      <c r="E164" s="191"/>
      <c r="F164" s="191"/>
      <c r="G164" s="191"/>
      <c r="H164" s="191"/>
      <c r="I164" s="191"/>
      <c r="J164" s="191"/>
    </row>
    <row r="165" spans="1:10" x14ac:dyDescent="0.25">
      <c r="A165" s="189"/>
      <c r="B165" s="189"/>
      <c r="C165" s="189"/>
      <c r="D165" s="191"/>
      <c r="E165" s="191"/>
      <c r="F165" s="191"/>
      <c r="G165" s="191"/>
      <c r="H165" s="191"/>
      <c r="I165" s="191"/>
      <c r="J165" s="191"/>
    </row>
    <row r="166" spans="1:10" x14ac:dyDescent="0.25">
      <c r="A166" s="189"/>
      <c r="B166" s="189"/>
      <c r="C166" s="189"/>
      <c r="D166" s="191"/>
      <c r="E166" s="191"/>
      <c r="F166" s="191"/>
      <c r="G166" s="191"/>
      <c r="H166" s="191"/>
      <c r="I166" s="191"/>
      <c r="J166" s="191"/>
    </row>
    <row r="167" spans="1:10" x14ac:dyDescent="0.25">
      <c r="A167" s="189"/>
      <c r="B167" s="189"/>
      <c r="C167" s="189"/>
      <c r="D167" s="191"/>
      <c r="E167" s="191"/>
      <c r="F167" s="191"/>
      <c r="G167" s="191"/>
      <c r="H167" s="191"/>
      <c r="I167" s="191"/>
      <c r="J167" s="191"/>
    </row>
    <row r="168" spans="1:10" x14ac:dyDescent="0.25">
      <c r="A168" s="189"/>
      <c r="B168" s="189"/>
      <c r="C168" s="189"/>
      <c r="D168" s="191"/>
      <c r="E168" s="191"/>
      <c r="F168" s="191"/>
      <c r="G168" s="191"/>
      <c r="H168" s="191"/>
      <c r="I168" s="191"/>
      <c r="J168" s="191"/>
    </row>
    <row r="169" spans="1:10" x14ac:dyDescent="0.25">
      <c r="A169" s="189"/>
      <c r="B169" s="189"/>
      <c r="C169" s="189"/>
      <c r="D169" s="191"/>
      <c r="E169" s="191"/>
      <c r="F169" s="191"/>
      <c r="G169" s="191"/>
      <c r="H169" s="191"/>
      <c r="I169" s="191"/>
      <c r="J169" s="191"/>
    </row>
    <row r="170" spans="1:10" x14ac:dyDescent="0.25">
      <c r="A170" s="189"/>
      <c r="B170" s="189"/>
      <c r="C170" s="189"/>
      <c r="D170" s="191"/>
      <c r="E170" s="191"/>
      <c r="F170" s="191"/>
      <c r="G170" s="191"/>
      <c r="H170" s="191"/>
      <c r="I170" s="191"/>
      <c r="J170" s="191"/>
    </row>
    <row r="171" spans="1:10" x14ac:dyDescent="0.25">
      <c r="A171" s="189"/>
      <c r="B171" s="189"/>
      <c r="C171" s="189"/>
      <c r="D171" s="191"/>
      <c r="E171" s="191"/>
      <c r="F171" s="191"/>
      <c r="G171" s="191"/>
      <c r="H171" s="191"/>
      <c r="I171" s="191"/>
      <c r="J171" s="191"/>
    </row>
    <row r="172" spans="1:10" x14ac:dyDescent="0.25">
      <c r="A172" s="189"/>
      <c r="B172" s="189"/>
      <c r="C172" s="189"/>
      <c r="D172" s="191"/>
      <c r="E172" s="191"/>
      <c r="F172" s="191"/>
      <c r="G172" s="191"/>
      <c r="H172" s="191"/>
      <c r="I172" s="191"/>
      <c r="J172" s="191"/>
    </row>
    <row r="173" spans="1:10" x14ac:dyDescent="0.25">
      <c r="A173" s="189"/>
      <c r="B173" s="189"/>
      <c r="C173" s="189"/>
      <c r="D173" s="191"/>
      <c r="E173" s="191"/>
      <c r="F173" s="191"/>
      <c r="G173" s="191"/>
      <c r="H173" s="191"/>
      <c r="I173" s="191"/>
      <c r="J173" s="191"/>
    </row>
    <row r="174" spans="1:10" x14ac:dyDescent="0.25">
      <c r="A174" s="189"/>
      <c r="B174" s="189"/>
      <c r="C174" s="189"/>
      <c r="D174" s="191"/>
      <c r="E174" s="191"/>
      <c r="F174" s="191"/>
      <c r="G174" s="191"/>
      <c r="H174" s="191"/>
      <c r="I174" s="191"/>
      <c r="J174" s="191"/>
    </row>
    <row r="175" spans="1:10" x14ac:dyDescent="0.25">
      <c r="A175" s="189"/>
      <c r="B175" s="189"/>
      <c r="C175" s="189"/>
      <c r="D175" s="191"/>
      <c r="E175" s="191"/>
      <c r="F175" s="191"/>
      <c r="G175" s="191"/>
      <c r="H175" s="191"/>
      <c r="I175" s="191"/>
      <c r="J175" s="191"/>
    </row>
    <row r="176" spans="1:10" x14ac:dyDescent="0.25">
      <c r="A176" s="189"/>
      <c r="B176" s="189"/>
      <c r="C176" s="189"/>
      <c r="D176" s="191"/>
      <c r="E176" s="191"/>
      <c r="F176" s="191"/>
      <c r="G176" s="191"/>
      <c r="H176" s="191"/>
      <c r="I176" s="191"/>
      <c r="J176" s="191"/>
    </row>
    <row r="177" spans="1:10" x14ac:dyDescent="0.25">
      <c r="A177" s="189"/>
      <c r="B177" s="189"/>
      <c r="C177" s="189"/>
      <c r="D177" s="191"/>
      <c r="E177" s="191"/>
      <c r="F177" s="191"/>
      <c r="G177" s="191"/>
      <c r="H177" s="191"/>
      <c r="I177" s="191"/>
      <c r="J177" s="191"/>
    </row>
    <row r="178" spans="1:10" x14ac:dyDescent="0.25">
      <c r="A178" s="189"/>
      <c r="B178" s="189"/>
      <c r="C178" s="189"/>
      <c r="D178" s="191"/>
      <c r="E178" s="191"/>
      <c r="F178" s="191"/>
      <c r="G178" s="191"/>
      <c r="H178" s="191"/>
      <c r="I178" s="191"/>
      <c r="J178" s="191"/>
    </row>
    <row r="179" spans="1:10" x14ac:dyDescent="0.25">
      <c r="A179" s="189"/>
      <c r="B179" s="189"/>
      <c r="C179" s="189"/>
      <c r="D179" s="191"/>
      <c r="E179" s="191"/>
      <c r="F179" s="191"/>
      <c r="G179" s="191"/>
      <c r="H179" s="191"/>
      <c r="I179" s="191"/>
      <c r="J179" s="191"/>
    </row>
    <row r="180" spans="1:10" x14ac:dyDescent="0.25">
      <c r="A180" s="189"/>
      <c r="B180" s="189"/>
      <c r="C180" s="189"/>
      <c r="D180" s="191"/>
      <c r="E180" s="191"/>
      <c r="F180" s="191"/>
      <c r="G180" s="191"/>
      <c r="H180" s="191"/>
      <c r="I180" s="191"/>
      <c r="J180" s="191"/>
    </row>
    <row r="181" spans="1:10" x14ac:dyDescent="0.25">
      <c r="A181" s="189"/>
      <c r="B181" s="189"/>
      <c r="C181" s="189"/>
      <c r="D181" s="191"/>
      <c r="E181" s="191"/>
      <c r="F181" s="191"/>
      <c r="G181" s="191"/>
      <c r="H181" s="191"/>
      <c r="I181" s="191"/>
      <c r="J181" s="191"/>
    </row>
    <row r="182" spans="1:10" x14ac:dyDescent="0.25">
      <c r="A182" s="189"/>
      <c r="B182" s="189"/>
      <c r="C182" s="189"/>
      <c r="D182" s="191"/>
      <c r="E182" s="191"/>
      <c r="F182" s="191"/>
      <c r="G182" s="191"/>
      <c r="H182" s="191"/>
      <c r="I182" s="191"/>
      <c r="J182" s="191"/>
    </row>
    <row r="183" spans="1:10" x14ac:dyDescent="0.25">
      <c r="A183" s="189"/>
      <c r="B183" s="189"/>
      <c r="C183" s="189"/>
      <c r="D183" s="191"/>
      <c r="E183" s="191"/>
      <c r="F183" s="191"/>
      <c r="G183" s="191"/>
      <c r="H183" s="191"/>
      <c r="I183" s="191"/>
      <c r="J183" s="191"/>
    </row>
    <row r="184" spans="1:10" x14ac:dyDescent="0.25">
      <c r="A184" s="189"/>
      <c r="B184" s="189"/>
      <c r="C184" s="189"/>
      <c r="D184" s="191"/>
      <c r="E184" s="191"/>
      <c r="F184" s="191"/>
      <c r="G184" s="191"/>
      <c r="H184" s="191"/>
      <c r="I184" s="191"/>
      <c r="J184" s="191"/>
    </row>
    <row r="185" spans="1:10" x14ac:dyDescent="0.25">
      <c r="A185" s="189"/>
      <c r="B185" s="189"/>
      <c r="C185" s="189"/>
      <c r="D185" s="191"/>
      <c r="E185" s="191"/>
      <c r="F185" s="191"/>
      <c r="G185" s="191"/>
      <c r="H185" s="191"/>
      <c r="I185" s="191"/>
      <c r="J185" s="191"/>
    </row>
    <row r="186" spans="1:10" x14ac:dyDescent="0.25">
      <c r="A186" s="189"/>
      <c r="B186" s="189"/>
      <c r="C186" s="189"/>
      <c r="D186" s="191"/>
      <c r="E186" s="191"/>
      <c r="F186" s="191"/>
      <c r="G186" s="191"/>
      <c r="H186" s="191"/>
      <c r="I186" s="191"/>
      <c r="J186" s="191"/>
    </row>
    <row r="187" spans="1:10" x14ac:dyDescent="0.25">
      <c r="A187" s="189"/>
      <c r="B187" s="189"/>
      <c r="C187" s="189"/>
      <c r="D187" s="191"/>
      <c r="E187" s="191"/>
      <c r="F187" s="191"/>
      <c r="G187" s="191"/>
      <c r="H187" s="191"/>
      <c r="I187" s="191"/>
      <c r="J187" s="191"/>
    </row>
    <row r="188" spans="1:10" x14ac:dyDescent="0.25">
      <c r="A188" s="189"/>
      <c r="B188" s="189"/>
      <c r="C188" s="189"/>
      <c r="D188" s="191"/>
      <c r="E188" s="191"/>
      <c r="F188" s="191"/>
      <c r="G188" s="191"/>
      <c r="H188" s="191"/>
      <c r="I188" s="191"/>
      <c r="J188" s="191"/>
    </row>
    <row r="189" spans="1:10" x14ac:dyDescent="0.25">
      <c r="A189" s="189"/>
      <c r="B189" s="189"/>
      <c r="C189" s="189"/>
      <c r="D189" s="191"/>
      <c r="E189" s="191"/>
      <c r="F189" s="191"/>
      <c r="G189" s="191"/>
      <c r="H189" s="191"/>
      <c r="I189" s="191"/>
      <c r="J189" s="191"/>
    </row>
    <row r="190" spans="1:10" x14ac:dyDescent="0.25">
      <c r="A190" s="189"/>
      <c r="B190" s="189"/>
      <c r="C190" s="189"/>
      <c r="D190" s="191"/>
      <c r="E190" s="191"/>
      <c r="F190" s="191"/>
      <c r="G190" s="191"/>
      <c r="H190" s="191"/>
      <c r="I190" s="191"/>
      <c r="J190" s="191"/>
    </row>
    <row r="191" spans="1:10" x14ac:dyDescent="0.25">
      <c r="A191" s="189"/>
      <c r="B191" s="189"/>
      <c r="C191" s="189"/>
      <c r="D191" s="191"/>
      <c r="E191" s="191"/>
      <c r="F191" s="191"/>
      <c r="G191" s="191"/>
      <c r="H191" s="191"/>
      <c r="I191" s="191"/>
      <c r="J191" s="191"/>
    </row>
    <row r="192" spans="1:10" x14ac:dyDescent="0.25">
      <c r="A192" s="189"/>
      <c r="B192" s="189"/>
      <c r="C192" s="189"/>
      <c r="D192" s="191"/>
      <c r="E192" s="191"/>
      <c r="F192" s="191"/>
      <c r="G192" s="191"/>
      <c r="H192" s="191"/>
      <c r="I192" s="191"/>
      <c r="J192" s="191"/>
    </row>
    <row r="193" spans="1:10" x14ac:dyDescent="0.25">
      <c r="A193" s="189"/>
      <c r="B193" s="189"/>
      <c r="C193" s="189"/>
      <c r="D193" s="191"/>
      <c r="E193" s="191"/>
      <c r="F193" s="191"/>
      <c r="G193" s="191"/>
      <c r="H193" s="191"/>
      <c r="I193" s="191"/>
      <c r="J193" s="191"/>
    </row>
    <row r="194" spans="1:10" x14ac:dyDescent="0.25">
      <c r="A194" s="189"/>
      <c r="B194" s="189"/>
      <c r="C194" s="189"/>
      <c r="D194" s="191"/>
      <c r="E194" s="191"/>
      <c r="F194" s="191"/>
      <c r="G194" s="191"/>
      <c r="H194" s="191"/>
      <c r="I194" s="191"/>
      <c r="J194" s="191"/>
    </row>
    <row r="195" spans="1:10" x14ac:dyDescent="0.25">
      <c r="A195" s="189"/>
      <c r="B195" s="189"/>
      <c r="C195" s="189"/>
      <c r="D195" s="191"/>
      <c r="E195" s="191"/>
      <c r="F195" s="191"/>
      <c r="G195" s="191"/>
      <c r="H195" s="191"/>
      <c r="I195" s="191"/>
      <c r="J195" s="191"/>
    </row>
    <row r="196" spans="1:10" x14ac:dyDescent="0.25">
      <c r="A196" s="189"/>
      <c r="B196" s="189"/>
      <c r="C196" s="189"/>
      <c r="D196" s="191"/>
      <c r="E196" s="191"/>
      <c r="F196" s="191"/>
      <c r="G196" s="191"/>
      <c r="H196" s="191"/>
      <c r="I196" s="191"/>
      <c r="J196" s="191"/>
    </row>
    <row r="197" spans="1:10" x14ac:dyDescent="0.25">
      <c r="A197" s="189"/>
      <c r="B197" s="189"/>
      <c r="C197" s="189"/>
      <c r="D197" s="191"/>
      <c r="E197" s="191"/>
      <c r="F197" s="191"/>
      <c r="G197" s="191"/>
      <c r="H197" s="191"/>
      <c r="I197" s="191"/>
      <c r="J197" s="191"/>
    </row>
    <row r="198" spans="1:10" x14ac:dyDescent="0.25">
      <c r="A198" s="189"/>
      <c r="B198" s="189"/>
      <c r="C198" s="189"/>
      <c r="D198" s="191"/>
      <c r="E198" s="191"/>
      <c r="F198" s="191"/>
      <c r="G198" s="191"/>
      <c r="H198" s="191"/>
      <c r="I198" s="191"/>
      <c r="J198" s="191"/>
    </row>
    <row r="199" spans="1:10" x14ac:dyDescent="0.25">
      <c r="A199" s="189"/>
      <c r="B199" s="189"/>
      <c r="C199" s="189"/>
      <c r="D199" s="191"/>
      <c r="E199" s="191"/>
      <c r="F199" s="191"/>
      <c r="G199" s="191"/>
      <c r="H199" s="191"/>
      <c r="I199" s="191"/>
      <c r="J199" s="191"/>
    </row>
    <row r="200" spans="1:10" x14ac:dyDescent="0.25">
      <c r="A200" s="189"/>
      <c r="B200" s="189"/>
      <c r="C200" s="189"/>
      <c r="D200" s="191"/>
      <c r="E200" s="191"/>
      <c r="F200" s="191"/>
      <c r="G200" s="191"/>
      <c r="H200" s="191"/>
      <c r="I200" s="191"/>
      <c r="J200" s="191"/>
    </row>
    <row r="201" spans="1:10" x14ac:dyDescent="0.25">
      <c r="A201" s="189"/>
      <c r="B201" s="189"/>
      <c r="C201" s="189"/>
      <c r="D201" s="191"/>
      <c r="E201" s="191"/>
      <c r="F201" s="191"/>
      <c r="G201" s="191"/>
      <c r="H201" s="191"/>
      <c r="I201" s="191"/>
      <c r="J201" s="191"/>
    </row>
    <row r="202" spans="1:10" x14ac:dyDescent="0.25">
      <c r="A202" s="189"/>
      <c r="B202" s="189"/>
      <c r="C202" s="189"/>
      <c r="D202" s="191"/>
      <c r="E202" s="191"/>
      <c r="F202" s="191"/>
      <c r="G202" s="191"/>
      <c r="H202" s="191"/>
      <c r="I202" s="191"/>
      <c r="J202" s="191"/>
    </row>
    <row r="203" spans="1:10" x14ac:dyDescent="0.25">
      <c r="A203" s="189"/>
      <c r="B203" s="189"/>
      <c r="C203" s="189"/>
      <c r="D203" s="191"/>
      <c r="E203" s="191"/>
      <c r="F203" s="191"/>
      <c r="G203" s="191"/>
      <c r="H203" s="191"/>
      <c r="I203" s="191"/>
      <c r="J203" s="191"/>
    </row>
    <row r="204" spans="1:10" x14ac:dyDescent="0.25">
      <c r="A204" s="189"/>
      <c r="B204" s="189"/>
      <c r="C204" s="189"/>
      <c r="D204" s="191"/>
      <c r="E204" s="191"/>
      <c r="F204" s="191"/>
      <c r="G204" s="191"/>
      <c r="H204" s="191"/>
      <c r="I204" s="191"/>
      <c r="J204" s="191"/>
    </row>
    <row r="205" spans="1:10" x14ac:dyDescent="0.25">
      <c r="A205" s="189"/>
      <c r="B205" s="189"/>
      <c r="C205" s="189"/>
      <c r="D205" s="191"/>
      <c r="E205" s="191"/>
      <c r="F205" s="191"/>
      <c r="G205" s="191"/>
      <c r="H205" s="191"/>
      <c r="I205" s="191"/>
      <c r="J205" s="191"/>
    </row>
    <row r="206" spans="1:10" x14ac:dyDescent="0.25">
      <c r="A206" s="189"/>
      <c r="B206" s="189"/>
      <c r="C206" s="189"/>
      <c r="D206" s="191"/>
      <c r="E206" s="191"/>
      <c r="F206" s="191"/>
      <c r="G206" s="191"/>
      <c r="H206" s="191"/>
      <c r="I206" s="191"/>
      <c r="J206" s="191"/>
    </row>
    <row r="207" spans="1:10" x14ac:dyDescent="0.25">
      <c r="A207" s="189"/>
      <c r="B207" s="189"/>
      <c r="C207" s="189"/>
      <c r="D207" s="191"/>
      <c r="E207" s="191"/>
      <c r="F207" s="191"/>
      <c r="G207" s="191"/>
      <c r="H207" s="191"/>
      <c r="I207" s="191"/>
      <c r="J207" s="191"/>
    </row>
    <row r="208" spans="1:10" x14ac:dyDescent="0.25">
      <c r="A208" s="189"/>
      <c r="B208" s="189"/>
      <c r="C208" s="189"/>
      <c r="D208" s="191"/>
      <c r="E208" s="191"/>
      <c r="F208" s="191"/>
      <c r="G208" s="191"/>
      <c r="H208" s="191"/>
      <c r="I208" s="191"/>
      <c r="J208" s="191"/>
    </row>
    <row r="209" spans="1:10" x14ac:dyDescent="0.25">
      <c r="A209" s="189"/>
      <c r="B209" s="189"/>
      <c r="C209" s="189"/>
      <c r="D209" s="191"/>
      <c r="E209" s="191"/>
      <c r="F209" s="191"/>
      <c r="G209" s="191"/>
      <c r="H209" s="191"/>
      <c r="I209" s="191"/>
      <c r="J209" s="191"/>
    </row>
    <row r="210" spans="1:10" x14ac:dyDescent="0.25">
      <c r="A210" s="189"/>
      <c r="B210" s="189"/>
      <c r="C210" s="189"/>
      <c r="D210" s="191"/>
      <c r="E210" s="191"/>
      <c r="F210" s="191"/>
      <c r="G210" s="191"/>
      <c r="H210" s="191"/>
      <c r="I210" s="191"/>
      <c r="J210" s="191"/>
    </row>
    <row r="211" spans="1:10" x14ac:dyDescent="0.25">
      <c r="A211" s="189"/>
      <c r="B211" s="189"/>
      <c r="C211" s="189"/>
      <c r="D211" s="191"/>
      <c r="E211" s="191"/>
      <c r="F211" s="191"/>
      <c r="G211" s="191"/>
      <c r="H211" s="191"/>
      <c r="I211" s="191"/>
      <c r="J211" s="191"/>
    </row>
    <row r="212" spans="1:10" x14ac:dyDescent="0.25">
      <c r="A212" s="189"/>
      <c r="B212" s="189"/>
      <c r="C212" s="189"/>
      <c r="D212" s="191"/>
      <c r="E212" s="191"/>
      <c r="F212" s="191"/>
      <c r="G212" s="191"/>
      <c r="H212" s="191"/>
      <c r="I212" s="191"/>
      <c r="J212" s="191"/>
    </row>
    <row r="213" spans="1:10" x14ac:dyDescent="0.25">
      <c r="A213" s="189"/>
      <c r="B213" s="189"/>
      <c r="C213" s="189"/>
      <c r="D213" s="191"/>
      <c r="E213" s="191"/>
      <c r="F213" s="191"/>
      <c r="G213" s="191"/>
      <c r="H213" s="191"/>
      <c r="I213" s="191"/>
      <c r="J213" s="191"/>
    </row>
    <row r="214" spans="1:10" x14ac:dyDescent="0.25">
      <c r="A214" s="189"/>
      <c r="B214" s="189"/>
      <c r="C214" s="189"/>
      <c r="D214" s="191"/>
      <c r="E214" s="191"/>
      <c r="F214" s="191"/>
      <c r="G214" s="191"/>
      <c r="H214" s="191"/>
      <c r="I214" s="191"/>
      <c r="J214" s="191"/>
    </row>
    <row r="215" spans="1:10" x14ac:dyDescent="0.25">
      <c r="A215" s="189"/>
      <c r="B215" s="189"/>
      <c r="C215" s="189"/>
      <c r="D215" s="191"/>
      <c r="E215" s="191"/>
      <c r="F215" s="191"/>
      <c r="G215" s="191"/>
      <c r="H215" s="191"/>
      <c r="I215" s="191"/>
      <c r="J215" s="191"/>
    </row>
    <row r="216" spans="1:10" x14ac:dyDescent="0.25">
      <c r="A216" s="189"/>
      <c r="B216" s="189"/>
      <c r="C216" s="189"/>
      <c r="D216" s="191"/>
      <c r="E216" s="191"/>
      <c r="F216" s="191"/>
      <c r="G216" s="191"/>
      <c r="H216" s="191"/>
      <c r="I216" s="191"/>
      <c r="J216" s="191"/>
    </row>
    <row r="217" spans="1:10" x14ac:dyDescent="0.25">
      <c r="A217" s="189"/>
      <c r="B217" s="189"/>
      <c r="C217" s="189"/>
      <c r="D217" s="191"/>
      <c r="E217" s="191"/>
      <c r="F217" s="191"/>
      <c r="G217" s="191"/>
      <c r="H217" s="191"/>
      <c r="I217" s="191"/>
      <c r="J217" s="191"/>
    </row>
    <row r="218" spans="1:10" x14ac:dyDescent="0.25">
      <c r="A218" s="189"/>
      <c r="B218" s="189"/>
      <c r="C218" s="189"/>
      <c r="D218" s="191"/>
      <c r="E218" s="191"/>
      <c r="F218" s="191"/>
      <c r="G218" s="191"/>
      <c r="H218" s="191"/>
      <c r="I218" s="191"/>
      <c r="J218" s="191"/>
    </row>
    <row r="219" spans="1:10" x14ac:dyDescent="0.25">
      <c r="A219" s="189"/>
      <c r="B219" s="189"/>
      <c r="C219" s="189"/>
      <c r="D219" s="191"/>
      <c r="E219" s="191"/>
      <c r="F219" s="191"/>
      <c r="G219" s="191"/>
      <c r="H219" s="191"/>
      <c r="I219" s="191"/>
      <c r="J219" s="191"/>
    </row>
    <row r="220" spans="1:10" x14ac:dyDescent="0.25">
      <c r="A220" s="189"/>
      <c r="B220" s="189"/>
      <c r="C220" s="189"/>
      <c r="D220" s="191"/>
      <c r="E220" s="191"/>
      <c r="F220" s="191"/>
      <c r="G220" s="191"/>
      <c r="H220" s="191"/>
      <c r="I220" s="191"/>
      <c r="J220" s="191"/>
    </row>
    <row r="221" spans="1:10" x14ac:dyDescent="0.25">
      <c r="A221" s="189"/>
      <c r="B221" s="189"/>
      <c r="C221" s="189"/>
      <c r="D221" s="191"/>
      <c r="E221" s="191"/>
      <c r="F221" s="191"/>
      <c r="G221" s="191"/>
      <c r="H221" s="191"/>
      <c r="I221" s="191"/>
      <c r="J221" s="191"/>
    </row>
    <row r="222" spans="1:10" x14ac:dyDescent="0.25">
      <c r="A222" s="189"/>
      <c r="B222" s="189"/>
      <c r="C222" s="189"/>
      <c r="D222" s="191"/>
      <c r="E222" s="191"/>
      <c r="F222" s="191"/>
      <c r="G222" s="191"/>
      <c r="H222" s="191"/>
      <c r="I222" s="191"/>
      <c r="J222" s="191"/>
    </row>
    <row r="223" spans="1:10" x14ac:dyDescent="0.25">
      <c r="A223" s="189"/>
      <c r="B223" s="189"/>
      <c r="C223" s="189"/>
      <c r="D223" s="191"/>
      <c r="E223" s="191"/>
      <c r="F223" s="191"/>
      <c r="G223" s="191"/>
      <c r="H223" s="191"/>
      <c r="I223" s="191"/>
      <c r="J223" s="191"/>
    </row>
    <row r="224" spans="1:10" x14ac:dyDescent="0.25">
      <c r="A224" s="189"/>
      <c r="B224" s="189"/>
      <c r="C224" s="189"/>
      <c r="D224" s="191"/>
      <c r="E224" s="191"/>
      <c r="F224" s="191"/>
      <c r="G224" s="191"/>
      <c r="H224" s="191"/>
      <c r="I224" s="191"/>
      <c r="J224" s="191"/>
    </row>
    <row r="225" spans="1:10" x14ac:dyDescent="0.25">
      <c r="A225" s="189"/>
      <c r="B225" s="189"/>
      <c r="C225" s="189"/>
      <c r="D225" s="191"/>
      <c r="E225" s="191"/>
      <c r="F225" s="191"/>
      <c r="G225" s="191"/>
      <c r="H225" s="191"/>
      <c r="I225" s="191"/>
      <c r="J225" s="191"/>
    </row>
    <row r="226" spans="1:10" x14ac:dyDescent="0.25">
      <c r="A226" s="189"/>
      <c r="B226" s="189"/>
      <c r="C226" s="189"/>
      <c r="D226" s="191"/>
      <c r="E226" s="191"/>
      <c r="F226" s="191"/>
      <c r="G226" s="191"/>
      <c r="H226" s="191"/>
      <c r="I226" s="191"/>
      <c r="J226" s="191"/>
    </row>
    <row r="227" spans="1:10" x14ac:dyDescent="0.25">
      <c r="A227" s="189"/>
      <c r="B227" s="189"/>
      <c r="C227" s="189"/>
      <c r="D227" s="191"/>
      <c r="E227" s="191"/>
      <c r="F227" s="191"/>
      <c r="G227" s="191"/>
      <c r="H227" s="191"/>
      <c r="I227" s="191"/>
      <c r="J227" s="191"/>
    </row>
    <row r="228" spans="1:10" x14ac:dyDescent="0.25">
      <c r="A228" s="189"/>
      <c r="B228" s="189"/>
      <c r="C228" s="189"/>
      <c r="D228" s="191"/>
      <c r="E228" s="191"/>
      <c r="F228" s="191"/>
      <c r="G228" s="191"/>
      <c r="H228" s="191"/>
      <c r="I228" s="191"/>
      <c r="J228" s="191"/>
    </row>
    <row r="229" spans="1:10" x14ac:dyDescent="0.25">
      <c r="A229" s="189"/>
      <c r="B229" s="189"/>
      <c r="C229" s="189"/>
      <c r="D229" s="191"/>
      <c r="E229" s="191"/>
      <c r="F229" s="191"/>
      <c r="G229" s="191"/>
      <c r="H229" s="191"/>
      <c r="I229" s="191"/>
      <c r="J229" s="191"/>
    </row>
    <row r="230" spans="1:10" x14ac:dyDescent="0.25">
      <c r="A230" s="189"/>
      <c r="B230" s="189"/>
      <c r="C230" s="189"/>
      <c r="D230" s="191"/>
      <c r="E230" s="191"/>
      <c r="F230" s="191"/>
      <c r="G230" s="191"/>
      <c r="H230" s="191"/>
      <c r="I230" s="191"/>
      <c r="J230" s="191"/>
    </row>
    <row r="231" spans="1:10" x14ac:dyDescent="0.25">
      <c r="A231" s="189"/>
      <c r="B231" s="189"/>
      <c r="C231" s="189"/>
      <c r="D231" s="191"/>
      <c r="E231" s="191"/>
      <c r="F231" s="191"/>
      <c r="G231" s="191"/>
      <c r="H231" s="191"/>
      <c r="I231" s="191"/>
      <c r="J231" s="191"/>
    </row>
    <row r="232" spans="1:10" x14ac:dyDescent="0.25">
      <c r="A232" s="189"/>
      <c r="B232" s="189"/>
      <c r="C232" s="189"/>
      <c r="D232" s="191"/>
      <c r="E232" s="191"/>
      <c r="F232" s="191"/>
      <c r="G232" s="191"/>
      <c r="H232" s="191"/>
      <c r="I232" s="191"/>
      <c r="J232" s="191"/>
    </row>
    <row r="233" spans="1:10" x14ac:dyDescent="0.25">
      <c r="A233" s="189"/>
      <c r="B233" s="189"/>
      <c r="C233" s="189"/>
      <c r="D233" s="191"/>
      <c r="E233" s="191"/>
      <c r="F233" s="191"/>
      <c r="G233" s="191"/>
      <c r="H233" s="191"/>
      <c r="I233" s="191"/>
      <c r="J233" s="191"/>
    </row>
    <row r="234" spans="1:10" x14ac:dyDescent="0.25">
      <c r="A234" s="189"/>
      <c r="B234" s="189"/>
      <c r="C234" s="189"/>
      <c r="D234" s="191"/>
      <c r="E234" s="191"/>
      <c r="F234" s="191"/>
      <c r="G234" s="191"/>
      <c r="H234" s="191"/>
      <c r="I234" s="191"/>
      <c r="J234" s="191"/>
    </row>
    <row r="235" spans="1:10" x14ac:dyDescent="0.25">
      <c r="A235" s="189"/>
      <c r="B235" s="189"/>
      <c r="C235" s="189"/>
      <c r="D235" s="191"/>
      <c r="E235" s="191"/>
      <c r="F235" s="191"/>
      <c r="G235" s="191"/>
      <c r="H235" s="191"/>
      <c r="I235" s="191"/>
      <c r="J235" s="191"/>
    </row>
    <row r="236" spans="1:10" x14ac:dyDescent="0.25">
      <c r="A236" s="189"/>
      <c r="B236" s="189"/>
      <c r="C236" s="189"/>
      <c r="D236" s="191"/>
      <c r="E236" s="191"/>
      <c r="F236" s="191"/>
      <c r="G236" s="191"/>
      <c r="H236" s="191"/>
      <c r="I236" s="191"/>
      <c r="J236" s="191"/>
    </row>
    <row r="237" spans="1:10" x14ac:dyDescent="0.25">
      <c r="A237" s="189"/>
      <c r="B237" s="189"/>
      <c r="C237" s="189"/>
      <c r="D237" s="191"/>
      <c r="E237" s="191"/>
      <c r="F237" s="191"/>
      <c r="G237" s="191"/>
      <c r="H237" s="191"/>
      <c r="I237" s="191"/>
      <c r="J237" s="191"/>
    </row>
    <row r="238" spans="1:10" x14ac:dyDescent="0.25">
      <c r="A238" s="189"/>
      <c r="B238" s="189"/>
      <c r="C238" s="189"/>
      <c r="D238" s="191"/>
      <c r="E238" s="191"/>
      <c r="F238" s="191"/>
      <c r="G238" s="191"/>
      <c r="H238" s="191"/>
      <c r="I238" s="191"/>
      <c r="J238" s="191"/>
    </row>
    <row r="239" spans="1:10" x14ac:dyDescent="0.25">
      <c r="A239" s="189"/>
      <c r="B239" s="189"/>
      <c r="C239" s="189"/>
      <c r="D239" s="191"/>
      <c r="E239" s="191"/>
      <c r="F239" s="191"/>
      <c r="G239" s="191"/>
      <c r="H239" s="191"/>
      <c r="I239" s="191"/>
      <c r="J239" s="191"/>
    </row>
    <row r="240" spans="1:10" x14ac:dyDescent="0.25">
      <c r="A240" s="189"/>
      <c r="B240" s="189"/>
      <c r="C240" s="189"/>
      <c r="D240" s="191"/>
      <c r="E240" s="191"/>
      <c r="F240" s="191"/>
      <c r="G240" s="191"/>
      <c r="H240" s="191"/>
      <c r="I240" s="191"/>
      <c r="J240" s="191"/>
    </row>
    <row r="241" spans="1:10" x14ac:dyDescent="0.25">
      <c r="A241" s="189"/>
      <c r="B241" s="189"/>
      <c r="C241" s="189"/>
      <c r="D241" s="191"/>
      <c r="E241" s="191"/>
      <c r="F241" s="191"/>
      <c r="G241" s="191"/>
      <c r="H241" s="191"/>
      <c r="I241" s="191"/>
      <c r="J241" s="191"/>
    </row>
    <row r="242" spans="1:10" x14ac:dyDescent="0.25">
      <c r="A242" s="189"/>
      <c r="B242" s="189"/>
      <c r="C242" s="189"/>
      <c r="D242" s="191"/>
      <c r="E242" s="191"/>
      <c r="F242" s="191"/>
      <c r="G242" s="191"/>
      <c r="H242" s="191"/>
      <c r="I242" s="191"/>
      <c r="J242" s="191"/>
    </row>
    <row r="243" spans="1:10" x14ac:dyDescent="0.25">
      <c r="A243" s="189"/>
      <c r="B243" s="189"/>
      <c r="C243" s="189"/>
      <c r="D243" s="191"/>
      <c r="E243" s="191"/>
      <c r="F243" s="191"/>
      <c r="G243" s="191"/>
      <c r="H243" s="191"/>
      <c r="I243" s="191"/>
      <c r="J243" s="191"/>
    </row>
    <row r="244" spans="1:10" x14ac:dyDescent="0.25">
      <c r="A244" s="189"/>
      <c r="B244" s="189"/>
      <c r="C244" s="189"/>
      <c r="D244" s="191"/>
      <c r="E244" s="191"/>
      <c r="F244" s="191"/>
      <c r="G244" s="191"/>
      <c r="H244" s="191"/>
      <c r="I244" s="191"/>
      <c r="J244" s="191"/>
    </row>
    <row r="245" spans="1:10" x14ac:dyDescent="0.25">
      <c r="A245" s="189"/>
      <c r="B245" s="189"/>
      <c r="C245" s="189"/>
      <c r="D245" s="191"/>
      <c r="E245" s="191"/>
      <c r="F245" s="191"/>
      <c r="G245" s="191"/>
      <c r="H245" s="191"/>
      <c r="I245" s="191"/>
      <c r="J245" s="191"/>
    </row>
    <row r="246" spans="1:10" x14ac:dyDescent="0.25">
      <c r="A246" s="189"/>
      <c r="B246" s="189"/>
      <c r="C246" s="189"/>
      <c r="D246" s="191"/>
      <c r="E246" s="191"/>
      <c r="F246" s="191"/>
      <c r="G246" s="191"/>
      <c r="H246" s="191"/>
      <c r="I246" s="191"/>
      <c r="J246" s="191"/>
    </row>
    <row r="247" spans="1:10" x14ac:dyDescent="0.25">
      <c r="A247" s="189"/>
      <c r="B247" s="189"/>
      <c r="C247" s="189"/>
      <c r="D247" s="191"/>
      <c r="E247" s="191"/>
      <c r="F247" s="191"/>
      <c r="G247" s="191"/>
      <c r="H247" s="191"/>
      <c r="I247" s="191"/>
      <c r="J247" s="191"/>
    </row>
    <row r="248" spans="1:10" x14ac:dyDescent="0.25">
      <c r="A248" s="189"/>
      <c r="B248" s="189"/>
      <c r="C248" s="189"/>
      <c r="D248" s="191"/>
      <c r="E248" s="191"/>
      <c r="F248" s="191"/>
      <c r="G248" s="191"/>
      <c r="H248" s="191"/>
      <c r="I248" s="191"/>
      <c r="J248" s="191"/>
    </row>
    <row r="249" spans="1:10" x14ac:dyDescent="0.25">
      <c r="A249" s="189"/>
      <c r="B249" s="189"/>
      <c r="C249" s="189"/>
      <c r="D249" s="191"/>
      <c r="E249" s="191"/>
      <c r="F249" s="191"/>
      <c r="G249" s="191"/>
      <c r="H249" s="191"/>
      <c r="I249" s="191"/>
      <c r="J249" s="191"/>
    </row>
    <row r="250" spans="1:10" x14ac:dyDescent="0.25">
      <c r="A250" s="189"/>
      <c r="B250" s="189"/>
      <c r="C250" s="189"/>
      <c r="D250" s="191"/>
      <c r="E250" s="191"/>
      <c r="F250" s="191"/>
      <c r="G250" s="191"/>
      <c r="H250" s="191"/>
      <c r="I250" s="191"/>
      <c r="J250" s="191"/>
    </row>
    <row r="251" spans="1:10" x14ac:dyDescent="0.25">
      <c r="A251" s="189"/>
      <c r="B251" s="189"/>
      <c r="C251" s="189"/>
      <c r="D251" s="191"/>
      <c r="E251" s="191"/>
      <c r="F251" s="191"/>
      <c r="G251" s="191"/>
      <c r="H251" s="191"/>
      <c r="I251" s="191"/>
      <c r="J251" s="191"/>
    </row>
    <row r="252" spans="1:10" x14ac:dyDescent="0.25">
      <c r="A252" s="189"/>
      <c r="B252" s="189"/>
      <c r="C252" s="189"/>
      <c r="D252" s="191"/>
      <c r="E252" s="191"/>
      <c r="F252" s="191"/>
      <c r="G252" s="191"/>
      <c r="H252" s="191"/>
      <c r="I252" s="191"/>
      <c r="J252" s="191"/>
    </row>
    <row r="253" spans="1:10" x14ac:dyDescent="0.25">
      <c r="A253" s="189"/>
      <c r="B253" s="189"/>
      <c r="C253" s="189"/>
      <c r="D253" s="191"/>
      <c r="E253" s="191"/>
      <c r="F253" s="191"/>
      <c r="G253" s="191"/>
      <c r="H253" s="191"/>
      <c r="I253" s="191"/>
      <c r="J253" s="191"/>
    </row>
    <row r="254" spans="1:10" x14ac:dyDescent="0.25">
      <c r="A254" s="189"/>
      <c r="B254" s="189"/>
      <c r="C254" s="189"/>
      <c r="D254" s="191"/>
      <c r="E254" s="191"/>
      <c r="F254" s="191"/>
      <c r="G254" s="191"/>
      <c r="H254" s="191"/>
      <c r="I254" s="191"/>
      <c r="J254" s="191"/>
    </row>
    <row r="255" spans="1:10" x14ac:dyDescent="0.25">
      <c r="A255" s="189"/>
      <c r="B255" s="189"/>
      <c r="C255" s="189"/>
      <c r="D255" s="191"/>
      <c r="E255" s="191"/>
      <c r="F255" s="191"/>
      <c r="G255" s="191"/>
      <c r="H255" s="191"/>
      <c r="I255" s="191"/>
      <c r="J255" s="191"/>
    </row>
    <row r="256" spans="1:10" x14ac:dyDescent="0.25">
      <c r="A256" s="189"/>
      <c r="B256" s="189"/>
      <c r="C256" s="189"/>
      <c r="D256" s="191"/>
      <c r="E256" s="191"/>
      <c r="F256" s="191"/>
      <c r="G256" s="191"/>
      <c r="H256" s="191"/>
      <c r="I256" s="191"/>
      <c r="J256" s="191"/>
    </row>
    <row r="257" spans="1:10" x14ac:dyDescent="0.25">
      <c r="A257" s="189"/>
      <c r="B257" s="189"/>
      <c r="C257" s="189"/>
      <c r="D257" s="191"/>
      <c r="E257" s="191"/>
      <c r="F257" s="191"/>
      <c r="G257" s="191"/>
      <c r="H257" s="191"/>
      <c r="I257" s="191"/>
      <c r="J257" s="191"/>
    </row>
    <row r="258" spans="1:10" x14ac:dyDescent="0.25">
      <c r="A258" s="189"/>
      <c r="B258" s="189"/>
      <c r="C258" s="189"/>
      <c r="D258" s="191"/>
      <c r="E258" s="191"/>
      <c r="F258" s="191"/>
      <c r="G258" s="191"/>
      <c r="H258" s="191"/>
      <c r="I258" s="191"/>
      <c r="J258" s="191"/>
    </row>
    <row r="259" spans="1:10" x14ac:dyDescent="0.25">
      <c r="A259" s="189"/>
      <c r="B259" s="189"/>
      <c r="C259" s="189"/>
      <c r="D259" s="191"/>
      <c r="E259" s="191"/>
      <c r="F259" s="191"/>
      <c r="G259" s="191"/>
      <c r="H259" s="191"/>
      <c r="I259" s="191"/>
      <c r="J259" s="191"/>
    </row>
    <row r="260" spans="1:10" x14ac:dyDescent="0.25">
      <c r="A260" s="189"/>
      <c r="B260" s="189"/>
      <c r="C260" s="189"/>
      <c r="D260" s="191"/>
      <c r="E260" s="191"/>
      <c r="F260" s="191"/>
      <c r="G260" s="191"/>
      <c r="H260" s="191"/>
      <c r="I260" s="191"/>
      <c r="J260" s="191"/>
    </row>
    <row r="261" spans="1:10" x14ac:dyDescent="0.25">
      <c r="A261" s="189"/>
      <c r="B261" s="189"/>
      <c r="C261" s="189"/>
      <c r="D261" s="191"/>
      <c r="E261" s="191"/>
      <c r="F261" s="191"/>
      <c r="G261" s="191"/>
      <c r="H261" s="191"/>
      <c r="I261" s="191"/>
      <c r="J261" s="191"/>
    </row>
    <row r="262" spans="1:10" x14ac:dyDescent="0.25">
      <c r="A262" s="189"/>
      <c r="B262" s="189"/>
      <c r="C262" s="189"/>
      <c r="D262" s="191"/>
      <c r="E262" s="191"/>
      <c r="F262" s="191"/>
      <c r="G262" s="191"/>
      <c r="H262" s="191"/>
      <c r="I262" s="191"/>
      <c r="J262" s="191"/>
    </row>
    <row r="263" spans="1:10" x14ac:dyDescent="0.25">
      <c r="A263" s="189"/>
      <c r="B263" s="189"/>
      <c r="C263" s="189"/>
      <c r="D263" s="191"/>
      <c r="E263" s="191"/>
      <c r="F263" s="191"/>
      <c r="G263" s="191"/>
      <c r="H263" s="191"/>
      <c r="I263" s="191"/>
      <c r="J263" s="191"/>
    </row>
    <row r="264" spans="1:10" x14ac:dyDescent="0.25">
      <c r="A264" s="189"/>
      <c r="B264" s="189"/>
      <c r="C264" s="189"/>
      <c r="D264" s="191"/>
      <c r="E264" s="191"/>
      <c r="F264" s="191"/>
      <c r="G264" s="191"/>
      <c r="H264" s="191"/>
      <c r="I264" s="191"/>
      <c r="J264" s="191"/>
    </row>
    <row r="265" spans="1:10" x14ac:dyDescent="0.25">
      <c r="A265" s="189"/>
      <c r="B265" s="189"/>
      <c r="C265" s="189"/>
      <c r="D265" s="191"/>
      <c r="E265" s="191"/>
      <c r="F265" s="191"/>
      <c r="G265" s="191"/>
      <c r="H265" s="191"/>
      <c r="I265" s="191"/>
      <c r="J265" s="191"/>
    </row>
    <row r="266" spans="1:10" x14ac:dyDescent="0.25">
      <c r="A266" s="189"/>
      <c r="B266" s="189"/>
      <c r="C266" s="189"/>
      <c r="D266" s="191"/>
      <c r="E266" s="191"/>
      <c r="F266" s="191"/>
      <c r="G266" s="191"/>
      <c r="H266" s="191"/>
      <c r="I266" s="191"/>
      <c r="J266" s="191"/>
    </row>
    <row r="267" spans="1:10" x14ac:dyDescent="0.25">
      <c r="A267" s="189"/>
      <c r="B267" s="189"/>
      <c r="C267" s="189"/>
      <c r="D267" s="191"/>
      <c r="E267" s="191"/>
      <c r="F267" s="191"/>
      <c r="G267" s="191"/>
      <c r="H267" s="191"/>
      <c r="I267" s="191"/>
      <c r="J267" s="191"/>
    </row>
    <row r="268" spans="1:10" x14ac:dyDescent="0.25">
      <c r="A268" s="189"/>
      <c r="B268" s="189"/>
      <c r="C268" s="189"/>
      <c r="D268" s="191"/>
      <c r="E268" s="191"/>
      <c r="F268" s="191"/>
      <c r="G268" s="191"/>
      <c r="H268" s="191"/>
      <c r="I268" s="191"/>
      <c r="J268" s="191"/>
    </row>
    <row r="269" spans="1:10" x14ac:dyDescent="0.25">
      <c r="A269" s="189"/>
      <c r="B269" s="189"/>
      <c r="C269" s="189"/>
      <c r="D269" s="191"/>
      <c r="E269" s="191"/>
      <c r="F269" s="191"/>
      <c r="G269" s="191"/>
      <c r="H269" s="191"/>
      <c r="I269" s="191"/>
      <c r="J269" s="191"/>
    </row>
    <row r="270" spans="1:10" x14ac:dyDescent="0.25">
      <c r="A270" s="189"/>
      <c r="B270" s="189"/>
      <c r="C270" s="189"/>
      <c r="D270" s="191"/>
      <c r="E270" s="191"/>
      <c r="F270" s="191"/>
      <c r="G270" s="191"/>
      <c r="H270" s="191"/>
      <c r="I270" s="191"/>
      <c r="J270" s="191"/>
    </row>
    <row r="271" spans="1:10" x14ac:dyDescent="0.25">
      <c r="A271" s="189"/>
      <c r="B271" s="189"/>
      <c r="C271" s="189"/>
      <c r="D271" s="191"/>
      <c r="E271" s="191"/>
      <c r="F271" s="191"/>
      <c r="G271" s="191"/>
      <c r="H271" s="191"/>
      <c r="I271" s="191"/>
      <c r="J271" s="191"/>
    </row>
    <row r="272" spans="1:10" x14ac:dyDescent="0.25">
      <c r="A272" s="189"/>
      <c r="B272" s="189"/>
      <c r="C272" s="189"/>
      <c r="D272" s="191"/>
      <c r="E272" s="191"/>
      <c r="F272" s="191"/>
      <c r="G272" s="191"/>
      <c r="H272" s="191"/>
      <c r="I272" s="191"/>
      <c r="J272" s="191"/>
    </row>
    <row r="273" spans="1:10" x14ac:dyDescent="0.25">
      <c r="A273" s="189"/>
      <c r="B273" s="189"/>
      <c r="C273" s="189"/>
      <c r="D273" s="191"/>
      <c r="E273" s="191"/>
      <c r="F273" s="191"/>
      <c r="G273" s="191"/>
      <c r="H273" s="191"/>
      <c r="I273" s="191"/>
      <c r="J273" s="191"/>
    </row>
    <row r="274" spans="1:10" x14ac:dyDescent="0.25">
      <c r="A274" s="189"/>
      <c r="B274" s="189"/>
      <c r="C274" s="189"/>
      <c r="D274" s="191"/>
      <c r="E274" s="191"/>
      <c r="F274" s="191"/>
      <c r="G274" s="191"/>
      <c r="H274" s="191"/>
      <c r="I274" s="191"/>
      <c r="J274" s="191"/>
    </row>
    <row r="275" spans="1:10" x14ac:dyDescent="0.25">
      <c r="A275" s="189"/>
      <c r="B275" s="189"/>
      <c r="C275" s="189"/>
      <c r="D275" s="191"/>
      <c r="E275" s="191"/>
      <c r="F275" s="191"/>
      <c r="G275" s="191"/>
      <c r="H275" s="191"/>
      <c r="I275" s="191"/>
      <c r="J275" s="191"/>
    </row>
    <row r="276" spans="1:10" x14ac:dyDescent="0.25">
      <c r="A276" s="189"/>
      <c r="B276" s="189"/>
      <c r="C276" s="189"/>
      <c r="D276" s="191"/>
      <c r="E276" s="191"/>
      <c r="F276" s="191"/>
      <c r="G276" s="191"/>
      <c r="H276" s="191"/>
      <c r="I276" s="191"/>
      <c r="J276" s="191"/>
    </row>
    <row r="277" spans="1:10" x14ac:dyDescent="0.25">
      <c r="A277" s="189"/>
      <c r="B277" s="189"/>
      <c r="C277" s="189"/>
      <c r="D277" s="191"/>
      <c r="E277" s="191"/>
      <c r="F277" s="191"/>
      <c r="G277" s="191"/>
      <c r="H277" s="191"/>
      <c r="I277" s="191"/>
      <c r="J277" s="191"/>
    </row>
    <row r="278" spans="1:10" x14ac:dyDescent="0.25">
      <c r="A278" s="189"/>
      <c r="B278" s="189"/>
      <c r="C278" s="189"/>
      <c r="D278" s="191"/>
      <c r="E278" s="191"/>
      <c r="F278" s="191"/>
      <c r="G278" s="191"/>
      <c r="H278" s="191"/>
      <c r="I278" s="191"/>
      <c r="J278" s="191"/>
    </row>
    <row r="279" spans="1:10" x14ac:dyDescent="0.25">
      <c r="A279" s="189"/>
      <c r="B279" s="189"/>
      <c r="C279" s="189"/>
      <c r="D279" s="191"/>
      <c r="E279" s="191"/>
      <c r="F279" s="191"/>
      <c r="G279" s="191"/>
      <c r="H279" s="191"/>
      <c r="I279" s="191"/>
      <c r="J279" s="191"/>
    </row>
    <row r="280" spans="1:10" x14ac:dyDescent="0.25">
      <c r="A280" s="189"/>
      <c r="B280" s="189"/>
      <c r="C280" s="189"/>
      <c r="D280" s="191"/>
      <c r="E280" s="191"/>
      <c r="F280" s="191"/>
      <c r="G280" s="191"/>
      <c r="H280" s="191"/>
      <c r="I280" s="191"/>
      <c r="J280" s="191"/>
    </row>
    <row r="281" spans="1:10" x14ac:dyDescent="0.25">
      <c r="A281" s="189"/>
      <c r="B281" s="189"/>
      <c r="C281" s="189"/>
      <c r="D281" s="191"/>
      <c r="E281" s="191"/>
      <c r="F281" s="191"/>
      <c r="G281" s="191"/>
      <c r="H281" s="191"/>
      <c r="I281" s="191"/>
      <c r="J281" s="191"/>
    </row>
    <row r="282" spans="1:10" x14ac:dyDescent="0.25">
      <c r="A282" s="189"/>
      <c r="B282" s="189"/>
      <c r="C282" s="189"/>
      <c r="D282" s="191"/>
      <c r="E282" s="191"/>
      <c r="F282" s="191"/>
      <c r="G282" s="191"/>
      <c r="H282" s="191"/>
      <c r="I282" s="191"/>
      <c r="J282" s="191"/>
    </row>
    <row r="283" spans="1:10" x14ac:dyDescent="0.25">
      <c r="A283" s="189"/>
      <c r="B283" s="189"/>
      <c r="C283" s="189"/>
      <c r="D283" s="191"/>
      <c r="E283" s="191"/>
      <c r="F283" s="191"/>
      <c r="G283" s="191"/>
      <c r="H283" s="191"/>
      <c r="I283" s="191"/>
      <c r="J283" s="191"/>
    </row>
    <row r="284" spans="1:10" x14ac:dyDescent="0.25">
      <c r="A284" s="189"/>
      <c r="B284" s="189"/>
      <c r="C284" s="189"/>
      <c r="D284" s="191"/>
      <c r="E284" s="191"/>
      <c r="F284" s="191"/>
      <c r="G284" s="191"/>
      <c r="H284" s="191"/>
      <c r="I284" s="191"/>
      <c r="J284" s="191"/>
    </row>
    <row r="285" spans="1:10" x14ac:dyDescent="0.25">
      <c r="A285" s="189"/>
      <c r="B285" s="189"/>
      <c r="C285" s="189"/>
      <c r="D285" s="191"/>
      <c r="E285" s="191"/>
      <c r="F285" s="191"/>
      <c r="G285" s="191"/>
      <c r="H285" s="191"/>
      <c r="I285" s="191"/>
      <c r="J285" s="191"/>
    </row>
    <row r="286" spans="1:10" x14ac:dyDescent="0.25">
      <c r="A286" s="189"/>
      <c r="B286" s="189"/>
      <c r="C286" s="189"/>
      <c r="D286" s="191"/>
      <c r="E286" s="191"/>
      <c r="F286" s="191"/>
      <c r="G286" s="191"/>
      <c r="H286" s="191"/>
      <c r="I286" s="191"/>
      <c r="J286" s="191"/>
    </row>
    <row r="287" spans="1:10" x14ac:dyDescent="0.25">
      <c r="A287" s="189"/>
      <c r="B287" s="189"/>
      <c r="C287" s="189"/>
      <c r="D287" s="191"/>
      <c r="E287" s="191"/>
      <c r="F287" s="191"/>
      <c r="G287" s="191"/>
      <c r="H287" s="191"/>
      <c r="I287" s="191"/>
      <c r="J287" s="191"/>
    </row>
    <row r="288" spans="1:10" x14ac:dyDescent="0.25">
      <c r="A288" s="189"/>
      <c r="B288" s="189"/>
      <c r="C288" s="189"/>
      <c r="D288" s="191"/>
      <c r="E288" s="191"/>
      <c r="F288" s="191"/>
      <c r="G288" s="191"/>
      <c r="H288" s="191"/>
      <c r="I288" s="191"/>
      <c r="J288" s="191"/>
    </row>
    <row r="289" spans="1:10" x14ac:dyDescent="0.25">
      <c r="A289" s="189"/>
      <c r="B289" s="189"/>
      <c r="C289" s="189"/>
      <c r="D289" s="191"/>
      <c r="E289" s="191"/>
      <c r="F289" s="191"/>
      <c r="G289" s="191"/>
      <c r="H289" s="191"/>
      <c r="I289" s="191"/>
      <c r="J289" s="191"/>
    </row>
    <row r="290" spans="1:10" x14ac:dyDescent="0.25">
      <c r="A290" s="189"/>
      <c r="B290" s="189"/>
      <c r="C290" s="189"/>
      <c r="D290" s="191"/>
      <c r="E290" s="191"/>
      <c r="F290" s="191"/>
      <c r="G290" s="191"/>
      <c r="H290" s="191"/>
      <c r="I290" s="191"/>
      <c r="J290" s="191"/>
    </row>
    <row r="291" spans="1:10" x14ac:dyDescent="0.25">
      <c r="A291" s="189"/>
      <c r="B291" s="189"/>
      <c r="C291" s="189"/>
      <c r="D291" s="191"/>
      <c r="E291" s="191"/>
      <c r="F291" s="191"/>
      <c r="G291" s="191"/>
      <c r="H291" s="191"/>
      <c r="I291" s="191"/>
      <c r="J291" s="191"/>
    </row>
    <row r="292" spans="1:10" x14ac:dyDescent="0.25">
      <c r="A292" s="189"/>
      <c r="B292" s="189"/>
      <c r="C292" s="189"/>
      <c r="D292" s="191"/>
      <c r="E292" s="191"/>
      <c r="F292" s="191"/>
      <c r="G292" s="191"/>
      <c r="H292" s="191"/>
      <c r="I292" s="191"/>
      <c r="J292" s="191"/>
    </row>
    <row r="293" spans="1:10" x14ac:dyDescent="0.25">
      <c r="A293" s="189"/>
      <c r="B293" s="189"/>
      <c r="C293" s="189"/>
      <c r="D293" s="191"/>
      <c r="E293" s="191"/>
      <c r="F293" s="191"/>
      <c r="G293" s="191"/>
      <c r="H293" s="191"/>
      <c r="I293" s="191"/>
      <c r="J293" s="191"/>
    </row>
    <row r="294" spans="1:10" x14ac:dyDescent="0.25">
      <c r="A294" s="189"/>
      <c r="B294" s="189"/>
      <c r="C294" s="189"/>
      <c r="D294" s="191"/>
      <c r="E294" s="191"/>
      <c r="F294" s="191"/>
      <c r="G294" s="191"/>
      <c r="H294" s="191"/>
      <c r="I294" s="191"/>
      <c r="J294" s="191"/>
    </row>
    <row r="295" spans="1:10" x14ac:dyDescent="0.25">
      <c r="A295" s="189"/>
      <c r="B295" s="189"/>
      <c r="C295" s="189"/>
      <c r="D295" s="191"/>
      <c r="E295" s="191"/>
      <c r="F295" s="191"/>
      <c r="G295" s="191"/>
      <c r="H295" s="191"/>
      <c r="I295" s="191"/>
      <c r="J295" s="191"/>
    </row>
    <row r="296" spans="1:10" x14ac:dyDescent="0.25">
      <c r="A296" s="189"/>
      <c r="B296" s="189"/>
      <c r="C296" s="189"/>
      <c r="D296" s="191"/>
      <c r="E296" s="191"/>
      <c r="F296" s="191"/>
      <c r="G296" s="191"/>
      <c r="H296" s="191"/>
      <c r="I296" s="191"/>
      <c r="J296" s="191"/>
    </row>
    <row r="297" spans="1:10" x14ac:dyDescent="0.25">
      <c r="A297" s="189"/>
      <c r="B297" s="189"/>
      <c r="C297" s="189"/>
      <c r="D297" s="191"/>
      <c r="E297" s="191"/>
      <c r="F297" s="191"/>
      <c r="G297" s="191"/>
      <c r="H297" s="191"/>
      <c r="I297" s="191"/>
      <c r="J297" s="191"/>
    </row>
    <row r="298" spans="1:10" x14ac:dyDescent="0.25">
      <c r="A298" s="189"/>
      <c r="B298" s="189"/>
      <c r="C298" s="189"/>
      <c r="D298" s="191"/>
      <c r="E298" s="191"/>
      <c r="F298" s="191"/>
      <c r="G298" s="191"/>
      <c r="H298" s="191"/>
      <c r="I298" s="191"/>
      <c r="J298" s="191"/>
    </row>
    <row r="299" spans="1:10" x14ac:dyDescent="0.25">
      <c r="A299" s="189"/>
      <c r="B299" s="189"/>
      <c r="C299" s="189"/>
      <c r="D299" s="191"/>
      <c r="E299" s="191"/>
      <c r="F299" s="191"/>
      <c r="G299" s="191"/>
      <c r="H299" s="191"/>
      <c r="I299" s="191"/>
      <c r="J299" s="191"/>
    </row>
    <row r="300" spans="1:10" x14ac:dyDescent="0.25">
      <c r="A300" s="189"/>
      <c r="B300" s="189"/>
      <c r="C300" s="189"/>
      <c r="D300" s="191"/>
      <c r="E300" s="191"/>
      <c r="F300" s="191"/>
      <c r="G300" s="191"/>
      <c r="H300" s="191"/>
      <c r="I300" s="191"/>
      <c r="J300" s="191"/>
    </row>
    <row r="301" spans="1:10" x14ac:dyDescent="0.25">
      <c r="A301" s="189"/>
      <c r="B301" s="189"/>
      <c r="C301" s="189"/>
      <c r="D301" s="191"/>
      <c r="E301" s="191"/>
      <c r="F301" s="191"/>
      <c r="G301" s="191"/>
      <c r="H301" s="191"/>
      <c r="I301" s="191"/>
      <c r="J301" s="191"/>
    </row>
    <row r="302" spans="1:10" x14ac:dyDescent="0.25">
      <c r="A302" s="189"/>
      <c r="B302" s="189"/>
      <c r="C302" s="189"/>
      <c r="D302" s="191"/>
      <c r="E302" s="191"/>
      <c r="F302" s="191"/>
      <c r="G302" s="191"/>
      <c r="H302" s="191"/>
      <c r="I302" s="191"/>
      <c r="J302" s="191"/>
    </row>
    <row r="303" spans="1:10" x14ac:dyDescent="0.25">
      <c r="A303" s="189"/>
      <c r="B303" s="189"/>
      <c r="C303" s="189"/>
      <c r="D303" s="191"/>
      <c r="E303" s="191"/>
      <c r="F303" s="191"/>
      <c r="G303" s="191"/>
      <c r="H303" s="191"/>
      <c r="I303" s="191"/>
      <c r="J303" s="191"/>
    </row>
    <row r="304" spans="1:10" x14ac:dyDescent="0.25">
      <c r="A304" s="189"/>
      <c r="B304" s="189"/>
      <c r="C304" s="189"/>
      <c r="D304" s="191"/>
      <c r="E304" s="191"/>
      <c r="F304" s="191"/>
      <c r="G304" s="191"/>
      <c r="H304" s="191"/>
      <c r="I304" s="191"/>
      <c r="J304" s="191"/>
    </row>
    <row r="305" spans="1:10" x14ac:dyDescent="0.25">
      <c r="A305" s="189"/>
      <c r="B305" s="189"/>
      <c r="C305" s="189"/>
      <c r="D305" s="191"/>
      <c r="E305" s="191"/>
      <c r="F305" s="191"/>
      <c r="G305" s="191"/>
      <c r="H305" s="191"/>
      <c r="I305" s="191"/>
      <c r="J305" s="191"/>
    </row>
    <row r="306" spans="1:10" x14ac:dyDescent="0.25">
      <c r="A306" s="189"/>
      <c r="B306" s="189"/>
      <c r="C306" s="189"/>
      <c r="D306" s="191"/>
      <c r="E306" s="191"/>
      <c r="F306" s="191"/>
      <c r="G306" s="191"/>
      <c r="H306" s="191"/>
      <c r="I306" s="191"/>
      <c r="J306" s="191"/>
    </row>
    <row r="307" spans="1:10" x14ac:dyDescent="0.25">
      <c r="A307" s="189"/>
      <c r="B307" s="189"/>
      <c r="C307" s="189"/>
      <c r="D307" s="191"/>
      <c r="E307" s="191"/>
      <c r="F307" s="191"/>
      <c r="G307" s="191"/>
      <c r="H307" s="191"/>
      <c r="I307" s="191"/>
      <c r="J307" s="191"/>
    </row>
    <row r="308" spans="1:10" x14ac:dyDescent="0.25">
      <c r="A308" s="189"/>
      <c r="B308" s="189"/>
      <c r="C308" s="189"/>
      <c r="D308" s="191"/>
      <c r="E308" s="191"/>
      <c r="F308" s="191"/>
      <c r="G308" s="191"/>
      <c r="H308" s="191"/>
      <c r="I308" s="191"/>
      <c r="J308" s="191"/>
    </row>
    <row r="309" spans="1:10" x14ac:dyDescent="0.25">
      <c r="A309" s="189"/>
      <c r="B309" s="189"/>
      <c r="C309" s="189"/>
      <c r="D309" s="191"/>
      <c r="E309" s="191"/>
      <c r="F309" s="191"/>
      <c r="G309" s="191"/>
      <c r="H309" s="191"/>
      <c r="I309" s="191"/>
      <c r="J309" s="191"/>
    </row>
    <row r="310" spans="1:10" x14ac:dyDescent="0.25">
      <c r="A310" s="189"/>
      <c r="B310" s="189"/>
      <c r="C310" s="189"/>
      <c r="D310" s="191"/>
      <c r="E310" s="191"/>
      <c r="F310" s="191"/>
      <c r="G310" s="191"/>
      <c r="H310" s="191"/>
      <c r="I310" s="191"/>
      <c r="J310" s="191"/>
    </row>
    <row r="311" spans="1:10" x14ac:dyDescent="0.25">
      <c r="A311" s="189"/>
      <c r="B311" s="189"/>
      <c r="C311" s="189"/>
      <c r="D311" s="191"/>
      <c r="E311" s="191"/>
      <c r="F311" s="191"/>
      <c r="G311" s="191"/>
      <c r="H311" s="191"/>
      <c r="I311" s="191"/>
      <c r="J311" s="191"/>
    </row>
    <row r="312" spans="1:10" x14ac:dyDescent="0.25">
      <c r="A312" s="189"/>
      <c r="B312" s="189"/>
      <c r="C312" s="189"/>
      <c r="D312" s="191"/>
      <c r="E312" s="191"/>
      <c r="F312" s="191"/>
      <c r="G312" s="191"/>
      <c r="H312" s="191"/>
      <c r="I312" s="191"/>
      <c r="J312" s="191"/>
    </row>
    <row r="313" spans="1:10" x14ac:dyDescent="0.25">
      <c r="A313" s="189"/>
      <c r="B313" s="189"/>
      <c r="C313" s="189"/>
      <c r="D313" s="191"/>
      <c r="E313" s="191"/>
      <c r="F313" s="191"/>
      <c r="G313" s="191"/>
      <c r="H313" s="191"/>
      <c r="I313" s="191"/>
      <c r="J313" s="191"/>
    </row>
    <row r="314" spans="1:10" x14ac:dyDescent="0.25">
      <c r="A314" s="189"/>
      <c r="B314" s="189"/>
      <c r="C314" s="189"/>
      <c r="D314" s="191"/>
      <c r="E314" s="191"/>
      <c r="F314" s="191"/>
      <c r="G314" s="191"/>
      <c r="H314" s="191"/>
      <c r="I314" s="191"/>
      <c r="J314" s="191"/>
    </row>
    <row r="315" spans="1:10" x14ac:dyDescent="0.25">
      <c r="A315" s="189"/>
      <c r="B315" s="189"/>
      <c r="C315" s="189"/>
      <c r="D315" s="191"/>
      <c r="E315" s="191"/>
      <c r="F315" s="191"/>
      <c r="G315" s="191"/>
      <c r="H315" s="191"/>
      <c r="I315" s="191"/>
      <c r="J315" s="191"/>
    </row>
    <row r="316" spans="1:10" x14ac:dyDescent="0.25">
      <c r="A316" s="189"/>
      <c r="B316" s="189"/>
      <c r="C316" s="189"/>
      <c r="D316" s="191"/>
      <c r="E316" s="191"/>
      <c r="F316" s="191"/>
      <c r="G316" s="191"/>
      <c r="H316" s="191"/>
      <c r="I316" s="191"/>
      <c r="J316" s="191"/>
    </row>
    <row r="317" spans="1:10" x14ac:dyDescent="0.25">
      <c r="A317" s="189"/>
      <c r="B317" s="189"/>
      <c r="C317" s="189"/>
      <c r="D317" s="191"/>
      <c r="E317" s="191"/>
      <c r="F317" s="191"/>
      <c r="G317" s="191"/>
      <c r="H317" s="191"/>
      <c r="I317" s="191"/>
      <c r="J317" s="191"/>
    </row>
    <row r="318" spans="1:10" x14ac:dyDescent="0.25">
      <c r="A318" s="189"/>
      <c r="B318" s="189"/>
      <c r="C318" s="189"/>
      <c r="D318" s="191"/>
      <c r="E318" s="191"/>
      <c r="F318" s="191"/>
      <c r="G318" s="191"/>
      <c r="H318" s="191"/>
      <c r="I318" s="191"/>
      <c r="J318" s="191"/>
    </row>
    <row r="319" spans="1:10" x14ac:dyDescent="0.25">
      <c r="A319" s="189"/>
      <c r="B319" s="189"/>
      <c r="C319" s="189"/>
      <c r="D319" s="191"/>
      <c r="E319" s="191"/>
      <c r="F319" s="191"/>
      <c r="G319" s="191"/>
      <c r="H319" s="191"/>
      <c r="I319" s="191"/>
      <c r="J319" s="191"/>
    </row>
    <row r="320" spans="1:10" x14ac:dyDescent="0.25">
      <c r="A320" s="189"/>
      <c r="B320" s="189"/>
      <c r="C320" s="189"/>
      <c r="D320" s="191"/>
      <c r="E320" s="191"/>
      <c r="F320" s="191"/>
      <c r="G320" s="191"/>
      <c r="H320" s="191"/>
      <c r="I320" s="191"/>
      <c r="J320" s="191"/>
    </row>
    <row r="321" spans="1:10" x14ac:dyDescent="0.25">
      <c r="A321" s="189"/>
      <c r="B321" s="189"/>
      <c r="C321" s="189"/>
      <c r="D321" s="191"/>
      <c r="E321" s="191"/>
      <c r="F321" s="191"/>
      <c r="G321" s="191"/>
      <c r="H321" s="191"/>
      <c r="I321" s="191"/>
      <c r="J321" s="191"/>
    </row>
    <row r="322" spans="1:10" x14ac:dyDescent="0.25">
      <c r="A322" s="189"/>
      <c r="B322" s="189"/>
      <c r="C322" s="189"/>
      <c r="D322" s="191"/>
      <c r="E322" s="191"/>
      <c r="F322" s="191"/>
      <c r="G322" s="191"/>
      <c r="H322" s="191"/>
      <c r="I322" s="191"/>
      <c r="J322" s="191"/>
    </row>
    <row r="323" spans="1:10" x14ac:dyDescent="0.25">
      <c r="A323" s="189"/>
      <c r="B323" s="189"/>
      <c r="C323" s="189"/>
      <c r="D323" s="191"/>
      <c r="E323" s="191"/>
      <c r="F323" s="191"/>
      <c r="G323" s="191"/>
      <c r="H323" s="191"/>
      <c r="I323" s="191"/>
      <c r="J323" s="191"/>
    </row>
    <row r="324" spans="1:10" x14ac:dyDescent="0.25">
      <c r="A324" s="189"/>
      <c r="B324" s="189"/>
      <c r="C324" s="189"/>
      <c r="D324" s="191"/>
      <c r="E324" s="191"/>
      <c r="F324" s="191"/>
      <c r="G324" s="191"/>
      <c r="H324" s="191"/>
      <c r="I324" s="191"/>
      <c r="J324" s="191"/>
    </row>
    <row r="325" spans="1:10" x14ac:dyDescent="0.25">
      <c r="A325" s="189"/>
      <c r="B325" s="189"/>
      <c r="C325" s="189"/>
      <c r="D325" s="191"/>
      <c r="E325" s="191"/>
      <c r="F325" s="191"/>
      <c r="G325" s="191"/>
      <c r="H325" s="191"/>
      <c r="I325" s="191"/>
      <c r="J325" s="191"/>
    </row>
    <row r="326" spans="1:10" x14ac:dyDescent="0.25">
      <c r="A326" s="189"/>
      <c r="B326" s="189"/>
      <c r="C326" s="189"/>
      <c r="D326" s="191"/>
      <c r="E326" s="191"/>
      <c r="F326" s="191"/>
      <c r="G326" s="191"/>
      <c r="H326" s="191"/>
      <c r="I326" s="191"/>
      <c r="J326" s="191"/>
    </row>
    <row r="327" spans="1:10" x14ac:dyDescent="0.25">
      <c r="A327" s="189"/>
      <c r="B327" s="189"/>
      <c r="C327" s="189"/>
      <c r="D327" s="191"/>
      <c r="E327" s="191"/>
      <c r="F327" s="191"/>
      <c r="G327" s="191"/>
      <c r="H327" s="191"/>
      <c r="I327" s="191"/>
      <c r="J327" s="191"/>
    </row>
    <row r="328" spans="1:10" x14ac:dyDescent="0.25">
      <c r="A328" s="189"/>
      <c r="B328" s="189"/>
      <c r="C328" s="189"/>
      <c r="D328" s="191"/>
      <c r="E328" s="191"/>
      <c r="F328" s="191"/>
      <c r="G328" s="191"/>
      <c r="H328" s="191"/>
      <c r="I328" s="191"/>
      <c r="J328" s="191"/>
    </row>
    <row r="329" spans="1:10" x14ac:dyDescent="0.25">
      <c r="A329" s="189"/>
      <c r="B329" s="189"/>
      <c r="C329" s="189"/>
      <c r="D329" s="191"/>
      <c r="E329" s="191"/>
      <c r="F329" s="191"/>
      <c r="G329" s="191"/>
      <c r="H329" s="191"/>
      <c r="I329" s="191"/>
      <c r="J329" s="191"/>
    </row>
    <row r="330" spans="1:10" x14ac:dyDescent="0.25">
      <c r="A330" s="189"/>
      <c r="B330" s="189"/>
      <c r="C330" s="189"/>
      <c r="D330" s="191"/>
      <c r="E330" s="191"/>
      <c r="F330" s="191"/>
      <c r="G330" s="191"/>
      <c r="H330" s="191"/>
      <c r="I330" s="191"/>
      <c r="J330" s="191"/>
    </row>
    <row r="331" spans="1:10" x14ac:dyDescent="0.25">
      <c r="A331" s="189"/>
      <c r="B331" s="189"/>
      <c r="C331" s="189"/>
      <c r="D331" s="191"/>
      <c r="E331" s="191"/>
      <c r="F331" s="191"/>
      <c r="G331" s="191"/>
      <c r="H331" s="191"/>
      <c r="I331" s="191"/>
      <c r="J331" s="191"/>
    </row>
    <row r="332" spans="1:10" x14ac:dyDescent="0.25">
      <c r="A332" s="189"/>
      <c r="B332" s="189"/>
      <c r="C332" s="189"/>
      <c r="D332" s="191"/>
      <c r="E332" s="191"/>
      <c r="F332" s="191"/>
      <c r="G332" s="191"/>
      <c r="H332" s="191"/>
      <c r="I332" s="191"/>
      <c r="J332" s="191"/>
    </row>
    <row r="333" spans="1:10" x14ac:dyDescent="0.25">
      <c r="A333" s="189"/>
      <c r="B333" s="189"/>
      <c r="C333" s="189"/>
      <c r="D333" s="191"/>
      <c r="E333" s="191"/>
      <c r="F333" s="191"/>
      <c r="G333" s="191"/>
      <c r="H333" s="191"/>
      <c r="I333" s="191"/>
      <c r="J333" s="191"/>
    </row>
    <row r="334" spans="1:10" x14ac:dyDescent="0.25">
      <c r="A334" s="189"/>
      <c r="B334" s="189"/>
      <c r="C334" s="189"/>
      <c r="D334" s="191"/>
      <c r="E334" s="191"/>
      <c r="F334" s="191"/>
      <c r="G334" s="191"/>
      <c r="H334" s="191"/>
      <c r="I334" s="191"/>
      <c r="J334" s="191"/>
    </row>
    <row r="335" spans="1:10" x14ac:dyDescent="0.25">
      <c r="A335" s="189"/>
      <c r="B335" s="189"/>
      <c r="C335" s="189"/>
      <c r="D335" s="191"/>
      <c r="E335" s="191"/>
      <c r="F335" s="191"/>
      <c r="G335" s="191"/>
      <c r="H335" s="191"/>
      <c r="I335" s="191"/>
      <c r="J335" s="191"/>
    </row>
    <row r="336" spans="1:10" x14ac:dyDescent="0.25">
      <c r="A336" s="189"/>
      <c r="B336" s="189"/>
      <c r="C336" s="189"/>
      <c r="D336" s="191"/>
      <c r="E336" s="191"/>
      <c r="F336" s="191"/>
      <c r="G336" s="191"/>
      <c r="H336" s="191"/>
      <c r="I336" s="191"/>
      <c r="J336" s="191"/>
    </row>
    <row r="337" spans="1:10" x14ac:dyDescent="0.25">
      <c r="A337" s="189"/>
      <c r="B337" s="189"/>
      <c r="C337" s="189"/>
      <c r="D337" s="191"/>
      <c r="E337" s="191"/>
      <c r="F337" s="191"/>
      <c r="G337" s="191"/>
      <c r="H337" s="191"/>
      <c r="I337" s="191"/>
      <c r="J337" s="191"/>
    </row>
    <row r="338" spans="1:10" x14ac:dyDescent="0.25">
      <c r="A338" s="189"/>
      <c r="B338" s="189"/>
      <c r="C338" s="189"/>
      <c r="D338" s="191"/>
      <c r="E338" s="191"/>
      <c r="F338" s="191"/>
      <c r="G338" s="191"/>
      <c r="H338" s="191"/>
      <c r="I338" s="191"/>
      <c r="J338" s="191"/>
    </row>
    <row r="339" spans="1:10" x14ac:dyDescent="0.25">
      <c r="A339" s="189"/>
      <c r="B339" s="189"/>
      <c r="C339" s="189"/>
      <c r="D339" s="191"/>
      <c r="E339" s="191"/>
      <c r="F339" s="191"/>
      <c r="G339" s="191"/>
      <c r="H339" s="191"/>
      <c r="I339" s="191"/>
      <c r="J339" s="191"/>
    </row>
    <row r="340" spans="1:10" x14ac:dyDescent="0.25">
      <c r="A340" s="189"/>
      <c r="B340" s="189"/>
      <c r="C340" s="189"/>
      <c r="D340" s="191"/>
      <c r="E340" s="191"/>
      <c r="F340" s="191"/>
      <c r="G340" s="191"/>
      <c r="H340" s="191"/>
      <c r="I340" s="191"/>
      <c r="J340" s="191"/>
    </row>
    <row r="341" spans="1:10" x14ac:dyDescent="0.25">
      <c r="A341" s="189"/>
      <c r="B341" s="189"/>
      <c r="C341" s="189"/>
      <c r="D341" s="191"/>
      <c r="E341" s="191"/>
      <c r="F341" s="191"/>
      <c r="G341" s="191"/>
      <c r="H341" s="191"/>
      <c r="I341" s="191"/>
      <c r="J341" s="191"/>
    </row>
    <row r="342" spans="1:10" x14ac:dyDescent="0.25">
      <c r="A342" s="189"/>
      <c r="B342" s="189"/>
      <c r="C342" s="189"/>
      <c r="D342" s="191"/>
      <c r="E342" s="191"/>
      <c r="F342" s="191"/>
      <c r="G342" s="191"/>
      <c r="H342" s="191"/>
      <c r="I342" s="191"/>
      <c r="J342" s="191"/>
    </row>
    <row r="343" spans="1:10" x14ac:dyDescent="0.25">
      <c r="A343" s="189"/>
      <c r="B343" s="189"/>
      <c r="C343" s="189"/>
      <c r="D343" s="191"/>
      <c r="E343" s="191"/>
      <c r="F343" s="191"/>
      <c r="G343" s="191"/>
      <c r="H343" s="191"/>
      <c r="I343" s="191"/>
      <c r="J343" s="191"/>
    </row>
    <row r="344" spans="1:10" x14ac:dyDescent="0.25">
      <c r="A344" s="189"/>
      <c r="B344" s="189"/>
      <c r="C344" s="189"/>
      <c r="D344" s="191"/>
      <c r="E344" s="191"/>
      <c r="F344" s="191"/>
      <c r="G344" s="191"/>
      <c r="H344" s="191"/>
      <c r="I344" s="191"/>
      <c r="J344" s="191"/>
    </row>
    <row r="345" spans="1:10" x14ac:dyDescent="0.25">
      <c r="A345" s="189"/>
      <c r="B345" s="189"/>
      <c r="C345" s="189"/>
      <c r="D345" s="191"/>
      <c r="E345" s="191"/>
      <c r="F345" s="191"/>
      <c r="G345" s="191"/>
      <c r="H345" s="191"/>
      <c r="I345" s="191"/>
      <c r="J345" s="191"/>
    </row>
    <row r="346" spans="1:10" x14ac:dyDescent="0.25">
      <c r="A346" s="189"/>
      <c r="B346" s="189"/>
      <c r="C346" s="189"/>
      <c r="D346" s="191"/>
      <c r="E346" s="191"/>
      <c r="F346" s="191"/>
      <c r="G346" s="191"/>
      <c r="H346" s="191"/>
      <c r="I346" s="191"/>
      <c r="J346" s="191"/>
    </row>
    <row r="347" spans="1:10" x14ac:dyDescent="0.25">
      <c r="A347" s="189"/>
      <c r="B347" s="189"/>
      <c r="C347" s="189"/>
      <c r="D347" s="191"/>
      <c r="E347" s="191"/>
      <c r="F347" s="191"/>
      <c r="G347" s="191"/>
      <c r="H347" s="191"/>
      <c r="I347" s="191"/>
      <c r="J347" s="191"/>
    </row>
    <row r="348" spans="1:10" x14ac:dyDescent="0.25">
      <c r="A348" s="189"/>
      <c r="B348" s="189"/>
      <c r="C348" s="189"/>
      <c r="D348" s="191"/>
      <c r="E348" s="191"/>
      <c r="F348" s="191"/>
      <c r="G348" s="191"/>
      <c r="H348" s="191"/>
      <c r="I348" s="191"/>
      <c r="J348" s="191"/>
    </row>
    <row r="349" spans="1:10" x14ac:dyDescent="0.25">
      <c r="A349" s="189"/>
      <c r="B349" s="189"/>
      <c r="C349" s="189"/>
      <c r="D349" s="191"/>
      <c r="E349" s="191"/>
      <c r="F349" s="191"/>
      <c r="G349" s="191"/>
      <c r="H349" s="191"/>
      <c r="I349" s="191"/>
      <c r="J349" s="191"/>
    </row>
    <row r="350" spans="1:10" x14ac:dyDescent="0.25">
      <c r="A350" s="189"/>
      <c r="B350" s="189"/>
      <c r="C350" s="189"/>
      <c r="D350" s="191"/>
      <c r="E350" s="191"/>
      <c r="F350" s="191"/>
      <c r="G350" s="191"/>
      <c r="H350" s="191"/>
      <c r="I350" s="191"/>
      <c r="J350" s="191"/>
    </row>
    <row r="351" spans="1:10" x14ac:dyDescent="0.25">
      <c r="A351" s="189"/>
      <c r="B351" s="189"/>
      <c r="C351" s="189"/>
      <c r="D351" s="191"/>
      <c r="E351" s="191"/>
      <c r="F351" s="191"/>
      <c r="G351" s="191"/>
      <c r="H351" s="191"/>
      <c r="I351" s="191"/>
      <c r="J351" s="191"/>
    </row>
    <row r="352" spans="1:10" x14ac:dyDescent="0.25">
      <c r="A352" s="189"/>
      <c r="B352" s="189"/>
      <c r="C352" s="189"/>
      <c r="D352" s="191"/>
      <c r="E352" s="191"/>
      <c r="F352" s="191"/>
      <c r="G352" s="191"/>
      <c r="H352" s="191"/>
      <c r="I352" s="191"/>
      <c r="J352" s="191"/>
    </row>
    <row r="353" spans="1:10" x14ac:dyDescent="0.25">
      <c r="A353" s="189"/>
      <c r="B353" s="189"/>
      <c r="C353" s="189"/>
      <c r="D353" s="191"/>
      <c r="E353" s="191"/>
      <c r="F353" s="191"/>
      <c r="G353" s="191"/>
      <c r="H353" s="191"/>
      <c r="I353" s="191"/>
      <c r="J353" s="191"/>
    </row>
    <row r="354" spans="1:10" x14ac:dyDescent="0.25">
      <c r="A354" s="189"/>
      <c r="B354" s="189"/>
      <c r="C354" s="189"/>
      <c r="D354" s="191"/>
      <c r="E354" s="191"/>
      <c r="F354" s="191"/>
      <c r="G354" s="191"/>
      <c r="H354" s="191"/>
      <c r="I354" s="191"/>
      <c r="J354" s="191"/>
    </row>
    <row r="355" spans="1:10" x14ac:dyDescent="0.25">
      <c r="A355" s="189"/>
      <c r="B355" s="189"/>
      <c r="C355" s="189"/>
      <c r="D355" s="191"/>
      <c r="E355" s="191"/>
      <c r="F355" s="191"/>
      <c r="G355" s="191"/>
      <c r="H355" s="191"/>
      <c r="I355" s="191"/>
      <c r="J355" s="191"/>
    </row>
    <row r="356" spans="1:10" x14ac:dyDescent="0.25">
      <c r="A356" s="189"/>
      <c r="B356" s="189"/>
      <c r="C356" s="189"/>
      <c r="D356" s="191"/>
      <c r="E356" s="191"/>
      <c r="F356" s="191"/>
      <c r="G356" s="191"/>
      <c r="H356" s="191"/>
      <c r="I356" s="191"/>
      <c r="J356" s="191"/>
    </row>
    <row r="357" spans="1:10" x14ac:dyDescent="0.25">
      <c r="A357" s="189"/>
      <c r="B357" s="189"/>
      <c r="C357" s="189"/>
      <c r="D357" s="191"/>
      <c r="E357" s="191"/>
      <c r="F357" s="191"/>
      <c r="G357" s="191"/>
      <c r="H357" s="191"/>
      <c r="I357" s="191"/>
      <c r="J357" s="191"/>
    </row>
    <row r="358" spans="1:10" x14ac:dyDescent="0.25">
      <c r="A358" s="189"/>
      <c r="B358" s="189"/>
      <c r="C358" s="189"/>
      <c r="D358" s="191"/>
      <c r="E358" s="191"/>
      <c r="F358" s="191"/>
      <c r="G358" s="191"/>
      <c r="H358" s="191"/>
      <c r="I358" s="191"/>
      <c r="J358" s="191"/>
    </row>
    <row r="359" spans="1:10" x14ac:dyDescent="0.25">
      <c r="A359" s="189"/>
      <c r="B359" s="189"/>
      <c r="C359" s="189"/>
      <c r="D359" s="191"/>
      <c r="E359" s="191"/>
      <c r="F359" s="191"/>
      <c r="G359" s="191"/>
      <c r="H359" s="191"/>
      <c r="I359" s="191"/>
      <c r="J359" s="191"/>
    </row>
    <row r="360" spans="1:10" x14ac:dyDescent="0.25">
      <c r="A360" s="189"/>
      <c r="B360" s="189"/>
      <c r="C360" s="189"/>
      <c r="D360" s="191"/>
      <c r="E360" s="191"/>
      <c r="F360" s="191"/>
      <c r="G360" s="191"/>
      <c r="H360" s="191"/>
      <c r="I360" s="191"/>
      <c r="J360" s="191"/>
    </row>
    <row r="361" spans="1:10" x14ac:dyDescent="0.25">
      <c r="A361" s="189"/>
      <c r="B361" s="189"/>
      <c r="C361" s="189"/>
      <c r="D361" s="191"/>
      <c r="E361" s="191"/>
      <c r="F361" s="191"/>
      <c r="G361" s="191"/>
      <c r="H361" s="191"/>
      <c r="I361" s="191"/>
      <c r="J361" s="191"/>
    </row>
    <row r="362" spans="1:10" x14ac:dyDescent="0.25">
      <c r="A362" s="189"/>
      <c r="B362" s="189"/>
      <c r="C362" s="189"/>
      <c r="D362" s="191"/>
      <c r="E362" s="191"/>
      <c r="F362" s="191"/>
      <c r="G362" s="191"/>
      <c r="H362" s="191"/>
      <c r="I362" s="191"/>
      <c r="J362" s="191"/>
    </row>
    <row r="363" spans="1:10" x14ac:dyDescent="0.25">
      <c r="A363" s="189"/>
      <c r="B363" s="189"/>
      <c r="C363" s="189"/>
      <c r="D363" s="191"/>
      <c r="E363" s="191"/>
      <c r="F363" s="191"/>
      <c r="G363" s="191"/>
      <c r="H363" s="191"/>
      <c r="I363" s="191"/>
      <c r="J363" s="191"/>
    </row>
    <row r="364" spans="1:10" x14ac:dyDescent="0.25">
      <c r="A364" s="189"/>
      <c r="B364" s="189"/>
      <c r="C364" s="189"/>
      <c r="D364" s="191"/>
      <c r="E364" s="191"/>
      <c r="F364" s="191"/>
      <c r="G364" s="191"/>
      <c r="H364" s="191"/>
      <c r="I364" s="191"/>
      <c r="J364" s="191"/>
    </row>
    <row r="365" spans="1:10" x14ac:dyDescent="0.25">
      <c r="A365" s="189"/>
      <c r="B365" s="189"/>
      <c r="C365" s="189"/>
      <c r="D365" s="191"/>
      <c r="E365" s="191"/>
      <c r="F365" s="191"/>
      <c r="G365" s="191"/>
      <c r="H365" s="191"/>
      <c r="I365" s="191"/>
      <c r="J365" s="191"/>
    </row>
    <row r="366" spans="1:10" x14ac:dyDescent="0.25">
      <c r="A366" s="189"/>
      <c r="B366" s="189"/>
      <c r="C366" s="189"/>
      <c r="D366" s="191"/>
      <c r="E366" s="191"/>
      <c r="F366" s="191"/>
      <c r="G366" s="191"/>
      <c r="H366" s="191"/>
      <c r="I366" s="191"/>
      <c r="J366" s="191"/>
    </row>
    <row r="367" spans="1:10" x14ac:dyDescent="0.25">
      <c r="A367" s="189"/>
      <c r="B367" s="189"/>
      <c r="C367" s="189"/>
      <c r="D367" s="191"/>
      <c r="E367" s="191"/>
      <c r="F367" s="191"/>
      <c r="G367" s="191"/>
      <c r="H367" s="191"/>
      <c r="I367" s="191"/>
      <c r="J367" s="191"/>
    </row>
    <row r="368" spans="1:10" x14ac:dyDescent="0.25">
      <c r="A368" s="189"/>
      <c r="B368" s="189"/>
      <c r="C368" s="189"/>
      <c r="D368" s="191"/>
      <c r="E368" s="191"/>
      <c r="F368" s="191"/>
      <c r="G368" s="191"/>
      <c r="H368" s="191"/>
      <c r="I368" s="191"/>
      <c r="J368" s="191"/>
    </row>
    <row r="369" spans="1:10" x14ac:dyDescent="0.25">
      <c r="A369" s="189"/>
      <c r="B369" s="189"/>
      <c r="C369" s="189"/>
      <c r="D369" s="191"/>
      <c r="E369" s="191"/>
      <c r="F369" s="191"/>
      <c r="G369" s="191"/>
      <c r="H369" s="191"/>
      <c r="I369" s="191"/>
      <c r="J369" s="191"/>
    </row>
    <row r="370" spans="1:10" x14ac:dyDescent="0.25">
      <c r="A370" s="189"/>
      <c r="B370" s="189"/>
      <c r="C370" s="189"/>
      <c r="D370" s="191"/>
      <c r="E370" s="191"/>
      <c r="F370" s="191"/>
      <c r="G370" s="191"/>
      <c r="H370" s="191"/>
      <c r="I370" s="191"/>
      <c r="J370" s="191"/>
    </row>
    <row r="371" spans="1:10" x14ac:dyDescent="0.25">
      <c r="A371" s="189"/>
      <c r="B371" s="189"/>
      <c r="C371" s="189"/>
      <c r="D371" s="191"/>
      <c r="E371" s="191"/>
      <c r="F371" s="191"/>
      <c r="G371" s="191"/>
      <c r="H371" s="191"/>
      <c r="I371" s="191"/>
      <c r="J371" s="191"/>
    </row>
    <row r="372" spans="1:10" x14ac:dyDescent="0.25">
      <c r="A372" s="189"/>
      <c r="B372" s="189"/>
      <c r="C372" s="189"/>
      <c r="D372" s="191"/>
      <c r="E372" s="191"/>
      <c r="F372" s="191"/>
      <c r="G372" s="191"/>
      <c r="H372" s="191"/>
      <c r="I372" s="191"/>
      <c r="J372" s="191"/>
    </row>
    <row r="373" spans="1:10" x14ac:dyDescent="0.25">
      <c r="A373" s="189"/>
      <c r="B373" s="189"/>
      <c r="C373" s="189"/>
      <c r="D373" s="191"/>
      <c r="E373" s="191"/>
      <c r="F373" s="191"/>
      <c r="G373" s="191"/>
      <c r="H373" s="191"/>
      <c r="I373" s="191"/>
      <c r="J373" s="191"/>
    </row>
    <row r="374" spans="1:10" x14ac:dyDescent="0.25">
      <c r="A374" s="189"/>
      <c r="B374" s="189"/>
      <c r="C374" s="189"/>
      <c r="D374" s="191"/>
      <c r="E374" s="191"/>
      <c r="F374" s="191"/>
      <c r="G374" s="191"/>
      <c r="H374" s="191"/>
      <c r="I374" s="191"/>
      <c r="J374" s="191"/>
    </row>
    <row r="375" spans="1:10" x14ac:dyDescent="0.25">
      <c r="A375" s="189"/>
      <c r="B375" s="189"/>
      <c r="C375" s="189"/>
      <c r="D375" s="191"/>
      <c r="E375" s="191"/>
      <c r="F375" s="191"/>
      <c r="G375" s="191"/>
      <c r="H375" s="191"/>
      <c r="I375" s="191"/>
      <c r="J375" s="191"/>
    </row>
    <row r="376" spans="1:10" x14ac:dyDescent="0.25">
      <c r="A376" s="189"/>
      <c r="B376" s="189"/>
      <c r="C376" s="189"/>
      <c r="D376" s="191"/>
      <c r="E376" s="191"/>
      <c r="F376" s="191"/>
      <c r="G376" s="191"/>
      <c r="H376" s="191"/>
      <c r="I376" s="191"/>
      <c r="J376" s="191"/>
    </row>
    <row r="377" spans="1:10" x14ac:dyDescent="0.25">
      <c r="A377" s="189"/>
      <c r="B377" s="189"/>
      <c r="C377" s="189"/>
      <c r="D377" s="191"/>
      <c r="E377" s="191"/>
      <c r="F377" s="191"/>
      <c r="G377" s="191"/>
      <c r="H377" s="191"/>
      <c r="I377" s="191"/>
      <c r="J377" s="191"/>
    </row>
    <row r="378" spans="1:10" x14ac:dyDescent="0.25">
      <c r="A378" s="189"/>
      <c r="B378" s="189"/>
      <c r="C378" s="189"/>
      <c r="D378" s="191"/>
      <c r="E378" s="191"/>
      <c r="F378" s="191"/>
      <c r="G378" s="191"/>
      <c r="H378" s="191"/>
      <c r="I378" s="191"/>
      <c r="J378" s="191"/>
    </row>
    <row r="379" spans="1:10" x14ac:dyDescent="0.25">
      <c r="A379" s="189"/>
      <c r="B379" s="189"/>
      <c r="C379" s="189"/>
      <c r="D379" s="191"/>
      <c r="E379" s="191"/>
      <c r="F379" s="191"/>
      <c r="G379" s="191"/>
      <c r="H379" s="191"/>
      <c r="I379" s="191"/>
      <c r="J379" s="191"/>
    </row>
    <row r="380" spans="1:10" x14ac:dyDescent="0.25">
      <c r="A380" s="189"/>
      <c r="B380" s="189"/>
      <c r="C380" s="189"/>
      <c r="D380" s="191"/>
      <c r="E380" s="191"/>
      <c r="F380" s="191"/>
      <c r="G380" s="191"/>
      <c r="H380" s="191"/>
      <c r="I380" s="191"/>
      <c r="J380" s="191"/>
    </row>
    <row r="381" spans="1:10" x14ac:dyDescent="0.25">
      <c r="A381" s="189"/>
      <c r="B381" s="189"/>
      <c r="C381" s="189"/>
      <c r="D381" s="191"/>
      <c r="E381" s="191"/>
      <c r="F381" s="191"/>
      <c r="G381" s="191"/>
      <c r="H381" s="191"/>
      <c r="I381" s="191"/>
      <c r="J381" s="191"/>
    </row>
    <row r="382" spans="1:10" x14ac:dyDescent="0.25">
      <c r="A382" s="189"/>
      <c r="B382" s="189"/>
      <c r="C382" s="189"/>
      <c r="D382" s="191"/>
      <c r="E382" s="191"/>
      <c r="F382" s="191"/>
      <c r="G382" s="191"/>
      <c r="H382" s="191"/>
      <c r="I382" s="191"/>
      <c r="J382" s="191"/>
    </row>
    <row r="383" spans="1:10" x14ac:dyDescent="0.25">
      <c r="A383" s="189"/>
      <c r="B383" s="189"/>
      <c r="C383" s="189"/>
      <c r="D383" s="191"/>
      <c r="E383" s="191"/>
      <c r="F383" s="191"/>
      <c r="G383" s="191"/>
      <c r="H383" s="191"/>
      <c r="I383" s="191"/>
      <c r="J383" s="191"/>
    </row>
    <row r="384" spans="1:10" x14ac:dyDescent="0.25">
      <c r="A384" s="189"/>
      <c r="B384" s="189"/>
      <c r="C384" s="189"/>
      <c r="D384" s="191"/>
      <c r="E384" s="191"/>
      <c r="F384" s="191"/>
      <c r="G384" s="191"/>
      <c r="H384" s="191"/>
      <c r="I384" s="191"/>
      <c r="J384" s="191"/>
    </row>
    <row r="385" spans="1:10" x14ac:dyDescent="0.25">
      <c r="A385" s="189"/>
      <c r="B385" s="189"/>
      <c r="C385" s="189"/>
      <c r="D385" s="191"/>
      <c r="E385" s="191"/>
      <c r="F385" s="191"/>
      <c r="G385" s="191"/>
      <c r="H385" s="191"/>
      <c r="I385" s="191"/>
      <c r="J385" s="191"/>
    </row>
    <row r="386" spans="1:10" x14ac:dyDescent="0.25">
      <c r="A386" s="189"/>
      <c r="B386" s="189"/>
      <c r="C386" s="189"/>
      <c r="D386" s="191"/>
      <c r="E386" s="191"/>
      <c r="F386" s="191"/>
      <c r="G386" s="191"/>
      <c r="H386" s="191"/>
      <c r="I386" s="191"/>
      <c r="J386" s="191"/>
    </row>
    <row r="387" spans="1:10" x14ac:dyDescent="0.25">
      <c r="A387" s="189"/>
      <c r="B387" s="189"/>
      <c r="C387" s="189"/>
      <c r="D387" s="191"/>
      <c r="E387" s="191"/>
      <c r="F387" s="191"/>
      <c r="G387" s="191"/>
      <c r="H387" s="191"/>
      <c r="I387" s="191"/>
      <c r="J387" s="191"/>
    </row>
    <row r="388" spans="1:10" x14ac:dyDescent="0.25">
      <c r="A388" s="189"/>
      <c r="B388" s="189"/>
      <c r="C388" s="189"/>
      <c r="D388" s="191"/>
      <c r="E388" s="191"/>
      <c r="F388" s="191"/>
      <c r="G388" s="191"/>
      <c r="H388" s="191"/>
      <c r="I388" s="191"/>
      <c r="J388" s="191"/>
    </row>
    <row r="389" spans="1:10" x14ac:dyDescent="0.25">
      <c r="A389" s="189"/>
      <c r="B389" s="189"/>
      <c r="C389" s="189"/>
      <c r="D389" s="191"/>
      <c r="E389" s="191"/>
      <c r="F389" s="191"/>
      <c r="G389" s="191"/>
      <c r="H389" s="191"/>
      <c r="I389" s="191"/>
      <c r="J389" s="191"/>
    </row>
    <row r="390" spans="1:10" x14ac:dyDescent="0.25">
      <c r="A390" s="189"/>
      <c r="B390" s="189"/>
      <c r="C390" s="189"/>
      <c r="D390" s="191"/>
      <c r="E390" s="191"/>
      <c r="F390" s="191"/>
      <c r="G390" s="191"/>
      <c r="H390" s="191"/>
      <c r="I390" s="191"/>
      <c r="J390" s="191"/>
    </row>
    <row r="391" spans="1:10" x14ac:dyDescent="0.25">
      <c r="A391" s="189"/>
      <c r="B391" s="189"/>
      <c r="C391" s="189"/>
      <c r="D391" s="191"/>
      <c r="E391" s="191"/>
      <c r="F391" s="191"/>
      <c r="G391" s="191"/>
      <c r="H391" s="191"/>
      <c r="I391" s="191"/>
      <c r="J391" s="191"/>
    </row>
    <row r="392" spans="1:10" x14ac:dyDescent="0.25">
      <c r="A392" s="189"/>
      <c r="B392" s="189"/>
      <c r="C392" s="189"/>
      <c r="D392" s="191"/>
      <c r="E392" s="191"/>
      <c r="F392" s="191"/>
      <c r="G392" s="191"/>
      <c r="H392" s="191"/>
      <c r="I392" s="191"/>
      <c r="J392" s="191"/>
    </row>
    <row r="393" spans="1:10" x14ac:dyDescent="0.25">
      <c r="A393" s="189"/>
      <c r="B393" s="189"/>
      <c r="C393" s="189"/>
      <c r="D393" s="191"/>
      <c r="E393" s="191"/>
      <c r="F393" s="191"/>
      <c r="G393" s="191"/>
      <c r="H393" s="191"/>
      <c r="I393" s="191"/>
      <c r="J393" s="191"/>
    </row>
    <row r="394" spans="1:10" x14ac:dyDescent="0.25">
      <c r="A394" s="189"/>
      <c r="B394" s="189"/>
      <c r="C394" s="189"/>
      <c r="D394" s="191"/>
      <c r="E394" s="191"/>
      <c r="F394" s="191"/>
      <c r="G394" s="191"/>
      <c r="H394" s="191"/>
      <c r="I394" s="191"/>
      <c r="J394" s="191"/>
    </row>
    <row r="395" spans="1:10" x14ac:dyDescent="0.25">
      <c r="A395" s="189"/>
      <c r="B395" s="189"/>
      <c r="C395" s="189"/>
      <c r="D395" s="191"/>
      <c r="E395" s="191"/>
      <c r="F395" s="191"/>
      <c r="G395" s="191"/>
      <c r="H395" s="191"/>
      <c r="I395" s="191"/>
      <c r="J395" s="191"/>
    </row>
    <row r="396" spans="1:10" x14ac:dyDescent="0.25">
      <c r="A396" s="189"/>
      <c r="B396" s="189"/>
      <c r="C396" s="189"/>
      <c r="D396" s="191"/>
      <c r="E396" s="191"/>
      <c r="F396" s="191"/>
      <c r="G396" s="191"/>
      <c r="H396" s="191"/>
      <c r="I396" s="191"/>
      <c r="J396" s="191"/>
    </row>
    <row r="397" spans="1:10" x14ac:dyDescent="0.25">
      <c r="A397" s="189"/>
      <c r="B397" s="189"/>
      <c r="C397" s="189"/>
      <c r="D397" s="191"/>
      <c r="E397" s="191"/>
      <c r="F397" s="191"/>
      <c r="G397" s="191"/>
      <c r="H397" s="191"/>
      <c r="I397" s="191"/>
      <c r="J397" s="191"/>
    </row>
    <row r="398" spans="1:10" x14ac:dyDescent="0.25">
      <c r="A398" s="189"/>
      <c r="B398" s="189"/>
      <c r="C398" s="189"/>
      <c r="D398" s="191"/>
      <c r="E398" s="191"/>
      <c r="F398" s="191"/>
      <c r="G398" s="191"/>
      <c r="H398" s="191"/>
      <c r="I398" s="191"/>
      <c r="J398" s="191"/>
    </row>
    <row r="399" spans="1:10" x14ac:dyDescent="0.25">
      <c r="A399" s="189"/>
      <c r="B399" s="189"/>
      <c r="C399" s="189"/>
      <c r="D399" s="191"/>
      <c r="E399" s="191"/>
      <c r="F399" s="191"/>
      <c r="G399" s="191"/>
      <c r="H399" s="191"/>
      <c r="I399" s="191"/>
      <c r="J399" s="191"/>
    </row>
    <row r="400" spans="1:10" x14ac:dyDescent="0.25">
      <c r="A400" s="189"/>
      <c r="B400" s="189"/>
      <c r="C400" s="189"/>
      <c r="D400" s="191"/>
      <c r="E400" s="191"/>
      <c r="F400" s="191"/>
      <c r="G400" s="191"/>
      <c r="H400" s="191"/>
      <c r="I400" s="191"/>
      <c r="J400" s="191"/>
    </row>
    <row r="401" spans="1:10" x14ac:dyDescent="0.25">
      <c r="A401" s="189"/>
      <c r="B401" s="189"/>
      <c r="C401" s="189"/>
      <c r="D401" s="191"/>
      <c r="E401" s="191"/>
      <c r="F401" s="191"/>
      <c r="G401" s="191"/>
      <c r="H401" s="191"/>
      <c r="I401" s="191"/>
      <c r="J401" s="191"/>
    </row>
    <row r="402" spans="1:10" x14ac:dyDescent="0.25">
      <c r="A402" s="189"/>
      <c r="B402" s="189"/>
      <c r="C402" s="189"/>
      <c r="D402" s="191"/>
      <c r="E402" s="191"/>
      <c r="F402" s="191"/>
      <c r="G402" s="191"/>
      <c r="H402" s="191"/>
      <c r="I402" s="191"/>
      <c r="J402" s="191"/>
    </row>
    <row r="403" spans="1:10" x14ac:dyDescent="0.25">
      <c r="A403" s="189"/>
      <c r="B403" s="189"/>
      <c r="C403" s="189"/>
      <c r="D403" s="191"/>
      <c r="E403" s="191"/>
      <c r="F403" s="191"/>
      <c r="G403" s="191"/>
      <c r="H403" s="191"/>
      <c r="I403" s="191"/>
      <c r="J403" s="191"/>
    </row>
    <row r="404" spans="1:10" x14ac:dyDescent="0.25">
      <c r="A404" s="189"/>
      <c r="B404" s="189"/>
      <c r="C404" s="189"/>
      <c r="D404" s="191"/>
      <c r="E404" s="191"/>
      <c r="F404" s="191"/>
      <c r="G404" s="191"/>
      <c r="H404" s="191"/>
      <c r="I404" s="191"/>
      <c r="J404" s="191"/>
    </row>
    <row r="405" spans="1:10" x14ac:dyDescent="0.25">
      <c r="A405" s="189"/>
      <c r="B405" s="189"/>
      <c r="C405" s="189"/>
      <c r="D405" s="191"/>
      <c r="E405" s="191"/>
      <c r="F405" s="191"/>
      <c r="G405" s="191"/>
      <c r="H405" s="191"/>
      <c r="I405" s="191"/>
      <c r="J405" s="191"/>
    </row>
    <row r="406" spans="1:10" x14ac:dyDescent="0.25">
      <c r="A406" s="189"/>
      <c r="B406" s="189"/>
      <c r="C406" s="189"/>
      <c r="D406" s="191"/>
      <c r="E406" s="191"/>
      <c r="F406" s="191"/>
      <c r="G406" s="191"/>
      <c r="H406" s="191"/>
      <c r="I406" s="191"/>
      <c r="J406" s="191"/>
    </row>
    <row r="407" spans="1:10" x14ac:dyDescent="0.25">
      <c r="A407" s="189"/>
      <c r="B407" s="189"/>
      <c r="C407" s="189"/>
      <c r="D407" s="191"/>
      <c r="E407" s="191"/>
      <c r="F407" s="191"/>
      <c r="G407" s="191"/>
      <c r="H407" s="191"/>
      <c r="I407" s="191"/>
      <c r="J407" s="191"/>
    </row>
    <row r="408" spans="1:10" x14ac:dyDescent="0.25">
      <c r="A408" s="189"/>
      <c r="B408" s="189"/>
      <c r="C408" s="189"/>
      <c r="D408" s="191"/>
      <c r="E408" s="191"/>
      <c r="F408" s="191"/>
      <c r="G408" s="191"/>
      <c r="H408" s="191"/>
      <c r="I408" s="191"/>
      <c r="J408" s="191"/>
    </row>
    <row r="409" spans="1:10" x14ac:dyDescent="0.25">
      <c r="A409" s="189"/>
      <c r="B409" s="189"/>
      <c r="C409" s="189"/>
      <c r="D409" s="191"/>
      <c r="E409" s="191"/>
      <c r="F409" s="191"/>
      <c r="G409" s="191"/>
      <c r="H409" s="191"/>
      <c r="I409" s="191"/>
      <c r="J409" s="191"/>
    </row>
    <row r="410" spans="1:10" x14ac:dyDescent="0.25">
      <c r="A410" s="189"/>
      <c r="B410" s="189"/>
      <c r="C410" s="189"/>
      <c r="D410" s="191"/>
      <c r="E410" s="191"/>
      <c r="F410" s="191"/>
      <c r="G410" s="191"/>
      <c r="H410" s="191"/>
      <c r="I410" s="191"/>
      <c r="J410" s="191"/>
    </row>
    <row r="411" spans="1:10" x14ac:dyDescent="0.25">
      <c r="A411" s="189"/>
      <c r="B411" s="189"/>
      <c r="C411" s="189"/>
      <c r="D411" s="191"/>
      <c r="E411" s="191"/>
      <c r="F411" s="191"/>
      <c r="G411" s="191"/>
      <c r="H411" s="191"/>
      <c r="I411" s="191"/>
      <c r="J411" s="191"/>
    </row>
    <row r="412" spans="1:10" x14ac:dyDescent="0.25">
      <c r="A412" s="189"/>
      <c r="B412" s="189"/>
      <c r="C412" s="189"/>
      <c r="D412" s="191"/>
      <c r="E412" s="191"/>
      <c r="F412" s="191"/>
      <c r="G412" s="191"/>
      <c r="H412" s="191"/>
      <c r="I412" s="191"/>
      <c r="J412" s="191"/>
    </row>
    <row r="413" spans="1:10" x14ac:dyDescent="0.25">
      <c r="A413" s="189"/>
      <c r="B413" s="189"/>
      <c r="C413" s="189"/>
      <c r="D413" s="191"/>
      <c r="E413" s="191"/>
      <c r="F413" s="191"/>
      <c r="G413" s="191"/>
      <c r="H413" s="191"/>
      <c r="I413" s="191"/>
      <c r="J413" s="191"/>
    </row>
    <row r="414" spans="1:10" x14ac:dyDescent="0.25">
      <c r="A414" s="189"/>
      <c r="B414" s="189"/>
      <c r="C414" s="189"/>
      <c r="D414" s="191"/>
      <c r="E414" s="191"/>
      <c r="F414" s="191"/>
      <c r="G414" s="191"/>
      <c r="H414" s="191"/>
      <c r="I414" s="191"/>
      <c r="J414" s="191"/>
    </row>
    <row r="415" spans="1:10" x14ac:dyDescent="0.25">
      <c r="A415" s="189"/>
      <c r="B415" s="189"/>
      <c r="C415" s="189"/>
      <c r="D415" s="191"/>
      <c r="E415" s="191"/>
      <c r="F415" s="191"/>
      <c r="G415" s="191"/>
      <c r="H415" s="191"/>
      <c r="I415" s="191"/>
      <c r="J415" s="191"/>
    </row>
    <row r="416" spans="1:10" x14ac:dyDescent="0.25">
      <c r="A416" s="189"/>
      <c r="B416" s="189"/>
      <c r="C416" s="189"/>
      <c r="D416" s="191"/>
      <c r="E416" s="191"/>
      <c r="F416" s="191"/>
      <c r="G416" s="191"/>
      <c r="H416" s="191"/>
      <c r="I416" s="191"/>
      <c r="J416" s="191"/>
    </row>
    <row r="417" spans="1:10" x14ac:dyDescent="0.25">
      <c r="A417" s="189"/>
      <c r="B417" s="189"/>
      <c r="C417" s="189"/>
      <c r="D417" s="191"/>
      <c r="E417" s="191"/>
      <c r="F417" s="191"/>
      <c r="G417" s="191"/>
      <c r="H417" s="191"/>
      <c r="I417" s="191"/>
      <c r="J417" s="191"/>
    </row>
    <row r="418" spans="1:10" x14ac:dyDescent="0.25">
      <c r="A418" s="189"/>
      <c r="B418" s="189"/>
      <c r="C418" s="189"/>
      <c r="D418" s="191"/>
      <c r="E418" s="191"/>
      <c r="F418" s="191"/>
      <c r="G418" s="191"/>
      <c r="H418" s="191"/>
      <c r="I418" s="191"/>
      <c r="J418" s="191"/>
    </row>
    <row r="419" spans="1:10" x14ac:dyDescent="0.25">
      <c r="A419" s="189"/>
      <c r="B419" s="189"/>
      <c r="C419" s="189"/>
      <c r="D419" s="191"/>
      <c r="E419" s="191"/>
      <c r="F419" s="191"/>
      <c r="G419" s="191"/>
      <c r="H419" s="191"/>
      <c r="I419" s="191"/>
      <c r="J419" s="191"/>
    </row>
    <row r="420" spans="1:10" x14ac:dyDescent="0.25">
      <c r="A420" s="189"/>
      <c r="B420" s="189"/>
      <c r="C420" s="189"/>
      <c r="D420" s="191"/>
      <c r="E420" s="191"/>
      <c r="F420" s="191"/>
      <c r="G420" s="191"/>
      <c r="H420" s="191"/>
      <c r="I420" s="191"/>
      <c r="J420" s="191"/>
    </row>
    <row r="421" spans="1:10" x14ac:dyDescent="0.25">
      <c r="A421" s="189"/>
      <c r="B421" s="189"/>
      <c r="C421" s="189"/>
      <c r="D421" s="191"/>
      <c r="E421" s="191"/>
      <c r="F421" s="191"/>
      <c r="G421" s="191"/>
      <c r="H421" s="191"/>
      <c r="I421" s="191"/>
      <c r="J421" s="191"/>
    </row>
    <row r="422" spans="1:10" x14ac:dyDescent="0.25">
      <c r="A422" s="189"/>
      <c r="B422" s="189"/>
      <c r="C422" s="189"/>
      <c r="D422" s="191"/>
      <c r="E422" s="191"/>
      <c r="F422" s="191"/>
      <c r="G422" s="191"/>
      <c r="H422" s="191"/>
      <c r="I422" s="191"/>
      <c r="J422" s="191"/>
    </row>
    <row r="423" spans="1:10" x14ac:dyDescent="0.25">
      <c r="A423" s="189"/>
      <c r="B423" s="189"/>
      <c r="C423" s="189"/>
      <c r="D423" s="191"/>
      <c r="E423" s="191"/>
      <c r="F423" s="191"/>
      <c r="G423" s="191"/>
      <c r="H423" s="191"/>
      <c r="I423" s="191"/>
      <c r="J423" s="191"/>
    </row>
    <row r="424" spans="1:10" x14ac:dyDescent="0.25">
      <c r="A424" s="189"/>
      <c r="B424" s="189"/>
      <c r="C424" s="189"/>
      <c r="D424" s="191"/>
      <c r="E424" s="191"/>
      <c r="F424" s="191"/>
      <c r="G424" s="191"/>
      <c r="H424" s="191"/>
      <c r="I424" s="191"/>
      <c r="J424" s="191"/>
    </row>
    <row r="425" spans="1:10" x14ac:dyDescent="0.25">
      <c r="A425" s="189"/>
      <c r="B425" s="189"/>
      <c r="C425" s="189"/>
      <c r="D425" s="191"/>
      <c r="E425" s="191"/>
      <c r="F425" s="191"/>
      <c r="G425" s="191"/>
      <c r="H425" s="191"/>
      <c r="I425" s="191"/>
      <c r="J425" s="191"/>
    </row>
    <row r="426" spans="1:10" x14ac:dyDescent="0.25">
      <c r="A426" s="189"/>
      <c r="B426" s="189"/>
      <c r="C426" s="189"/>
      <c r="D426" s="191"/>
      <c r="E426" s="191"/>
      <c r="F426" s="191"/>
      <c r="G426" s="191"/>
      <c r="H426" s="191"/>
      <c r="I426" s="191"/>
      <c r="J426" s="191"/>
    </row>
    <row r="427" spans="1:10" x14ac:dyDescent="0.25">
      <c r="A427" s="189"/>
      <c r="B427" s="189"/>
      <c r="C427" s="189"/>
      <c r="D427" s="191"/>
      <c r="E427" s="191"/>
      <c r="F427" s="191"/>
      <c r="G427" s="191"/>
      <c r="H427" s="191"/>
      <c r="I427" s="191"/>
      <c r="J427" s="191"/>
    </row>
    <row r="428" spans="1:10" x14ac:dyDescent="0.25">
      <c r="A428" s="189"/>
      <c r="B428" s="189"/>
      <c r="C428" s="189"/>
      <c r="D428" s="191"/>
      <c r="E428" s="191"/>
      <c r="F428" s="191"/>
      <c r="G428" s="191"/>
      <c r="H428" s="191"/>
      <c r="I428" s="191"/>
      <c r="J428" s="191"/>
    </row>
    <row r="429" spans="1:10" x14ac:dyDescent="0.25">
      <c r="A429" s="189"/>
      <c r="B429" s="189"/>
      <c r="C429" s="189"/>
      <c r="D429" s="191"/>
      <c r="E429" s="191"/>
      <c r="F429" s="191"/>
      <c r="G429" s="191"/>
      <c r="H429" s="191"/>
      <c r="I429" s="191"/>
      <c r="J429" s="191"/>
    </row>
    <row r="430" spans="1:10" x14ac:dyDescent="0.25">
      <c r="A430" s="189"/>
      <c r="B430" s="189"/>
      <c r="C430" s="189"/>
      <c r="D430" s="191"/>
      <c r="E430" s="191"/>
      <c r="F430" s="191"/>
      <c r="G430" s="191"/>
      <c r="H430" s="191"/>
      <c r="I430" s="191"/>
      <c r="J430" s="191"/>
    </row>
    <row r="431" spans="1:10" x14ac:dyDescent="0.25">
      <c r="A431" s="189"/>
      <c r="B431" s="189"/>
      <c r="C431" s="189"/>
      <c r="D431" s="191"/>
      <c r="E431" s="191"/>
      <c r="F431" s="191"/>
      <c r="G431" s="191"/>
      <c r="H431" s="191"/>
      <c r="I431" s="191"/>
      <c r="J431" s="191"/>
    </row>
    <row r="432" spans="1:10" x14ac:dyDescent="0.25">
      <c r="A432" s="189"/>
      <c r="B432" s="189"/>
      <c r="C432" s="189"/>
      <c r="D432" s="191"/>
      <c r="E432" s="191"/>
      <c r="F432" s="191"/>
      <c r="G432" s="191"/>
      <c r="H432" s="191"/>
      <c r="I432" s="191"/>
      <c r="J432" s="191"/>
    </row>
    <row r="433" spans="1:10" x14ac:dyDescent="0.25">
      <c r="A433" s="189"/>
      <c r="B433" s="189"/>
      <c r="C433" s="189"/>
      <c r="D433" s="191"/>
      <c r="E433" s="191"/>
      <c r="F433" s="191"/>
      <c r="G433" s="191"/>
      <c r="H433" s="191"/>
      <c r="I433" s="191"/>
      <c r="J433" s="191"/>
    </row>
    <row r="434" spans="1:10" x14ac:dyDescent="0.25">
      <c r="A434" s="189"/>
      <c r="B434" s="189"/>
      <c r="C434" s="189"/>
      <c r="D434" s="191"/>
      <c r="E434" s="191"/>
      <c r="F434" s="191"/>
      <c r="G434" s="191"/>
      <c r="H434" s="191"/>
      <c r="I434" s="191"/>
      <c r="J434" s="191"/>
    </row>
    <row r="435" spans="1:10" x14ac:dyDescent="0.25">
      <c r="A435" s="189"/>
      <c r="B435" s="189"/>
      <c r="C435" s="189"/>
      <c r="D435" s="191"/>
      <c r="E435" s="191"/>
      <c r="F435" s="191"/>
      <c r="G435" s="191"/>
      <c r="H435" s="191"/>
      <c r="I435" s="191"/>
      <c r="J435" s="191"/>
    </row>
    <row r="436" spans="1:10" x14ac:dyDescent="0.25">
      <c r="A436" s="189"/>
      <c r="B436" s="189"/>
      <c r="C436" s="189"/>
      <c r="D436" s="191"/>
      <c r="E436" s="191"/>
      <c r="F436" s="191"/>
      <c r="G436" s="191"/>
      <c r="H436" s="191"/>
      <c r="I436" s="191"/>
      <c r="J436" s="191"/>
    </row>
    <row r="437" spans="1:10" x14ac:dyDescent="0.25">
      <c r="A437" s="189"/>
      <c r="B437" s="189"/>
      <c r="C437" s="189"/>
      <c r="D437" s="191"/>
      <c r="E437" s="191"/>
      <c r="F437" s="191"/>
      <c r="G437" s="191"/>
      <c r="H437" s="191"/>
      <c r="I437" s="191"/>
      <c r="J437" s="191"/>
    </row>
    <row r="438" spans="1:10" x14ac:dyDescent="0.25">
      <c r="A438" s="189"/>
      <c r="B438" s="189"/>
      <c r="C438" s="189"/>
      <c r="D438" s="191"/>
      <c r="E438" s="191"/>
      <c r="F438" s="191"/>
      <c r="G438" s="191"/>
      <c r="H438" s="191"/>
      <c r="I438" s="191"/>
      <c r="J438" s="191"/>
    </row>
    <row r="439" spans="1:10" x14ac:dyDescent="0.25">
      <c r="A439" s="189"/>
      <c r="B439" s="189"/>
      <c r="C439" s="189"/>
      <c r="D439" s="191"/>
      <c r="E439" s="191"/>
      <c r="F439" s="191"/>
      <c r="G439" s="191"/>
      <c r="H439" s="191"/>
      <c r="I439" s="191"/>
      <c r="J439" s="191"/>
    </row>
    <row r="440" spans="1:10" x14ac:dyDescent="0.25">
      <c r="A440" s="189"/>
      <c r="B440" s="189"/>
      <c r="C440" s="189"/>
      <c r="D440" s="191"/>
      <c r="E440" s="191"/>
      <c r="F440" s="191"/>
      <c r="G440" s="191"/>
      <c r="H440" s="191"/>
      <c r="I440" s="191"/>
      <c r="J440" s="191"/>
    </row>
    <row r="441" spans="1:10" x14ac:dyDescent="0.25">
      <c r="A441" s="189"/>
      <c r="B441" s="189"/>
      <c r="C441" s="189"/>
      <c r="D441" s="191"/>
      <c r="E441" s="191"/>
      <c r="F441" s="191"/>
      <c r="G441" s="191"/>
      <c r="H441" s="191"/>
      <c r="I441" s="191"/>
      <c r="J441" s="191"/>
    </row>
    <row r="442" spans="1:10" x14ac:dyDescent="0.25">
      <c r="A442" s="189"/>
      <c r="B442" s="189"/>
      <c r="C442" s="189"/>
      <c r="D442" s="191"/>
      <c r="E442" s="191"/>
      <c r="F442" s="191"/>
      <c r="G442" s="191"/>
      <c r="H442" s="191"/>
      <c r="I442" s="191"/>
      <c r="J442" s="191"/>
    </row>
    <row r="443" spans="1:10" x14ac:dyDescent="0.25">
      <c r="A443" s="189"/>
      <c r="B443" s="189"/>
      <c r="C443" s="189"/>
      <c r="D443" s="191"/>
      <c r="E443" s="191"/>
      <c r="F443" s="191"/>
      <c r="G443" s="191"/>
      <c r="H443" s="191"/>
      <c r="I443" s="191"/>
      <c r="J443" s="191"/>
    </row>
    <row r="444" spans="1:10" x14ac:dyDescent="0.25">
      <c r="A444" s="189"/>
      <c r="B444" s="189"/>
      <c r="C444" s="189"/>
      <c r="D444" s="191"/>
      <c r="E444" s="191"/>
      <c r="F444" s="191"/>
      <c r="G444" s="191"/>
      <c r="H444" s="191"/>
      <c r="I444" s="191"/>
      <c r="J444" s="191"/>
    </row>
    <row r="445" spans="1:10" x14ac:dyDescent="0.25">
      <c r="A445" s="189"/>
      <c r="B445" s="189"/>
      <c r="C445" s="189"/>
      <c r="D445" s="191"/>
      <c r="E445" s="191"/>
      <c r="F445" s="191"/>
      <c r="G445" s="191"/>
      <c r="H445" s="191"/>
      <c r="I445" s="191"/>
      <c r="J445" s="191"/>
    </row>
    <row r="446" spans="1:10" x14ac:dyDescent="0.25">
      <c r="A446" s="189"/>
      <c r="B446" s="189"/>
      <c r="C446" s="189"/>
      <c r="D446" s="191"/>
      <c r="E446" s="191"/>
      <c r="F446" s="191"/>
      <c r="G446" s="191"/>
      <c r="H446" s="191"/>
      <c r="I446" s="191"/>
      <c r="J446" s="191"/>
    </row>
    <row r="447" spans="1:10" x14ac:dyDescent="0.25">
      <c r="A447" s="189"/>
      <c r="B447" s="189"/>
      <c r="C447" s="189"/>
      <c r="D447" s="191"/>
      <c r="E447" s="191"/>
      <c r="F447" s="191"/>
      <c r="G447" s="191"/>
      <c r="H447" s="191"/>
      <c r="I447" s="191"/>
      <c r="J447" s="191"/>
    </row>
    <row r="448" spans="1:10" x14ac:dyDescent="0.25">
      <c r="A448" s="189"/>
      <c r="B448" s="189"/>
      <c r="C448" s="189"/>
      <c r="D448" s="191"/>
      <c r="E448" s="191"/>
      <c r="F448" s="191"/>
      <c r="G448" s="191"/>
      <c r="H448" s="191"/>
      <c r="I448" s="191"/>
      <c r="J448" s="191"/>
    </row>
    <row r="449" spans="1:10" x14ac:dyDescent="0.25">
      <c r="A449" s="189"/>
      <c r="B449" s="189"/>
      <c r="C449" s="189"/>
      <c r="D449" s="191"/>
      <c r="E449" s="191"/>
      <c r="F449" s="191"/>
      <c r="G449" s="191"/>
      <c r="H449" s="191"/>
      <c r="I449" s="191"/>
      <c r="J449" s="191"/>
    </row>
    <row r="450" spans="1:10" x14ac:dyDescent="0.25">
      <c r="A450" s="189"/>
      <c r="B450" s="189"/>
      <c r="C450" s="189"/>
      <c r="D450" s="191"/>
      <c r="E450" s="191"/>
      <c r="F450" s="191"/>
      <c r="G450" s="191"/>
      <c r="H450" s="191"/>
      <c r="I450" s="191"/>
      <c r="J450" s="191"/>
    </row>
    <row r="451" spans="1:10" x14ac:dyDescent="0.25">
      <c r="A451" s="189"/>
      <c r="B451" s="189"/>
      <c r="C451" s="189"/>
      <c r="D451" s="191"/>
      <c r="E451" s="191"/>
      <c r="F451" s="191"/>
      <c r="G451" s="191"/>
      <c r="H451" s="191"/>
      <c r="I451" s="191"/>
      <c r="J451" s="191"/>
    </row>
    <row r="452" spans="1:10" x14ac:dyDescent="0.25">
      <c r="A452" s="189"/>
      <c r="B452" s="189"/>
      <c r="C452" s="189"/>
      <c r="D452" s="191"/>
      <c r="E452" s="191"/>
      <c r="F452" s="191"/>
      <c r="G452" s="191"/>
      <c r="H452" s="191"/>
      <c r="I452" s="191"/>
      <c r="J452" s="191"/>
    </row>
    <row r="453" spans="1:10" x14ac:dyDescent="0.25">
      <c r="A453" s="189"/>
      <c r="B453" s="189"/>
      <c r="C453" s="189"/>
      <c r="D453" s="191"/>
      <c r="E453" s="191"/>
      <c r="F453" s="191"/>
      <c r="G453" s="191"/>
      <c r="H453" s="191"/>
      <c r="I453" s="191"/>
      <c r="J453" s="191"/>
    </row>
    <row r="454" spans="1:10" x14ac:dyDescent="0.25">
      <c r="A454" s="189"/>
      <c r="B454" s="189"/>
      <c r="C454" s="189"/>
      <c r="D454" s="191"/>
      <c r="E454" s="191"/>
      <c r="F454" s="191"/>
      <c r="G454" s="191"/>
      <c r="H454" s="191"/>
      <c r="I454" s="191"/>
      <c r="J454" s="191"/>
    </row>
    <row r="455" spans="1:10" x14ac:dyDescent="0.25">
      <c r="A455" s="189"/>
      <c r="B455" s="189"/>
      <c r="C455" s="189"/>
      <c r="D455" s="191"/>
      <c r="E455" s="191"/>
      <c r="F455" s="191"/>
      <c r="G455" s="191"/>
      <c r="H455" s="191"/>
      <c r="I455" s="191"/>
      <c r="J455" s="191"/>
    </row>
    <row r="456" spans="1:10" x14ac:dyDescent="0.25">
      <c r="A456" s="189"/>
      <c r="B456" s="189"/>
      <c r="C456" s="189"/>
      <c r="D456" s="191"/>
      <c r="E456" s="191"/>
      <c r="F456" s="191"/>
      <c r="G456" s="191"/>
      <c r="H456" s="191"/>
      <c r="I456" s="191"/>
      <c r="J456" s="191"/>
    </row>
    <row r="457" spans="1:10" x14ac:dyDescent="0.25">
      <c r="A457" s="189"/>
      <c r="B457" s="189"/>
      <c r="C457" s="189"/>
      <c r="D457" s="191"/>
      <c r="E457" s="191"/>
      <c r="F457" s="191"/>
      <c r="G457" s="191"/>
      <c r="H457" s="191"/>
      <c r="I457" s="191"/>
      <c r="J457" s="191"/>
    </row>
    <row r="458" spans="1:10" x14ac:dyDescent="0.25">
      <c r="A458" s="189"/>
      <c r="B458" s="189"/>
      <c r="C458" s="189"/>
      <c r="D458" s="191"/>
      <c r="E458" s="191"/>
      <c r="F458" s="191"/>
      <c r="G458" s="191"/>
      <c r="H458" s="191"/>
      <c r="I458" s="191"/>
      <c r="J458" s="191"/>
    </row>
    <row r="459" spans="1:10" x14ac:dyDescent="0.25">
      <c r="A459" s="189"/>
      <c r="B459" s="189"/>
      <c r="C459" s="189"/>
      <c r="D459" s="191"/>
      <c r="E459" s="191"/>
      <c r="F459" s="191"/>
      <c r="G459" s="191"/>
      <c r="H459" s="191"/>
      <c r="I459" s="191"/>
      <c r="J459" s="191"/>
    </row>
    <row r="460" spans="1:10" x14ac:dyDescent="0.25">
      <c r="A460" s="189"/>
      <c r="B460" s="189"/>
      <c r="C460" s="189"/>
      <c r="D460" s="191"/>
      <c r="E460" s="191"/>
      <c r="F460" s="191"/>
      <c r="G460" s="191"/>
      <c r="H460" s="191"/>
      <c r="I460" s="191"/>
      <c r="J460" s="191"/>
    </row>
    <row r="461" spans="1:10" x14ac:dyDescent="0.25">
      <c r="A461" s="189"/>
      <c r="B461" s="189"/>
      <c r="C461" s="189"/>
      <c r="D461" s="191"/>
      <c r="E461" s="191"/>
      <c r="F461" s="191"/>
      <c r="G461" s="191"/>
      <c r="H461" s="191"/>
      <c r="I461" s="191"/>
      <c r="J461" s="191"/>
    </row>
    <row r="462" spans="1:10" x14ac:dyDescent="0.25">
      <c r="A462" s="189"/>
      <c r="B462" s="189"/>
      <c r="C462" s="189"/>
      <c r="D462" s="191"/>
      <c r="E462" s="191"/>
      <c r="F462" s="191"/>
      <c r="G462" s="191"/>
      <c r="H462" s="191"/>
      <c r="I462" s="191"/>
      <c r="J462" s="191"/>
    </row>
    <row r="463" spans="1:10" x14ac:dyDescent="0.25">
      <c r="A463" s="189"/>
      <c r="B463" s="189"/>
      <c r="C463" s="189"/>
      <c r="D463" s="191"/>
      <c r="E463" s="191"/>
      <c r="F463" s="191"/>
      <c r="G463" s="191"/>
      <c r="H463" s="191"/>
      <c r="I463" s="191"/>
      <c r="J463" s="191"/>
    </row>
    <row r="464" spans="1:10" x14ac:dyDescent="0.25">
      <c r="A464" s="189"/>
      <c r="B464" s="189"/>
      <c r="C464" s="189"/>
      <c r="D464" s="191"/>
      <c r="E464" s="191"/>
      <c r="F464" s="191"/>
      <c r="G464" s="191"/>
      <c r="H464" s="191"/>
      <c r="I464" s="191"/>
      <c r="J464" s="191"/>
    </row>
    <row r="465" spans="1:10" x14ac:dyDescent="0.25">
      <c r="A465" s="189"/>
      <c r="B465" s="189"/>
      <c r="C465" s="189"/>
      <c r="D465" s="191"/>
      <c r="E465" s="191"/>
      <c r="F465" s="191"/>
      <c r="G465" s="191"/>
      <c r="H465" s="191"/>
      <c r="I465" s="191"/>
      <c r="J465" s="191"/>
    </row>
    <row r="466" spans="1:10" x14ac:dyDescent="0.25">
      <c r="A466" s="189"/>
      <c r="B466" s="189"/>
      <c r="C466" s="189"/>
      <c r="D466" s="191"/>
      <c r="E466" s="191"/>
      <c r="F466" s="191"/>
      <c r="G466" s="191"/>
      <c r="H466" s="191"/>
      <c r="I466" s="191"/>
      <c r="J466" s="191"/>
    </row>
    <row r="467" spans="1:10" x14ac:dyDescent="0.25">
      <c r="A467" s="189"/>
      <c r="B467" s="189"/>
      <c r="C467" s="189"/>
      <c r="D467" s="191"/>
      <c r="E467" s="191"/>
      <c r="F467" s="191"/>
      <c r="G467" s="191"/>
      <c r="H467" s="191"/>
      <c r="I467" s="191"/>
      <c r="J467" s="191"/>
    </row>
    <row r="468" spans="1:10" x14ac:dyDescent="0.25">
      <c r="A468" s="189"/>
      <c r="B468" s="189"/>
      <c r="C468" s="189"/>
      <c r="D468" s="191"/>
      <c r="E468" s="191"/>
      <c r="F468" s="191"/>
      <c r="G468" s="191"/>
      <c r="H468" s="191"/>
      <c r="I468" s="191"/>
      <c r="J468" s="191"/>
    </row>
    <row r="469" spans="1:10" x14ac:dyDescent="0.25">
      <c r="A469" s="189"/>
      <c r="B469" s="189"/>
      <c r="C469" s="189"/>
      <c r="D469" s="191"/>
      <c r="E469" s="191"/>
      <c r="F469" s="191"/>
      <c r="G469" s="191"/>
      <c r="H469" s="191"/>
      <c r="I469" s="191"/>
      <c r="J469" s="191"/>
    </row>
    <row r="470" spans="1:10" x14ac:dyDescent="0.25">
      <c r="A470" s="189"/>
      <c r="B470" s="189"/>
      <c r="C470" s="189"/>
      <c r="D470" s="191"/>
      <c r="E470" s="191"/>
      <c r="F470" s="191"/>
      <c r="G470" s="191"/>
      <c r="H470" s="191"/>
      <c r="I470" s="191"/>
      <c r="J470" s="191"/>
    </row>
    <row r="471" spans="1:10" x14ac:dyDescent="0.25">
      <c r="A471" s="189"/>
      <c r="B471" s="189"/>
      <c r="C471" s="189"/>
      <c r="D471" s="191"/>
      <c r="E471" s="191"/>
      <c r="F471" s="191"/>
      <c r="G471" s="191"/>
      <c r="H471" s="191"/>
      <c r="I471" s="191"/>
      <c r="J471" s="191"/>
    </row>
    <row r="472" spans="1:10" x14ac:dyDescent="0.25">
      <c r="A472" s="189"/>
      <c r="B472" s="189"/>
      <c r="C472" s="189"/>
      <c r="D472" s="191"/>
      <c r="E472" s="191"/>
      <c r="F472" s="191"/>
      <c r="G472" s="191"/>
      <c r="H472" s="191"/>
      <c r="I472" s="191"/>
      <c r="J472" s="191"/>
    </row>
    <row r="473" spans="1:10" x14ac:dyDescent="0.25">
      <c r="A473" s="189"/>
      <c r="B473" s="189"/>
      <c r="C473" s="189"/>
      <c r="D473" s="191"/>
      <c r="E473" s="191"/>
      <c r="F473" s="191"/>
      <c r="G473" s="191"/>
      <c r="H473" s="191"/>
      <c r="I473" s="191"/>
      <c r="J473" s="191"/>
    </row>
    <row r="474" spans="1:10" x14ac:dyDescent="0.25">
      <c r="A474" s="189"/>
      <c r="B474" s="189"/>
      <c r="C474" s="189"/>
      <c r="D474" s="191"/>
      <c r="E474" s="191"/>
      <c r="F474" s="191"/>
      <c r="G474" s="191"/>
      <c r="H474" s="191"/>
      <c r="I474" s="191"/>
      <c r="J474" s="191"/>
    </row>
    <row r="475" spans="1:10" x14ac:dyDescent="0.25">
      <c r="A475" s="189"/>
      <c r="B475" s="189"/>
      <c r="C475" s="189"/>
      <c r="D475" s="191"/>
      <c r="E475" s="191"/>
      <c r="F475" s="191"/>
      <c r="G475" s="191"/>
      <c r="H475" s="191"/>
      <c r="I475" s="191"/>
      <c r="J475" s="191"/>
    </row>
    <row r="476" spans="1:10" x14ac:dyDescent="0.25">
      <c r="A476" s="189"/>
      <c r="B476" s="189"/>
      <c r="C476" s="189"/>
      <c r="D476" s="191"/>
      <c r="E476" s="191"/>
      <c r="F476" s="191"/>
      <c r="G476" s="191"/>
      <c r="H476" s="191"/>
      <c r="I476" s="191"/>
      <c r="J476" s="191"/>
    </row>
    <row r="477" spans="1:10" x14ac:dyDescent="0.25">
      <c r="A477" s="189"/>
      <c r="B477" s="189"/>
      <c r="C477" s="189"/>
      <c r="D477" s="191"/>
      <c r="E477" s="191"/>
      <c r="F477" s="191"/>
      <c r="G477" s="191"/>
      <c r="H477" s="191"/>
      <c r="I477" s="191"/>
      <c r="J477" s="191"/>
    </row>
    <row r="478" spans="1:10" x14ac:dyDescent="0.25">
      <c r="A478" s="189"/>
      <c r="B478" s="189"/>
      <c r="C478" s="189"/>
      <c r="D478" s="191"/>
      <c r="E478" s="191"/>
      <c r="F478" s="191"/>
      <c r="G478" s="191"/>
      <c r="H478" s="191"/>
      <c r="I478" s="191"/>
      <c r="J478" s="191"/>
    </row>
    <row r="479" spans="1:10" x14ac:dyDescent="0.25">
      <c r="A479" s="189"/>
      <c r="B479" s="189"/>
      <c r="C479" s="189"/>
      <c r="D479" s="191"/>
      <c r="E479" s="191"/>
      <c r="F479" s="191"/>
      <c r="G479" s="191"/>
      <c r="H479" s="191"/>
      <c r="I479" s="191"/>
      <c r="J479" s="191"/>
    </row>
    <row r="480" spans="1:10" x14ac:dyDescent="0.25">
      <c r="A480" s="189"/>
      <c r="B480" s="189"/>
      <c r="C480" s="189"/>
      <c r="D480" s="191"/>
      <c r="E480" s="191"/>
      <c r="F480" s="191"/>
      <c r="G480" s="191"/>
      <c r="H480" s="191"/>
      <c r="I480" s="191"/>
      <c r="J480" s="191"/>
    </row>
    <row r="481" spans="1:10" x14ac:dyDescent="0.25">
      <c r="A481" s="189"/>
      <c r="B481" s="189"/>
      <c r="C481" s="189"/>
      <c r="D481" s="191"/>
      <c r="E481" s="191"/>
      <c r="F481" s="191"/>
      <c r="G481" s="191"/>
      <c r="H481" s="191"/>
      <c r="I481" s="191"/>
      <c r="J481" s="191"/>
    </row>
    <row r="482" spans="1:10" x14ac:dyDescent="0.25">
      <c r="A482" s="189"/>
      <c r="B482" s="189"/>
      <c r="C482" s="189"/>
      <c r="D482" s="191"/>
      <c r="E482" s="191"/>
      <c r="F482" s="191"/>
      <c r="G482" s="191"/>
      <c r="H482" s="191"/>
      <c r="I482" s="191"/>
      <c r="J482" s="191"/>
    </row>
    <row r="483" spans="1:10" x14ac:dyDescent="0.25">
      <c r="A483" s="189"/>
      <c r="B483" s="189"/>
      <c r="C483" s="189"/>
      <c r="D483" s="191"/>
      <c r="E483" s="191"/>
      <c r="F483" s="191"/>
      <c r="G483" s="191"/>
      <c r="H483" s="191"/>
      <c r="I483" s="191"/>
      <c r="J483" s="191"/>
    </row>
    <row r="484" spans="1:10" x14ac:dyDescent="0.25">
      <c r="A484" s="189"/>
      <c r="B484" s="189"/>
      <c r="C484" s="189"/>
      <c r="D484" s="191"/>
      <c r="E484" s="191"/>
      <c r="F484" s="191"/>
      <c r="G484" s="191"/>
      <c r="H484" s="191"/>
      <c r="I484" s="191"/>
      <c r="J484" s="191"/>
    </row>
    <row r="485" spans="1:10" x14ac:dyDescent="0.25">
      <c r="A485" s="189"/>
      <c r="B485" s="189"/>
      <c r="C485" s="189"/>
      <c r="D485" s="191"/>
      <c r="E485" s="191"/>
      <c r="F485" s="191"/>
      <c r="G485" s="191"/>
      <c r="H485" s="191"/>
      <c r="I485" s="191"/>
      <c r="J485" s="191"/>
    </row>
    <row r="486" spans="1:10" x14ac:dyDescent="0.25">
      <c r="A486" s="189"/>
      <c r="B486" s="189"/>
      <c r="C486" s="189"/>
      <c r="D486" s="191"/>
      <c r="E486" s="191"/>
      <c r="F486" s="191"/>
      <c r="G486" s="191"/>
      <c r="H486" s="191"/>
      <c r="I486" s="191"/>
      <c r="J486" s="191"/>
    </row>
    <row r="487" spans="1:10" x14ac:dyDescent="0.25">
      <c r="A487" s="189"/>
      <c r="B487" s="189"/>
      <c r="C487" s="189"/>
      <c r="D487" s="191"/>
      <c r="E487" s="191"/>
      <c r="F487" s="191"/>
      <c r="G487" s="191"/>
      <c r="H487" s="191"/>
      <c r="I487" s="191"/>
      <c r="J487" s="191"/>
    </row>
    <row r="488" spans="1:10" x14ac:dyDescent="0.25">
      <c r="A488" s="189"/>
      <c r="B488" s="189"/>
      <c r="C488" s="189"/>
      <c r="D488" s="191"/>
      <c r="E488" s="191"/>
      <c r="F488" s="191"/>
      <c r="G488" s="191"/>
      <c r="H488" s="191"/>
      <c r="I488" s="191"/>
      <c r="J488" s="191"/>
    </row>
    <row r="489" spans="1:10" x14ac:dyDescent="0.25">
      <c r="A489" s="189"/>
      <c r="B489" s="189"/>
      <c r="C489" s="189"/>
      <c r="D489" s="191"/>
      <c r="E489" s="191"/>
      <c r="F489" s="191"/>
      <c r="G489" s="191"/>
      <c r="H489" s="191"/>
      <c r="I489" s="191"/>
      <c r="J489" s="191"/>
    </row>
    <row r="490" spans="1:10" x14ac:dyDescent="0.25">
      <c r="A490" s="189"/>
      <c r="B490" s="189"/>
      <c r="C490" s="189"/>
      <c r="D490" s="191"/>
      <c r="E490" s="191"/>
      <c r="F490" s="191"/>
      <c r="G490" s="191"/>
      <c r="H490" s="191"/>
      <c r="I490" s="191"/>
      <c r="J490" s="191"/>
    </row>
    <row r="491" spans="1:10" x14ac:dyDescent="0.25">
      <c r="A491" s="189"/>
      <c r="B491" s="189"/>
      <c r="C491" s="189"/>
      <c r="D491" s="191"/>
      <c r="E491" s="191"/>
      <c r="F491" s="191"/>
      <c r="G491" s="191"/>
      <c r="H491" s="191"/>
      <c r="I491" s="191"/>
      <c r="J491" s="191"/>
    </row>
    <row r="492" spans="1:10" x14ac:dyDescent="0.25">
      <c r="A492" s="189"/>
      <c r="B492" s="189"/>
      <c r="C492" s="189"/>
      <c r="D492" s="191"/>
      <c r="E492" s="191"/>
      <c r="F492" s="191"/>
      <c r="G492" s="191"/>
      <c r="H492" s="191"/>
      <c r="I492" s="191"/>
      <c r="J492" s="191"/>
    </row>
    <row r="493" spans="1:10" x14ac:dyDescent="0.25">
      <c r="A493" s="189"/>
      <c r="B493" s="189"/>
      <c r="C493" s="189"/>
      <c r="D493" s="191"/>
      <c r="E493" s="191"/>
      <c r="F493" s="191"/>
      <c r="G493" s="191"/>
      <c r="H493" s="191"/>
      <c r="I493" s="191"/>
      <c r="J493" s="191"/>
    </row>
    <row r="494" spans="1:10" x14ac:dyDescent="0.25">
      <c r="A494" s="189"/>
      <c r="B494" s="189"/>
      <c r="C494" s="189"/>
      <c r="D494" s="191"/>
      <c r="E494" s="191"/>
      <c r="F494" s="191"/>
      <c r="G494" s="191"/>
      <c r="H494" s="191"/>
      <c r="I494" s="191"/>
      <c r="J494" s="191"/>
    </row>
    <row r="495" spans="1:10" x14ac:dyDescent="0.25">
      <c r="A495" s="189"/>
      <c r="B495" s="189"/>
      <c r="C495" s="189"/>
      <c r="D495" s="191"/>
      <c r="E495" s="191"/>
      <c r="F495" s="191"/>
      <c r="G495" s="191"/>
      <c r="H495" s="191"/>
      <c r="I495" s="191"/>
      <c r="J495" s="191"/>
    </row>
    <row r="496" spans="1:10" x14ac:dyDescent="0.25">
      <c r="A496" s="189"/>
      <c r="B496" s="189"/>
      <c r="C496" s="189"/>
      <c r="D496" s="191"/>
      <c r="E496" s="191"/>
      <c r="F496" s="191"/>
      <c r="G496" s="191"/>
      <c r="H496" s="191"/>
      <c r="I496" s="191"/>
      <c r="J496" s="191"/>
    </row>
    <row r="497" spans="1:10" x14ac:dyDescent="0.25">
      <c r="A497" s="189"/>
      <c r="B497" s="189"/>
      <c r="C497" s="189"/>
      <c r="D497" s="191"/>
      <c r="E497" s="191"/>
      <c r="F497" s="191"/>
      <c r="G497" s="191"/>
      <c r="H497" s="191"/>
      <c r="I497" s="191"/>
      <c r="J497" s="191"/>
    </row>
    <row r="498" spans="1:10" x14ac:dyDescent="0.25">
      <c r="A498" s="189"/>
      <c r="B498" s="189"/>
      <c r="C498" s="189"/>
      <c r="D498" s="191"/>
      <c r="E498" s="191"/>
      <c r="F498" s="191"/>
      <c r="G498" s="191"/>
      <c r="H498" s="191"/>
      <c r="I498" s="191"/>
      <c r="J498" s="191"/>
    </row>
    <row r="499" spans="1:10" x14ac:dyDescent="0.25">
      <c r="A499" s="189"/>
      <c r="B499" s="189"/>
      <c r="C499" s="189"/>
      <c r="D499" s="191"/>
      <c r="E499" s="191"/>
      <c r="F499" s="191"/>
      <c r="G499" s="191"/>
      <c r="H499" s="191"/>
      <c r="I499" s="191"/>
      <c r="J499" s="191"/>
    </row>
    <row r="500" spans="1:10" x14ac:dyDescent="0.25">
      <c r="A500" s="189"/>
      <c r="B500" s="189"/>
      <c r="C500" s="189"/>
      <c r="D500" s="191"/>
      <c r="E500" s="191"/>
      <c r="F500" s="191"/>
      <c r="G500" s="191"/>
      <c r="H500" s="191"/>
      <c r="I500" s="191"/>
      <c r="J500" s="191"/>
    </row>
    <row r="501" spans="1:10" x14ac:dyDescent="0.25">
      <c r="A501" s="189"/>
      <c r="B501" s="189"/>
      <c r="C501" s="189"/>
      <c r="D501" s="191"/>
      <c r="E501" s="191"/>
      <c r="F501" s="191"/>
      <c r="G501" s="191"/>
      <c r="H501" s="191"/>
      <c r="I501" s="191"/>
      <c r="J501" s="191"/>
    </row>
    <row r="502" spans="1:10" x14ac:dyDescent="0.25">
      <c r="A502" s="189"/>
      <c r="B502" s="189"/>
      <c r="C502" s="189"/>
      <c r="D502" s="191"/>
      <c r="E502" s="191"/>
      <c r="F502" s="191"/>
      <c r="G502" s="191"/>
      <c r="H502" s="191"/>
      <c r="I502" s="191"/>
      <c r="J502" s="191"/>
    </row>
    <row r="503" spans="1:10" x14ac:dyDescent="0.25">
      <c r="A503" s="189"/>
      <c r="B503" s="189"/>
      <c r="C503" s="189"/>
      <c r="D503" s="191"/>
      <c r="E503" s="191"/>
      <c r="F503" s="191"/>
      <c r="G503" s="191"/>
      <c r="H503" s="191"/>
      <c r="I503" s="191"/>
      <c r="J503" s="191"/>
    </row>
    <row r="504" spans="1:10" x14ac:dyDescent="0.25">
      <c r="A504" s="189"/>
      <c r="B504" s="189"/>
      <c r="C504" s="189"/>
      <c r="D504" s="191"/>
      <c r="E504" s="191"/>
      <c r="F504" s="191"/>
      <c r="G504" s="191"/>
      <c r="H504" s="191"/>
      <c r="I504" s="191"/>
      <c r="J504" s="191"/>
    </row>
    <row r="505" spans="1:10" x14ac:dyDescent="0.25">
      <c r="A505" s="189"/>
      <c r="B505" s="189"/>
      <c r="C505" s="189"/>
      <c r="D505" s="191"/>
      <c r="E505" s="191"/>
      <c r="F505" s="191"/>
      <c r="G505" s="191"/>
      <c r="H505" s="191"/>
      <c r="I505" s="191"/>
      <c r="J505" s="191"/>
    </row>
    <row r="506" spans="1:10" x14ac:dyDescent="0.25">
      <c r="A506" s="189"/>
      <c r="B506" s="189"/>
      <c r="C506" s="189"/>
      <c r="D506" s="191"/>
      <c r="E506" s="191"/>
      <c r="F506" s="191"/>
      <c r="G506" s="191"/>
      <c r="H506" s="191"/>
      <c r="I506" s="191"/>
      <c r="J506" s="191"/>
    </row>
    <row r="507" spans="1:10" x14ac:dyDescent="0.25">
      <c r="A507" s="189"/>
      <c r="B507" s="189"/>
      <c r="C507" s="189"/>
      <c r="D507" s="191"/>
      <c r="E507" s="191"/>
      <c r="F507" s="191"/>
      <c r="G507" s="191"/>
      <c r="H507" s="191"/>
      <c r="I507" s="191"/>
      <c r="J507" s="191"/>
    </row>
    <row r="508" spans="1:10" x14ac:dyDescent="0.25">
      <c r="A508" s="189"/>
      <c r="B508" s="189"/>
      <c r="C508" s="189"/>
      <c r="D508" s="191"/>
      <c r="E508" s="191"/>
      <c r="F508" s="191"/>
      <c r="G508" s="191"/>
      <c r="H508" s="191"/>
      <c r="I508" s="191"/>
      <c r="J508" s="191"/>
    </row>
    <row r="509" spans="1:10" x14ac:dyDescent="0.25">
      <c r="A509" s="189"/>
      <c r="B509" s="189"/>
      <c r="C509" s="189"/>
      <c r="D509" s="191"/>
      <c r="E509" s="191"/>
      <c r="F509" s="191"/>
      <c r="G509" s="191"/>
      <c r="H509" s="191"/>
      <c r="I509" s="191"/>
      <c r="J509" s="191"/>
    </row>
    <row r="510" spans="1:10" x14ac:dyDescent="0.25">
      <c r="A510" s="189"/>
      <c r="B510" s="189"/>
      <c r="C510" s="189"/>
      <c r="D510" s="191"/>
      <c r="E510" s="191"/>
      <c r="F510" s="191"/>
      <c r="G510" s="191"/>
      <c r="H510" s="191"/>
      <c r="I510" s="191"/>
      <c r="J510" s="191"/>
    </row>
    <row r="511" spans="1:10" x14ac:dyDescent="0.25">
      <c r="A511" s="189"/>
      <c r="B511" s="189"/>
      <c r="C511" s="189"/>
      <c r="D511" s="191"/>
      <c r="E511" s="191"/>
      <c r="F511" s="191"/>
      <c r="G511" s="191"/>
      <c r="H511" s="191"/>
      <c r="I511" s="191"/>
      <c r="J511" s="191"/>
    </row>
    <row r="512" spans="1:10" x14ac:dyDescent="0.25">
      <c r="A512" s="189"/>
      <c r="B512" s="189"/>
      <c r="C512" s="189"/>
      <c r="D512" s="191"/>
      <c r="E512" s="191"/>
      <c r="F512" s="191"/>
      <c r="G512" s="191"/>
      <c r="H512" s="191"/>
      <c r="I512" s="191"/>
      <c r="J512" s="191"/>
    </row>
    <row r="513" spans="1:10" x14ac:dyDescent="0.25">
      <c r="A513" s="189"/>
      <c r="B513" s="189"/>
      <c r="C513" s="189"/>
      <c r="D513" s="191"/>
      <c r="E513" s="191"/>
      <c r="F513" s="191"/>
      <c r="G513" s="191"/>
      <c r="H513" s="191"/>
      <c r="I513" s="191"/>
      <c r="J513" s="191"/>
    </row>
    <row r="514" spans="1:10" x14ac:dyDescent="0.25">
      <c r="A514" s="189"/>
      <c r="B514" s="189"/>
      <c r="C514" s="189"/>
      <c r="D514" s="191"/>
      <c r="E514" s="191"/>
      <c r="F514" s="191"/>
      <c r="G514" s="191"/>
      <c r="H514" s="191"/>
      <c r="I514" s="191"/>
      <c r="J514" s="191"/>
    </row>
    <row r="515" spans="1:10" x14ac:dyDescent="0.25">
      <c r="A515" s="189"/>
      <c r="B515" s="189"/>
      <c r="C515" s="189"/>
      <c r="D515" s="191"/>
      <c r="E515" s="191"/>
      <c r="F515" s="191"/>
      <c r="G515" s="191"/>
      <c r="H515" s="191"/>
      <c r="I515" s="191"/>
      <c r="J515" s="191"/>
    </row>
    <row r="516" spans="1:10" x14ac:dyDescent="0.25">
      <c r="A516" s="189"/>
      <c r="B516" s="189"/>
      <c r="C516" s="189"/>
      <c r="D516" s="191"/>
      <c r="E516" s="191"/>
      <c r="F516" s="191"/>
      <c r="G516" s="191"/>
      <c r="H516" s="191"/>
      <c r="I516" s="191"/>
      <c r="J516" s="191"/>
    </row>
    <row r="517" spans="1:10" x14ac:dyDescent="0.25">
      <c r="A517" s="189"/>
      <c r="B517" s="189"/>
      <c r="C517" s="189"/>
      <c r="D517" s="191"/>
      <c r="E517" s="191"/>
      <c r="F517" s="191"/>
      <c r="G517" s="191"/>
      <c r="H517" s="191"/>
      <c r="I517" s="191"/>
      <c r="J517" s="191"/>
    </row>
    <row r="518" spans="1:10" x14ac:dyDescent="0.25">
      <c r="A518" s="189"/>
      <c r="B518" s="189"/>
      <c r="C518" s="189"/>
      <c r="D518" s="191"/>
      <c r="E518" s="191"/>
      <c r="F518" s="191"/>
      <c r="G518" s="191"/>
      <c r="H518" s="191"/>
      <c r="I518" s="191"/>
      <c r="J518" s="191"/>
    </row>
    <row r="519" spans="1:10" x14ac:dyDescent="0.25">
      <c r="A519" s="189"/>
      <c r="B519" s="189"/>
      <c r="C519" s="189"/>
      <c r="D519" s="191"/>
      <c r="E519" s="191"/>
      <c r="F519" s="191"/>
      <c r="G519" s="191"/>
      <c r="H519" s="191"/>
      <c r="I519" s="191"/>
      <c r="J519" s="191"/>
    </row>
    <row r="520" spans="1:10" x14ac:dyDescent="0.25">
      <c r="A520" s="189"/>
      <c r="B520" s="189"/>
      <c r="C520" s="189"/>
      <c r="D520" s="191"/>
      <c r="E520" s="191"/>
      <c r="F520" s="191"/>
      <c r="G520" s="191"/>
      <c r="H520" s="191"/>
      <c r="I520" s="191"/>
      <c r="J520" s="191"/>
    </row>
    <row r="521" spans="1:10" x14ac:dyDescent="0.25">
      <c r="A521" s="189"/>
      <c r="B521" s="189"/>
      <c r="C521" s="189"/>
      <c r="D521" s="191"/>
      <c r="E521" s="191"/>
      <c r="F521" s="191"/>
      <c r="G521" s="191"/>
      <c r="H521" s="191"/>
      <c r="I521" s="191"/>
      <c r="J521" s="191"/>
    </row>
    <row r="522" spans="1:10" x14ac:dyDescent="0.25">
      <c r="A522" s="189"/>
      <c r="B522" s="189"/>
      <c r="C522" s="189"/>
      <c r="D522" s="191"/>
      <c r="E522" s="191"/>
      <c r="F522" s="191"/>
      <c r="G522" s="191"/>
      <c r="H522" s="191"/>
      <c r="I522" s="191"/>
      <c r="J522" s="191"/>
    </row>
    <row r="523" spans="1:10" x14ac:dyDescent="0.25">
      <c r="A523" s="189"/>
      <c r="B523" s="189"/>
      <c r="C523" s="189"/>
      <c r="D523" s="191"/>
      <c r="E523" s="191"/>
      <c r="F523" s="191"/>
      <c r="G523" s="191"/>
      <c r="H523" s="191"/>
      <c r="I523" s="191"/>
      <c r="J523" s="191"/>
    </row>
    <row r="524" spans="1:10" x14ac:dyDescent="0.25">
      <c r="A524" s="189"/>
      <c r="B524" s="189"/>
      <c r="C524" s="189"/>
      <c r="D524" s="191"/>
      <c r="E524" s="191"/>
      <c r="F524" s="191"/>
      <c r="G524" s="191"/>
      <c r="H524" s="191"/>
      <c r="I524" s="191"/>
      <c r="J524" s="191"/>
    </row>
    <row r="525" spans="1:10" x14ac:dyDescent="0.25">
      <c r="A525" s="189"/>
      <c r="B525" s="189"/>
      <c r="C525" s="189"/>
      <c r="D525" s="191"/>
      <c r="E525" s="191"/>
      <c r="F525" s="191"/>
      <c r="G525" s="191"/>
      <c r="H525" s="191"/>
      <c r="I525" s="191"/>
      <c r="J525" s="191"/>
    </row>
    <row r="526" spans="1:10" x14ac:dyDescent="0.25">
      <c r="A526" s="189"/>
      <c r="B526" s="189"/>
      <c r="C526" s="189"/>
      <c r="D526" s="191"/>
      <c r="E526" s="191"/>
      <c r="F526" s="191"/>
      <c r="G526" s="191"/>
      <c r="H526" s="191"/>
      <c r="I526" s="191"/>
      <c r="J526" s="191"/>
    </row>
    <row r="527" spans="1:10" x14ac:dyDescent="0.25">
      <c r="A527" s="189"/>
      <c r="B527" s="189"/>
      <c r="C527" s="189"/>
      <c r="D527" s="191"/>
      <c r="E527" s="191"/>
      <c r="F527" s="191"/>
      <c r="G527" s="191"/>
      <c r="H527" s="191"/>
      <c r="I527" s="191"/>
      <c r="J527" s="191"/>
    </row>
    <row r="528" spans="1:10" x14ac:dyDescent="0.25">
      <c r="A528" s="189"/>
      <c r="B528" s="189"/>
      <c r="C528" s="189"/>
      <c r="D528" s="191"/>
      <c r="E528" s="191"/>
      <c r="F528" s="191"/>
      <c r="G528" s="191"/>
      <c r="H528" s="191"/>
      <c r="I528" s="191"/>
      <c r="J528" s="191"/>
    </row>
    <row r="529" spans="1:10" x14ac:dyDescent="0.25">
      <c r="A529" s="189"/>
      <c r="B529" s="189"/>
      <c r="C529" s="189"/>
      <c r="D529" s="191"/>
      <c r="E529" s="191"/>
      <c r="F529" s="191"/>
      <c r="G529" s="191"/>
      <c r="H529" s="191"/>
      <c r="I529" s="191"/>
      <c r="J529" s="191"/>
    </row>
    <row r="530" spans="1:10" x14ac:dyDescent="0.25">
      <c r="A530" s="189"/>
      <c r="B530" s="189"/>
      <c r="C530" s="189"/>
      <c r="D530" s="191"/>
      <c r="E530" s="191"/>
      <c r="F530" s="191"/>
      <c r="G530" s="191"/>
      <c r="H530" s="191"/>
      <c r="I530" s="191"/>
      <c r="J530" s="191"/>
    </row>
    <row r="531" spans="1:10" x14ac:dyDescent="0.25">
      <c r="A531" s="189"/>
      <c r="B531" s="189"/>
      <c r="C531" s="189"/>
      <c r="D531" s="191"/>
      <c r="E531" s="191"/>
      <c r="F531" s="191"/>
      <c r="G531" s="191"/>
      <c r="H531" s="191"/>
      <c r="I531" s="191"/>
      <c r="J531" s="191"/>
    </row>
    <row r="532" spans="1:10" x14ac:dyDescent="0.25">
      <c r="A532" s="189"/>
      <c r="B532" s="189"/>
      <c r="C532" s="189"/>
      <c r="D532" s="191"/>
      <c r="E532" s="191"/>
      <c r="F532" s="191"/>
      <c r="G532" s="191"/>
      <c r="H532" s="191"/>
      <c r="I532" s="191"/>
      <c r="J532" s="191"/>
    </row>
    <row r="533" spans="1:10" x14ac:dyDescent="0.25">
      <c r="A533" s="189"/>
      <c r="B533" s="189"/>
      <c r="C533" s="189"/>
      <c r="D533" s="191"/>
      <c r="E533" s="191"/>
      <c r="F533" s="191"/>
      <c r="G533" s="191"/>
      <c r="H533" s="191"/>
      <c r="I533" s="191"/>
      <c r="J533" s="191"/>
    </row>
    <row r="534" spans="1:10" x14ac:dyDescent="0.25">
      <c r="A534" s="189"/>
      <c r="B534" s="189"/>
      <c r="C534" s="189"/>
      <c r="D534" s="191"/>
      <c r="E534" s="191"/>
      <c r="F534" s="191"/>
      <c r="G534" s="191"/>
      <c r="H534" s="191"/>
      <c r="I534" s="191"/>
      <c r="J534" s="191"/>
    </row>
    <row r="535" spans="1:10" x14ac:dyDescent="0.25">
      <c r="A535" s="189"/>
      <c r="B535" s="189"/>
      <c r="C535" s="189"/>
      <c r="D535" s="191"/>
      <c r="E535" s="191"/>
      <c r="F535" s="191"/>
      <c r="G535" s="191"/>
      <c r="H535" s="191"/>
      <c r="I535" s="191"/>
      <c r="J535" s="191"/>
    </row>
    <row r="536" spans="1:10" x14ac:dyDescent="0.25">
      <c r="A536" s="189"/>
      <c r="B536" s="189"/>
      <c r="C536" s="189"/>
      <c r="D536" s="191"/>
      <c r="E536" s="191"/>
      <c r="F536" s="191"/>
      <c r="G536" s="191"/>
      <c r="H536" s="191"/>
      <c r="I536" s="191"/>
      <c r="J536" s="191"/>
    </row>
    <row r="537" spans="1:10" x14ac:dyDescent="0.25">
      <c r="A537" s="189"/>
      <c r="B537" s="189"/>
      <c r="C537" s="189"/>
      <c r="D537" s="191"/>
      <c r="E537" s="191"/>
      <c r="F537" s="191"/>
      <c r="G537" s="191"/>
      <c r="H537" s="191"/>
      <c r="I537" s="191"/>
      <c r="J537" s="191"/>
    </row>
    <row r="538" spans="1:10" x14ac:dyDescent="0.25">
      <c r="A538" s="189"/>
      <c r="B538" s="189"/>
      <c r="C538" s="189"/>
      <c r="D538" s="191"/>
      <c r="E538" s="191"/>
      <c r="F538" s="191"/>
      <c r="G538" s="191"/>
      <c r="H538" s="191"/>
      <c r="I538" s="191"/>
      <c r="J538" s="191"/>
    </row>
    <row r="539" spans="1:10" x14ac:dyDescent="0.25">
      <c r="A539" s="189"/>
      <c r="B539" s="189"/>
      <c r="C539" s="189"/>
      <c r="D539" s="191"/>
      <c r="E539" s="191"/>
      <c r="F539" s="191"/>
      <c r="G539" s="191"/>
      <c r="H539" s="191"/>
      <c r="I539" s="191"/>
      <c r="J539" s="191"/>
    </row>
    <row r="540" spans="1:10" x14ac:dyDescent="0.25">
      <c r="A540" s="189"/>
      <c r="B540" s="189"/>
      <c r="C540" s="189"/>
      <c r="D540" s="191"/>
      <c r="E540" s="191"/>
      <c r="F540" s="191"/>
      <c r="G540" s="191"/>
      <c r="H540" s="191"/>
      <c r="I540" s="191"/>
      <c r="J540" s="191"/>
    </row>
    <row r="541" spans="1:10" x14ac:dyDescent="0.25">
      <c r="A541" s="189"/>
      <c r="B541" s="189"/>
      <c r="C541" s="189"/>
      <c r="D541" s="191"/>
      <c r="E541" s="191"/>
      <c r="F541" s="191"/>
      <c r="G541" s="191"/>
      <c r="H541" s="191"/>
      <c r="I541" s="191"/>
      <c r="J541" s="191"/>
    </row>
    <row r="542" spans="1:10" x14ac:dyDescent="0.25">
      <c r="A542" s="189"/>
      <c r="B542" s="189"/>
      <c r="C542" s="189"/>
      <c r="D542" s="191"/>
      <c r="E542" s="191"/>
      <c r="F542" s="191"/>
      <c r="G542" s="191"/>
      <c r="H542" s="191"/>
      <c r="I542" s="191"/>
      <c r="J542" s="191"/>
    </row>
    <row r="543" spans="1:10" x14ac:dyDescent="0.25">
      <c r="A543" s="189"/>
      <c r="B543" s="189"/>
      <c r="C543" s="189"/>
      <c r="D543" s="191"/>
      <c r="E543" s="191"/>
      <c r="F543" s="191"/>
      <c r="G543" s="191"/>
      <c r="H543" s="191"/>
      <c r="I543" s="191"/>
      <c r="J543" s="191"/>
    </row>
    <row r="544" spans="1:10" x14ac:dyDescent="0.25">
      <c r="A544" s="189"/>
      <c r="B544" s="189"/>
      <c r="C544" s="189"/>
      <c r="D544" s="191"/>
      <c r="E544" s="191"/>
      <c r="F544" s="191"/>
      <c r="G544" s="191"/>
      <c r="H544" s="191"/>
      <c r="I544" s="191"/>
      <c r="J544" s="191"/>
    </row>
    <row r="545" spans="1:10" x14ac:dyDescent="0.25">
      <c r="A545" s="189"/>
      <c r="B545" s="189"/>
      <c r="C545" s="189"/>
      <c r="D545" s="191"/>
      <c r="E545" s="191"/>
      <c r="F545" s="191"/>
      <c r="G545" s="191"/>
      <c r="H545" s="191"/>
      <c r="I545" s="191"/>
      <c r="J545" s="191"/>
    </row>
    <row r="546" spans="1:10" x14ac:dyDescent="0.25">
      <c r="A546" s="189"/>
      <c r="B546" s="189"/>
      <c r="C546" s="189"/>
      <c r="D546" s="191"/>
      <c r="E546" s="191"/>
      <c r="F546" s="191"/>
      <c r="G546" s="191"/>
      <c r="H546" s="191"/>
      <c r="I546" s="191"/>
      <c r="J546" s="191"/>
    </row>
    <row r="547" spans="1:10" x14ac:dyDescent="0.25">
      <c r="A547" s="189"/>
      <c r="B547" s="189"/>
      <c r="C547" s="189"/>
      <c r="D547" s="191"/>
      <c r="E547" s="191"/>
      <c r="F547" s="191"/>
      <c r="G547" s="191"/>
      <c r="H547" s="191"/>
      <c r="I547" s="191"/>
      <c r="J547" s="191"/>
    </row>
    <row r="548" spans="1:10" x14ac:dyDescent="0.25">
      <c r="A548" s="189"/>
      <c r="B548" s="189"/>
      <c r="C548" s="189"/>
      <c r="D548" s="191"/>
      <c r="E548" s="191"/>
      <c r="F548" s="191"/>
      <c r="G548" s="191"/>
      <c r="H548" s="191"/>
      <c r="I548" s="191"/>
      <c r="J548" s="191"/>
    </row>
    <row r="549" spans="1:10" x14ac:dyDescent="0.25">
      <c r="A549" s="189"/>
      <c r="B549" s="189"/>
      <c r="C549" s="189"/>
      <c r="D549" s="191"/>
      <c r="E549" s="191"/>
      <c r="F549" s="191"/>
      <c r="G549" s="191"/>
      <c r="H549" s="191"/>
      <c r="I549" s="191"/>
      <c r="J549" s="191"/>
    </row>
    <row r="550" spans="1:10" x14ac:dyDescent="0.25">
      <c r="A550" s="189"/>
      <c r="B550" s="189"/>
      <c r="C550" s="189"/>
      <c r="D550" s="191"/>
      <c r="E550" s="191"/>
      <c r="F550" s="191"/>
      <c r="G550" s="191"/>
      <c r="H550" s="191"/>
      <c r="I550" s="191"/>
      <c r="J550" s="191"/>
    </row>
    <row r="551" spans="1:10" x14ac:dyDescent="0.25">
      <c r="A551" s="189"/>
      <c r="B551" s="189"/>
      <c r="C551" s="189"/>
      <c r="D551" s="191"/>
      <c r="E551" s="191"/>
      <c r="F551" s="191"/>
      <c r="G551" s="191"/>
      <c r="H551" s="191"/>
      <c r="I551" s="191"/>
      <c r="J551" s="191"/>
    </row>
    <row r="552" spans="1:10" x14ac:dyDescent="0.25">
      <c r="A552" s="189"/>
      <c r="B552" s="189"/>
      <c r="C552" s="189"/>
      <c r="D552" s="191"/>
      <c r="E552" s="191"/>
      <c r="F552" s="191"/>
      <c r="G552" s="191"/>
      <c r="H552" s="191"/>
      <c r="I552" s="191"/>
      <c r="J552" s="191"/>
    </row>
    <row r="553" spans="1:10" x14ac:dyDescent="0.25">
      <c r="A553" s="189"/>
      <c r="B553" s="189"/>
      <c r="C553" s="189"/>
      <c r="D553" s="191"/>
      <c r="E553" s="191"/>
      <c r="F553" s="191"/>
      <c r="G553" s="191"/>
      <c r="H553" s="191"/>
      <c r="I553" s="191"/>
      <c r="J553" s="191"/>
    </row>
    <row r="554" spans="1:10" x14ac:dyDescent="0.25">
      <c r="A554" s="189"/>
      <c r="B554" s="189"/>
      <c r="C554" s="189"/>
      <c r="D554" s="191"/>
      <c r="E554" s="191"/>
      <c r="F554" s="191"/>
      <c r="G554" s="191"/>
      <c r="H554" s="191"/>
      <c r="I554" s="191"/>
      <c r="J554" s="191"/>
    </row>
    <row r="555" spans="1:10" x14ac:dyDescent="0.25">
      <c r="A555" s="189"/>
      <c r="B555" s="189"/>
      <c r="C555" s="189"/>
      <c r="D555" s="191"/>
      <c r="E555" s="191"/>
      <c r="F555" s="191"/>
      <c r="G555" s="191"/>
      <c r="H555" s="191"/>
      <c r="I555" s="191"/>
      <c r="J555" s="191"/>
    </row>
    <row r="556" spans="1:10" x14ac:dyDescent="0.25">
      <c r="A556" s="189"/>
      <c r="B556" s="189"/>
      <c r="C556" s="189"/>
      <c r="D556" s="191"/>
      <c r="E556" s="191"/>
      <c r="F556" s="191"/>
      <c r="G556" s="191"/>
      <c r="H556" s="191"/>
      <c r="I556" s="191"/>
      <c r="J556" s="191"/>
    </row>
    <row r="557" spans="1:10" x14ac:dyDescent="0.25">
      <c r="A557" s="189"/>
      <c r="B557" s="189"/>
      <c r="C557" s="189"/>
      <c r="D557" s="191"/>
      <c r="E557" s="191"/>
      <c r="F557" s="191"/>
      <c r="G557" s="191"/>
      <c r="H557" s="191"/>
      <c r="I557" s="191"/>
      <c r="J557" s="191"/>
    </row>
    <row r="558" spans="1:10" x14ac:dyDescent="0.25">
      <c r="A558" s="189"/>
      <c r="B558" s="189"/>
      <c r="C558" s="189"/>
      <c r="D558" s="191"/>
      <c r="E558" s="191"/>
      <c r="F558" s="191"/>
      <c r="G558" s="191"/>
      <c r="H558" s="191"/>
      <c r="I558" s="191"/>
      <c r="J558" s="191"/>
    </row>
    <row r="559" spans="1:10" x14ac:dyDescent="0.25">
      <c r="A559" s="189"/>
      <c r="B559" s="189"/>
      <c r="C559" s="189"/>
      <c r="D559" s="191"/>
      <c r="E559" s="191"/>
      <c r="F559" s="191"/>
      <c r="G559" s="191"/>
      <c r="H559" s="191"/>
      <c r="I559" s="191"/>
      <c r="J559" s="191"/>
    </row>
    <row r="560" spans="1:10" x14ac:dyDescent="0.25">
      <c r="A560" s="189"/>
      <c r="B560" s="189"/>
      <c r="C560" s="189"/>
      <c r="D560" s="191"/>
      <c r="E560" s="191"/>
      <c r="F560" s="191"/>
      <c r="G560" s="191"/>
      <c r="H560" s="191"/>
      <c r="I560" s="191"/>
      <c r="J560" s="191"/>
    </row>
    <row r="561" spans="1:10" x14ac:dyDescent="0.25">
      <c r="A561" s="189"/>
      <c r="B561" s="189"/>
      <c r="C561" s="189"/>
      <c r="D561" s="191"/>
      <c r="E561" s="191"/>
      <c r="F561" s="191"/>
      <c r="G561" s="191"/>
      <c r="H561" s="191"/>
      <c r="I561" s="191"/>
      <c r="J561" s="191"/>
    </row>
    <row r="562" spans="1:10" x14ac:dyDescent="0.25">
      <c r="A562" s="189"/>
      <c r="B562" s="189"/>
      <c r="C562" s="189"/>
      <c r="D562" s="191"/>
      <c r="E562" s="191"/>
      <c r="F562" s="191"/>
      <c r="G562" s="191"/>
      <c r="H562" s="191"/>
      <c r="I562" s="191"/>
      <c r="J562" s="191"/>
    </row>
    <row r="563" spans="1:10" x14ac:dyDescent="0.25">
      <c r="A563" s="189"/>
      <c r="B563" s="189"/>
      <c r="C563" s="189"/>
      <c r="D563" s="191"/>
      <c r="E563" s="191"/>
      <c r="F563" s="191"/>
      <c r="G563" s="191"/>
      <c r="H563" s="191"/>
      <c r="I563" s="191"/>
      <c r="J563" s="191"/>
    </row>
    <row r="564" spans="1:10" x14ac:dyDescent="0.25">
      <c r="A564" s="189"/>
      <c r="B564" s="189"/>
      <c r="C564" s="189"/>
      <c r="D564" s="191"/>
      <c r="E564" s="191"/>
      <c r="F564" s="191"/>
      <c r="G564" s="191"/>
      <c r="H564" s="191"/>
      <c r="I564" s="191"/>
      <c r="J564" s="191"/>
    </row>
    <row r="565" spans="1:10" x14ac:dyDescent="0.25">
      <c r="A565" s="189"/>
      <c r="B565" s="189"/>
      <c r="C565" s="189"/>
      <c r="D565" s="191"/>
      <c r="E565" s="191"/>
      <c r="F565" s="191"/>
      <c r="G565" s="191"/>
      <c r="H565" s="191"/>
      <c r="I565" s="191"/>
      <c r="J565" s="191"/>
    </row>
    <row r="566" spans="1:10" x14ac:dyDescent="0.25">
      <c r="A566" s="189"/>
      <c r="B566" s="189"/>
      <c r="C566" s="189"/>
      <c r="D566" s="191"/>
      <c r="E566" s="191"/>
      <c r="F566" s="191"/>
      <c r="G566" s="191"/>
      <c r="H566" s="191"/>
      <c r="I566" s="191"/>
      <c r="J566" s="191"/>
    </row>
    <row r="567" spans="1:10" x14ac:dyDescent="0.25">
      <c r="A567" s="189"/>
      <c r="B567" s="189"/>
      <c r="C567" s="189"/>
      <c r="D567" s="191"/>
      <c r="E567" s="191"/>
      <c r="F567" s="191"/>
      <c r="G567" s="191"/>
      <c r="H567" s="191"/>
      <c r="I567" s="191"/>
      <c r="J567" s="191"/>
    </row>
    <row r="568" spans="1:10" x14ac:dyDescent="0.25">
      <c r="A568" s="189"/>
      <c r="B568" s="189"/>
      <c r="C568" s="189"/>
      <c r="D568" s="191"/>
      <c r="E568" s="191"/>
      <c r="F568" s="191"/>
      <c r="G568" s="191"/>
      <c r="H568" s="191"/>
      <c r="I568" s="191"/>
      <c r="J568" s="191"/>
    </row>
    <row r="569" spans="1:10" x14ac:dyDescent="0.25">
      <c r="A569" s="189"/>
      <c r="B569" s="189"/>
      <c r="C569" s="189"/>
      <c r="D569" s="191"/>
      <c r="E569" s="191"/>
      <c r="F569" s="191"/>
      <c r="G569" s="191"/>
      <c r="H569" s="191"/>
      <c r="I569" s="191"/>
      <c r="J569" s="191"/>
    </row>
    <row r="570" spans="1:10" x14ac:dyDescent="0.25">
      <c r="A570" s="189"/>
      <c r="B570" s="189"/>
      <c r="C570" s="189"/>
      <c r="D570" s="191"/>
      <c r="E570" s="191"/>
      <c r="F570" s="191"/>
      <c r="G570" s="191"/>
      <c r="H570" s="191"/>
      <c r="I570" s="191"/>
      <c r="J570" s="191"/>
    </row>
    <row r="571" spans="1:10" x14ac:dyDescent="0.25">
      <c r="A571" s="189"/>
      <c r="B571" s="189"/>
      <c r="C571" s="189"/>
      <c r="D571" s="191"/>
      <c r="E571" s="191"/>
      <c r="F571" s="191"/>
      <c r="G571" s="191"/>
      <c r="H571" s="191"/>
      <c r="I571" s="191"/>
      <c r="J571" s="191"/>
    </row>
    <row r="572" spans="1:10" x14ac:dyDescent="0.25">
      <c r="A572" s="189"/>
      <c r="B572" s="189"/>
      <c r="C572" s="189"/>
      <c r="D572" s="191"/>
      <c r="E572" s="191"/>
      <c r="F572" s="191"/>
      <c r="G572" s="191"/>
      <c r="H572" s="191"/>
      <c r="I572" s="191"/>
      <c r="J572" s="191"/>
    </row>
    <row r="573" spans="1:10" x14ac:dyDescent="0.25">
      <c r="A573" s="189"/>
      <c r="B573" s="189"/>
      <c r="C573" s="189"/>
      <c r="D573" s="191"/>
      <c r="E573" s="191"/>
      <c r="F573" s="191"/>
      <c r="G573" s="191"/>
      <c r="H573" s="191"/>
      <c r="I573" s="191"/>
      <c r="J573" s="191"/>
    </row>
    <row r="574" spans="1:10" x14ac:dyDescent="0.25">
      <c r="A574" s="189"/>
      <c r="B574" s="189"/>
      <c r="C574" s="189"/>
      <c r="D574" s="191"/>
      <c r="E574" s="191"/>
      <c r="F574" s="191"/>
      <c r="G574" s="191"/>
      <c r="H574" s="191"/>
      <c r="I574" s="191"/>
      <c r="J574" s="191"/>
    </row>
    <row r="575" spans="1:10" x14ac:dyDescent="0.25">
      <c r="A575" s="189"/>
      <c r="B575" s="189"/>
      <c r="C575" s="189"/>
      <c r="D575" s="191"/>
      <c r="E575" s="191"/>
      <c r="F575" s="191"/>
      <c r="G575" s="191"/>
      <c r="H575" s="191"/>
      <c r="I575" s="191"/>
      <c r="J575" s="191"/>
    </row>
    <row r="576" spans="1:10" x14ac:dyDescent="0.25">
      <c r="A576" s="189"/>
      <c r="B576" s="189"/>
      <c r="C576" s="189"/>
      <c r="D576" s="191"/>
      <c r="E576" s="191"/>
      <c r="F576" s="191"/>
      <c r="G576" s="191"/>
      <c r="H576" s="191"/>
      <c r="I576" s="191"/>
      <c r="J576" s="191"/>
    </row>
    <row r="577" spans="1:10" x14ac:dyDescent="0.25">
      <c r="A577" s="189"/>
      <c r="B577" s="189"/>
      <c r="C577" s="189"/>
      <c r="D577" s="191"/>
      <c r="E577" s="191"/>
      <c r="F577" s="191"/>
      <c r="G577" s="191"/>
      <c r="H577" s="191"/>
      <c r="I577" s="191"/>
      <c r="J577" s="191"/>
    </row>
    <row r="578" spans="1:10" x14ac:dyDescent="0.25">
      <c r="A578" s="189"/>
      <c r="B578" s="189"/>
      <c r="C578" s="189"/>
      <c r="D578" s="191"/>
      <c r="E578" s="191"/>
      <c r="F578" s="191"/>
      <c r="G578" s="191"/>
      <c r="H578" s="191"/>
      <c r="I578" s="191"/>
      <c r="J578" s="191"/>
    </row>
    <row r="579" spans="1:10" x14ac:dyDescent="0.25">
      <c r="A579" s="189"/>
      <c r="B579" s="189"/>
      <c r="C579" s="189"/>
      <c r="D579" s="191"/>
      <c r="E579" s="191"/>
      <c r="F579" s="191"/>
      <c r="G579" s="191"/>
      <c r="H579" s="191"/>
      <c r="I579" s="191"/>
      <c r="J579" s="191"/>
    </row>
    <row r="580" spans="1:10" x14ac:dyDescent="0.25">
      <c r="A580" s="189"/>
      <c r="B580" s="189"/>
      <c r="C580" s="189"/>
      <c r="D580" s="191"/>
      <c r="E580" s="191"/>
      <c r="F580" s="191"/>
      <c r="G580" s="191"/>
      <c r="H580" s="191"/>
      <c r="I580" s="191"/>
      <c r="J580" s="191"/>
    </row>
    <row r="581" spans="1:10" x14ac:dyDescent="0.25">
      <c r="A581" s="189"/>
      <c r="B581" s="189"/>
      <c r="C581" s="189"/>
      <c r="D581" s="191"/>
      <c r="E581" s="191"/>
      <c r="F581" s="191"/>
      <c r="G581" s="191"/>
      <c r="H581" s="191"/>
      <c r="I581" s="191"/>
      <c r="J581" s="191"/>
    </row>
    <row r="582" spans="1:10" x14ac:dyDescent="0.25">
      <c r="A582" s="189"/>
      <c r="B582" s="189"/>
      <c r="C582" s="189"/>
      <c r="D582" s="191"/>
      <c r="E582" s="191"/>
      <c r="F582" s="191"/>
      <c r="G582" s="191"/>
      <c r="H582" s="191"/>
      <c r="I582" s="191"/>
      <c r="J582" s="191"/>
    </row>
    <row r="583" spans="1:10" x14ac:dyDescent="0.25">
      <c r="A583" s="189"/>
      <c r="B583" s="189"/>
      <c r="C583" s="189"/>
      <c r="D583" s="191"/>
      <c r="E583" s="191"/>
      <c r="F583" s="191"/>
      <c r="G583" s="191"/>
      <c r="H583" s="191"/>
      <c r="I583" s="191"/>
      <c r="J583" s="191"/>
    </row>
    <row r="584" spans="1:10" x14ac:dyDescent="0.25">
      <c r="A584" s="189"/>
      <c r="B584" s="189"/>
      <c r="C584" s="189"/>
      <c r="D584" s="191"/>
      <c r="E584" s="191"/>
      <c r="F584" s="191"/>
      <c r="G584" s="191"/>
      <c r="H584" s="191"/>
      <c r="I584" s="191"/>
      <c r="J584" s="191"/>
    </row>
    <row r="585" spans="1:10" x14ac:dyDescent="0.25">
      <c r="A585" s="189"/>
      <c r="B585" s="189"/>
      <c r="C585" s="189"/>
      <c r="D585" s="191"/>
      <c r="E585" s="191"/>
      <c r="F585" s="191"/>
      <c r="G585" s="191"/>
      <c r="H585" s="191"/>
      <c r="I585" s="191"/>
      <c r="J585" s="191"/>
    </row>
    <row r="586" spans="1:10" x14ac:dyDescent="0.25">
      <c r="A586" s="189"/>
      <c r="B586" s="189"/>
      <c r="C586" s="189"/>
      <c r="D586" s="191"/>
      <c r="E586" s="191"/>
      <c r="F586" s="191"/>
      <c r="G586" s="191"/>
      <c r="H586" s="191"/>
      <c r="I586" s="191"/>
      <c r="J586" s="191"/>
    </row>
    <row r="587" spans="1:10" x14ac:dyDescent="0.25">
      <c r="A587" s="189"/>
      <c r="B587" s="189"/>
      <c r="C587" s="189"/>
      <c r="D587" s="191"/>
      <c r="E587" s="191"/>
      <c r="F587" s="191"/>
      <c r="G587" s="191"/>
      <c r="H587" s="191"/>
      <c r="I587" s="191"/>
      <c r="J587" s="191"/>
    </row>
    <row r="588" spans="1:10" x14ac:dyDescent="0.25">
      <c r="A588" s="189"/>
      <c r="B588" s="189"/>
      <c r="C588" s="189"/>
      <c r="D588" s="191"/>
      <c r="E588" s="191"/>
      <c r="F588" s="191"/>
      <c r="G588" s="191"/>
      <c r="H588" s="191"/>
      <c r="I588" s="191"/>
      <c r="J588" s="191"/>
    </row>
    <row r="589" spans="1:10" x14ac:dyDescent="0.25">
      <c r="A589" s="189"/>
      <c r="B589" s="189"/>
      <c r="C589" s="189"/>
      <c r="D589" s="191"/>
      <c r="E589" s="191"/>
      <c r="F589" s="191"/>
      <c r="G589" s="191"/>
      <c r="H589" s="191"/>
      <c r="I589" s="191"/>
      <c r="J589" s="191"/>
    </row>
    <row r="590" spans="1:10" x14ac:dyDescent="0.25">
      <c r="A590" s="189"/>
      <c r="B590" s="189"/>
      <c r="C590" s="189"/>
      <c r="D590" s="191"/>
      <c r="E590" s="191"/>
      <c r="F590" s="191"/>
      <c r="G590" s="191"/>
      <c r="H590" s="191"/>
      <c r="I590" s="191"/>
      <c r="J590" s="191"/>
    </row>
    <row r="591" spans="1:10" x14ac:dyDescent="0.25">
      <c r="A591" s="189"/>
      <c r="B591" s="189"/>
      <c r="C591" s="189"/>
      <c r="D591" s="191"/>
      <c r="E591" s="191"/>
      <c r="F591" s="191"/>
      <c r="G591" s="191"/>
      <c r="H591" s="191"/>
      <c r="I591" s="191"/>
      <c r="J591" s="191"/>
    </row>
    <row r="592" spans="1:10" x14ac:dyDescent="0.25">
      <c r="A592" s="189"/>
      <c r="B592" s="189"/>
      <c r="C592" s="189"/>
      <c r="D592" s="191"/>
      <c r="E592" s="191"/>
      <c r="F592" s="191"/>
      <c r="G592" s="191"/>
      <c r="H592" s="191"/>
      <c r="I592" s="191"/>
      <c r="J592" s="191"/>
    </row>
    <row r="593" spans="1:10" x14ac:dyDescent="0.25">
      <c r="A593" s="189"/>
      <c r="B593" s="189"/>
      <c r="C593" s="189"/>
      <c r="D593" s="191"/>
      <c r="E593" s="191"/>
      <c r="F593" s="191"/>
      <c r="G593" s="191"/>
      <c r="H593" s="191"/>
      <c r="I593" s="191"/>
      <c r="J593" s="191"/>
    </row>
    <row r="594" spans="1:10" x14ac:dyDescent="0.25">
      <c r="A594" s="189"/>
      <c r="B594" s="189"/>
      <c r="C594" s="189"/>
      <c r="D594" s="191"/>
      <c r="E594" s="191"/>
      <c r="F594" s="191"/>
      <c r="G594" s="191"/>
      <c r="H594" s="191"/>
      <c r="I594" s="191"/>
      <c r="J594" s="191"/>
    </row>
    <row r="595" spans="1:10" x14ac:dyDescent="0.25">
      <c r="A595" s="189"/>
      <c r="B595" s="189"/>
      <c r="C595" s="189"/>
      <c r="D595" s="191"/>
      <c r="E595" s="191"/>
      <c r="F595" s="191"/>
      <c r="G595" s="191"/>
      <c r="H595" s="191"/>
      <c r="I595" s="191"/>
      <c r="J595" s="191"/>
    </row>
    <row r="596" spans="1:10" x14ac:dyDescent="0.25">
      <c r="A596" s="189"/>
      <c r="B596" s="189"/>
      <c r="C596" s="189"/>
      <c r="D596" s="191"/>
      <c r="E596" s="191"/>
      <c r="F596" s="191"/>
      <c r="G596" s="191"/>
      <c r="H596" s="191"/>
      <c r="I596" s="191"/>
      <c r="J596" s="191"/>
    </row>
    <row r="597" spans="1:10" x14ac:dyDescent="0.25">
      <c r="A597" s="189"/>
      <c r="B597" s="189"/>
      <c r="C597" s="189"/>
      <c r="D597" s="191"/>
      <c r="E597" s="191"/>
      <c r="F597" s="191"/>
      <c r="G597" s="191"/>
      <c r="H597" s="191"/>
      <c r="I597" s="191"/>
      <c r="J597" s="191"/>
    </row>
    <row r="598" spans="1:10" x14ac:dyDescent="0.25">
      <c r="A598" s="189"/>
      <c r="B598" s="189"/>
      <c r="C598" s="189"/>
      <c r="D598" s="191"/>
      <c r="E598" s="191"/>
      <c r="F598" s="191"/>
      <c r="G598" s="191"/>
      <c r="H598" s="191"/>
      <c r="I598" s="191"/>
      <c r="J598" s="191"/>
    </row>
    <row r="599" spans="1:10" x14ac:dyDescent="0.25">
      <c r="A599" s="189"/>
      <c r="B599" s="189"/>
      <c r="C599" s="189"/>
      <c r="D599" s="191"/>
      <c r="E599" s="191"/>
      <c r="F599" s="191"/>
      <c r="G599" s="191"/>
      <c r="H599" s="191"/>
      <c r="I599" s="191"/>
      <c r="J599" s="191"/>
    </row>
    <row r="600" spans="1:10" x14ac:dyDescent="0.25">
      <c r="A600" s="189"/>
      <c r="B600" s="189"/>
      <c r="C600" s="189"/>
      <c r="D600" s="191"/>
      <c r="E600" s="191"/>
      <c r="F600" s="191"/>
      <c r="G600" s="191"/>
      <c r="H600" s="191"/>
      <c r="I600" s="191"/>
      <c r="J600" s="191"/>
    </row>
    <row r="601" spans="1:10" x14ac:dyDescent="0.25">
      <c r="A601" s="189"/>
      <c r="B601" s="189"/>
      <c r="C601" s="189"/>
      <c r="D601" s="191"/>
      <c r="E601" s="191"/>
      <c r="F601" s="191"/>
      <c r="G601" s="191"/>
      <c r="H601" s="191"/>
      <c r="I601" s="191"/>
      <c r="J601" s="191"/>
    </row>
    <row r="602" spans="1:10" x14ac:dyDescent="0.25">
      <c r="A602" s="189"/>
      <c r="B602" s="189"/>
      <c r="C602" s="189"/>
      <c r="D602" s="191"/>
      <c r="E602" s="191"/>
      <c r="F602" s="191"/>
      <c r="G602" s="191"/>
      <c r="H602" s="191"/>
      <c r="I602" s="191"/>
      <c r="J602" s="191"/>
    </row>
    <row r="603" spans="1:10" x14ac:dyDescent="0.25">
      <c r="A603" s="189"/>
      <c r="B603" s="189"/>
      <c r="C603" s="189"/>
      <c r="D603" s="191"/>
      <c r="E603" s="191"/>
      <c r="F603" s="191"/>
      <c r="G603" s="191"/>
      <c r="H603" s="191"/>
      <c r="I603" s="191"/>
      <c r="J603" s="191"/>
    </row>
    <row r="604" spans="1:10" x14ac:dyDescent="0.25">
      <c r="A604" s="189"/>
      <c r="B604" s="189"/>
      <c r="C604" s="189"/>
      <c r="D604" s="191"/>
      <c r="E604" s="191"/>
      <c r="F604" s="191"/>
      <c r="G604" s="191"/>
      <c r="H604" s="191"/>
      <c r="I604" s="191"/>
      <c r="J604" s="191"/>
    </row>
    <row r="605" spans="1:10" x14ac:dyDescent="0.25">
      <c r="A605" s="189"/>
      <c r="B605" s="189"/>
      <c r="C605" s="189"/>
      <c r="D605" s="191"/>
      <c r="E605" s="191"/>
      <c r="F605" s="191"/>
      <c r="G605" s="191"/>
      <c r="H605" s="191"/>
      <c r="I605" s="191"/>
      <c r="J605" s="191"/>
    </row>
    <row r="606" spans="1:10" x14ac:dyDescent="0.25">
      <c r="A606" s="189"/>
      <c r="B606" s="189"/>
      <c r="C606" s="189"/>
      <c r="D606" s="191"/>
      <c r="E606" s="191"/>
      <c r="F606" s="191"/>
      <c r="G606" s="191"/>
      <c r="H606" s="191"/>
      <c r="I606" s="191"/>
      <c r="J606" s="191"/>
    </row>
    <row r="607" spans="1:10" x14ac:dyDescent="0.25">
      <c r="A607" s="189"/>
      <c r="B607" s="189"/>
      <c r="C607" s="189"/>
      <c r="D607" s="191"/>
      <c r="E607" s="191"/>
      <c r="F607" s="191"/>
      <c r="G607" s="191"/>
      <c r="H607" s="191"/>
      <c r="I607" s="191"/>
      <c r="J607" s="191"/>
    </row>
    <row r="608" spans="1:10" x14ac:dyDescent="0.25">
      <c r="A608" s="189"/>
      <c r="B608" s="189"/>
      <c r="C608" s="189"/>
      <c r="D608" s="191"/>
      <c r="E608" s="191"/>
      <c r="F608" s="191"/>
      <c r="G608" s="191"/>
      <c r="H608" s="191"/>
      <c r="I608" s="191"/>
      <c r="J608" s="191"/>
    </row>
    <row r="609" spans="1:10" x14ac:dyDescent="0.25">
      <c r="A609" s="189"/>
      <c r="B609" s="189"/>
      <c r="C609" s="189"/>
      <c r="D609" s="191"/>
      <c r="E609" s="191"/>
      <c r="F609" s="191"/>
      <c r="G609" s="191"/>
      <c r="H609" s="191"/>
      <c r="I609" s="191"/>
      <c r="J609" s="191"/>
    </row>
    <row r="610" spans="1:10" x14ac:dyDescent="0.25">
      <c r="A610" s="189"/>
      <c r="B610" s="189"/>
      <c r="C610" s="189"/>
      <c r="D610" s="191"/>
      <c r="E610" s="191"/>
      <c r="F610" s="191"/>
      <c r="G610" s="191"/>
      <c r="H610" s="191"/>
      <c r="I610" s="191"/>
      <c r="J610" s="191"/>
    </row>
    <row r="611" spans="1:10" x14ac:dyDescent="0.25">
      <c r="A611" s="189"/>
      <c r="B611" s="189"/>
      <c r="C611" s="189"/>
      <c r="D611" s="191"/>
      <c r="E611" s="191"/>
      <c r="F611" s="191"/>
      <c r="G611" s="191"/>
      <c r="H611" s="191"/>
      <c r="I611" s="191"/>
      <c r="J611" s="191"/>
    </row>
    <row r="612" spans="1:10" x14ac:dyDescent="0.25">
      <c r="A612" s="189"/>
      <c r="B612" s="189"/>
      <c r="C612" s="189"/>
      <c r="D612" s="191"/>
      <c r="E612" s="191"/>
      <c r="F612" s="191"/>
      <c r="G612" s="191"/>
      <c r="H612" s="191"/>
      <c r="I612" s="191"/>
      <c r="J612" s="191"/>
    </row>
    <row r="613" spans="1:10" x14ac:dyDescent="0.25">
      <c r="A613" s="189"/>
      <c r="B613" s="189"/>
      <c r="C613" s="189"/>
      <c r="D613" s="191"/>
      <c r="E613" s="191"/>
      <c r="F613" s="191"/>
      <c r="G613" s="191"/>
      <c r="H613" s="191"/>
      <c r="I613" s="191"/>
      <c r="J613" s="191"/>
    </row>
    <row r="614" spans="1:10" x14ac:dyDescent="0.25">
      <c r="A614" s="189"/>
      <c r="B614" s="189"/>
      <c r="C614" s="189"/>
      <c r="D614" s="191"/>
      <c r="E614" s="191"/>
      <c r="F614" s="191"/>
      <c r="G614" s="191"/>
      <c r="H614" s="191"/>
      <c r="I614" s="191"/>
      <c r="J614" s="191"/>
    </row>
    <row r="615" spans="1:10" x14ac:dyDescent="0.25">
      <c r="A615" s="189"/>
      <c r="B615" s="189"/>
      <c r="C615" s="189"/>
      <c r="D615" s="191"/>
      <c r="E615" s="191"/>
      <c r="F615" s="191"/>
      <c r="G615" s="191"/>
      <c r="H615" s="191"/>
      <c r="I615" s="191"/>
      <c r="J615" s="191"/>
    </row>
    <row r="616" spans="1:10" x14ac:dyDescent="0.25">
      <c r="A616" s="189"/>
      <c r="B616" s="189"/>
      <c r="C616" s="189"/>
      <c r="D616" s="191"/>
      <c r="E616" s="191"/>
      <c r="F616" s="191"/>
      <c r="G616" s="191"/>
      <c r="H616" s="191"/>
      <c r="I616" s="191"/>
      <c r="J616" s="191"/>
    </row>
    <row r="617" spans="1:10" x14ac:dyDescent="0.25">
      <c r="A617" s="189"/>
      <c r="B617" s="189"/>
      <c r="C617" s="189"/>
      <c r="D617" s="191"/>
      <c r="E617" s="191"/>
      <c r="F617" s="191"/>
      <c r="G617" s="191"/>
      <c r="H617" s="191"/>
      <c r="I617" s="191"/>
      <c r="J617" s="191"/>
    </row>
    <row r="618" spans="1:10" x14ac:dyDescent="0.25">
      <c r="A618" s="189"/>
      <c r="B618" s="189"/>
      <c r="C618" s="189"/>
      <c r="D618" s="191"/>
      <c r="E618" s="191"/>
      <c r="F618" s="191"/>
      <c r="G618" s="191"/>
      <c r="H618" s="191"/>
      <c r="I618" s="191"/>
      <c r="J618" s="191"/>
    </row>
    <row r="619" spans="1:10" x14ac:dyDescent="0.25">
      <c r="A619" s="189"/>
      <c r="B619" s="189"/>
      <c r="C619" s="189"/>
      <c r="D619" s="191"/>
      <c r="E619" s="191"/>
      <c r="F619" s="191"/>
      <c r="G619" s="191"/>
      <c r="H619" s="191"/>
      <c r="I619" s="191"/>
      <c r="J619" s="191"/>
    </row>
    <row r="620" spans="1:10" x14ac:dyDescent="0.25">
      <c r="A620" s="189"/>
      <c r="B620" s="189"/>
      <c r="C620" s="189"/>
      <c r="D620" s="191"/>
      <c r="E620" s="191"/>
      <c r="F620" s="191"/>
      <c r="G620" s="191"/>
      <c r="H620" s="191"/>
      <c r="I620" s="191"/>
      <c r="J620" s="191"/>
    </row>
    <row r="621" spans="1:10" x14ac:dyDescent="0.25">
      <c r="A621" s="189"/>
      <c r="B621" s="189"/>
      <c r="C621" s="189"/>
      <c r="D621" s="191"/>
      <c r="E621" s="191"/>
      <c r="F621" s="191"/>
      <c r="G621" s="191"/>
      <c r="H621" s="191"/>
      <c r="I621" s="191"/>
      <c r="J621" s="191"/>
    </row>
    <row r="622" spans="1:10" x14ac:dyDescent="0.25">
      <c r="A622" s="189"/>
      <c r="B622" s="189"/>
      <c r="C622" s="189"/>
      <c r="D622" s="191"/>
      <c r="E622" s="191"/>
      <c r="F622" s="191"/>
      <c r="G622" s="191"/>
      <c r="H622" s="191"/>
      <c r="I622" s="191"/>
      <c r="J622" s="191"/>
    </row>
    <row r="623" spans="1:10" x14ac:dyDescent="0.25">
      <c r="A623" s="189"/>
      <c r="B623" s="189"/>
      <c r="C623" s="189"/>
      <c r="D623" s="191"/>
      <c r="E623" s="191"/>
      <c r="F623" s="191"/>
      <c r="G623" s="191"/>
      <c r="H623" s="191"/>
      <c r="I623" s="191"/>
      <c r="J623" s="191"/>
    </row>
    <row r="624" spans="1:10" x14ac:dyDescent="0.25">
      <c r="A624" s="189"/>
      <c r="B624" s="189"/>
      <c r="C624" s="189"/>
      <c r="D624" s="191"/>
      <c r="E624" s="191"/>
      <c r="F624" s="191"/>
      <c r="G624" s="191"/>
      <c r="H624" s="191"/>
      <c r="I624" s="191"/>
      <c r="J624" s="191"/>
    </row>
    <row r="625" spans="1:10" x14ac:dyDescent="0.25">
      <c r="A625" s="189"/>
      <c r="B625" s="189"/>
      <c r="C625" s="189"/>
      <c r="D625" s="191"/>
      <c r="E625" s="191"/>
      <c r="F625" s="191"/>
      <c r="G625" s="191"/>
      <c r="H625" s="191"/>
      <c r="I625" s="191"/>
      <c r="J625" s="191"/>
    </row>
    <row r="626" spans="1:10" x14ac:dyDescent="0.25">
      <c r="A626" s="189"/>
      <c r="B626" s="189"/>
      <c r="C626" s="189"/>
      <c r="D626" s="191"/>
      <c r="E626" s="191"/>
      <c r="F626" s="191"/>
      <c r="G626" s="191"/>
      <c r="H626" s="191"/>
      <c r="I626" s="191"/>
      <c r="J626" s="191"/>
    </row>
    <row r="627" spans="1:10" x14ac:dyDescent="0.25">
      <c r="A627" s="189"/>
      <c r="B627" s="189"/>
      <c r="C627" s="189"/>
      <c r="D627" s="191"/>
      <c r="E627" s="191"/>
      <c r="F627" s="191"/>
      <c r="G627" s="191"/>
      <c r="H627" s="191"/>
      <c r="I627" s="191"/>
      <c r="J627" s="191"/>
    </row>
    <row r="628" spans="1:10" x14ac:dyDescent="0.25">
      <c r="A628" s="189"/>
      <c r="B628" s="189"/>
      <c r="C628" s="189"/>
      <c r="D628" s="191"/>
      <c r="E628" s="191"/>
      <c r="F628" s="191"/>
      <c r="G628" s="191"/>
      <c r="H628" s="191"/>
      <c r="I628" s="191"/>
      <c r="J628" s="191"/>
    </row>
    <row r="629" spans="1:10" x14ac:dyDescent="0.25">
      <c r="A629" s="189"/>
      <c r="B629" s="189"/>
      <c r="C629" s="189"/>
      <c r="D629" s="191"/>
      <c r="E629" s="191"/>
      <c r="F629" s="191"/>
      <c r="G629" s="191"/>
      <c r="H629" s="191"/>
      <c r="I629" s="191"/>
      <c r="J629" s="191"/>
    </row>
    <row r="630" spans="1:10" x14ac:dyDescent="0.25">
      <c r="A630" s="189"/>
      <c r="B630" s="189"/>
      <c r="C630" s="189"/>
      <c r="D630" s="191"/>
      <c r="E630" s="191"/>
      <c r="F630" s="191"/>
      <c r="G630" s="191"/>
      <c r="H630" s="191"/>
      <c r="I630" s="191"/>
      <c r="J630" s="191"/>
    </row>
    <row r="631" spans="1:10" x14ac:dyDescent="0.25">
      <c r="A631" s="189"/>
      <c r="B631" s="189"/>
      <c r="C631" s="189"/>
      <c r="D631" s="191"/>
      <c r="E631" s="191"/>
      <c r="F631" s="191"/>
      <c r="G631" s="191"/>
      <c r="H631" s="191"/>
      <c r="I631" s="191"/>
      <c r="J631" s="191"/>
    </row>
    <row r="632" spans="1:10" x14ac:dyDescent="0.25">
      <c r="A632" s="189"/>
      <c r="B632" s="189"/>
      <c r="C632" s="189"/>
      <c r="D632" s="191"/>
      <c r="E632" s="191"/>
      <c r="F632" s="191"/>
      <c r="G632" s="191"/>
      <c r="H632" s="191"/>
      <c r="I632" s="191"/>
      <c r="J632" s="191"/>
    </row>
    <row r="633" spans="1:10" x14ac:dyDescent="0.25">
      <c r="A633" s="189"/>
      <c r="B633" s="189"/>
      <c r="C633" s="189"/>
      <c r="D633" s="191"/>
      <c r="E633" s="191"/>
      <c r="F633" s="191"/>
      <c r="G633" s="191"/>
      <c r="H633" s="191"/>
      <c r="I633" s="191"/>
      <c r="J633" s="191"/>
    </row>
    <row r="634" spans="1:10" x14ac:dyDescent="0.25">
      <c r="A634" s="189"/>
      <c r="B634" s="189"/>
      <c r="C634" s="189"/>
      <c r="D634" s="191"/>
      <c r="E634" s="191"/>
      <c r="F634" s="191"/>
      <c r="G634" s="191"/>
      <c r="H634" s="191"/>
      <c r="I634" s="191"/>
      <c r="J634" s="191"/>
    </row>
    <row r="635" spans="1:10" x14ac:dyDescent="0.25">
      <c r="A635" s="189"/>
      <c r="B635" s="189"/>
      <c r="C635" s="189"/>
      <c r="D635" s="191"/>
      <c r="E635" s="191"/>
      <c r="F635" s="191"/>
      <c r="G635" s="191"/>
      <c r="H635" s="191"/>
      <c r="I635" s="191"/>
      <c r="J635" s="191"/>
    </row>
    <row r="636" spans="1:10" x14ac:dyDescent="0.25">
      <c r="A636" s="189"/>
      <c r="B636" s="189"/>
      <c r="C636" s="189"/>
      <c r="D636" s="191"/>
      <c r="E636" s="191"/>
      <c r="F636" s="191"/>
      <c r="G636" s="191"/>
      <c r="H636" s="191"/>
      <c r="I636" s="191"/>
      <c r="J636" s="191"/>
    </row>
    <row r="637" spans="1:10" x14ac:dyDescent="0.25">
      <c r="A637" s="189"/>
      <c r="B637" s="189"/>
      <c r="C637" s="189"/>
      <c r="D637" s="191"/>
      <c r="E637" s="191"/>
      <c r="F637" s="191"/>
      <c r="G637" s="191"/>
      <c r="H637" s="191"/>
      <c r="I637" s="191"/>
      <c r="J637" s="191"/>
    </row>
    <row r="638" spans="1:10" x14ac:dyDescent="0.25">
      <c r="A638" s="189"/>
      <c r="B638" s="189"/>
      <c r="C638" s="189"/>
      <c r="D638" s="191"/>
      <c r="E638" s="191"/>
      <c r="F638" s="191"/>
      <c r="G638" s="191"/>
      <c r="H638" s="191"/>
      <c r="I638" s="191"/>
      <c r="J638" s="191"/>
    </row>
    <row r="639" spans="1:10" x14ac:dyDescent="0.25">
      <c r="A639" s="189"/>
      <c r="B639" s="189"/>
      <c r="C639" s="189"/>
      <c r="D639" s="191"/>
      <c r="E639" s="191"/>
      <c r="F639" s="191"/>
      <c r="G639" s="191"/>
      <c r="H639" s="191"/>
      <c r="I639" s="191"/>
      <c r="J639" s="191"/>
    </row>
    <row r="640" spans="1:10" x14ac:dyDescent="0.25">
      <c r="A640" s="189"/>
      <c r="B640" s="189"/>
      <c r="C640" s="189"/>
      <c r="D640" s="191"/>
      <c r="E640" s="191"/>
      <c r="F640" s="191"/>
      <c r="G640" s="191"/>
      <c r="H640" s="191"/>
      <c r="I640" s="191"/>
      <c r="J640" s="191"/>
    </row>
    <row r="641" spans="1:10" x14ac:dyDescent="0.25">
      <c r="A641" s="189"/>
      <c r="B641" s="189"/>
      <c r="C641" s="189"/>
      <c r="D641" s="191"/>
      <c r="E641" s="191"/>
      <c r="F641" s="191"/>
      <c r="G641" s="191"/>
      <c r="H641" s="191"/>
      <c r="I641" s="191"/>
      <c r="J641" s="191"/>
    </row>
    <row r="642" spans="1:10" x14ac:dyDescent="0.25">
      <c r="A642" s="189"/>
      <c r="B642" s="189"/>
      <c r="C642" s="189"/>
      <c r="D642" s="191"/>
      <c r="E642" s="191"/>
      <c r="F642" s="191"/>
      <c r="G642" s="191"/>
      <c r="H642" s="191"/>
      <c r="I642" s="191"/>
      <c r="J642" s="191"/>
    </row>
    <row r="643" spans="1:10" x14ac:dyDescent="0.25">
      <c r="A643" s="189"/>
      <c r="B643" s="189"/>
      <c r="C643" s="189"/>
      <c r="D643" s="191"/>
      <c r="E643" s="191"/>
      <c r="F643" s="191"/>
      <c r="G643" s="191"/>
      <c r="H643" s="191"/>
      <c r="I643" s="191"/>
      <c r="J643" s="191"/>
    </row>
    <row r="644" spans="1:10" x14ac:dyDescent="0.25">
      <c r="A644" s="189"/>
      <c r="B644" s="189"/>
      <c r="C644" s="189"/>
      <c r="D644" s="191"/>
      <c r="E644" s="191"/>
      <c r="F644" s="191"/>
      <c r="G644" s="191"/>
      <c r="H644" s="191"/>
      <c r="I644" s="191"/>
      <c r="J644" s="191"/>
    </row>
    <row r="645" spans="1:10" x14ac:dyDescent="0.25">
      <c r="A645" s="189"/>
      <c r="B645" s="189"/>
      <c r="C645" s="189"/>
      <c r="D645" s="191"/>
      <c r="E645" s="191"/>
      <c r="F645" s="191"/>
      <c r="G645" s="191"/>
      <c r="H645" s="191"/>
      <c r="I645" s="191"/>
      <c r="J645" s="191"/>
    </row>
    <row r="646" spans="1:10" x14ac:dyDescent="0.25">
      <c r="A646" s="189"/>
      <c r="B646" s="189"/>
      <c r="C646" s="189"/>
      <c r="D646" s="191"/>
      <c r="E646" s="191"/>
      <c r="F646" s="191"/>
      <c r="G646" s="191"/>
      <c r="H646" s="191"/>
      <c r="I646" s="191"/>
      <c r="J646" s="191"/>
    </row>
    <row r="647" spans="1:10" x14ac:dyDescent="0.25">
      <c r="A647" s="189"/>
      <c r="B647" s="189"/>
      <c r="C647" s="189"/>
      <c r="D647" s="191"/>
      <c r="E647" s="191"/>
      <c r="F647" s="191"/>
      <c r="G647" s="191"/>
      <c r="H647" s="191"/>
      <c r="I647" s="191"/>
      <c r="J647" s="191"/>
    </row>
    <row r="648" spans="1:10" x14ac:dyDescent="0.25">
      <c r="A648" s="189"/>
      <c r="B648" s="189"/>
      <c r="C648" s="189"/>
      <c r="D648" s="191"/>
      <c r="E648" s="191"/>
      <c r="F648" s="191"/>
      <c r="G648" s="191"/>
      <c r="H648" s="191"/>
      <c r="I648" s="191"/>
      <c r="J648" s="191"/>
    </row>
    <row r="649" spans="1:10" x14ac:dyDescent="0.25">
      <c r="A649" s="189"/>
      <c r="B649" s="189"/>
      <c r="C649" s="189"/>
      <c r="D649" s="191"/>
      <c r="E649" s="191"/>
      <c r="F649" s="191"/>
      <c r="G649" s="191"/>
      <c r="H649" s="191"/>
      <c r="I649" s="191"/>
      <c r="J649" s="191"/>
    </row>
    <row r="650" spans="1:10" x14ac:dyDescent="0.25">
      <c r="A650" s="189"/>
      <c r="B650" s="189"/>
      <c r="C650" s="189"/>
      <c r="D650" s="191"/>
      <c r="E650" s="191"/>
      <c r="F650" s="191"/>
      <c r="G650" s="191"/>
      <c r="H650" s="191"/>
      <c r="I650" s="191"/>
      <c r="J650" s="191"/>
    </row>
    <row r="651" spans="1:10" x14ac:dyDescent="0.25">
      <c r="A651" s="189"/>
      <c r="B651" s="189"/>
      <c r="C651" s="189"/>
      <c r="D651" s="191"/>
      <c r="E651" s="191"/>
      <c r="F651" s="191"/>
      <c r="G651" s="191"/>
      <c r="H651" s="191"/>
      <c r="I651" s="191"/>
      <c r="J651" s="191"/>
    </row>
    <row r="652" spans="1:10" x14ac:dyDescent="0.25">
      <c r="A652" s="189"/>
      <c r="B652" s="189"/>
      <c r="C652" s="189"/>
      <c r="D652" s="191"/>
      <c r="E652" s="191"/>
      <c r="F652" s="191"/>
      <c r="G652" s="191"/>
      <c r="H652" s="191"/>
      <c r="I652" s="191"/>
      <c r="J652" s="191"/>
    </row>
    <row r="653" spans="1:10" x14ac:dyDescent="0.25">
      <c r="A653" s="189"/>
      <c r="B653" s="189"/>
      <c r="C653" s="189"/>
      <c r="D653" s="191"/>
      <c r="E653" s="191"/>
      <c r="F653" s="191"/>
      <c r="G653" s="191"/>
      <c r="H653" s="191"/>
      <c r="I653" s="191"/>
      <c r="J653" s="191"/>
    </row>
    <row r="654" spans="1:10" x14ac:dyDescent="0.25">
      <c r="A654" s="189"/>
      <c r="B654" s="189"/>
      <c r="C654" s="189"/>
      <c r="D654" s="191"/>
      <c r="E654" s="191"/>
      <c r="F654" s="191"/>
      <c r="G654" s="191"/>
      <c r="H654" s="191"/>
      <c r="I654" s="191"/>
      <c r="J654" s="191"/>
    </row>
    <row r="655" spans="1:10" x14ac:dyDescent="0.25">
      <c r="A655" s="189"/>
      <c r="B655" s="189"/>
      <c r="C655" s="189"/>
      <c r="D655" s="191"/>
      <c r="E655" s="191"/>
      <c r="F655" s="191"/>
      <c r="G655" s="191"/>
      <c r="H655" s="191"/>
      <c r="I655" s="191"/>
      <c r="J655" s="191"/>
    </row>
    <row r="656" spans="1:10" x14ac:dyDescent="0.25">
      <c r="A656" s="189"/>
      <c r="B656" s="189"/>
      <c r="C656" s="189"/>
      <c r="D656" s="191"/>
      <c r="E656" s="191"/>
      <c r="F656" s="191"/>
      <c r="G656" s="191"/>
      <c r="H656" s="191"/>
      <c r="I656" s="191"/>
      <c r="J656" s="191"/>
    </row>
    <row r="657" spans="1:10" x14ac:dyDescent="0.25">
      <c r="A657" s="189"/>
      <c r="B657" s="189"/>
      <c r="C657" s="189"/>
      <c r="D657" s="191"/>
      <c r="E657" s="191"/>
      <c r="F657" s="191"/>
      <c r="G657" s="191"/>
      <c r="H657" s="191"/>
      <c r="I657" s="191"/>
      <c r="J657" s="191"/>
    </row>
    <row r="658" spans="1:10" x14ac:dyDescent="0.25">
      <c r="A658" s="189"/>
      <c r="B658" s="189"/>
      <c r="C658" s="189"/>
      <c r="D658" s="191"/>
      <c r="E658" s="191"/>
      <c r="F658" s="191"/>
      <c r="G658" s="191"/>
      <c r="H658" s="191"/>
      <c r="I658" s="191"/>
      <c r="J658" s="191"/>
    </row>
    <row r="659" spans="1:10" x14ac:dyDescent="0.25">
      <c r="A659" s="189"/>
      <c r="B659" s="189"/>
      <c r="C659" s="189"/>
      <c r="D659" s="191"/>
      <c r="E659" s="191"/>
      <c r="F659" s="191"/>
      <c r="G659" s="191"/>
      <c r="H659" s="191"/>
      <c r="I659" s="191"/>
      <c r="J659" s="191"/>
    </row>
    <row r="660" spans="1:10" x14ac:dyDescent="0.25">
      <c r="A660" s="189"/>
      <c r="B660" s="189"/>
      <c r="C660" s="189"/>
      <c r="D660" s="191"/>
      <c r="E660" s="191"/>
      <c r="F660" s="191"/>
      <c r="G660" s="191"/>
      <c r="H660" s="191"/>
      <c r="I660" s="191"/>
      <c r="J660" s="191"/>
    </row>
    <row r="661" spans="1:10" x14ac:dyDescent="0.25">
      <c r="A661" s="189"/>
      <c r="B661" s="189"/>
      <c r="C661" s="189"/>
      <c r="D661" s="191"/>
      <c r="E661" s="191"/>
      <c r="F661" s="191"/>
      <c r="G661" s="191"/>
      <c r="H661" s="191"/>
      <c r="I661" s="191"/>
      <c r="J661" s="191"/>
    </row>
    <row r="662" spans="1:10" x14ac:dyDescent="0.25">
      <c r="A662" s="189"/>
      <c r="B662" s="189"/>
      <c r="C662" s="189"/>
      <c r="D662" s="191"/>
      <c r="E662" s="191"/>
      <c r="F662" s="191"/>
      <c r="G662" s="191"/>
      <c r="H662" s="191"/>
      <c r="I662" s="191"/>
      <c r="J662" s="191"/>
    </row>
    <row r="663" spans="1:10" x14ac:dyDescent="0.25">
      <c r="A663" s="189"/>
      <c r="B663" s="189"/>
      <c r="C663" s="189"/>
      <c r="D663" s="191"/>
      <c r="E663" s="191"/>
      <c r="F663" s="191"/>
      <c r="G663" s="191"/>
      <c r="H663" s="191"/>
      <c r="I663" s="191"/>
      <c r="J663" s="191"/>
    </row>
    <row r="664" spans="1:10" x14ac:dyDescent="0.25">
      <c r="A664" s="189"/>
      <c r="B664" s="189"/>
      <c r="C664" s="189"/>
      <c r="D664" s="191"/>
      <c r="E664" s="191"/>
      <c r="F664" s="191"/>
      <c r="G664" s="191"/>
      <c r="H664" s="191"/>
      <c r="I664" s="191"/>
      <c r="J664" s="191"/>
    </row>
    <row r="665" spans="1:10" x14ac:dyDescent="0.25">
      <c r="A665" s="189"/>
      <c r="B665" s="189"/>
      <c r="C665" s="189"/>
      <c r="D665" s="191"/>
      <c r="E665" s="191"/>
      <c r="F665" s="191"/>
      <c r="G665" s="191"/>
      <c r="H665" s="191"/>
      <c r="I665" s="191"/>
      <c r="J665" s="191"/>
    </row>
    <row r="666" spans="1:10" x14ac:dyDescent="0.25">
      <c r="A666" s="189"/>
      <c r="B666" s="189"/>
      <c r="C666" s="189"/>
      <c r="D666" s="191"/>
      <c r="E666" s="191"/>
      <c r="F666" s="191"/>
      <c r="G666" s="191"/>
      <c r="H666" s="191"/>
      <c r="I666" s="191"/>
      <c r="J666" s="191"/>
    </row>
    <row r="667" spans="1:10" x14ac:dyDescent="0.25">
      <c r="A667" s="189"/>
      <c r="B667" s="189"/>
      <c r="C667" s="189"/>
      <c r="D667" s="191"/>
      <c r="E667" s="191"/>
      <c r="F667" s="191"/>
      <c r="G667" s="191"/>
      <c r="H667" s="191"/>
      <c r="I667" s="191"/>
      <c r="J667" s="191"/>
    </row>
    <row r="668" spans="1:10" x14ac:dyDescent="0.25">
      <c r="A668" s="189"/>
      <c r="B668" s="189"/>
      <c r="C668" s="189"/>
      <c r="D668" s="191"/>
      <c r="E668" s="191"/>
      <c r="F668" s="191"/>
      <c r="G668" s="191"/>
      <c r="H668" s="191"/>
      <c r="I668" s="191"/>
      <c r="J668" s="191"/>
    </row>
    <row r="669" spans="1:10" x14ac:dyDescent="0.25">
      <c r="A669" s="189"/>
      <c r="B669" s="189"/>
      <c r="C669" s="189"/>
      <c r="D669" s="191"/>
      <c r="E669" s="191"/>
      <c r="F669" s="191"/>
      <c r="G669" s="191"/>
      <c r="H669" s="191"/>
      <c r="I669" s="191"/>
      <c r="J669" s="191"/>
    </row>
    <row r="670" spans="1:10" x14ac:dyDescent="0.25">
      <c r="A670" s="189"/>
      <c r="B670" s="189"/>
      <c r="C670" s="189"/>
      <c r="D670" s="191"/>
      <c r="E670" s="191"/>
      <c r="F670" s="191"/>
      <c r="G670" s="191"/>
      <c r="H670" s="191"/>
      <c r="I670" s="191"/>
      <c r="J670" s="191"/>
    </row>
    <row r="671" spans="1:10" x14ac:dyDescent="0.25">
      <c r="A671" s="189"/>
      <c r="B671" s="189"/>
      <c r="C671" s="189"/>
      <c r="D671" s="191"/>
      <c r="E671" s="191"/>
      <c r="F671" s="191"/>
      <c r="G671" s="191"/>
      <c r="H671" s="191"/>
      <c r="I671" s="191"/>
      <c r="J671" s="191"/>
    </row>
    <row r="672" spans="1:10" x14ac:dyDescent="0.25">
      <c r="A672" s="189"/>
      <c r="B672" s="189"/>
      <c r="C672" s="189"/>
      <c r="D672" s="191"/>
      <c r="E672" s="191"/>
      <c r="F672" s="191"/>
      <c r="G672" s="191"/>
      <c r="H672" s="191"/>
      <c r="I672" s="191"/>
      <c r="J672" s="191"/>
    </row>
    <row r="673" spans="1:10" x14ac:dyDescent="0.25">
      <c r="A673" s="189"/>
      <c r="B673" s="189"/>
      <c r="C673" s="189"/>
      <c r="D673" s="191"/>
      <c r="E673" s="191"/>
      <c r="F673" s="191"/>
      <c r="G673" s="191"/>
      <c r="H673" s="191"/>
      <c r="I673" s="191"/>
      <c r="J673" s="191"/>
    </row>
    <row r="674" spans="1:10" x14ac:dyDescent="0.25">
      <c r="A674" s="189"/>
      <c r="B674" s="189"/>
      <c r="C674" s="189"/>
      <c r="D674" s="191"/>
      <c r="E674" s="191"/>
      <c r="F674" s="191"/>
      <c r="G674" s="191"/>
      <c r="H674" s="191"/>
      <c r="I674" s="191"/>
      <c r="J674" s="191"/>
    </row>
    <row r="675" spans="1:10" x14ac:dyDescent="0.25">
      <c r="A675" s="189"/>
      <c r="B675" s="189"/>
      <c r="C675" s="189"/>
      <c r="D675" s="191"/>
      <c r="E675" s="191"/>
      <c r="F675" s="191"/>
      <c r="G675" s="191"/>
      <c r="H675" s="191"/>
      <c r="I675" s="191"/>
      <c r="J675" s="191"/>
    </row>
    <row r="676" spans="1:10" x14ac:dyDescent="0.25">
      <c r="A676" s="189"/>
      <c r="B676" s="189"/>
      <c r="C676" s="189"/>
      <c r="D676" s="191"/>
      <c r="E676" s="191"/>
      <c r="F676" s="191"/>
      <c r="G676" s="191"/>
      <c r="H676" s="191"/>
      <c r="I676" s="191"/>
      <c r="J676" s="191"/>
    </row>
    <row r="677" spans="1:10" x14ac:dyDescent="0.25">
      <c r="A677" s="189"/>
      <c r="B677" s="189"/>
      <c r="C677" s="189"/>
      <c r="D677" s="191"/>
      <c r="E677" s="191"/>
      <c r="F677" s="191"/>
      <c r="G677" s="191"/>
      <c r="H677" s="191"/>
      <c r="I677" s="191"/>
      <c r="J677" s="191"/>
    </row>
    <row r="678" spans="1:10" x14ac:dyDescent="0.25">
      <c r="A678" s="189"/>
      <c r="B678" s="189"/>
      <c r="C678" s="189"/>
      <c r="D678" s="191"/>
      <c r="E678" s="191"/>
      <c r="F678" s="191"/>
      <c r="G678" s="191"/>
      <c r="H678" s="191"/>
      <c r="I678" s="191"/>
      <c r="J678" s="191"/>
    </row>
    <row r="679" spans="1:10" x14ac:dyDescent="0.25">
      <c r="A679" s="189"/>
      <c r="B679" s="189"/>
      <c r="C679" s="189"/>
      <c r="D679" s="191"/>
      <c r="E679" s="191"/>
      <c r="F679" s="191"/>
      <c r="G679" s="191"/>
      <c r="H679" s="191"/>
      <c r="I679" s="191"/>
      <c r="J679" s="191"/>
    </row>
    <row r="680" spans="1:10" x14ac:dyDescent="0.25">
      <c r="A680" s="189"/>
      <c r="B680" s="189"/>
      <c r="C680" s="189"/>
      <c r="D680" s="191"/>
      <c r="E680" s="191"/>
      <c r="F680" s="191"/>
      <c r="G680" s="191"/>
      <c r="H680" s="191"/>
      <c r="I680" s="191"/>
      <c r="J680" s="191"/>
    </row>
    <row r="681" spans="1:10" x14ac:dyDescent="0.25">
      <c r="A681" s="189"/>
      <c r="B681" s="189"/>
      <c r="C681" s="189"/>
      <c r="D681" s="191"/>
      <c r="E681" s="191"/>
      <c r="F681" s="191"/>
      <c r="G681" s="191"/>
      <c r="H681" s="191"/>
      <c r="I681" s="191"/>
      <c r="J681" s="191"/>
    </row>
    <row r="682" spans="1:10" x14ac:dyDescent="0.25">
      <c r="A682" s="189"/>
      <c r="B682" s="189"/>
      <c r="C682" s="189"/>
      <c r="D682" s="191"/>
      <c r="E682" s="191"/>
      <c r="F682" s="191"/>
      <c r="G682" s="191"/>
      <c r="H682" s="191"/>
      <c r="I682" s="191"/>
      <c r="J682" s="191"/>
    </row>
    <row r="683" spans="1:10" x14ac:dyDescent="0.25">
      <c r="A683" s="189"/>
      <c r="B683" s="189"/>
      <c r="C683" s="189"/>
      <c r="D683" s="191"/>
      <c r="E683" s="191"/>
      <c r="F683" s="191"/>
      <c r="G683" s="191"/>
      <c r="H683" s="191"/>
      <c r="I683" s="191"/>
      <c r="J683" s="191"/>
    </row>
    <row r="684" spans="1:10" x14ac:dyDescent="0.25">
      <c r="A684" s="189"/>
      <c r="B684" s="189"/>
      <c r="C684" s="189"/>
      <c r="D684" s="191"/>
      <c r="E684" s="191"/>
      <c r="F684" s="191"/>
      <c r="G684" s="191"/>
      <c r="H684" s="191"/>
      <c r="I684" s="191"/>
      <c r="J684" s="191"/>
    </row>
    <row r="685" spans="1:10" x14ac:dyDescent="0.25">
      <c r="A685" s="189"/>
      <c r="B685" s="189"/>
      <c r="C685" s="189"/>
      <c r="D685" s="191"/>
      <c r="E685" s="191"/>
      <c r="F685" s="191"/>
      <c r="G685" s="191"/>
      <c r="H685" s="191"/>
      <c r="I685" s="191"/>
      <c r="J685" s="191"/>
    </row>
    <row r="686" spans="1:10" x14ac:dyDescent="0.25">
      <c r="A686" s="189"/>
      <c r="B686" s="189"/>
      <c r="C686" s="189"/>
      <c r="D686" s="191"/>
      <c r="E686" s="191"/>
      <c r="F686" s="191"/>
      <c r="G686" s="191"/>
      <c r="H686" s="191"/>
      <c r="I686" s="191"/>
      <c r="J686" s="191"/>
    </row>
    <row r="687" spans="1:10" x14ac:dyDescent="0.25">
      <c r="A687" s="189"/>
      <c r="B687" s="189"/>
      <c r="C687" s="189"/>
      <c r="D687" s="191"/>
      <c r="E687" s="191"/>
      <c r="F687" s="191"/>
      <c r="G687" s="191"/>
      <c r="H687" s="191"/>
      <c r="I687" s="191"/>
      <c r="J687" s="191"/>
    </row>
    <row r="688" spans="1:10" x14ac:dyDescent="0.25">
      <c r="A688" s="189"/>
      <c r="B688" s="189"/>
      <c r="C688" s="189"/>
      <c r="D688" s="191"/>
      <c r="E688" s="191"/>
      <c r="F688" s="191"/>
      <c r="G688" s="191"/>
      <c r="H688" s="191"/>
      <c r="I688" s="191"/>
      <c r="J688" s="191"/>
    </row>
    <row r="689" spans="1:10" x14ac:dyDescent="0.25">
      <c r="A689" s="189"/>
      <c r="B689" s="189"/>
      <c r="C689" s="189"/>
      <c r="D689" s="191"/>
      <c r="E689" s="191"/>
      <c r="F689" s="191"/>
      <c r="G689" s="191"/>
      <c r="H689" s="191"/>
      <c r="I689" s="191"/>
      <c r="J689" s="191"/>
    </row>
    <row r="690" spans="1:10" x14ac:dyDescent="0.25">
      <c r="A690" s="189"/>
      <c r="B690" s="189"/>
      <c r="C690" s="189"/>
      <c r="D690" s="191"/>
      <c r="E690" s="191"/>
      <c r="F690" s="191"/>
      <c r="G690" s="191"/>
      <c r="H690" s="191"/>
      <c r="I690" s="191"/>
      <c r="J690" s="191"/>
    </row>
    <row r="691" spans="1:10" x14ac:dyDescent="0.25">
      <c r="A691" s="189"/>
      <c r="B691" s="189"/>
      <c r="C691" s="189"/>
      <c r="D691" s="191"/>
      <c r="E691" s="191"/>
      <c r="F691" s="191"/>
      <c r="G691" s="191"/>
      <c r="H691" s="191"/>
      <c r="I691" s="191"/>
      <c r="J691" s="191"/>
    </row>
    <row r="692" spans="1:10" x14ac:dyDescent="0.25">
      <c r="A692" s="189"/>
      <c r="B692" s="189"/>
      <c r="C692" s="189"/>
      <c r="D692" s="191"/>
      <c r="E692" s="191"/>
      <c r="F692" s="191"/>
      <c r="G692" s="191"/>
      <c r="H692" s="191"/>
      <c r="I692" s="191"/>
      <c r="J692" s="191"/>
    </row>
    <row r="693" spans="1:10" x14ac:dyDescent="0.25">
      <c r="A693" s="189"/>
      <c r="B693" s="189"/>
      <c r="C693" s="189"/>
      <c r="D693" s="191"/>
      <c r="E693" s="191"/>
      <c r="F693" s="191"/>
      <c r="G693" s="191"/>
      <c r="H693" s="191"/>
      <c r="I693" s="191"/>
      <c r="J693" s="191"/>
    </row>
    <row r="694" spans="1:10" x14ac:dyDescent="0.25">
      <c r="A694" s="189"/>
      <c r="B694" s="189"/>
      <c r="C694" s="189"/>
      <c r="D694" s="191"/>
      <c r="E694" s="191"/>
      <c r="F694" s="191"/>
      <c r="G694" s="191"/>
      <c r="H694" s="191"/>
      <c r="I694" s="191"/>
      <c r="J694" s="191"/>
    </row>
    <row r="695" spans="1:10" x14ac:dyDescent="0.25">
      <c r="A695" s="189"/>
      <c r="B695" s="189"/>
      <c r="C695" s="189"/>
      <c r="D695" s="191"/>
      <c r="E695" s="191"/>
      <c r="F695" s="191"/>
      <c r="G695" s="191"/>
      <c r="H695" s="191"/>
      <c r="I695" s="191"/>
      <c r="J695" s="191"/>
    </row>
    <row r="696" spans="1:10" x14ac:dyDescent="0.25">
      <c r="A696" s="189"/>
      <c r="B696" s="189"/>
      <c r="C696" s="189"/>
      <c r="D696" s="191"/>
      <c r="E696" s="191"/>
      <c r="F696" s="191"/>
      <c r="G696" s="191"/>
      <c r="H696" s="191"/>
      <c r="I696" s="191"/>
      <c r="J696" s="191"/>
    </row>
    <row r="697" spans="1:10" x14ac:dyDescent="0.25">
      <c r="A697" s="189"/>
      <c r="B697" s="189"/>
      <c r="C697" s="189"/>
      <c r="D697" s="191"/>
      <c r="E697" s="191"/>
      <c r="F697" s="191"/>
      <c r="G697" s="191"/>
      <c r="H697" s="191"/>
      <c r="I697" s="191"/>
      <c r="J697" s="191"/>
    </row>
    <row r="698" spans="1:10" x14ac:dyDescent="0.25">
      <c r="A698" s="189"/>
      <c r="B698" s="189"/>
      <c r="C698" s="189"/>
      <c r="D698" s="191"/>
      <c r="E698" s="191"/>
      <c r="F698" s="191"/>
      <c r="G698" s="191"/>
      <c r="H698" s="191"/>
      <c r="I698" s="191"/>
      <c r="J698" s="191"/>
    </row>
    <row r="699" spans="1:10" x14ac:dyDescent="0.25">
      <c r="A699" s="189"/>
      <c r="B699" s="189"/>
      <c r="C699" s="189"/>
      <c r="D699" s="191"/>
      <c r="E699" s="191"/>
      <c r="F699" s="191"/>
      <c r="G699" s="191"/>
      <c r="H699" s="191"/>
      <c r="I699" s="191"/>
      <c r="J699" s="191"/>
    </row>
    <row r="700" spans="1:10" x14ac:dyDescent="0.25">
      <c r="A700" s="189"/>
      <c r="B700" s="189"/>
      <c r="C700" s="189"/>
      <c r="D700" s="191"/>
      <c r="E700" s="191"/>
      <c r="F700" s="191"/>
      <c r="G700" s="191"/>
      <c r="H700" s="191"/>
      <c r="I700" s="191"/>
      <c r="J700" s="191"/>
    </row>
    <row r="701" spans="1:10" x14ac:dyDescent="0.25">
      <c r="A701" s="189"/>
      <c r="B701" s="189"/>
      <c r="C701" s="189"/>
      <c r="D701" s="191"/>
      <c r="E701" s="191"/>
      <c r="F701" s="191"/>
      <c r="G701" s="191"/>
      <c r="H701" s="191"/>
      <c r="I701" s="191"/>
      <c r="J701" s="191"/>
    </row>
    <row r="702" spans="1:10" x14ac:dyDescent="0.25">
      <c r="A702" s="189"/>
      <c r="B702" s="189"/>
      <c r="C702" s="189"/>
      <c r="D702" s="191"/>
      <c r="E702" s="191"/>
      <c r="F702" s="191"/>
      <c r="G702" s="191"/>
      <c r="H702" s="191"/>
      <c r="I702" s="191"/>
      <c r="J702" s="191"/>
    </row>
    <row r="703" spans="1:10" x14ac:dyDescent="0.25">
      <c r="A703" s="189"/>
      <c r="B703" s="189"/>
      <c r="C703" s="189"/>
      <c r="D703" s="191"/>
      <c r="E703" s="191"/>
      <c r="F703" s="191"/>
      <c r="G703" s="191"/>
      <c r="H703" s="191"/>
      <c r="I703" s="191"/>
      <c r="J703" s="191"/>
    </row>
    <row r="704" spans="1:10" x14ac:dyDescent="0.25">
      <c r="A704" s="189"/>
      <c r="B704" s="189"/>
      <c r="C704" s="189"/>
      <c r="D704" s="191"/>
      <c r="E704" s="191"/>
      <c r="F704" s="191"/>
      <c r="G704" s="191"/>
      <c r="H704" s="191"/>
      <c r="I704" s="191"/>
      <c r="J704" s="191"/>
    </row>
    <row r="705" spans="1:10" x14ac:dyDescent="0.25">
      <c r="A705" s="189"/>
      <c r="B705" s="189"/>
      <c r="C705" s="189"/>
      <c r="D705" s="191"/>
      <c r="E705" s="191"/>
      <c r="F705" s="191"/>
      <c r="G705" s="191"/>
      <c r="H705" s="191"/>
      <c r="I705" s="191"/>
      <c r="J705" s="191"/>
    </row>
    <row r="706" spans="1:10" x14ac:dyDescent="0.25">
      <c r="A706" s="189"/>
      <c r="B706" s="189"/>
      <c r="C706" s="189"/>
      <c r="D706" s="191"/>
      <c r="E706" s="191"/>
      <c r="F706" s="191"/>
      <c r="G706" s="191"/>
      <c r="H706" s="191"/>
      <c r="I706" s="191"/>
      <c r="J706" s="191"/>
    </row>
    <row r="707" spans="1:10" x14ac:dyDescent="0.25">
      <c r="A707" s="189"/>
      <c r="B707" s="189"/>
      <c r="C707" s="189"/>
      <c r="D707" s="191"/>
      <c r="E707" s="191"/>
      <c r="F707" s="191"/>
      <c r="G707" s="191"/>
      <c r="H707" s="191"/>
      <c r="I707" s="191"/>
      <c r="J707" s="191"/>
    </row>
    <row r="708" spans="1:10" x14ac:dyDescent="0.25">
      <c r="A708" s="189"/>
      <c r="B708" s="189"/>
      <c r="C708" s="189"/>
      <c r="D708" s="191"/>
      <c r="E708" s="191"/>
      <c r="F708" s="191"/>
      <c r="G708" s="191"/>
      <c r="H708" s="191"/>
      <c r="I708" s="191"/>
      <c r="J708" s="191"/>
    </row>
    <row r="709" spans="1:10" x14ac:dyDescent="0.25">
      <c r="A709" s="189"/>
      <c r="B709" s="189"/>
      <c r="C709" s="189"/>
      <c r="D709" s="191"/>
      <c r="E709" s="191"/>
      <c r="F709" s="191"/>
      <c r="G709" s="191"/>
      <c r="H709" s="191"/>
      <c r="I709" s="191"/>
      <c r="J709" s="191"/>
    </row>
    <row r="710" spans="1:10" x14ac:dyDescent="0.25">
      <c r="A710" s="189"/>
      <c r="B710" s="189"/>
      <c r="C710" s="189"/>
      <c r="D710" s="191"/>
      <c r="E710" s="191"/>
      <c r="F710" s="191"/>
      <c r="G710" s="191"/>
      <c r="H710" s="191"/>
      <c r="I710" s="191"/>
      <c r="J710" s="191"/>
    </row>
    <row r="711" spans="1:10" x14ac:dyDescent="0.25">
      <c r="A711" s="189"/>
      <c r="B711" s="189"/>
      <c r="C711" s="189"/>
      <c r="D711" s="191"/>
      <c r="E711" s="191"/>
      <c r="F711" s="191"/>
      <c r="G711" s="191"/>
      <c r="H711" s="191"/>
      <c r="I711" s="191"/>
      <c r="J711" s="191"/>
    </row>
    <row r="712" spans="1:10" x14ac:dyDescent="0.25">
      <c r="A712" s="189"/>
      <c r="B712" s="189"/>
      <c r="C712" s="189"/>
      <c r="D712" s="191"/>
      <c r="E712" s="191"/>
      <c r="F712" s="191"/>
      <c r="G712" s="191"/>
      <c r="H712" s="191"/>
      <c r="I712" s="191"/>
      <c r="J712" s="191"/>
    </row>
    <row r="713" spans="1:10" x14ac:dyDescent="0.25">
      <c r="A713" s="189"/>
      <c r="B713" s="189"/>
      <c r="C713" s="189"/>
      <c r="D713" s="191"/>
      <c r="E713" s="191"/>
      <c r="F713" s="191"/>
      <c r="G713" s="191"/>
      <c r="H713" s="191"/>
      <c r="I713" s="191"/>
      <c r="J713" s="191"/>
    </row>
    <row r="714" spans="1:10" x14ac:dyDescent="0.25">
      <c r="A714" s="189"/>
      <c r="B714" s="189"/>
      <c r="C714" s="189"/>
      <c r="D714" s="191"/>
      <c r="E714" s="191"/>
      <c r="F714" s="191"/>
      <c r="G714" s="191"/>
      <c r="H714" s="191"/>
      <c r="I714" s="191"/>
      <c r="J714" s="191"/>
    </row>
    <row r="715" spans="1:10" x14ac:dyDescent="0.25">
      <c r="A715" s="189"/>
      <c r="B715" s="189"/>
      <c r="C715" s="189"/>
      <c r="D715" s="191"/>
      <c r="E715" s="191"/>
      <c r="F715" s="191"/>
      <c r="G715" s="191"/>
      <c r="H715" s="191"/>
      <c r="I715" s="191"/>
      <c r="J715" s="191"/>
    </row>
    <row r="716" spans="1:10" x14ac:dyDescent="0.25">
      <c r="A716" s="189"/>
      <c r="B716" s="189"/>
      <c r="C716" s="189"/>
      <c r="D716" s="191"/>
      <c r="E716" s="191"/>
      <c r="F716" s="191"/>
      <c r="G716" s="191"/>
      <c r="H716" s="191"/>
      <c r="I716" s="191"/>
      <c r="J716" s="191"/>
    </row>
    <row r="717" spans="1:10" x14ac:dyDescent="0.25">
      <c r="A717" s="189"/>
      <c r="B717" s="189"/>
      <c r="C717" s="189"/>
      <c r="D717" s="191"/>
      <c r="E717" s="191"/>
      <c r="F717" s="191"/>
      <c r="G717" s="191"/>
      <c r="H717" s="191"/>
      <c r="I717" s="191"/>
      <c r="J717" s="191"/>
    </row>
    <row r="718" spans="1:10" x14ac:dyDescent="0.25">
      <c r="A718" s="189"/>
      <c r="B718" s="189"/>
      <c r="C718" s="189"/>
      <c r="D718" s="191"/>
      <c r="E718" s="191"/>
      <c r="F718" s="191"/>
      <c r="G718" s="191"/>
      <c r="H718" s="191"/>
      <c r="I718" s="191"/>
      <c r="J718" s="191"/>
    </row>
    <row r="719" spans="1:10" x14ac:dyDescent="0.25">
      <c r="A719" s="189"/>
      <c r="B719" s="189"/>
      <c r="C719" s="189"/>
      <c r="D719" s="191"/>
      <c r="E719" s="191"/>
      <c r="F719" s="191"/>
      <c r="G719" s="191"/>
      <c r="H719" s="191"/>
      <c r="I719" s="191"/>
      <c r="J719" s="191"/>
    </row>
    <row r="720" spans="1:10" x14ac:dyDescent="0.25">
      <c r="A720" s="189"/>
      <c r="B720" s="189"/>
      <c r="C720" s="189"/>
      <c r="D720" s="191"/>
      <c r="E720" s="191"/>
      <c r="F720" s="191"/>
      <c r="G720" s="191"/>
      <c r="H720" s="191"/>
      <c r="I720" s="191"/>
      <c r="J720" s="191"/>
    </row>
    <row r="721" spans="1:10" x14ac:dyDescent="0.25">
      <c r="A721" s="189"/>
      <c r="B721" s="189"/>
      <c r="C721" s="189"/>
      <c r="D721" s="191"/>
      <c r="E721" s="191"/>
      <c r="F721" s="191"/>
      <c r="G721" s="191"/>
      <c r="H721" s="191"/>
      <c r="I721" s="191"/>
      <c r="J721" s="191"/>
    </row>
    <row r="722" spans="1:10" x14ac:dyDescent="0.25">
      <c r="A722" s="189"/>
      <c r="B722" s="189"/>
      <c r="C722" s="189"/>
      <c r="D722" s="191"/>
      <c r="E722" s="191"/>
      <c r="F722" s="191"/>
      <c r="G722" s="191"/>
      <c r="H722" s="191"/>
      <c r="I722" s="191"/>
      <c r="J722" s="191"/>
    </row>
    <row r="723" spans="1:10" x14ac:dyDescent="0.25">
      <c r="A723" s="189"/>
      <c r="B723" s="189"/>
      <c r="C723" s="189"/>
      <c r="D723" s="191"/>
      <c r="E723" s="191"/>
      <c r="F723" s="191"/>
      <c r="G723" s="191"/>
      <c r="H723" s="191"/>
      <c r="I723" s="191"/>
      <c r="J723" s="191"/>
    </row>
    <row r="724" spans="1:10" x14ac:dyDescent="0.25">
      <c r="A724" s="189"/>
      <c r="B724" s="189"/>
      <c r="C724" s="189"/>
      <c r="D724" s="191"/>
      <c r="E724" s="191"/>
      <c r="F724" s="191"/>
      <c r="G724" s="191"/>
      <c r="H724" s="191"/>
      <c r="I724" s="191"/>
      <c r="J724" s="191"/>
    </row>
    <row r="725" spans="1:10" x14ac:dyDescent="0.25">
      <c r="A725" s="189"/>
      <c r="B725" s="189"/>
      <c r="C725" s="189"/>
      <c r="D725" s="191"/>
      <c r="E725" s="191"/>
      <c r="F725" s="191"/>
      <c r="G725" s="191"/>
      <c r="H725" s="191"/>
      <c r="I725" s="191"/>
      <c r="J725" s="191"/>
    </row>
    <row r="726" spans="1:10" x14ac:dyDescent="0.25">
      <c r="A726" s="189"/>
      <c r="B726" s="189"/>
      <c r="C726" s="189"/>
      <c r="D726" s="191"/>
      <c r="E726" s="191"/>
      <c r="F726" s="191"/>
      <c r="G726" s="191"/>
      <c r="H726" s="191"/>
      <c r="I726" s="191"/>
      <c r="J726" s="191"/>
    </row>
    <row r="727" spans="1:10" x14ac:dyDescent="0.25">
      <c r="A727" s="189"/>
      <c r="B727" s="189"/>
      <c r="C727" s="189"/>
      <c r="D727" s="191"/>
      <c r="E727" s="191"/>
      <c r="F727" s="191"/>
      <c r="G727" s="191"/>
      <c r="H727" s="191"/>
      <c r="I727" s="191"/>
      <c r="J727" s="191"/>
    </row>
    <row r="728" spans="1:10" x14ac:dyDescent="0.25">
      <c r="A728" s="189"/>
      <c r="B728" s="189"/>
      <c r="C728" s="189"/>
      <c r="D728" s="191"/>
      <c r="E728" s="191"/>
      <c r="F728" s="191"/>
      <c r="G728" s="191"/>
      <c r="H728" s="191"/>
      <c r="I728" s="191"/>
      <c r="J728" s="191"/>
    </row>
    <row r="729" spans="1:10" x14ac:dyDescent="0.25">
      <c r="A729" s="189"/>
      <c r="B729" s="189"/>
      <c r="C729" s="189"/>
      <c r="D729" s="191"/>
      <c r="E729" s="191"/>
      <c r="F729" s="191"/>
      <c r="G729" s="191"/>
      <c r="H729" s="191"/>
      <c r="I729" s="191"/>
      <c r="J729" s="191"/>
    </row>
    <row r="730" spans="1:10" x14ac:dyDescent="0.25">
      <c r="A730" s="189"/>
      <c r="B730" s="189"/>
      <c r="C730" s="189"/>
      <c r="D730" s="191"/>
      <c r="E730" s="191"/>
      <c r="F730" s="191"/>
      <c r="G730" s="191"/>
      <c r="H730" s="191"/>
      <c r="I730" s="191"/>
      <c r="J730" s="191"/>
    </row>
    <row r="731" spans="1:10" x14ac:dyDescent="0.25">
      <c r="A731" s="189"/>
      <c r="B731" s="189"/>
      <c r="C731" s="189"/>
      <c r="D731" s="191"/>
      <c r="E731" s="191"/>
      <c r="F731" s="191"/>
      <c r="G731" s="191"/>
      <c r="H731" s="191"/>
      <c r="I731" s="191"/>
      <c r="J731" s="191"/>
    </row>
    <row r="732" spans="1:10" x14ac:dyDescent="0.25">
      <c r="A732" s="189"/>
      <c r="B732" s="189"/>
      <c r="C732" s="189"/>
      <c r="D732" s="191"/>
      <c r="E732" s="191"/>
      <c r="F732" s="191"/>
      <c r="G732" s="191"/>
      <c r="H732" s="191"/>
      <c r="I732" s="191"/>
      <c r="J732" s="191"/>
    </row>
    <row r="733" spans="1:10" x14ac:dyDescent="0.25">
      <c r="A733" s="189"/>
      <c r="B733" s="189"/>
      <c r="C733" s="189"/>
      <c r="D733" s="191"/>
      <c r="E733" s="191"/>
      <c r="F733" s="191"/>
      <c r="G733" s="191"/>
      <c r="H733" s="191"/>
      <c r="I733" s="191"/>
      <c r="J733" s="191"/>
    </row>
    <row r="734" spans="1:10" x14ac:dyDescent="0.25">
      <c r="A734" s="189"/>
      <c r="B734" s="189"/>
      <c r="C734" s="189"/>
      <c r="D734" s="191"/>
      <c r="E734" s="191"/>
      <c r="F734" s="191"/>
      <c r="G734" s="191"/>
      <c r="H734" s="191"/>
      <c r="I734" s="191"/>
      <c r="J734" s="191"/>
    </row>
    <row r="735" spans="1:10" x14ac:dyDescent="0.25">
      <c r="A735" s="189"/>
      <c r="B735" s="189"/>
      <c r="C735" s="189"/>
      <c r="D735" s="191"/>
      <c r="E735" s="191"/>
      <c r="F735" s="191"/>
      <c r="G735" s="191"/>
      <c r="H735" s="191"/>
      <c r="I735" s="191"/>
      <c r="J735" s="191"/>
    </row>
    <row r="736" spans="1:10" x14ac:dyDescent="0.25">
      <c r="A736" s="189"/>
      <c r="B736" s="189"/>
      <c r="C736" s="189"/>
      <c r="D736" s="191"/>
      <c r="E736" s="191"/>
      <c r="F736" s="191"/>
      <c r="G736" s="191"/>
      <c r="H736" s="191"/>
      <c r="I736" s="191"/>
      <c r="J736" s="191"/>
    </row>
    <row r="737" spans="1:10" x14ac:dyDescent="0.25">
      <c r="A737" s="189"/>
      <c r="B737" s="189"/>
      <c r="C737" s="189"/>
      <c r="D737" s="191"/>
      <c r="E737" s="191"/>
      <c r="F737" s="191"/>
      <c r="G737" s="191"/>
      <c r="H737" s="191"/>
      <c r="I737" s="191"/>
      <c r="J737" s="191"/>
    </row>
    <row r="738" spans="1:10" x14ac:dyDescent="0.25">
      <c r="A738" s="189"/>
      <c r="B738" s="189"/>
      <c r="C738" s="189"/>
      <c r="D738" s="191"/>
      <c r="E738" s="191"/>
      <c r="F738" s="191"/>
      <c r="G738" s="191"/>
      <c r="H738" s="191"/>
      <c r="I738" s="191"/>
      <c r="J738" s="191"/>
    </row>
    <row r="739" spans="1:10" x14ac:dyDescent="0.25">
      <c r="A739" s="189"/>
      <c r="B739" s="189"/>
      <c r="C739" s="189"/>
      <c r="D739" s="191"/>
      <c r="E739" s="191"/>
      <c r="F739" s="191"/>
      <c r="G739" s="191"/>
      <c r="H739" s="191"/>
      <c r="I739" s="191"/>
      <c r="J739" s="191"/>
    </row>
    <row r="740" spans="1:10" x14ac:dyDescent="0.25">
      <c r="A740" s="189"/>
      <c r="B740" s="189"/>
      <c r="C740" s="189"/>
      <c r="D740" s="191"/>
      <c r="E740" s="191"/>
      <c r="F740" s="191"/>
      <c r="G740" s="191"/>
      <c r="H740" s="191"/>
      <c r="I740" s="191"/>
      <c r="J740" s="191"/>
    </row>
    <row r="741" spans="1:10" x14ac:dyDescent="0.25">
      <c r="A741" s="189"/>
      <c r="B741" s="189"/>
      <c r="C741" s="189"/>
      <c r="D741" s="191"/>
      <c r="E741" s="191"/>
      <c r="F741" s="191"/>
      <c r="G741" s="191"/>
      <c r="H741" s="191"/>
      <c r="I741" s="191"/>
      <c r="J741" s="191"/>
    </row>
    <row r="742" spans="1:10" x14ac:dyDescent="0.25">
      <c r="A742" s="189"/>
      <c r="B742" s="189"/>
      <c r="C742" s="189"/>
      <c r="D742" s="191"/>
      <c r="E742" s="191"/>
      <c r="F742" s="191"/>
      <c r="G742" s="191"/>
      <c r="H742" s="191"/>
      <c r="I742" s="191"/>
      <c r="J742" s="191"/>
    </row>
    <row r="743" spans="1:10" x14ac:dyDescent="0.25">
      <c r="A743" s="189"/>
      <c r="B743" s="189"/>
      <c r="C743" s="189"/>
      <c r="D743" s="191"/>
      <c r="E743" s="191"/>
      <c r="F743" s="191"/>
      <c r="G743" s="191"/>
      <c r="H743" s="191"/>
      <c r="I743" s="191"/>
      <c r="J743" s="191"/>
    </row>
    <row r="744" spans="1:10" x14ac:dyDescent="0.25">
      <c r="A744" s="189"/>
      <c r="B744" s="189"/>
      <c r="C744" s="189"/>
      <c r="D744" s="191"/>
      <c r="E744" s="191"/>
      <c r="F744" s="191"/>
      <c r="G744" s="191"/>
      <c r="H744" s="191"/>
      <c r="I744" s="191"/>
      <c r="J744" s="191"/>
    </row>
    <row r="745" spans="1:10" x14ac:dyDescent="0.25">
      <c r="A745" s="189"/>
      <c r="B745" s="189"/>
      <c r="C745" s="189"/>
      <c r="D745" s="191"/>
      <c r="E745" s="191"/>
      <c r="F745" s="191"/>
      <c r="G745" s="191"/>
      <c r="H745" s="191"/>
      <c r="I745" s="191"/>
      <c r="J745" s="191"/>
    </row>
    <row r="746" spans="1:10" x14ac:dyDescent="0.25">
      <c r="A746" s="189"/>
      <c r="B746" s="189"/>
      <c r="C746" s="189"/>
      <c r="D746" s="191"/>
      <c r="E746" s="191"/>
      <c r="F746" s="191"/>
      <c r="G746" s="191"/>
      <c r="H746" s="191"/>
      <c r="I746" s="191"/>
      <c r="J746" s="191"/>
    </row>
    <row r="747" spans="1:10" x14ac:dyDescent="0.25">
      <c r="A747" s="189"/>
      <c r="B747" s="189"/>
      <c r="C747" s="189"/>
      <c r="D747" s="191"/>
      <c r="E747" s="191"/>
      <c r="F747" s="191"/>
      <c r="G747" s="191"/>
      <c r="H747" s="191"/>
      <c r="I747" s="191"/>
      <c r="J747" s="191"/>
    </row>
    <row r="748" spans="1:10" x14ac:dyDescent="0.25">
      <c r="A748" s="189"/>
      <c r="B748" s="189"/>
      <c r="C748" s="189"/>
      <c r="D748" s="191"/>
      <c r="E748" s="191"/>
      <c r="F748" s="191"/>
      <c r="G748" s="191"/>
      <c r="H748" s="191"/>
      <c r="I748" s="191"/>
      <c r="J748" s="191"/>
    </row>
    <row r="749" spans="1:10" x14ac:dyDescent="0.25">
      <c r="A749" s="189"/>
      <c r="B749" s="189"/>
      <c r="C749" s="189"/>
      <c r="D749" s="191"/>
      <c r="E749" s="191"/>
      <c r="F749" s="191"/>
      <c r="G749" s="191"/>
      <c r="H749" s="191"/>
      <c r="I749" s="191"/>
      <c r="J749" s="191"/>
    </row>
    <row r="750" spans="1:10" x14ac:dyDescent="0.25">
      <c r="A750" s="189"/>
      <c r="B750" s="189"/>
      <c r="C750" s="189"/>
      <c r="D750" s="191"/>
      <c r="E750" s="191"/>
      <c r="F750" s="191"/>
      <c r="G750" s="191"/>
      <c r="H750" s="191"/>
      <c r="I750" s="191"/>
      <c r="J750" s="191"/>
    </row>
    <row r="751" spans="1:10" x14ac:dyDescent="0.25">
      <c r="A751" s="189"/>
      <c r="B751" s="189"/>
      <c r="C751" s="189"/>
      <c r="D751" s="191"/>
      <c r="E751" s="191"/>
      <c r="F751" s="191"/>
      <c r="G751" s="191"/>
      <c r="H751" s="191"/>
      <c r="I751" s="191"/>
      <c r="J751" s="191"/>
    </row>
    <row r="752" spans="1:10" x14ac:dyDescent="0.25">
      <c r="A752" s="189"/>
      <c r="B752" s="189"/>
      <c r="C752" s="189"/>
      <c r="D752" s="191"/>
      <c r="E752" s="191"/>
      <c r="F752" s="191"/>
      <c r="G752" s="191"/>
      <c r="H752" s="191"/>
      <c r="I752" s="191"/>
      <c r="J752" s="191"/>
    </row>
    <row r="753" spans="1:10" x14ac:dyDescent="0.25">
      <c r="A753" s="189"/>
      <c r="B753" s="189"/>
      <c r="C753" s="189"/>
      <c r="D753" s="191"/>
      <c r="E753" s="191"/>
      <c r="F753" s="191"/>
      <c r="G753" s="191"/>
      <c r="H753" s="191"/>
      <c r="I753" s="191"/>
      <c r="J753" s="191"/>
    </row>
    <row r="754" spans="1:10" x14ac:dyDescent="0.25">
      <c r="A754" s="189"/>
      <c r="B754" s="189"/>
      <c r="C754" s="189"/>
      <c r="D754" s="191"/>
      <c r="E754" s="191"/>
      <c r="F754" s="191"/>
      <c r="G754" s="191"/>
      <c r="H754" s="191"/>
      <c r="I754" s="191"/>
      <c r="J754" s="191"/>
    </row>
    <row r="755" spans="1:10" x14ac:dyDescent="0.25">
      <c r="A755" s="189"/>
      <c r="B755" s="189"/>
      <c r="C755" s="189"/>
      <c r="D755" s="191"/>
      <c r="E755" s="191"/>
      <c r="F755" s="191"/>
      <c r="G755" s="191"/>
      <c r="H755" s="191"/>
      <c r="I755" s="191"/>
      <c r="J755" s="191"/>
    </row>
    <row r="756" spans="1:10" x14ac:dyDescent="0.25">
      <c r="A756" s="189"/>
      <c r="B756" s="189"/>
      <c r="C756" s="189"/>
      <c r="D756" s="191"/>
      <c r="E756" s="191"/>
      <c r="F756" s="191"/>
      <c r="G756" s="191"/>
      <c r="H756" s="191"/>
      <c r="I756" s="191"/>
      <c r="J756" s="191"/>
    </row>
    <row r="757" spans="1:10" x14ac:dyDescent="0.25">
      <c r="A757" s="189"/>
      <c r="B757" s="189"/>
      <c r="C757" s="189"/>
      <c r="D757" s="191"/>
      <c r="E757" s="191"/>
      <c r="F757" s="191"/>
      <c r="G757" s="191"/>
      <c r="H757" s="191"/>
      <c r="I757" s="191"/>
      <c r="J757" s="191"/>
    </row>
    <row r="758" spans="1:10" x14ac:dyDescent="0.25">
      <c r="A758" s="189"/>
      <c r="B758" s="189"/>
      <c r="C758" s="189"/>
      <c r="D758" s="191"/>
      <c r="E758" s="191"/>
      <c r="F758" s="191"/>
      <c r="G758" s="191"/>
      <c r="H758" s="191"/>
      <c r="I758" s="191"/>
      <c r="J758" s="191"/>
    </row>
    <row r="759" spans="1:10" x14ac:dyDescent="0.25">
      <c r="A759" s="189"/>
      <c r="B759" s="189"/>
      <c r="C759" s="189"/>
      <c r="D759" s="191"/>
      <c r="E759" s="191"/>
      <c r="F759" s="191"/>
      <c r="G759" s="191"/>
      <c r="H759" s="191"/>
      <c r="I759" s="191"/>
      <c r="J759" s="191"/>
    </row>
    <row r="760" spans="1:10" x14ac:dyDescent="0.25">
      <c r="A760" s="189"/>
      <c r="B760" s="189"/>
      <c r="C760" s="189"/>
      <c r="D760" s="191"/>
      <c r="E760" s="191"/>
      <c r="F760" s="191"/>
      <c r="G760" s="191"/>
      <c r="H760" s="191"/>
      <c r="I760" s="191"/>
      <c r="J760" s="191"/>
    </row>
    <row r="761" spans="1:10" x14ac:dyDescent="0.25">
      <c r="A761" s="189"/>
      <c r="B761" s="189"/>
      <c r="C761" s="189"/>
      <c r="D761" s="191"/>
      <c r="E761" s="191"/>
      <c r="F761" s="191"/>
      <c r="G761" s="191"/>
      <c r="H761" s="191"/>
      <c r="I761" s="191"/>
      <c r="J761" s="191"/>
    </row>
    <row r="762" spans="1:10" x14ac:dyDescent="0.25">
      <c r="A762" s="189"/>
      <c r="B762" s="189"/>
      <c r="C762" s="189"/>
      <c r="D762" s="191"/>
      <c r="E762" s="191"/>
      <c r="F762" s="191"/>
      <c r="G762" s="191"/>
      <c r="H762" s="191"/>
      <c r="I762" s="191"/>
      <c r="J762" s="191"/>
    </row>
    <row r="763" spans="1:10" x14ac:dyDescent="0.25">
      <c r="A763" s="189"/>
      <c r="B763" s="189"/>
      <c r="C763" s="189"/>
      <c r="D763" s="191"/>
      <c r="E763" s="191"/>
      <c r="F763" s="191"/>
      <c r="G763" s="191"/>
      <c r="H763" s="191"/>
      <c r="I763" s="191"/>
      <c r="J763" s="191"/>
    </row>
    <row r="764" spans="1:10" x14ac:dyDescent="0.25">
      <c r="A764" s="189"/>
      <c r="B764" s="189"/>
      <c r="C764" s="189"/>
      <c r="D764" s="191"/>
      <c r="E764" s="191"/>
      <c r="F764" s="191"/>
      <c r="G764" s="191"/>
      <c r="H764" s="191"/>
      <c r="I764" s="191"/>
      <c r="J764" s="191"/>
    </row>
    <row r="765" spans="1:10" x14ac:dyDescent="0.25">
      <c r="A765" s="189"/>
      <c r="B765" s="189"/>
      <c r="C765" s="189"/>
      <c r="D765" s="191"/>
      <c r="E765" s="191"/>
      <c r="F765" s="191"/>
      <c r="G765" s="191"/>
      <c r="H765" s="191"/>
      <c r="I765" s="191"/>
      <c r="J765" s="191"/>
    </row>
    <row r="766" spans="1:10" x14ac:dyDescent="0.25">
      <c r="A766" s="189"/>
      <c r="B766" s="189"/>
      <c r="C766" s="189"/>
      <c r="D766" s="191"/>
      <c r="E766" s="191"/>
      <c r="F766" s="191"/>
      <c r="G766" s="191"/>
      <c r="H766" s="191"/>
      <c r="I766" s="191"/>
      <c r="J766" s="191"/>
    </row>
    <row r="767" spans="1:10" x14ac:dyDescent="0.25">
      <c r="A767" s="189"/>
      <c r="B767" s="189"/>
      <c r="C767" s="189"/>
      <c r="D767" s="191"/>
      <c r="E767" s="191"/>
      <c r="F767" s="191"/>
      <c r="G767" s="191"/>
      <c r="H767" s="191"/>
      <c r="I767" s="191"/>
      <c r="J767" s="191"/>
    </row>
    <row r="768" spans="1:10" x14ac:dyDescent="0.25">
      <c r="A768" s="189"/>
      <c r="B768" s="189"/>
      <c r="C768" s="189"/>
      <c r="D768" s="191"/>
      <c r="E768" s="191"/>
      <c r="F768" s="191"/>
      <c r="G768" s="191"/>
      <c r="H768" s="191"/>
      <c r="I768" s="191"/>
      <c r="J768" s="191"/>
    </row>
    <row r="769" spans="1:10" x14ac:dyDescent="0.25">
      <c r="A769" s="189"/>
      <c r="B769" s="189"/>
      <c r="C769" s="189"/>
      <c r="D769" s="191"/>
      <c r="E769" s="191"/>
      <c r="F769" s="191"/>
      <c r="G769" s="191"/>
      <c r="H769" s="191"/>
      <c r="I769" s="191"/>
      <c r="J769" s="191"/>
    </row>
    <row r="770" spans="1:10" x14ac:dyDescent="0.25">
      <c r="A770" s="189"/>
      <c r="B770" s="189"/>
      <c r="C770" s="189"/>
      <c r="D770" s="191"/>
      <c r="E770" s="191"/>
      <c r="F770" s="191"/>
      <c r="G770" s="191"/>
      <c r="H770" s="191"/>
      <c r="I770" s="191"/>
      <c r="J770" s="191"/>
    </row>
    <row r="771" spans="1:10" x14ac:dyDescent="0.25">
      <c r="A771" s="189"/>
      <c r="B771" s="189"/>
      <c r="C771" s="189"/>
      <c r="D771" s="191"/>
      <c r="E771" s="191"/>
      <c r="F771" s="191"/>
      <c r="G771" s="191"/>
      <c r="H771" s="191"/>
      <c r="I771" s="191"/>
      <c r="J771" s="191"/>
    </row>
    <row r="772" spans="1:10" x14ac:dyDescent="0.25">
      <c r="A772" s="189"/>
      <c r="B772" s="189"/>
      <c r="C772" s="189"/>
      <c r="D772" s="191"/>
      <c r="E772" s="191"/>
      <c r="F772" s="191"/>
      <c r="G772" s="191"/>
      <c r="H772" s="191"/>
      <c r="I772" s="191"/>
      <c r="J772" s="191"/>
    </row>
    <row r="773" spans="1:10" x14ac:dyDescent="0.25">
      <c r="A773" s="189"/>
      <c r="B773" s="189"/>
      <c r="C773" s="189"/>
      <c r="D773" s="191"/>
      <c r="E773" s="191"/>
      <c r="F773" s="191"/>
      <c r="G773" s="191"/>
      <c r="H773" s="191"/>
      <c r="I773" s="191"/>
      <c r="J773" s="191"/>
    </row>
    <row r="774" spans="1:10" x14ac:dyDescent="0.25">
      <c r="A774" s="189"/>
      <c r="B774" s="189"/>
      <c r="C774" s="189"/>
      <c r="D774" s="191"/>
      <c r="E774" s="191"/>
      <c r="F774" s="191"/>
      <c r="G774" s="191"/>
      <c r="H774" s="191"/>
      <c r="I774" s="191"/>
      <c r="J774" s="191"/>
    </row>
    <row r="775" spans="1:10" x14ac:dyDescent="0.25">
      <c r="A775" s="189"/>
      <c r="B775" s="189"/>
      <c r="C775" s="189"/>
      <c r="D775" s="191"/>
      <c r="E775" s="191"/>
      <c r="F775" s="191"/>
      <c r="G775" s="191"/>
      <c r="H775" s="191"/>
      <c r="I775" s="191"/>
      <c r="J775" s="191"/>
    </row>
    <row r="776" spans="1:10" x14ac:dyDescent="0.25">
      <c r="A776" s="189"/>
      <c r="B776" s="189"/>
      <c r="C776" s="189"/>
      <c r="D776" s="191"/>
      <c r="E776" s="191"/>
      <c r="F776" s="191"/>
      <c r="G776" s="191"/>
      <c r="H776" s="191"/>
      <c r="I776" s="191"/>
      <c r="J776" s="191"/>
    </row>
    <row r="777" spans="1:10" x14ac:dyDescent="0.25">
      <c r="A777" s="189"/>
      <c r="B777" s="189"/>
      <c r="C777" s="189"/>
      <c r="D777" s="191"/>
      <c r="E777" s="191"/>
      <c r="F777" s="191"/>
      <c r="G777" s="191"/>
      <c r="H777" s="191"/>
      <c r="I777" s="191"/>
      <c r="J777" s="191"/>
    </row>
    <row r="778" spans="1:10" x14ac:dyDescent="0.25">
      <c r="A778" s="189"/>
      <c r="B778" s="189"/>
      <c r="C778" s="189"/>
      <c r="D778" s="191"/>
      <c r="E778" s="191"/>
      <c r="F778" s="191"/>
      <c r="G778" s="191"/>
      <c r="H778" s="191"/>
      <c r="I778" s="191"/>
      <c r="J778" s="191"/>
    </row>
    <row r="779" spans="1:10" x14ac:dyDescent="0.25">
      <c r="A779" s="189"/>
      <c r="B779" s="189"/>
      <c r="C779" s="189"/>
      <c r="D779" s="191"/>
      <c r="E779" s="191"/>
      <c r="F779" s="191"/>
      <c r="G779" s="191"/>
      <c r="H779" s="191"/>
      <c r="I779" s="191"/>
      <c r="J779" s="191"/>
    </row>
    <row r="780" spans="1:10" x14ac:dyDescent="0.25">
      <c r="A780" s="189"/>
      <c r="B780" s="189"/>
      <c r="C780" s="189"/>
      <c r="D780" s="191"/>
      <c r="E780" s="191"/>
      <c r="F780" s="191"/>
      <c r="G780" s="191"/>
      <c r="H780" s="191"/>
      <c r="I780" s="191"/>
      <c r="J780" s="191"/>
    </row>
    <row r="781" spans="1:10" x14ac:dyDescent="0.25">
      <c r="A781" s="189"/>
      <c r="B781" s="189"/>
      <c r="C781" s="189"/>
      <c r="D781" s="191"/>
      <c r="E781" s="191"/>
      <c r="F781" s="191"/>
      <c r="G781" s="191"/>
      <c r="H781" s="191"/>
      <c r="I781" s="191"/>
      <c r="J781" s="191"/>
    </row>
    <row r="782" spans="1:10" x14ac:dyDescent="0.25">
      <c r="A782" s="189"/>
      <c r="B782" s="189"/>
      <c r="C782" s="189"/>
      <c r="D782" s="191"/>
      <c r="E782" s="191"/>
      <c r="F782" s="191"/>
      <c r="G782" s="191"/>
      <c r="H782" s="191"/>
      <c r="I782" s="191"/>
      <c r="J782" s="191"/>
    </row>
    <row r="783" spans="1:10" x14ac:dyDescent="0.25">
      <c r="A783" s="189"/>
      <c r="B783" s="189"/>
      <c r="C783" s="189"/>
      <c r="D783" s="191"/>
      <c r="E783" s="191"/>
      <c r="F783" s="191"/>
      <c r="G783" s="191"/>
      <c r="H783" s="191"/>
      <c r="I783" s="191"/>
      <c r="J783" s="191"/>
    </row>
    <row r="784" spans="1:10" x14ac:dyDescent="0.25">
      <c r="A784" s="189"/>
      <c r="B784" s="189"/>
      <c r="C784" s="189"/>
      <c r="D784" s="191"/>
      <c r="E784" s="191"/>
      <c r="F784" s="191"/>
      <c r="G784" s="191"/>
      <c r="H784" s="191"/>
      <c r="I784" s="191"/>
      <c r="J784" s="191"/>
    </row>
    <row r="785" spans="1:10" x14ac:dyDescent="0.25">
      <c r="A785" s="189"/>
      <c r="B785" s="189"/>
      <c r="C785" s="189"/>
      <c r="D785" s="191"/>
      <c r="E785" s="191"/>
      <c r="F785" s="191"/>
      <c r="G785" s="191"/>
      <c r="H785" s="191"/>
      <c r="I785" s="191"/>
      <c r="J785" s="191"/>
    </row>
    <row r="786" spans="1:10" x14ac:dyDescent="0.25">
      <c r="A786" s="189"/>
      <c r="B786" s="189"/>
      <c r="C786" s="189"/>
      <c r="D786" s="191"/>
      <c r="E786" s="191"/>
      <c r="F786" s="191"/>
      <c r="G786" s="191"/>
      <c r="H786" s="191"/>
      <c r="I786" s="191"/>
      <c r="J786" s="191"/>
    </row>
    <row r="787" spans="1:10" x14ac:dyDescent="0.25">
      <c r="A787" s="189"/>
      <c r="B787" s="189"/>
      <c r="C787" s="189"/>
      <c r="D787" s="191"/>
      <c r="E787" s="191"/>
      <c r="F787" s="191"/>
      <c r="G787" s="191"/>
      <c r="H787" s="191"/>
      <c r="I787" s="191"/>
      <c r="J787" s="191"/>
    </row>
    <row r="788" spans="1:10" x14ac:dyDescent="0.25">
      <c r="A788" s="189"/>
      <c r="B788" s="189"/>
      <c r="C788" s="189"/>
      <c r="D788" s="191"/>
      <c r="E788" s="191"/>
      <c r="F788" s="191"/>
      <c r="G788" s="191"/>
      <c r="H788" s="191"/>
      <c r="I788" s="191"/>
      <c r="J788" s="191"/>
    </row>
    <row r="789" spans="1:10" x14ac:dyDescent="0.25">
      <c r="A789" s="189"/>
      <c r="B789" s="189"/>
      <c r="C789" s="189"/>
      <c r="D789" s="191"/>
      <c r="E789" s="191"/>
      <c r="F789" s="191"/>
      <c r="G789" s="191"/>
      <c r="H789" s="191"/>
      <c r="I789" s="191"/>
      <c r="J789" s="191"/>
    </row>
    <row r="790" spans="1:10" x14ac:dyDescent="0.25">
      <c r="A790" s="189"/>
      <c r="B790" s="189"/>
      <c r="C790" s="189"/>
      <c r="D790" s="191"/>
      <c r="E790" s="191"/>
      <c r="F790" s="191"/>
      <c r="G790" s="191"/>
      <c r="H790" s="191"/>
      <c r="I790" s="191"/>
      <c r="J790" s="191"/>
    </row>
    <row r="791" spans="1:10" x14ac:dyDescent="0.25">
      <c r="A791" s="189"/>
      <c r="B791" s="189"/>
      <c r="C791" s="189"/>
      <c r="D791" s="191"/>
      <c r="E791" s="191"/>
      <c r="F791" s="191"/>
      <c r="G791" s="191"/>
      <c r="H791" s="191"/>
      <c r="I791" s="191"/>
      <c r="J791" s="191"/>
    </row>
    <row r="792" spans="1:10" x14ac:dyDescent="0.25">
      <c r="A792" s="189"/>
      <c r="B792" s="189"/>
      <c r="C792" s="189"/>
      <c r="D792" s="191"/>
      <c r="E792" s="191"/>
      <c r="F792" s="191"/>
      <c r="G792" s="191"/>
      <c r="H792" s="191"/>
      <c r="I792" s="191"/>
      <c r="J792" s="191"/>
    </row>
    <row r="793" spans="1:10" x14ac:dyDescent="0.25">
      <c r="A793" s="189"/>
      <c r="B793" s="189"/>
      <c r="C793" s="189"/>
      <c r="D793" s="191"/>
      <c r="E793" s="191"/>
      <c r="F793" s="191"/>
      <c r="G793" s="191"/>
      <c r="H793" s="191"/>
      <c r="I793" s="191"/>
      <c r="J793" s="191"/>
    </row>
    <row r="794" spans="1:10" x14ac:dyDescent="0.25">
      <c r="A794" s="189"/>
      <c r="B794" s="189"/>
      <c r="C794" s="189"/>
      <c r="D794" s="191"/>
      <c r="E794" s="191"/>
      <c r="F794" s="191"/>
      <c r="G794" s="191"/>
      <c r="H794" s="191"/>
      <c r="I794" s="191"/>
      <c r="J794" s="191"/>
    </row>
    <row r="795" spans="1:10" x14ac:dyDescent="0.25">
      <c r="A795" s="189"/>
      <c r="B795" s="189"/>
      <c r="C795" s="189"/>
      <c r="D795" s="191"/>
      <c r="E795" s="191"/>
      <c r="F795" s="191"/>
      <c r="G795" s="191"/>
      <c r="H795" s="191"/>
      <c r="I795" s="191"/>
      <c r="J795" s="191"/>
    </row>
    <row r="796" spans="1:10" x14ac:dyDescent="0.25">
      <c r="A796" s="189"/>
      <c r="B796" s="189"/>
      <c r="C796" s="189"/>
      <c r="D796" s="191"/>
      <c r="E796" s="191"/>
      <c r="F796" s="191"/>
      <c r="G796" s="191"/>
      <c r="H796" s="191"/>
      <c r="I796" s="191"/>
      <c r="J796" s="191"/>
    </row>
    <row r="797" spans="1:10" x14ac:dyDescent="0.25">
      <c r="A797" s="189"/>
      <c r="B797" s="189"/>
      <c r="C797" s="189"/>
      <c r="D797" s="191"/>
      <c r="E797" s="191"/>
      <c r="F797" s="191"/>
      <c r="G797" s="191"/>
      <c r="H797" s="191"/>
      <c r="I797" s="191"/>
      <c r="J797" s="191"/>
    </row>
    <row r="798" spans="1:10" x14ac:dyDescent="0.25">
      <c r="A798" s="189"/>
      <c r="B798" s="189"/>
      <c r="C798" s="189"/>
      <c r="D798" s="191"/>
      <c r="E798" s="191"/>
      <c r="F798" s="191"/>
      <c r="G798" s="191"/>
      <c r="H798" s="191"/>
      <c r="I798" s="191"/>
      <c r="J798" s="191"/>
    </row>
    <row r="799" spans="1:10" x14ac:dyDescent="0.25">
      <c r="A799" s="189"/>
      <c r="B799" s="189"/>
      <c r="C799" s="189"/>
      <c r="D799" s="191"/>
      <c r="E799" s="191"/>
      <c r="F799" s="191"/>
      <c r="G799" s="191"/>
      <c r="H799" s="191"/>
      <c r="I799" s="191"/>
      <c r="J799" s="191"/>
    </row>
    <row r="800" spans="1:10" x14ac:dyDescent="0.25">
      <c r="A800" s="189"/>
      <c r="B800" s="189"/>
      <c r="C800" s="189"/>
      <c r="D800" s="191"/>
      <c r="E800" s="191"/>
      <c r="F800" s="191"/>
      <c r="G800" s="191"/>
      <c r="H800" s="191"/>
      <c r="I800" s="191"/>
      <c r="J800" s="191"/>
    </row>
    <row r="801" spans="1:10" x14ac:dyDescent="0.25">
      <c r="A801" s="189"/>
      <c r="B801" s="189"/>
      <c r="C801" s="189"/>
      <c r="D801" s="191"/>
      <c r="E801" s="191"/>
      <c r="F801" s="191"/>
      <c r="G801" s="191"/>
      <c r="H801" s="191"/>
      <c r="I801" s="191"/>
      <c r="J801" s="191"/>
    </row>
    <row r="802" spans="1:10" x14ac:dyDescent="0.25">
      <c r="A802" s="189"/>
      <c r="B802" s="189"/>
      <c r="C802" s="189"/>
      <c r="D802" s="191"/>
      <c r="E802" s="191"/>
      <c r="F802" s="191"/>
      <c r="G802" s="191"/>
      <c r="H802" s="191"/>
      <c r="I802" s="191"/>
      <c r="J802" s="191"/>
    </row>
    <row r="803" spans="1:10" x14ac:dyDescent="0.25">
      <c r="A803" s="189"/>
      <c r="B803" s="189"/>
      <c r="C803" s="189"/>
      <c r="D803" s="191"/>
      <c r="E803" s="191"/>
      <c r="F803" s="191"/>
      <c r="G803" s="191"/>
      <c r="H803" s="191"/>
      <c r="I803" s="191"/>
      <c r="J803" s="191"/>
    </row>
    <row r="804" spans="1:10" x14ac:dyDescent="0.25">
      <c r="A804" s="189"/>
      <c r="B804" s="189"/>
      <c r="C804" s="189"/>
      <c r="D804" s="191"/>
      <c r="E804" s="191"/>
      <c r="F804" s="191"/>
      <c r="G804" s="191"/>
      <c r="H804" s="191"/>
      <c r="I804" s="191"/>
      <c r="J804" s="191"/>
    </row>
    <row r="805" spans="1:10" x14ac:dyDescent="0.25">
      <c r="A805" s="189"/>
      <c r="B805" s="189"/>
      <c r="C805" s="189"/>
      <c r="D805" s="191"/>
      <c r="E805" s="191"/>
      <c r="F805" s="191"/>
      <c r="G805" s="191"/>
      <c r="H805" s="191"/>
      <c r="I805" s="191"/>
      <c r="J805" s="191"/>
    </row>
    <row r="806" spans="1:10" x14ac:dyDescent="0.25">
      <c r="A806" s="189"/>
      <c r="B806" s="189"/>
      <c r="C806" s="189"/>
      <c r="D806" s="191"/>
      <c r="E806" s="191"/>
      <c r="F806" s="191"/>
      <c r="G806" s="191"/>
      <c r="H806" s="191"/>
      <c r="I806" s="191"/>
      <c r="J806" s="191"/>
    </row>
    <row r="807" spans="1:10" x14ac:dyDescent="0.25">
      <c r="A807" s="189"/>
      <c r="B807" s="189"/>
      <c r="C807" s="189"/>
      <c r="D807" s="191"/>
      <c r="E807" s="191"/>
      <c r="F807" s="191"/>
      <c r="G807" s="191"/>
      <c r="H807" s="191"/>
      <c r="I807" s="191"/>
      <c r="J807" s="191"/>
    </row>
    <row r="808" spans="1:10" x14ac:dyDescent="0.25">
      <c r="A808" s="189"/>
      <c r="B808" s="189"/>
      <c r="C808" s="189"/>
      <c r="D808" s="191"/>
      <c r="E808" s="191"/>
      <c r="F808" s="191"/>
      <c r="G808" s="191"/>
      <c r="H808" s="191"/>
      <c r="I808" s="191"/>
      <c r="J808" s="191"/>
    </row>
    <row r="809" spans="1:10" x14ac:dyDescent="0.25">
      <c r="A809" s="189"/>
      <c r="B809" s="189"/>
      <c r="C809" s="189"/>
      <c r="D809" s="191"/>
      <c r="E809" s="191"/>
      <c r="F809" s="191"/>
      <c r="G809" s="191"/>
      <c r="H809" s="191"/>
      <c r="I809" s="191"/>
      <c r="J809" s="191"/>
    </row>
    <row r="810" spans="1:10" x14ac:dyDescent="0.25">
      <c r="A810" s="189"/>
      <c r="B810" s="189"/>
      <c r="C810" s="189"/>
      <c r="D810" s="191"/>
      <c r="E810" s="191"/>
      <c r="F810" s="191"/>
      <c r="G810" s="191"/>
      <c r="H810" s="191"/>
      <c r="I810" s="191"/>
      <c r="J810" s="191"/>
    </row>
    <row r="811" spans="1:10" x14ac:dyDescent="0.25">
      <c r="A811" s="189"/>
      <c r="B811" s="189"/>
      <c r="C811" s="189"/>
      <c r="D811" s="191"/>
      <c r="E811" s="191"/>
      <c r="F811" s="191"/>
      <c r="G811" s="191"/>
      <c r="H811" s="191"/>
      <c r="I811" s="191"/>
      <c r="J811" s="191"/>
    </row>
    <row r="812" spans="1:10" x14ac:dyDescent="0.25">
      <c r="A812" s="189"/>
      <c r="B812" s="189"/>
      <c r="C812" s="189"/>
      <c r="D812" s="191"/>
      <c r="E812" s="191"/>
      <c r="F812" s="191"/>
      <c r="G812" s="191"/>
      <c r="H812" s="191"/>
      <c r="I812" s="191"/>
      <c r="J812" s="191"/>
    </row>
    <row r="813" spans="1:10" x14ac:dyDescent="0.25">
      <c r="A813" s="189"/>
      <c r="B813" s="189"/>
      <c r="C813" s="189"/>
      <c r="D813" s="191"/>
      <c r="E813" s="191"/>
      <c r="F813" s="191"/>
      <c r="G813" s="191"/>
      <c r="H813" s="191"/>
      <c r="I813" s="191"/>
      <c r="J813" s="191"/>
    </row>
    <row r="814" spans="1:10" x14ac:dyDescent="0.25">
      <c r="A814" s="189"/>
      <c r="B814" s="189"/>
      <c r="C814" s="189"/>
      <c r="D814" s="191"/>
      <c r="E814" s="191"/>
      <c r="F814" s="191"/>
      <c r="G814" s="191"/>
      <c r="H814" s="191"/>
      <c r="I814" s="191"/>
      <c r="J814" s="191"/>
    </row>
    <row r="815" spans="1:10" x14ac:dyDescent="0.25">
      <c r="A815" s="189"/>
      <c r="B815" s="189"/>
      <c r="C815" s="189"/>
      <c r="D815" s="191"/>
      <c r="E815" s="191"/>
      <c r="F815" s="191"/>
      <c r="G815" s="191"/>
      <c r="H815" s="191"/>
      <c r="I815" s="191"/>
      <c r="J815" s="191"/>
    </row>
    <row r="816" spans="1:10" x14ac:dyDescent="0.25">
      <c r="A816" s="189"/>
      <c r="B816" s="189"/>
      <c r="C816" s="189"/>
      <c r="D816" s="191"/>
      <c r="E816" s="191"/>
      <c r="F816" s="191"/>
      <c r="G816" s="191"/>
      <c r="H816" s="191"/>
      <c r="I816" s="191"/>
      <c r="J816" s="191"/>
    </row>
    <row r="817" spans="1:10" x14ac:dyDescent="0.25">
      <c r="A817" s="189"/>
      <c r="B817" s="189"/>
      <c r="C817" s="189"/>
      <c r="D817" s="191"/>
      <c r="E817" s="191"/>
      <c r="F817" s="191"/>
      <c r="G817" s="191"/>
      <c r="H817" s="191"/>
      <c r="I817" s="191"/>
      <c r="J817" s="191"/>
    </row>
    <row r="818" spans="1:10" x14ac:dyDescent="0.25">
      <c r="A818" s="189"/>
      <c r="B818" s="189"/>
      <c r="C818" s="189"/>
      <c r="D818" s="191"/>
      <c r="E818" s="191"/>
      <c r="F818" s="191"/>
      <c r="G818" s="191"/>
      <c r="H818" s="191"/>
      <c r="I818" s="191"/>
      <c r="J818" s="191"/>
    </row>
    <row r="819" spans="1:10" x14ac:dyDescent="0.25">
      <c r="A819" s="189"/>
      <c r="B819" s="189"/>
      <c r="C819" s="189"/>
      <c r="D819" s="191"/>
      <c r="E819" s="191"/>
      <c r="F819" s="191"/>
      <c r="G819" s="191"/>
      <c r="H819" s="191"/>
      <c r="I819" s="191"/>
      <c r="J819" s="191"/>
    </row>
    <row r="820" spans="1:10" x14ac:dyDescent="0.25">
      <c r="A820" s="189"/>
      <c r="B820" s="189"/>
      <c r="C820" s="189"/>
      <c r="D820" s="191"/>
      <c r="E820" s="191"/>
      <c r="F820" s="191"/>
      <c r="G820" s="191"/>
      <c r="H820" s="191"/>
      <c r="I820" s="191"/>
      <c r="J820" s="191"/>
    </row>
    <row r="821" spans="1:10" x14ac:dyDescent="0.25">
      <c r="A821" s="189"/>
      <c r="B821" s="189"/>
      <c r="C821" s="189"/>
      <c r="D821" s="191"/>
      <c r="E821" s="191"/>
      <c r="F821" s="191"/>
      <c r="G821" s="191"/>
      <c r="H821" s="191"/>
      <c r="I821" s="191"/>
      <c r="J821" s="191"/>
    </row>
    <row r="822" spans="1:10" x14ac:dyDescent="0.25">
      <c r="A822" s="189"/>
      <c r="B822" s="189"/>
      <c r="C822" s="189"/>
      <c r="D822" s="191"/>
      <c r="E822" s="191"/>
      <c r="F822" s="191"/>
      <c r="G822" s="191"/>
      <c r="H822" s="191"/>
      <c r="I822" s="191"/>
      <c r="J822" s="191"/>
    </row>
    <row r="823" spans="1:10" x14ac:dyDescent="0.25">
      <c r="A823" s="189"/>
      <c r="B823" s="189"/>
      <c r="C823" s="189"/>
      <c r="D823" s="191"/>
      <c r="E823" s="191"/>
      <c r="F823" s="191"/>
      <c r="G823" s="191"/>
      <c r="H823" s="191"/>
      <c r="I823" s="191"/>
      <c r="J823" s="191"/>
    </row>
    <row r="824" spans="1:10" x14ac:dyDescent="0.25">
      <c r="A824" s="189"/>
      <c r="B824" s="189"/>
      <c r="C824" s="189"/>
      <c r="D824" s="191"/>
      <c r="E824" s="191"/>
      <c r="F824" s="191"/>
      <c r="G824" s="191"/>
      <c r="H824" s="191"/>
      <c r="I824" s="191"/>
      <c r="J824" s="191"/>
    </row>
    <row r="825" spans="1:10" x14ac:dyDescent="0.25">
      <c r="A825" s="189"/>
      <c r="B825" s="189"/>
      <c r="C825" s="189"/>
      <c r="D825" s="191"/>
      <c r="E825" s="191"/>
      <c r="F825" s="191"/>
      <c r="G825" s="191"/>
      <c r="H825" s="191"/>
      <c r="I825" s="191"/>
      <c r="J825" s="191"/>
    </row>
    <row r="826" spans="1:10" x14ac:dyDescent="0.25">
      <c r="A826" s="189"/>
      <c r="B826" s="189"/>
      <c r="C826" s="189"/>
      <c r="D826" s="191"/>
      <c r="E826" s="191"/>
      <c r="F826" s="191"/>
      <c r="G826" s="191"/>
      <c r="H826" s="191"/>
      <c r="I826" s="191"/>
      <c r="J826" s="191"/>
    </row>
    <row r="827" spans="1:10" x14ac:dyDescent="0.25">
      <c r="A827" s="189"/>
      <c r="B827" s="189"/>
      <c r="C827" s="189"/>
      <c r="D827" s="191"/>
      <c r="E827" s="191"/>
      <c r="F827" s="191"/>
      <c r="G827" s="191"/>
      <c r="H827" s="191"/>
      <c r="I827" s="191"/>
      <c r="J827" s="191"/>
    </row>
    <row r="828" spans="1:10" x14ac:dyDescent="0.25">
      <c r="B828" s="189"/>
      <c r="C828" s="192"/>
      <c r="D828" s="193"/>
      <c r="E828" s="189"/>
      <c r="F828" s="194"/>
      <c r="G828" s="189"/>
      <c r="H828" s="19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8"/>
  <sheetViews>
    <sheetView workbookViewId="0">
      <selection sqref="A1:J1048576"/>
    </sheetView>
  </sheetViews>
  <sheetFormatPr baseColWidth="10" defaultRowHeight="15" x14ac:dyDescent="0.25"/>
  <cols>
    <col min="1" max="10" width="6.85546875" style="190" customWidth="1"/>
  </cols>
  <sheetData>
    <row r="1" spans="1:10" x14ac:dyDescent="0.25">
      <c r="A1" s="189"/>
      <c r="B1" s="189"/>
      <c r="C1" s="189"/>
      <c r="D1" s="189"/>
      <c r="E1" s="189"/>
      <c r="G1" s="189"/>
      <c r="H1" s="189"/>
      <c r="J1" s="189"/>
    </row>
    <row r="2" spans="1:10" x14ac:dyDescent="0.25">
      <c r="A2" s="195"/>
      <c r="B2" s="189"/>
    </row>
    <row r="3" spans="1:10" x14ac:dyDescent="0.25">
      <c r="A3" s="189"/>
      <c r="B3" s="189"/>
      <c r="C3" s="189"/>
      <c r="D3" s="196"/>
      <c r="E3" s="196"/>
      <c r="F3" s="196"/>
      <c r="G3" s="196"/>
      <c r="H3" s="196"/>
      <c r="I3" s="196"/>
      <c r="J3" s="196"/>
    </row>
    <row r="4" spans="1:10" x14ac:dyDescent="0.25">
      <c r="A4" s="189"/>
      <c r="B4" s="189"/>
      <c r="C4" s="189"/>
      <c r="D4" s="196"/>
      <c r="E4" s="196"/>
      <c r="F4" s="196"/>
      <c r="G4" s="196"/>
      <c r="H4" s="196"/>
      <c r="I4" s="196"/>
      <c r="J4" s="196"/>
    </row>
    <row r="5" spans="1:10" x14ac:dyDescent="0.25">
      <c r="A5" s="189"/>
      <c r="B5" s="189"/>
      <c r="C5" s="189"/>
      <c r="D5" s="196"/>
      <c r="E5" s="196"/>
      <c r="F5" s="196"/>
      <c r="G5" s="196"/>
      <c r="H5" s="196"/>
      <c r="I5" s="196"/>
      <c r="J5" s="196"/>
    </row>
    <row r="6" spans="1:10" x14ac:dyDescent="0.25">
      <c r="A6" s="189"/>
      <c r="B6" s="189"/>
      <c r="C6" s="189"/>
      <c r="D6" s="196"/>
      <c r="E6" s="196"/>
      <c r="F6" s="196"/>
      <c r="G6" s="196"/>
      <c r="H6" s="196"/>
      <c r="I6" s="196"/>
      <c r="J6" s="196"/>
    </row>
    <row r="7" spans="1:10" x14ac:dyDescent="0.25">
      <c r="A7" s="189"/>
      <c r="B7" s="189"/>
      <c r="C7" s="189"/>
      <c r="D7" s="196"/>
      <c r="E7" s="196"/>
      <c r="F7" s="196"/>
      <c r="G7" s="196"/>
      <c r="H7" s="196"/>
      <c r="I7" s="196"/>
      <c r="J7" s="196"/>
    </row>
    <row r="8" spans="1:10" x14ac:dyDescent="0.25">
      <c r="A8" s="189"/>
      <c r="B8" s="189"/>
      <c r="C8" s="189"/>
      <c r="D8" s="196"/>
      <c r="E8" s="196"/>
      <c r="F8" s="196"/>
      <c r="G8" s="196"/>
      <c r="H8" s="196"/>
      <c r="I8" s="196"/>
      <c r="J8" s="196"/>
    </row>
    <row r="9" spans="1:10" x14ac:dyDescent="0.25">
      <c r="A9" s="189"/>
      <c r="B9" s="189"/>
      <c r="C9" s="189"/>
      <c r="D9" s="196"/>
      <c r="E9" s="196"/>
      <c r="F9" s="196"/>
      <c r="G9" s="196"/>
      <c r="H9" s="196"/>
      <c r="I9" s="196"/>
      <c r="J9" s="196"/>
    </row>
    <row r="10" spans="1:10" x14ac:dyDescent="0.25">
      <c r="A10" s="189"/>
      <c r="B10" s="189"/>
      <c r="C10" s="189"/>
      <c r="D10" s="196"/>
      <c r="E10" s="196"/>
      <c r="F10" s="196"/>
      <c r="G10" s="196"/>
      <c r="H10" s="196"/>
      <c r="I10" s="196"/>
      <c r="J10" s="196"/>
    </row>
    <row r="11" spans="1:10" x14ac:dyDescent="0.25">
      <c r="A11" s="189"/>
      <c r="B11" s="189"/>
      <c r="C11" s="189"/>
      <c r="D11" s="196"/>
      <c r="E11" s="196"/>
      <c r="F11" s="196"/>
      <c r="G11" s="196"/>
      <c r="H11" s="196"/>
      <c r="I11" s="196"/>
      <c r="J11" s="196"/>
    </row>
    <row r="12" spans="1:10" x14ac:dyDescent="0.25">
      <c r="A12" s="189"/>
      <c r="B12" s="189"/>
      <c r="C12" s="189"/>
      <c r="D12" s="196"/>
      <c r="E12" s="196"/>
      <c r="F12" s="196"/>
      <c r="G12" s="196"/>
      <c r="H12" s="196"/>
      <c r="I12" s="196"/>
      <c r="J12" s="196"/>
    </row>
    <row r="13" spans="1:10" x14ac:dyDescent="0.25">
      <c r="A13" s="189"/>
      <c r="B13" s="189"/>
      <c r="C13" s="189"/>
      <c r="D13" s="196"/>
      <c r="E13" s="196"/>
      <c r="F13" s="196"/>
      <c r="G13" s="196"/>
      <c r="H13" s="196"/>
      <c r="I13" s="196"/>
      <c r="J13" s="196"/>
    </row>
    <row r="14" spans="1:10" x14ac:dyDescent="0.25">
      <c r="A14" s="189"/>
      <c r="B14" s="189"/>
      <c r="C14" s="189"/>
      <c r="D14" s="196"/>
      <c r="E14" s="196"/>
      <c r="F14" s="196"/>
      <c r="G14" s="196"/>
      <c r="H14" s="196"/>
      <c r="I14" s="196"/>
      <c r="J14" s="196"/>
    </row>
    <row r="15" spans="1:10" x14ac:dyDescent="0.25">
      <c r="A15" s="189"/>
      <c r="B15" s="189"/>
      <c r="C15" s="189"/>
      <c r="D15" s="196"/>
      <c r="E15" s="196"/>
      <c r="F15" s="196"/>
      <c r="G15" s="196"/>
      <c r="H15" s="196"/>
      <c r="I15" s="196"/>
      <c r="J15" s="196"/>
    </row>
    <row r="16" spans="1:10" x14ac:dyDescent="0.25">
      <c r="A16" s="189"/>
      <c r="B16" s="189"/>
      <c r="C16" s="189"/>
      <c r="D16" s="196"/>
      <c r="E16" s="196"/>
      <c r="F16" s="196"/>
      <c r="G16" s="196"/>
      <c r="H16" s="196"/>
      <c r="I16" s="196"/>
      <c r="J16" s="196"/>
    </row>
    <row r="17" spans="1:10" x14ac:dyDescent="0.25">
      <c r="A17" s="189"/>
      <c r="B17" s="189"/>
      <c r="C17" s="189"/>
      <c r="D17" s="196"/>
      <c r="E17" s="196"/>
      <c r="F17" s="196"/>
      <c r="G17" s="196"/>
      <c r="H17" s="196"/>
      <c r="I17" s="196"/>
      <c r="J17" s="196"/>
    </row>
    <row r="18" spans="1:10" x14ac:dyDescent="0.25">
      <c r="A18" s="189"/>
      <c r="B18" s="189"/>
      <c r="C18" s="189"/>
      <c r="D18" s="196"/>
      <c r="E18" s="196"/>
      <c r="F18" s="196"/>
      <c r="G18" s="196"/>
      <c r="H18" s="196"/>
      <c r="I18" s="196"/>
      <c r="J18" s="196"/>
    </row>
    <row r="19" spans="1:10" x14ac:dyDescent="0.25">
      <c r="A19" s="189"/>
      <c r="B19" s="189"/>
      <c r="C19" s="189"/>
      <c r="D19" s="196"/>
      <c r="E19" s="196"/>
      <c r="F19" s="196"/>
      <c r="G19" s="196"/>
      <c r="H19" s="196"/>
      <c r="I19" s="196"/>
      <c r="J19" s="196"/>
    </row>
    <row r="20" spans="1:10" x14ac:dyDescent="0.25">
      <c r="A20" s="189"/>
      <c r="B20" s="189"/>
      <c r="C20" s="189"/>
      <c r="D20" s="196"/>
      <c r="E20" s="196"/>
      <c r="F20" s="196"/>
      <c r="G20" s="196"/>
      <c r="H20" s="196"/>
      <c r="I20" s="196"/>
      <c r="J20" s="196"/>
    </row>
    <row r="21" spans="1:10" x14ac:dyDescent="0.25">
      <c r="A21" s="189"/>
      <c r="B21" s="189"/>
      <c r="C21" s="189"/>
      <c r="D21" s="196"/>
      <c r="E21" s="196"/>
      <c r="F21" s="196"/>
      <c r="G21" s="196"/>
      <c r="H21" s="196"/>
      <c r="I21" s="196"/>
      <c r="J21" s="196"/>
    </row>
    <row r="22" spans="1:10" x14ac:dyDescent="0.25">
      <c r="A22" s="189"/>
      <c r="B22" s="189"/>
      <c r="C22" s="189"/>
      <c r="D22" s="196"/>
      <c r="E22" s="196"/>
      <c r="F22" s="196"/>
      <c r="G22" s="196"/>
      <c r="H22" s="196"/>
      <c r="I22" s="196"/>
      <c r="J22" s="196"/>
    </row>
    <row r="23" spans="1:10" x14ac:dyDescent="0.25">
      <c r="A23" s="189"/>
      <c r="B23" s="189"/>
      <c r="C23" s="189"/>
      <c r="D23" s="196"/>
      <c r="E23" s="196"/>
      <c r="F23" s="196"/>
      <c r="G23" s="196"/>
      <c r="H23" s="196"/>
      <c r="I23" s="196"/>
      <c r="J23" s="196"/>
    </row>
    <row r="24" spans="1:10" x14ac:dyDescent="0.25">
      <c r="A24" s="189"/>
      <c r="B24" s="189"/>
      <c r="C24" s="189"/>
      <c r="D24" s="196"/>
      <c r="E24" s="196"/>
      <c r="F24" s="196"/>
      <c r="G24" s="196"/>
      <c r="H24" s="196"/>
      <c r="I24" s="196"/>
      <c r="J24" s="196"/>
    </row>
    <row r="25" spans="1:10" x14ac:dyDescent="0.25">
      <c r="A25" s="189"/>
      <c r="B25" s="189"/>
      <c r="C25" s="189"/>
      <c r="D25" s="196"/>
      <c r="E25" s="196"/>
      <c r="F25" s="196"/>
      <c r="G25" s="196"/>
      <c r="H25" s="196"/>
      <c r="I25" s="196"/>
      <c r="J25" s="196"/>
    </row>
    <row r="26" spans="1:10" x14ac:dyDescent="0.25">
      <c r="A26" s="189"/>
      <c r="B26" s="189"/>
      <c r="C26" s="189"/>
      <c r="D26" s="196"/>
      <c r="E26" s="196"/>
      <c r="F26" s="196"/>
      <c r="G26" s="196"/>
      <c r="H26" s="196"/>
      <c r="I26" s="196"/>
      <c r="J26" s="196"/>
    </row>
    <row r="27" spans="1:10" x14ac:dyDescent="0.25">
      <c r="A27" s="189"/>
      <c r="B27" s="189"/>
      <c r="C27" s="189"/>
      <c r="D27" s="196"/>
      <c r="E27" s="196"/>
      <c r="F27" s="196"/>
      <c r="G27" s="196"/>
      <c r="H27" s="196"/>
      <c r="I27" s="196"/>
      <c r="J27" s="196"/>
    </row>
    <row r="28" spans="1:10" x14ac:dyDescent="0.25">
      <c r="A28" s="189"/>
      <c r="B28" s="189"/>
      <c r="C28" s="189"/>
      <c r="D28" s="196"/>
      <c r="E28" s="196"/>
      <c r="F28" s="196"/>
      <c r="G28" s="196"/>
      <c r="H28" s="196"/>
      <c r="I28" s="196"/>
      <c r="J28" s="196"/>
    </row>
    <row r="29" spans="1:10" x14ac:dyDescent="0.25">
      <c r="A29" s="189"/>
      <c r="B29" s="189"/>
      <c r="C29" s="189"/>
      <c r="D29" s="196"/>
      <c r="E29" s="196"/>
      <c r="F29" s="196"/>
      <c r="G29" s="196"/>
      <c r="H29" s="196"/>
      <c r="I29" s="196"/>
      <c r="J29" s="196"/>
    </row>
    <row r="30" spans="1:10" x14ac:dyDescent="0.25">
      <c r="A30" s="189"/>
      <c r="B30" s="189"/>
      <c r="C30" s="189"/>
      <c r="D30" s="196"/>
      <c r="E30" s="196"/>
      <c r="F30" s="196"/>
      <c r="G30" s="196"/>
      <c r="H30" s="196"/>
      <c r="I30" s="196"/>
      <c r="J30" s="196"/>
    </row>
    <row r="31" spans="1:10" x14ac:dyDescent="0.25">
      <c r="A31" s="189"/>
      <c r="B31" s="189"/>
      <c r="C31" s="189"/>
      <c r="D31" s="196"/>
      <c r="E31" s="196"/>
      <c r="F31" s="196"/>
      <c r="G31" s="196"/>
      <c r="H31" s="196"/>
      <c r="I31" s="196"/>
      <c r="J31" s="196"/>
    </row>
    <row r="32" spans="1:10" x14ac:dyDescent="0.25">
      <c r="A32" s="189"/>
      <c r="B32" s="189"/>
      <c r="C32" s="189"/>
      <c r="D32" s="196"/>
      <c r="E32" s="196"/>
      <c r="F32" s="196"/>
      <c r="G32" s="196"/>
      <c r="H32" s="196"/>
      <c r="I32" s="196"/>
      <c r="J32" s="196"/>
    </row>
    <row r="33" spans="1:10" x14ac:dyDescent="0.25">
      <c r="A33" s="189"/>
      <c r="B33" s="189"/>
      <c r="C33" s="189"/>
      <c r="D33" s="196"/>
      <c r="E33" s="196"/>
      <c r="F33" s="196"/>
      <c r="G33" s="196"/>
      <c r="H33" s="196"/>
      <c r="I33" s="196"/>
      <c r="J33" s="196"/>
    </row>
    <row r="34" spans="1:10" x14ac:dyDescent="0.25">
      <c r="A34" s="189"/>
      <c r="B34" s="189"/>
      <c r="C34" s="189"/>
      <c r="D34" s="196"/>
      <c r="E34" s="196"/>
      <c r="F34" s="196"/>
      <c r="G34" s="196"/>
      <c r="H34" s="196"/>
      <c r="I34" s="196"/>
      <c r="J34" s="196"/>
    </row>
    <row r="35" spans="1:10" x14ac:dyDescent="0.25">
      <c r="A35" s="189"/>
      <c r="B35" s="189"/>
      <c r="C35" s="189"/>
      <c r="D35" s="196"/>
      <c r="E35" s="196"/>
      <c r="F35" s="196"/>
      <c r="G35" s="196"/>
      <c r="H35" s="196"/>
      <c r="I35" s="196"/>
      <c r="J35" s="196"/>
    </row>
    <row r="36" spans="1:10" x14ac:dyDescent="0.25">
      <c r="A36" s="189"/>
      <c r="B36" s="189"/>
      <c r="C36" s="189"/>
      <c r="D36" s="196"/>
      <c r="E36" s="196"/>
      <c r="F36" s="196"/>
      <c r="G36" s="196"/>
      <c r="H36" s="196"/>
      <c r="I36" s="196"/>
      <c r="J36" s="196"/>
    </row>
    <row r="37" spans="1:10" x14ac:dyDescent="0.25">
      <c r="A37" s="189"/>
      <c r="B37" s="189"/>
      <c r="C37" s="189"/>
      <c r="D37" s="196"/>
      <c r="E37" s="196"/>
      <c r="F37" s="196"/>
      <c r="G37" s="196"/>
      <c r="H37" s="196"/>
      <c r="I37" s="196"/>
      <c r="J37" s="196"/>
    </row>
    <row r="38" spans="1:10" x14ac:dyDescent="0.25">
      <c r="A38" s="189"/>
      <c r="B38" s="189"/>
      <c r="C38" s="189"/>
      <c r="D38" s="196"/>
      <c r="E38" s="196"/>
      <c r="F38" s="196"/>
      <c r="G38" s="196"/>
      <c r="H38" s="196"/>
      <c r="I38" s="196"/>
      <c r="J38" s="196"/>
    </row>
    <row r="39" spans="1:10" x14ac:dyDescent="0.25">
      <c r="A39" s="189"/>
      <c r="B39" s="189"/>
      <c r="C39" s="189"/>
      <c r="D39" s="196"/>
      <c r="E39" s="196"/>
      <c r="F39" s="196"/>
      <c r="G39" s="196"/>
      <c r="H39" s="196"/>
      <c r="I39" s="196"/>
      <c r="J39" s="196"/>
    </row>
    <row r="40" spans="1:10" x14ac:dyDescent="0.25">
      <c r="A40" s="189"/>
      <c r="B40" s="189"/>
      <c r="C40" s="189"/>
      <c r="D40" s="196"/>
      <c r="E40" s="196"/>
      <c r="F40" s="196"/>
      <c r="G40" s="196"/>
      <c r="H40" s="196"/>
      <c r="I40" s="196"/>
      <c r="J40" s="196"/>
    </row>
    <row r="41" spans="1:10" x14ac:dyDescent="0.25">
      <c r="A41" s="189"/>
      <c r="B41" s="189"/>
      <c r="C41" s="189"/>
      <c r="D41" s="196"/>
      <c r="E41" s="196"/>
      <c r="F41" s="196"/>
      <c r="G41" s="196"/>
      <c r="H41" s="196"/>
      <c r="I41" s="196"/>
      <c r="J41" s="196"/>
    </row>
    <row r="42" spans="1:10" x14ac:dyDescent="0.25">
      <c r="A42" s="189"/>
      <c r="B42" s="189"/>
      <c r="C42" s="189"/>
      <c r="D42" s="196"/>
      <c r="E42" s="196"/>
      <c r="F42" s="196"/>
      <c r="G42" s="196"/>
      <c r="H42" s="196"/>
      <c r="I42" s="196"/>
      <c r="J42" s="196"/>
    </row>
    <row r="43" spans="1:10" x14ac:dyDescent="0.25">
      <c r="A43" s="189"/>
      <c r="B43" s="189"/>
      <c r="C43" s="189"/>
      <c r="D43" s="196"/>
      <c r="E43" s="196"/>
      <c r="F43" s="196"/>
      <c r="G43" s="196"/>
      <c r="H43" s="196"/>
      <c r="I43" s="196"/>
      <c r="J43" s="196"/>
    </row>
    <row r="44" spans="1:10" x14ac:dyDescent="0.25">
      <c r="A44" s="189"/>
      <c r="B44" s="189"/>
      <c r="C44" s="189"/>
      <c r="D44" s="196"/>
      <c r="E44" s="196"/>
      <c r="F44" s="196"/>
      <c r="G44" s="196"/>
      <c r="H44" s="196"/>
      <c r="I44" s="196"/>
      <c r="J44" s="196"/>
    </row>
    <row r="45" spans="1:10" x14ac:dyDescent="0.25">
      <c r="A45" s="189"/>
      <c r="B45" s="189"/>
      <c r="C45" s="189"/>
      <c r="D45" s="196"/>
      <c r="E45" s="196"/>
      <c r="F45" s="196"/>
      <c r="G45" s="196"/>
      <c r="H45" s="196"/>
      <c r="I45" s="196"/>
      <c r="J45" s="196"/>
    </row>
    <row r="46" spans="1:10" x14ac:dyDescent="0.25">
      <c r="A46" s="189"/>
      <c r="B46" s="189"/>
      <c r="C46" s="189"/>
      <c r="D46" s="196"/>
      <c r="E46" s="196"/>
      <c r="F46" s="196"/>
      <c r="G46" s="196"/>
      <c r="H46" s="196"/>
      <c r="I46" s="196"/>
      <c r="J46" s="196"/>
    </row>
    <row r="47" spans="1:10" x14ac:dyDescent="0.25">
      <c r="A47" s="189"/>
      <c r="B47" s="189"/>
      <c r="C47" s="189"/>
      <c r="D47" s="196"/>
      <c r="E47" s="196"/>
      <c r="F47" s="196"/>
      <c r="G47" s="196"/>
      <c r="H47" s="196"/>
      <c r="I47" s="196"/>
      <c r="J47" s="196"/>
    </row>
    <row r="48" spans="1:10" x14ac:dyDescent="0.25">
      <c r="A48" s="189"/>
      <c r="B48" s="189"/>
      <c r="C48" s="189"/>
      <c r="D48" s="196"/>
      <c r="E48" s="196"/>
      <c r="F48" s="196"/>
      <c r="G48" s="196"/>
      <c r="H48" s="196"/>
      <c r="I48" s="196"/>
      <c r="J48" s="196"/>
    </row>
    <row r="49" spans="1:10" x14ac:dyDescent="0.25">
      <c r="A49" s="189"/>
      <c r="B49" s="189"/>
      <c r="C49" s="189"/>
      <c r="D49" s="196"/>
      <c r="E49" s="196"/>
      <c r="F49" s="196"/>
      <c r="G49" s="196"/>
      <c r="H49" s="196"/>
      <c r="I49" s="196"/>
      <c r="J49" s="196"/>
    </row>
    <row r="50" spans="1:10" x14ac:dyDescent="0.25">
      <c r="A50" s="189"/>
      <c r="B50" s="189"/>
      <c r="C50" s="189"/>
      <c r="D50" s="196"/>
      <c r="E50" s="196"/>
      <c r="F50" s="196"/>
      <c r="G50" s="196"/>
      <c r="H50" s="196"/>
      <c r="I50" s="196"/>
      <c r="J50" s="196"/>
    </row>
    <row r="51" spans="1:10" x14ac:dyDescent="0.25">
      <c r="A51" s="189"/>
      <c r="B51" s="189"/>
      <c r="C51" s="189"/>
      <c r="D51" s="196"/>
      <c r="E51" s="196"/>
      <c r="F51" s="196"/>
      <c r="G51" s="196"/>
      <c r="H51" s="196"/>
      <c r="I51" s="196"/>
      <c r="J51" s="196"/>
    </row>
    <row r="52" spans="1:10" x14ac:dyDescent="0.25">
      <c r="A52" s="189"/>
      <c r="B52" s="189"/>
      <c r="C52" s="189"/>
      <c r="D52" s="196"/>
      <c r="E52" s="196"/>
      <c r="F52" s="196"/>
      <c r="G52" s="196"/>
      <c r="H52" s="196"/>
      <c r="I52" s="196"/>
      <c r="J52" s="196"/>
    </row>
    <row r="53" spans="1:10" x14ac:dyDescent="0.25">
      <c r="A53" s="189"/>
      <c r="B53" s="189"/>
      <c r="C53" s="189"/>
      <c r="D53" s="196"/>
      <c r="E53" s="196"/>
      <c r="F53" s="196"/>
      <c r="G53" s="196"/>
      <c r="H53" s="196"/>
      <c r="I53" s="196"/>
      <c r="J53" s="196"/>
    </row>
    <row r="54" spans="1:10" x14ac:dyDescent="0.25">
      <c r="A54" s="189"/>
      <c r="B54" s="189"/>
      <c r="C54" s="189"/>
      <c r="D54" s="196"/>
      <c r="E54" s="196"/>
      <c r="F54" s="196"/>
      <c r="G54" s="196"/>
      <c r="H54" s="196"/>
      <c r="I54" s="196"/>
      <c r="J54" s="196"/>
    </row>
    <row r="55" spans="1:10" x14ac:dyDescent="0.25">
      <c r="A55" s="189"/>
      <c r="B55" s="189"/>
      <c r="C55" s="189"/>
      <c r="D55" s="196"/>
      <c r="E55" s="196"/>
      <c r="F55" s="196"/>
      <c r="G55" s="196"/>
      <c r="H55" s="196"/>
      <c r="I55" s="196"/>
      <c r="J55" s="196"/>
    </row>
    <row r="56" spans="1:10" x14ac:dyDescent="0.25">
      <c r="A56" s="189"/>
      <c r="B56" s="189"/>
      <c r="C56" s="189"/>
      <c r="D56" s="196"/>
      <c r="E56" s="196"/>
      <c r="F56" s="196"/>
      <c r="G56" s="196"/>
      <c r="H56" s="196"/>
      <c r="I56" s="196"/>
      <c r="J56" s="196"/>
    </row>
    <row r="57" spans="1:10" x14ac:dyDescent="0.25">
      <c r="A57" s="189"/>
      <c r="B57" s="189"/>
      <c r="C57" s="189"/>
      <c r="D57" s="196"/>
      <c r="E57" s="196"/>
      <c r="F57" s="196"/>
      <c r="G57" s="196"/>
      <c r="H57" s="196"/>
      <c r="I57" s="196"/>
      <c r="J57" s="196"/>
    </row>
    <row r="58" spans="1:10" x14ac:dyDescent="0.25">
      <c r="A58" s="189"/>
      <c r="B58" s="189"/>
      <c r="C58" s="189"/>
      <c r="D58" s="196"/>
      <c r="E58" s="196"/>
      <c r="F58" s="196"/>
      <c r="G58" s="196"/>
      <c r="H58" s="196"/>
      <c r="I58" s="196"/>
      <c r="J58" s="196"/>
    </row>
    <row r="59" spans="1:10" x14ac:dyDescent="0.25">
      <c r="A59" s="189"/>
      <c r="B59" s="189"/>
      <c r="C59" s="189"/>
      <c r="D59" s="196"/>
      <c r="E59" s="196"/>
      <c r="F59" s="196"/>
      <c r="G59" s="196"/>
      <c r="H59" s="196"/>
      <c r="I59" s="196"/>
      <c r="J59" s="196"/>
    </row>
    <row r="60" spans="1:10" x14ac:dyDescent="0.25">
      <c r="A60" s="189"/>
      <c r="B60" s="189"/>
      <c r="C60" s="189"/>
      <c r="D60" s="196"/>
      <c r="E60" s="196"/>
      <c r="F60" s="196"/>
      <c r="G60" s="196"/>
      <c r="H60" s="196"/>
      <c r="I60" s="196"/>
      <c r="J60" s="196"/>
    </row>
    <row r="61" spans="1:10" x14ac:dyDescent="0.25">
      <c r="A61" s="189"/>
      <c r="B61" s="189"/>
      <c r="C61" s="189"/>
      <c r="D61" s="196"/>
      <c r="E61" s="196"/>
      <c r="F61" s="196"/>
      <c r="G61" s="196"/>
      <c r="H61" s="196"/>
      <c r="I61" s="196"/>
      <c r="J61" s="196"/>
    </row>
    <row r="62" spans="1:10" x14ac:dyDescent="0.25">
      <c r="A62" s="189"/>
      <c r="B62" s="189"/>
      <c r="C62" s="189"/>
      <c r="D62" s="196"/>
      <c r="E62" s="196"/>
      <c r="F62" s="196"/>
      <c r="G62" s="196"/>
      <c r="H62" s="196"/>
      <c r="I62" s="196"/>
      <c r="J62" s="196"/>
    </row>
    <row r="63" spans="1:10" x14ac:dyDescent="0.25">
      <c r="A63" s="189"/>
      <c r="B63" s="189"/>
      <c r="C63" s="189"/>
      <c r="D63" s="196"/>
      <c r="E63" s="196"/>
      <c r="F63" s="196"/>
      <c r="G63" s="196"/>
      <c r="H63" s="196"/>
      <c r="I63" s="196"/>
      <c r="J63" s="196"/>
    </row>
    <row r="64" spans="1:10" x14ac:dyDescent="0.25">
      <c r="A64" s="189"/>
      <c r="B64" s="189"/>
      <c r="C64" s="189"/>
      <c r="D64" s="196"/>
      <c r="E64" s="196"/>
      <c r="F64" s="196"/>
      <c r="G64" s="196"/>
      <c r="H64" s="196"/>
      <c r="I64" s="196"/>
      <c r="J64" s="196"/>
    </row>
    <row r="65" spans="1:10" x14ac:dyDescent="0.25">
      <c r="A65" s="189"/>
      <c r="B65" s="189"/>
      <c r="C65" s="189"/>
      <c r="D65" s="196"/>
      <c r="E65" s="196"/>
      <c r="F65" s="196"/>
      <c r="G65" s="196"/>
      <c r="H65" s="196"/>
      <c r="I65" s="196"/>
      <c r="J65" s="196"/>
    </row>
    <row r="66" spans="1:10" x14ac:dyDescent="0.25">
      <c r="A66" s="189"/>
      <c r="B66" s="189"/>
      <c r="C66" s="189"/>
      <c r="D66" s="196"/>
      <c r="E66" s="196"/>
      <c r="F66" s="196"/>
      <c r="G66" s="196"/>
      <c r="H66" s="196"/>
      <c r="I66" s="196"/>
      <c r="J66" s="196"/>
    </row>
    <row r="67" spans="1:10" x14ac:dyDescent="0.25">
      <c r="A67" s="189"/>
      <c r="B67" s="189"/>
      <c r="C67" s="189"/>
      <c r="D67" s="196"/>
      <c r="E67" s="196"/>
      <c r="F67" s="196"/>
      <c r="G67" s="196"/>
      <c r="H67" s="196"/>
      <c r="I67" s="196"/>
      <c r="J67" s="196"/>
    </row>
    <row r="68" spans="1:10" x14ac:dyDescent="0.25">
      <c r="A68" s="189"/>
      <c r="B68" s="189"/>
      <c r="C68" s="189"/>
      <c r="D68" s="196"/>
      <c r="E68" s="196"/>
      <c r="F68" s="196"/>
      <c r="G68" s="196"/>
      <c r="H68" s="196"/>
      <c r="I68" s="196"/>
      <c r="J68" s="196"/>
    </row>
    <row r="69" spans="1:10" x14ac:dyDescent="0.25">
      <c r="A69" s="189"/>
      <c r="B69" s="189"/>
      <c r="C69" s="189"/>
      <c r="D69" s="196"/>
      <c r="E69" s="196"/>
      <c r="F69" s="196"/>
      <c r="G69" s="196"/>
      <c r="H69" s="196"/>
      <c r="I69" s="196"/>
      <c r="J69" s="196"/>
    </row>
    <row r="70" spans="1:10" x14ac:dyDescent="0.25">
      <c r="A70" s="189"/>
      <c r="B70" s="189"/>
      <c r="C70" s="189"/>
      <c r="D70" s="196"/>
      <c r="E70" s="196"/>
      <c r="F70" s="196"/>
      <c r="G70" s="196"/>
      <c r="H70" s="196"/>
      <c r="I70" s="196"/>
      <c r="J70" s="196"/>
    </row>
    <row r="71" spans="1:10" x14ac:dyDescent="0.25">
      <c r="A71" s="189"/>
      <c r="B71" s="189"/>
      <c r="C71" s="189"/>
      <c r="D71" s="196"/>
      <c r="E71" s="196"/>
      <c r="F71" s="196"/>
      <c r="G71" s="196"/>
      <c r="H71" s="196"/>
      <c r="I71" s="196"/>
      <c r="J71" s="196"/>
    </row>
    <row r="72" spans="1:10" x14ac:dyDescent="0.25">
      <c r="A72" s="189"/>
      <c r="B72" s="189"/>
      <c r="C72" s="189"/>
      <c r="D72" s="196"/>
      <c r="E72" s="196"/>
      <c r="F72" s="196"/>
      <c r="G72" s="196"/>
      <c r="H72" s="196"/>
      <c r="I72" s="196"/>
      <c r="J72" s="196"/>
    </row>
    <row r="73" spans="1:10" x14ac:dyDescent="0.25">
      <c r="A73" s="189"/>
      <c r="B73" s="189"/>
      <c r="C73" s="189"/>
      <c r="D73" s="196"/>
      <c r="E73" s="196"/>
      <c r="F73" s="196"/>
      <c r="G73" s="196"/>
      <c r="H73" s="196"/>
      <c r="I73" s="196"/>
      <c r="J73" s="196"/>
    </row>
    <row r="74" spans="1:10" x14ac:dyDescent="0.25">
      <c r="A74" s="189"/>
      <c r="B74" s="189"/>
      <c r="C74" s="189"/>
      <c r="D74" s="196"/>
      <c r="E74" s="196"/>
      <c r="F74" s="196"/>
      <c r="G74" s="196"/>
      <c r="H74" s="196"/>
      <c r="I74" s="196"/>
      <c r="J74" s="196"/>
    </row>
    <row r="75" spans="1:10" x14ac:dyDescent="0.25">
      <c r="A75" s="189"/>
      <c r="B75" s="189"/>
      <c r="C75" s="189"/>
      <c r="D75" s="196"/>
      <c r="E75" s="196"/>
      <c r="F75" s="196"/>
      <c r="G75" s="196"/>
      <c r="H75" s="196"/>
      <c r="I75" s="196"/>
      <c r="J75" s="196"/>
    </row>
    <row r="76" spans="1:10" x14ac:dyDescent="0.25">
      <c r="A76" s="189"/>
      <c r="B76" s="189"/>
      <c r="C76" s="189"/>
      <c r="D76" s="196"/>
      <c r="E76" s="196"/>
      <c r="F76" s="196"/>
      <c r="G76" s="196"/>
      <c r="H76" s="196"/>
      <c r="I76" s="196"/>
      <c r="J76" s="196"/>
    </row>
    <row r="77" spans="1:10" x14ac:dyDescent="0.25">
      <c r="A77" s="189"/>
      <c r="B77" s="189"/>
      <c r="C77" s="189"/>
      <c r="D77" s="196"/>
      <c r="E77" s="196"/>
      <c r="F77" s="196"/>
      <c r="G77" s="196"/>
      <c r="H77" s="196"/>
      <c r="I77" s="196"/>
      <c r="J77" s="196"/>
    </row>
    <row r="78" spans="1:10" x14ac:dyDescent="0.25">
      <c r="A78" s="189"/>
      <c r="B78" s="189"/>
      <c r="C78" s="189"/>
      <c r="D78" s="196"/>
      <c r="E78" s="196"/>
      <c r="F78" s="196"/>
      <c r="G78" s="196"/>
      <c r="H78" s="196"/>
      <c r="I78" s="196"/>
      <c r="J78" s="196"/>
    </row>
    <row r="79" spans="1:10" x14ac:dyDescent="0.25">
      <c r="A79" s="189"/>
      <c r="B79" s="189"/>
      <c r="C79" s="189"/>
      <c r="D79" s="196"/>
      <c r="E79" s="196"/>
      <c r="F79" s="196"/>
      <c r="G79" s="196"/>
      <c r="H79" s="196"/>
      <c r="I79" s="196"/>
      <c r="J79" s="196"/>
    </row>
    <row r="80" spans="1:10" x14ac:dyDescent="0.25">
      <c r="A80" s="189"/>
      <c r="B80" s="189"/>
      <c r="C80" s="189"/>
      <c r="D80" s="196"/>
      <c r="E80" s="196"/>
      <c r="F80" s="196"/>
      <c r="G80" s="196"/>
      <c r="H80" s="196"/>
      <c r="I80" s="196"/>
      <c r="J80" s="196"/>
    </row>
    <row r="81" spans="1:10" x14ac:dyDescent="0.25">
      <c r="A81" s="189"/>
      <c r="B81" s="189"/>
      <c r="C81" s="189"/>
      <c r="D81" s="196"/>
      <c r="E81" s="196"/>
      <c r="F81" s="196"/>
      <c r="G81" s="196"/>
      <c r="H81" s="196"/>
      <c r="I81" s="196"/>
      <c r="J81" s="196"/>
    </row>
    <row r="82" spans="1:10" x14ac:dyDescent="0.25">
      <c r="A82" s="189"/>
      <c r="B82" s="189"/>
      <c r="C82" s="189"/>
      <c r="D82" s="196"/>
      <c r="E82" s="196"/>
      <c r="F82" s="196"/>
      <c r="G82" s="196"/>
      <c r="H82" s="196"/>
      <c r="I82" s="196"/>
      <c r="J82" s="196"/>
    </row>
    <row r="83" spans="1:10" x14ac:dyDescent="0.25">
      <c r="A83" s="189"/>
      <c r="B83" s="189"/>
      <c r="C83" s="189"/>
      <c r="D83" s="196"/>
      <c r="E83" s="196"/>
      <c r="F83" s="196"/>
      <c r="G83" s="196"/>
      <c r="H83" s="196"/>
      <c r="I83" s="196"/>
      <c r="J83" s="196"/>
    </row>
    <row r="84" spans="1:10" x14ac:dyDescent="0.25">
      <c r="A84" s="189"/>
      <c r="B84" s="189"/>
      <c r="C84" s="189"/>
      <c r="D84" s="196"/>
      <c r="E84" s="196"/>
      <c r="F84" s="196"/>
      <c r="G84" s="196"/>
      <c r="H84" s="196"/>
      <c r="I84" s="196"/>
      <c r="J84" s="196"/>
    </row>
    <row r="85" spans="1:10" x14ac:dyDescent="0.25">
      <c r="A85" s="189"/>
      <c r="B85" s="189"/>
      <c r="C85" s="189"/>
      <c r="D85" s="196"/>
      <c r="E85" s="196"/>
      <c r="F85" s="196"/>
      <c r="G85" s="196"/>
      <c r="H85" s="196"/>
      <c r="I85" s="196"/>
      <c r="J85" s="196"/>
    </row>
    <row r="86" spans="1:10" x14ac:dyDescent="0.25">
      <c r="A86" s="189"/>
      <c r="B86" s="189"/>
      <c r="C86" s="189"/>
      <c r="D86" s="196"/>
      <c r="E86" s="196"/>
      <c r="F86" s="196"/>
      <c r="G86" s="196"/>
      <c r="H86" s="196"/>
      <c r="I86" s="196"/>
      <c r="J86" s="196"/>
    </row>
    <row r="87" spans="1:10" x14ac:dyDescent="0.25">
      <c r="A87" s="189"/>
      <c r="B87" s="189"/>
      <c r="C87" s="189"/>
      <c r="D87" s="196"/>
      <c r="E87" s="196"/>
      <c r="F87" s="196"/>
      <c r="G87" s="196"/>
      <c r="H87" s="196"/>
      <c r="I87" s="196"/>
      <c r="J87" s="196"/>
    </row>
    <row r="88" spans="1:10" x14ac:dyDescent="0.25">
      <c r="A88" s="189"/>
      <c r="B88" s="189"/>
      <c r="C88" s="189"/>
      <c r="D88" s="196"/>
      <c r="E88" s="196"/>
      <c r="F88" s="196"/>
      <c r="G88" s="196"/>
      <c r="H88" s="196"/>
      <c r="I88" s="196"/>
      <c r="J88" s="196"/>
    </row>
    <row r="89" spans="1:10" x14ac:dyDescent="0.25">
      <c r="A89" s="189"/>
      <c r="B89" s="189"/>
      <c r="C89" s="189"/>
      <c r="D89" s="196"/>
      <c r="E89" s="196"/>
      <c r="F89" s="196"/>
      <c r="G89" s="196"/>
      <c r="H89" s="196"/>
      <c r="I89" s="196"/>
      <c r="J89" s="196"/>
    </row>
    <row r="90" spans="1:10" x14ac:dyDescent="0.25">
      <c r="A90" s="189"/>
      <c r="B90" s="189"/>
      <c r="C90" s="189"/>
      <c r="D90" s="196"/>
      <c r="E90" s="196"/>
      <c r="F90" s="196"/>
      <c r="G90" s="196"/>
      <c r="H90" s="196"/>
      <c r="I90" s="196"/>
      <c r="J90" s="196"/>
    </row>
    <row r="91" spans="1:10" x14ac:dyDescent="0.25">
      <c r="A91" s="189"/>
      <c r="B91" s="189"/>
      <c r="C91" s="189"/>
      <c r="D91" s="196"/>
      <c r="E91" s="196"/>
      <c r="F91" s="196"/>
      <c r="G91" s="196"/>
      <c r="H91" s="196"/>
      <c r="I91" s="196"/>
      <c r="J91" s="196"/>
    </row>
    <row r="92" spans="1:10" x14ac:dyDescent="0.25">
      <c r="A92" s="189"/>
      <c r="B92" s="189"/>
      <c r="C92" s="189"/>
      <c r="D92" s="196"/>
      <c r="E92" s="196"/>
      <c r="F92" s="196"/>
      <c r="G92" s="196"/>
      <c r="H92" s="196"/>
      <c r="I92" s="196"/>
      <c r="J92" s="196"/>
    </row>
    <row r="93" spans="1:10" x14ac:dyDescent="0.25">
      <c r="A93" s="189"/>
      <c r="B93" s="189"/>
      <c r="C93" s="189"/>
      <c r="D93" s="196"/>
      <c r="E93" s="196"/>
      <c r="F93" s="196"/>
      <c r="G93" s="196"/>
      <c r="H93" s="196"/>
      <c r="I93" s="196"/>
      <c r="J93" s="196"/>
    </row>
    <row r="94" spans="1:10" x14ac:dyDescent="0.25">
      <c r="A94" s="189"/>
      <c r="B94" s="189"/>
      <c r="C94" s="189"/>
      <c r="D94" s="196"/>
      <c r="E94" s="196"/>
      <c r="F94" s="196"/>
      <c r="G94" s="196"/>
      <c r="H94" s="196"/>
      <c r="I94" s="196"/>
      <c r="J94" s="196"/>
    </row>
    <row r="95" spans="1:10" x14ac:dyDescent="0.25">
      <c r="A95" s="189"/>
      <c r="B95" s="189"/>
      <c r="C95" s="189"/>
      <c r="D95" s="196"/>
      <c r="E95" s="196"/>
      <c r="F95" s="196"/>
      <c r="G95" s="196"/>
      <c r="H95" s="196"/>
      <c r="I95" s="196"/>
      <c r="J95" s="196"/>
    </row>
    <row r="96" spans="1:10" x14ac:dyDescent="0.25">
      <c r="A96" s="189"/>
      <c r="B96" s="189"/>
      <c r="C96" s="189"/>
      <c r="D96" s="196"/>
      <c r="E96" s="196"/>
      <c r="F96" s="196"/>
      <c r="G96" s="196"/>
      <c r="H96" s="196"/>
      <c r="I96" s="196"/>
      <c r="J96" s="196"/>
    </row>
    <row r="97" spans="1:10" x14ac:dyDescent="0.25">
      <c r="A97" s="189"/>
      <c r="B97" s="189"/>
      <c r="C97" s="189"/>
      <c r="D97" s="196"/>
      <c r="E97" s="196"/>
      <c r="F97" s="196"/>
      <c r="G97" s="196"/>
      <c r="H97" s="196"/>
      <c r="I97" s="196"/>
      <c r="J97" s="196"/>
    </row>
    <row r="98" spans="1:10" x14ac:dyDescent="0.25">
      <c r="A98" s="189"/>
      <c r="B98" s="189"/>
      <c r="C98" s="189"/>
      <c r="D98" s="196"/>
      <c r="E98" s="196"/>
      <c r="F98" s="196"/>
      <c r="G98" s="196"/>
      <c r="H98" s="196"/>
      <c r="I98" s="196"/>
      <c r="J98" s="196"/>
    </row>
    <row r="99" spans="1:10" x14ac:dyDescent="0.25">
      <c r="A99" s="189"/>
      <c r="B99" s="189"/>
      <c r="C99" s="189"/>
      <c r="D99" s="196"/>
      <c r="E99" s="196"/>
      <c r="F99" s="196"/>
      <c r="G99" s="196"/>
      <c r="H99" s="196"/>
      <c r="I99" s="196"/>
      <c r="J99" s="196"/>
    </row>
    <row r="100" spans="1:10" x14ac:dyDescent="0.25">
      <c r="A100" s="189"/>
      <c r="B100" s="189"/>
      <c r="C100" s="189"/>
      <c r="D100" s="196"/>
      <c r="E100" s="196"/>
      <c r="F100" s="196"/>
      <c r="G100" s="196"/>
      <c r="H100" s="196"/>
      <c r="I100" s="196"/>
      <c r="J100" s="196"/>
    </row>
    <row r="101" spans="1:10" x14ac:dyDescent="0.25">
      <c r="A101" s="189"/>
      <c r="B101" s="189"/>
      <c r="C101" s="189"/>
      <c r="D101" s="196"/>
      <c r="E101" s="196"/>
      <c r="F101" s="196"/>
      <c r="G101" s="196"/>
      <c r="H101" s="196"/>
      <c r="I101" s="196"/>
      <c r="J101" s="196"/>
    </row>
    <row r="102" spans="1:10" x14ac:dyDescent="0.25">
      <c r="A102" s="189"/>
      <c r="B102" s="189"/>
      <c r="C102" s="189"/>
      <c r="D102" s="196"/>
      <c r="E102" s="196"/>
      <c r="F102" s="196"/>
      <c r="G102" s="196"/>
      <c r="H102" s="196"/>
      <c r="I102" s="196"/>
      <c r="J102" s="196"/>
    </row>
    <row r="103" spans="1:10" x14ac:dyDescent="0.25">
      <c r="A103" s="189"/>
      <c r="B103" s="189"/>
      <c r="C103" s="189"/>
      <c r="D103" s="196"/>
      <c r="E103" s="196"/>
      <c r="F103" s="196"/>
      <c r="G103" s="196"/>
      <c r="H103" s="196"/>
      <c r="I103" s="196"/>
      <c r="J103" s="196"/>
    </row>
    <row r="104" spans="1:10" x14ac:dyDescent="0.25">
      <c r="A104" s="189"/>
      <c r="B104" s="189"/>
      <c r="C104" s="189"/>
      <c r="D104" s="196"/>
      <c r="E104" s="196"/>
      <c r="F104" s="196"/>
      <c r="G104" s="196"/>
      <c r="H104" s="196"/>
      <c r="I104" s="196"/>
      <c r="J104" s="196"/>
    </row>
    <row r="105" spans="1:10" x14ac:dyDescent="0.25">
      <c r="A105" s="189"/>
      <c r="B105" s="189"/>
      <c r="C105" s="189"/>
      <c r="D105" s="196"/>
      <c r="E105" s="196"/>
      <c r="F105" s="196"/>
      <c r="G105" s="196"/>
      <c r="H105" s="196"/>
      <c r="I105" s="196"/>
      <c r="J105" s="196"/>
    </row>
    <row r="106" spans="1:10" x14ac:dyDescent="0.25">
      <c r="A106" s="189"/>
      <c r="B106" s="189"/>
      <c r="C106" s="189"/>
      <c r="D106" s="196"/>
      <c r="E106" s="196"/>
      <c r="F106" s="196"/>
      <c r="G106" s="196"/>
      <c r="H106" s="196"/>
      <c r="I106" s="196"/>
      <c r="J106" s="196"/>
    </row>
    <row r="107" spans="1:10" x14ac:dyDescent="0.25">
      <c r="A107" s="189"/>
      <c r="B107" s="189"/>
      <c r="C107" s="189"/>
      <c r="D107" s="196"/>
      <c r="E107" s="196"/>
      <c r="F107" s="196"/>
      <c r="G107" s="196"/>
      <c r="H107" s="196"/>
      <c r="I107" s="196"/>
      <c r="J107" s="196"/>
    </row>
    <row r="108" spans="1:10" x14ac:dyDescent="0.25">
      <c r="A108" s="189"/>
      <c r="B108" s="189"/>
      <c r="C108" s="189"/>
      <c r="D108" s="196"/>
      <c r="E108" s="196"/>
      <c r="F108" s="196"/>
      <c r="G108" s="196"/>
      <c r="H108" s="196"/>
      <c r="I108" s="196"/>
      <c r="J108" s="196"/>
    </row>
    <row r="109" spans="1:10" x14ac:dyDescent="0.25">
      <c r="A109" s="189"/>
      <c r="B109" s="189"/>
      <c r="C109" s="189"/>
      <c r="D109" s="196"/>
      <c r="E109" s="196"/>
      <c r="F109" s="196"/>
      <c r="G109" s="196"/>
      <c r="H109" s="196"/>
      <c r="I109" s="196"/>
      <c r="J109" s="196"/>
    </row>
    <row r="110" spans="1:10" x14ac:dyDescent="0.25">
      <c r="A110" s="189"/>
      <c r="B110" s="189"/>
      <c r="C110" s="189"/>
      <c r="D110" s="196"/>
      <c r="E110" s="196"/>
      <c r="F110" s="196"/>
      <c r="G110" s="196"/>
      <c r="H110" s="196"/>
      <c r="I110" s="196"/>
      <c r="J110" s="196"/>
    </row>
    <row r="111" spans="1:10" x14ac:dyDescent="0.25">
      <c r="A111" s="189"/>
      <c r="B111" s="189"/>
      <c r="C111" s="189"/>
      <c r="D111" s="196"/>
      <c r="E111" s="196"/>
      <c r="F111" s="196"/>
      <c r="G111" s="196"/>
      <c r="H111" s="196"/>
      <c r="I111" s="196"/>
      <c r="J111" s="196"/>
    </row>
    <row r="112" spans="1:10" x14ac:dyDescent="0.25">
      <c r="A112" s="189"/>
      <c r="B112" s="189"/>
      <c r="C112" s="189"/>
      <c r="D112" s="196"/>
      <c r="E112" s="196"/>
      <c r="F112" s="196"/>
      <c r="G112" s="196"/>
      <c r="H112" s="196"/>
      <c r="I112" s="196"/>
      <c r="J112" s="196"/>
    </row>
    <row r="113" spans="1:10" x14ac:dyDescent="0.25">
      <c r="A113" s="189"/>
      <c r="B113" s="189"/>
      <c r="C113" s="189"/>
      <c r="D113" s="196"/>
      <c r="E113" s="196"/>
      <c r="F113" s="196"/>
      <c r="G113" s="196"/>
      <c r="H113" s="196"/>
      <c r="I113" s="196"/>
      <c r="J113" s="196"/>
    </row>
    <row r="114" spans="1:10" x14ac:dyDescent="0.25">
      <c r="A114" s="189"/>
      <c r="B114" s="189"/>
      <c r="C114" s="189"/>
      <c r="D114" s="196"/>
      <c r="E114" s="196"/>
      <c r="F114" s="196"/>
      <c r="G114" s="196"/>
      <c r="H114" s="196"/>
      <c r="I114" s="196"/>
      <c r="J114" s="196"/>
    </row>
    <row r="115" spans="1:10" x14ac:dyDescent="0.25">
      <c r="A115" s="189"/>
      <c r="B115" s="189"/>
      <c r="C115" s="189"/>
      <c r="D115" s="196"/>
      <c r="E115" s="196"/>
      <c r="F115" s="196"/>
      <c r="G115" s="196"/>
      <c r="H115" s="196"/>
      <c r="I115" s="196"/>
      <c r="J115" s="196"/>
    </row>
    <row r="116" spans="1:10" x14ac:dyDescent="0.25">
      <c r="A116" s="189"/>
      <c r="B116" s="189"/>
      <c r="C116" s="189"/>
      <c r="D116" s="196"/>
      <c r="E116" s="196"/>
      <c r="F116" s="196"/>
      <c r="G116" s="196"/>
      <c r="H116" s="196"/>
      <c r="I116" s="196"/>
      <c r="J116" s="196"/>
    </row>
    <row r="117" spans="1:10" x14ac:dyDescent="0.25">
      <c r="A117" s="189"/>
      <c r="B117" s="189"/>
      <c r="C117" s="189"/>
      <c r="D117" s="196"/>
      <c r="E117" s="196"/>
      <c r="F117" s="196"/>
      <c r="G117" s="196"/>
      <c r="H117" s="196"/>
      <c r="I117" s="196"/>
      <c r="J117" s="196"/>
    </row>
    <row r="118" spans="1:10" x14ac:dyDescent="0.25">
      <c r="A118" s="189"/>
      <c r="B118" s="189"/>
      <c r="C118" s="189"/>
      <c r="D118" s="196"/>
      <c r="E118" s="196"/>
      <c r="F118" s="196"/>
      <c r="G118" s="196"/>
      <c r="H118" s="196"/>
      <c r="I118" s="196"/>
      <c r="J118" s="196"/>
    </row>
    <row r="119" spans="1:10" x14ac:dyDescent="0.25">
      <c r="A119" s="189"/>
      <c r="B119" s="189"/>
      <c r="C119" s="189"/>
      <c r="D119" s="196"/>
      <c r="E119" s="196"/>
      <c r="F119" s="196"/>
      <c r="G119" s="196"/>
      <c r="H119" s="196"/>
      <c r="I119" s="196"/>
      <c r="J119" s="196"/>
    </row>
    <row r="120" spans="1:10" x14ac:dyDescent="0.25">
      <c r="A120" s="189"/>
      <c r="B120" s="189"/>
      <c r="C120" s="189"/>
      <c r="D120" s="196"/>
      <c r="E120" s="196"/>
      <c r="F120" s="196"/>
      <c r="G120" s="196"/>
      <c r="H120" s="196"/>
      <c r="I120" s="196"/>
      <c r="J120" s="196"/>
    </row>
    <row r="121" spans="1:10" x14ac:dyDescent="0.25">
      <c r="A121" s="189"/>
      <c r="B121" s="189"/>
      <c r="C121" s="189"/>
      <c r="D121" s="196"/>
      <c r="E121" s="196"/>
      <c r="F121" s="196"/>
      <c r="G121" s="196"/>
      <c r="H121" s="196"/>
      <c r="I121" s="196"/>
      <c r="J121" s="196"/>
    </row>
    <row r="122" spans="1:10" x14ac:dyDescent="0.25">
      <c r="A122" s="189"/>
      <c r="B122" s="189"/>
      <c r="C122" s="189"/>
      <c r="D122" s="196"/>
      <c r="E122" s="196"/>
      <c r="F122" s="196"/>
      <c r="G122" s="196"/>
      <c r="H122" s="196"/>
      <c r="I122" s="196"/>
      <c r="J122" s="196"/>
    </row>
    <row r="123" spans="1:10" x14ac:dyDescent="0.25">
      <c r="A123" s="189"/>
      <c r="B123" s="189"/>
      <c r="C123" s="189"/>
      <c r="D123" s="196"/>
      <c r="E123" s="196"/>
      <c r="F123" s="196"/>
      <c r="G123" s="196"/>
      <c r="H123" s="196"/>
      <c r="I123" s="196"/>
      <c r="J123" s="196"/>
    </row>
    <row r="124" spans="1:10" x14ac:dyDescent="0.25">
      <c r="A124" s="189"/>
      <c r="B124" s="189"/>
      <c r="C124" s="189"/>
      <c r="D124" s="196"/>
      <c r="E124" s="196"/>
      <c r="F124" s="196"/>
      <c r="G124" s="196"/>
      <c r="H124" s="196"/>
      <c r="I124" s="196"/>
      <c r="J124" s="196"/>
    </row>
    <row r="125" spans="1:10" x14ac:dyDescent="0.25">
      <c r="A125" s="189"/>
      <c r="B125" s="189"/>
      <c r="C125" s="189"/>
      <c r="D125" s="196"/>
      <c r="E125" s="196"/>
      <c r="F125" s="196"/>
      <c r="G125" s="196"/>
      <c r="H125" s="196"/>
      <c r="I125" s="196"/>
      <c r="J125" s="196"/>
    </row>
    <row r="126" spans="1:10" x14ac:dyDescent="0.25">
      <c r="A126" s="189"/>
      <c r="B126" s="189"/>
      <c r="C126" s="189"/>
      <c r="D126" s="196"/>
      <c r="E126" s="196"/>
      <c r="F126" s="196"/>
      <c r="G126" s="196"/>
      <c r="H126" s="196"/>
      <c r="I126" s="196"/>
      <c r="J126" s="196"/>
    </row>
    <row r="127" spans="1:10" x14ac:dyDescent="0.25">
      <c r="A127" s="189"/>
      <c r="B127" s="189"/>
      <c r="C127" s="189"/>
      <c r="D127" s="196"/>
      <c r="E127" s="196"/>
      <c r="F127" s="196"/>
      <c r="G127" s="196"/>
      <c r="H127" s="196"/>
      <c r="I127" s="196"/>
      <c r="J127" s="196"/>
    </row>
    <row r="128" spans="1:10" x14ac:dyDescent="0.25">
      <c r="A128" s="189"/>
      <c r="B128" s="189"/>
      <c r="C128" s="189"/>
      <c r="D128" s="196"/>
      <c r="E128" s="196"/>
      <c r="F128" s="196"/>
      <c r="G128" s="196"/>
      <c r="H128" s="196"/>
      <c r="I128" s="196"/>
      <c r="J128" s="196"/>
    </row>
    <row r="129" spans="1:10" x14ac:dyDescent="0.25">
      <c r="A129" s="189"/>
      <c r="B129" s="189"/>
      <c r="C129" s="189"/>
      <c r="D129" s="196"/>
      <c r="E129" s="196"/>
      <c r="F129" s="196"/>
      <c r="G129" s="196"/>
      <c r="H129" s="196"/>
      <c r="I129" s="196"/>
      <c r="J129" s="196"/>
    </row>
    <row r="130" spans="1:10" x14ac:dyDescent="0.25">
      <c r="A130" s="189"/>
      <c r="B130" s="189"/>
      <c r="C130" s="189"/>
      <c r="D130" s="196"/>
      <c r="E130" s="196"/>
      <c r="F130" s="196"/>
      <c r="G130" s="196"/>
      <c r="H130" s="196"/>
      <c r="I130" s="196"/>
      <c r="J130" s="196"/>
    </row>
    <row r="131" spans="1:10" x14ac:dyDescent="0.25">
      <c r="A131" s="189"/>
      <c r="B131" s="189"/>
      <c r="C131" s="189"/>
      <c r="D131" s="196"/>
      <c r="E131" s="196"/>
      <c r="F131" s="196"/>
      <c r="G131" s="196"/>
      <c r="H131" s="196"/>
      <c r="I131" s="196"/>
      <c r="J131" s="196"/>
    </row>
    <row r="132" spans="1:10" x14ac:dyDescent="0.25">
      <c r="A132" s="189"/>
      <c r="B132" s="189"/>
      <c r="C132" s="189"/>
      <c r="D132" s="196"/>
      <c r="E132" s="196"/>
      <c r="F132" s="196"/>
      <c r="G132" s="196"/>
      <c r="H132" s="196"/>
      <c r="I132" s="196"/>
      <c r="J132" s="196"/>
    </row>
    <row r="133" spans="1:10" x14ac:dyDescent="0.25">
      <c r="A133" s="189"/>
      <c r="B133" s="189"/>
      <c r="C133" s="189"/>
      <c r="D133" s="196"/>
      <c r="E133" s="196"/>
      <c r="F133" s="196"/>
      <c r="G133" s="196"/>
      <c r="H133" s="196"/>
      <c r="I133" s="196"/>
      <c r="J133" s="196"/>
    </row>
    <row r="134" spans="1:10" x14ac:dyDescent="0.25">
      <c r="A134" s="189"/>
      <c r="B134" s="189"/>
      <c r="C134" s="189"/>
      <c r="D134" s="196"/>
      <c r="E134" s="196"/>
      <c r="F134" s="196"/>
      <c r="G134" s="196"/>
      <c r="H134" s="196"/>
      <c r="I134" s="196"/>
      <c r="J134" s="196"/>
    </row>
    <row r="135" spans="1:10" x14ac:dyDescent="0.25">
      <c r="A135" s="189"/>
      <c r="B135" s="189"/>
      <c r="C135" s="189"/>
      <c r="D135" s="196"/>
      <c r="E135" s="196"/>
      <c r="F135" s="196"/>
      <c r="G135" s="196"/>
      <c r="H135" s="196"/>
      <c r="I135" s="196"/>
      <c r="J135" s="196"/>
    </row>
    <row r="136" spans="1:10" x14ac:dyDescent="0.25">
      <c r="A136" s="189"/>
      <c r="B136" s="189"/>
      <c r="C136" s="189"/>
      <c r="D136" s="196"/>
      <c r="E136" s="196"/>
      <c r="F136" s="196"/>
      <c r="G136" s="196"/>
      <c r="H136" s="196"/>
      <c r="I136" s="196"/>
      <c r="J136" s="196"/>
    </row>
    <row r="137" spans="1:10" x14ac:dyDescent="0.25">
      <c r="A137" s="189"/>
      <c r="B137" s="189"/>
      <c r="C137" s="189"/>
      <c r="D137" s="196"/>
      <c r="E137" s="196"/>
      <c r="F137" s="196"/>
      <c r="G137" s="196"/>
      <c r="H137" s="196"/>
      <c r="I137" s="196"/>
      <c r="J137" s="196"/>
    </row>
    <row r="138" spans="1:10" x14ac:dyDescent="0.25">
      <c r="A138" s="189"/>
      <c r="B138" s="189"/>
      <c r="C138" s="189"/>
      <c r="D138" s="196"/>
      <c r="E138" s="196"/>
      <c r="F138" s="196"/>
      <c r="G138" s="196"/>
      <c r="H138" s="196"/>
      <c r="I138" s="196"/>
      <c r="J138" s="196"/>
    </row>
    <row r="139" spans="1:10" x14ac:dyDescent="0.25">
      <c r="A139" s="189"/>
      <c r="B139" s="189"/>
      <c r="C139" s="189"/>
      <c r="D139" s="196"/>
      <c r="E139" s="196"/>
      <c r="F139" s="196"/>
      <c r="G139" s="196"/>
      <c r="H139" s="196"/>
      <c r="I139" s="196"/>
      <c r="J139" s="196"/>
    </row>
    <row r="140" spans="1:10" x14ac:dyDescent="0.25">
      <c r="A140" s="189"/>
      <c r="B140" s="189"/>
      <c r="C140" s="189"/>
      <c r="D140" s="196"/>
      <c r="E140" s="196"/>
      <c r="F140" s="196"/>
      <c r="G140" s="196"/>
      <c r="H140" s="196"/>
      <c r="I140" s="196"/>
      <c r="J140" s="196"/>
    </row>
    <row r="141" spans="1:10" x14ac:dyDescent="0.25">
      <c r="A141" s="189"/>
      <c r="B141" s="189"/>
      <c r="C141" s="189"/>
      <c r="D141" s="196"/>
      <c r="E141" s="196"/>
      <c r="F141" s="196"/>
      <c r="G141" s="196"/>
      <c r="H141" s="196"/>
      <c r="I141" s="196"/>
      <c r="J141" s="196"/>
    </row>
    <row r="142" spans="1:10" x14ac:dyDescent="0.25">
      <c r="A142" s="189"/>
      <c r="B142" s="189"/>
      <c r="C142" s="189"/>
      <c r="D142" s="196"/>
      <c r="E142" s="196"/>
      <c r="F142" s="196"/>
      <c r="G142" s="196"/>
      <c r="H142" s="196"/>
      <c r="I142" s="196"/>
      <c r="J142" s="196"/>
    </row>
    <row r="143" spans="1:10" x14ac:dyDescent="0.25">
      <c r="A143" s="189"/>
      <c r="B143" s="189"/>
      <c r="C143" s="189"/>
      <c r="D143" s="196"/>
      <c r="E143" s="196"/>
      <c r="F143" s="196"/>
      <c r="G143" s="196"/>
      <c r="H143" s="196"/>
      <c r="I143" s="196"/>
      <c r="J143" s="196"/>
    </row>
    <row r="144" spans="1:10" x14ac:dyDescent="0.25">
      <c r="A144" s="189"/>
      <c r="B144" s="189"/>
      <c r="C144" s="189"/>
      <c r="D144" s="196"/>
      <c r="E144" s="196"/>
      <c r="F144" s="196"/>
      <c r="G144" s="196"/>
      <c r="H144" s="196"/>
      <c r="I144" s="196"/>
      <c r="J144" s="196"/>
    </row>
    <row r="145" spans="1:10" x14ac:dyDescent="0.25">
      <c r="A145" s="189"/>
      <c r="B145" s="189"/>
      <c r="C145" s="189"/>
      <c r="D145" s="196"/>
      <c r="E145" s="196"/>
      <c r="F145" s="196"/>
      <c r="G145" s="196"/>
      <c r="H145" s="196"/>
      <c r="I145" s="196"/>
      <c r="J145" s="196"/>
    </row>
    <row r="146" spans="1:10" x14ac:dyDescent="0.25">
      <c r="A146" s="189"/>
      <c r="B146" s="189"/>
      <c r="C146" s="189"/>
      <c r="D146" s="196"/>
      <c r="E146" s="196"/>
      <c r="F146" s="196"/>
      <c r="G146" s="196"/>
      <c r="H146" s="196"/>
      <c r="I146" s="196"/>
      <c r="J146" s="196"/>
    </row>
    <row r="147" spans="1:10" x14ac:dyDescent="0.25">
      <c r="A147" s="189"/>
      <c r="B147" s="189"/>
      <c r="C147" s="189"/>
      <c r="D147" s="196"/>
      <c r="E147" s="196"/>
      <c r="F147" s="196"/>
      <c r="G147" s="196"/>
      <c r="H147" s="196"/>
      <c r="I147" s="196"/>
      <c r="J147" s="196"/>
    </row>
    <row r="148" spans="1:10" x14ac:dyDescent="0.25">
      <c r="A148" s="189"/>
      <c r="B148" s="189"/>
      <c r="C148" s="189"/>
      <c r="D148" s="196"/>
      <c r="E148" s="196"/>
      <c r="F148" s="196"/>
      <c r="G148" s="196"/>
      <c r="H148" s="196"/>
      <c r="I148" s="196"/>
      <c r="J148" s="196"/>
    </row>
    <row r="149" spans="1:10" x14ac:dyDescent="0.25">
      <c r="A149" s="189"/>
      <c r="B149" s="189"/>
      <c r="C149" s="189"/>
      <c r="D149" s="196"/>
      <c r="E149" s="196"/>
      <c r="F149" s="196"/>
      <c r="G149" s="196"/>
      <c r="H149" s="196"/>
      <c r="I149" s="196"/>
      <c r="J149" s="196"/>
    </row>
    <row r="150" spans="1:10" x14ac:dyDescent="0.25">
      <c r="A150" s="189"/>
      <c r="B150" s="189"/>
      <c r="C150" s="189"/>
      <c r="D150" s="196"/>
      <c r="E150" s="196"/>
      <c r="F150" s="196"/>
      <c r="G150" s="196"/>
      <c r="H150" s="196"/>
      <c r="I150" s="196"/>
      <c r="J150" s="196"/>
    </row>
    <row r="151" spans="1:10" x14ac:dyDescent="0.25">
      <c r="A151" s="189"/>
      <c r="B151" s="189"/>
      <c r="C151" s="189"/>
      <c r="D151" s="196"/>
      <c r="E151" s="196"/>
      <c r="F151" s="196"/>
      <c r="G151" s="196"/>
      <c r="H151" s="196"/>
      <c r="I151" s="196"/>
      <c r="J151" s="196"/>
    </row>
    <row r="152" spans="1:10" x14ac:dyDescent="0.25">
      <c r="A152" s="189"/>
      <c r="B152" s="189"/>
      <c r="C152" s="189"/>
      <c r="D152" s="196"/>
      <c r="E152" s="196"/>
      <c r="F152" s="196"/>
      <c r="G152" s="196"/>
      <c r="H152" s="196"/>
      <c r="I152" s="196"/>
      <c r="J152" s="196"/>
    </row>
    <row r="153" spans="1:10" x14ac:dyDescent="0.25">
      <c r="A153" s="189"/>
      <c r="B153" s="189"/>
      <c r="C153" s="189"/>
      <c r="D153" s="196"/>
      <c r="E153" s="196"/>
      <c r="F153" s="196"/>
      <c r="G153" s="196"/>
      <c r="H153" s="196"/>
      <c r="I153" s="196"/>
      <c r="J153" s="196"/>
    </row>
    <row r="154" spans="1:10" x14ac:dyDescent="0.25">
      <c r="A154" s="189"/>
      <c r="B154" s="189"/>
      <c r="C154" s="189"/>
      <c r="D154" s="196"/>
      <c r="E154" s="196"/>
      <c r="F154" s="196"/>
      <c r="G154" s="196"/>
      <c r="H154" s="196"/>
      <c r="I154" s="196"/>
      <c r="J154" s="196"/>
    </row>
    <row r="155" spans="1:10" x14ac:dyDescent="0.25">
      <c r="A155" s="189"/>
      <c r="B155" s="189"/>
      <c r="C155" s="189"/>
      <c r="D155" s="196"/>
      <c r="E155" s="196"/>
      <c r="F155" s="196"/>
      <c r="G155" s="196"/>
      <c r="H155" s="196"/>
      <c r="I155" s="196"/>
      <c r="J155" s="196"/>
    </row>
    <row r="156" spans="1:10" x14ac:dyDescent="0.25">
      <c r="A156" s="189"/>
      <c r="B156" s="189"/>
      <c r="C156" s="189"/>
      <c r="D156" s="196"/>
      <c r="E156" s="196"/>
      <c r="F156" s="196"/>
      <c r="G156" s="196"/>
      <c r="H156" s="196"/>
      <c r="I156" s="196"/>
      <c r="J156" s="196"/>
    </row>
    <row r="157" spans="1:10" x14ac:dyDescent="0.25">
      <c r="A157" s="189"/>
      <c r="B157" s="189"/>
      <c r="C157" s="189"/>
      <c r="D157" s="196"/>
      <c r="E157" s="196"/>
      <c r="F157" s="196"/>
      <c r="G157" s="196"/>
      <c r="H157" s="196"/>
      <c r="I157" s="196"/>
      <c r="J157" s="196"/>
    </row>
    <row r="158" spans="1:10" x14ac:dyDescent="0.25">
      <c r="A158" s="189"/>
      <c r="B158" s="189"/>
      <c r="C158" s="189"/>
      <c r="D158" s="196"/>
      <c r="E158" s="196"/>
      <c r="F158" s="196"/>
      <c r="G158" s="196"/>
      <c r="H158" s="196"/>
      <c r="I158" s="196"/>
      <c r="J158" s="196"/>
    </row>
    <row r="159" spans="1:10" x14ac:dyDescent="0.25">
      <c r="A159" s="189"/>
      <c r="B159" s="189"/>
      <c r="C159" s="189"/>
      <c r="D159" s="196"/>
      <c r="E159" s="196"/>
      <c r="F159" s="196"/>
      <c r="G159" s="196"/>
      <c r="H159" s="196"/>
      <c r="I159" s="196"/>
      <c r="J159" s="196"/>
    </row>
    <row r="160" spans="1:10" x14ac:dyDescent="0.25">
      <c r="A160" s="189"/>
      <c r="B160" s="189"/>
      <c r="C160" s="189"/>
      <c r="D160" s="196"/>
      <c r="E160" s="196"/>
      <c r="F160" s="196"/>
      <c r="G160" s="196"/>
      <c r="H160" s="196"/>
      <c r="I160" s="196"/>
      <c r="J160" s="196"/>
    </row>
    <row r="161" spans="1:10" x14ac:dyDescent="0.25">
      <c r="A161" s="189"/>
      <c r="B161" s="189"/>
      <c r="C161" s="189"/>
      <c r="D161" s="196"/>
      <c r="E161" s="196"/>
      <c r="F161" s="196"/>
      <c r="G161" s="196"/>
      <c r="H161" s="196"/>
      <c r="I161" s="196"/>
      <c r="J161" s="196"/>
    </row>
    <row r="162" spans="1:10" x14ac:dyDescent="0.25">
      <c r="A162" s="189"/>
      <c r="B162" s="189"/>
      <c r="C162" s="189"/>
      <c r="D162" s="196"/>
      <c r="E162" s="196"/>
      <c r="F162" s="196"/>
      <c r="G162" s="196"/>
      <c r="H162" s="196"/>
      <c r="I162" s="196"/>
      <c r="J162" s="196"/>
    </row>
    <row r="163" spans="1:10" x14ac:dyDescent="0.25">
      <c r="A163" s="189"/>
      <c r="B163" s="189"/>
      <c r="C163" s="189"/>
      <c r="D163" s="196"/>
      <c r="E163" s="196"/>
      <c r="F163" s="196"/>
      <c r="G163" s="196"/>
      <c r="H163" s="196"/>
      <c r="I163" s="196"/>
      <c r="J163" s="196"/>
    </row>
    <row r="164" spans="1:10" x14ac:dyDescent="0.25">
      <c r="A164" s="189"/>
      <c r="B164" s="189"/>
      <c r="C164" s="189"/>
      <c r="D164" s="196"/>
      <c r="E164" s="196"/>
      <c r="F164" s="196"/>
      <c r="G164" s="196"/>
      <c r="H164" s="196"/>
      <c r="I164" s="196"/>
      <c r="J164" s="196"/>
    </row>
    <row r="165" spans="1:10" x14ac:dyDescent="0.25">
      <c r="A165" s="189"/>
      <c r="B165" s="189"/>
      <c r="C165" s="189"/>
      <c r="D165" s="196"/>
      <c r="E165" s="196"/>
      <c r="F165" s="196"/>
      <c r="G165" s="196"/>
      <c r="H165" s="196"/>
      <c r="I165" s="196"/>
      <c r="J165" s="196"/>
    </row>
    <row r="166" spans="1:10" x14ac:dyDescent="0.25">
      <c r="A166" s="189"/>
      <c r="B166" s="189"/>
      <c r="C166" s="189"/>
      <c r="D166" s="196"/>
      <c r="E166" s="196"/>
      <c r="F166" s="196"/>
      <c r="G166" s="196"/>
      <c r="H166" s="196"/>
      <c r="I166" s="196"/>
      <c r="J166" s="196"/>
    </row>
    <row r="167" spans="1:10" x14ac:dyDescent="0.25">
      <c r="A167" s="189"/>
      <c r="B167" s="189"/>
      <c r="C167" s="189"/>
      <c r="D167" s="196"/>
      <c r="E167" s="196"/>
      <c r="F167" s="196"/>
      <c r="G167" s="196"/>
      <c r="H167" s="196"/>
      <c r="I167" s="196"/>
      <c r="J167" s="196"/>
    </row>
    <row r="168" spans="1:10" x14ac:dyDescent="0.25">
      <c r="A168" s="189"/>
      <c r="B168" s="189"/>
      <c r="C168" s="189"/>
      <c r="D168" s="196"/>
      <c r="E168" s="196"/>
      <c r="F168" s="196"/>
      <c r="G168" s="196"/>
      <c r="H168" s="196"/>
      <c r="I168" s="196"/>
      <c r="J168" s="196"/>
    </row>
    <row r="169" spans="1:10" x14ac:dyDescent="0.25">
      <c r="A169" s="189"/>
      <c r="B169" s="189"/>
      <c r="C169" s="189"/>
      <c r="D169" s="196"/>
      <c r="E169" s="196"/>
      <c r="F169" s="196"/>
      <c r="G169" s="196"/>
      <c r="H169" s="196"/>
      <c r="I169" s="196"/>
      <c r="J169" s="196"/>
    </row>
    <row r="170" spans="1:10" x14ac:dyDescent="0.25">
      <c r="A170" s="189"/>
      <c r="B170" s="189"/>
      <c r="C170" s="189"/>
      <c r="D170" s="196"/>
      <c r="E170" s="196"/>
      <c r="F170" s="196"/>
      <c r="G170" s="196"/>
      <c r="H170" s="196"/>
      <c r="I170" s="196"/>
      <c r="J170" s="196"/>
    </row>
    <row r="171" spans="1:10" x14ac:dyDescent="0.25">
      <c r="A171" s="189"/>
      <c r="B171" s="189"/>
      <c r="C171" s="189"/>
      <c r="D171" s="196"/>
      <c r="E171" s="196"/>
      <c r="F171" s="196"/>
      <c r="G171" s="196"/>
      <c r="H171" s="196"/>
      <c r="I171" s="196"/>
      <c r="J171" s="196"/>
    </row>
    <row r="172" spans="1:10" x14ac:dyDescent="0.25">
      <c r="A172" s="189"/>
      <c r="B172" s="189"/>
      <c r="C172" s="189"/>
      <c r="D172" s="196"/>
      <c r="E172" s="196"/>
      <c r="F172" s="196"/>
      <c r="G172" s="196"/>
      <c r="H172" s="196"/>
      <c r="I172" s="196"/>
      <c r="J172" s="196"/>
    </row>
    <row r="173" spans="1:10" x14ac:dyDescent="0.25">
      <c r="A173" s="189"/>
      <c r="B173" s="189"/>
      <c r="C173" s="189"/>
      <c r="D173" s="196"/>
      <c r="E173" s="196"/>
      <c r="F173" s="196"/>
      <c r="G173" s="196"/>
      <c r="H173" s="196"/>
      <c r="I173" s="196"/>
      <c r="J173" s="196"/>
    </row>
    <row r="174" spans="1:10" x14ac:dyDescent="0.25">
      <c r="A174" s="189"/>
      <c r="B174" s="189"/>
      <c r="C174" s="189"/>
      <c r="D174" s="196"/>
      <c r="E174" s="196"/>
      <c r="F174" s="196"/>
      <c r="G174" s="196"/>
      <c r="H174" s="196"/>
      <c r="I174" s="196"/>
      <c r="J174" s="196"/>
    </row>
    <row r="175" spans="1:10" x14ac:dyDescent="0.25">
      <c r="A175" s="189"/>
      <c r="B175" s="189"/>
      <c r="C175" s="189"/>
      <c r="D175" s="196"/>
      <c r="E175" s="196"/>
      <c r="F175" s="196"/>
      <c r="G175" s="196"/>
      <c r="H175" s="196"/>
      <c r="I175" s="196"/>
      <c r="J175" s="196"/>
    </row>
    <row r="176" spans="1:10" x14ac:dyDescent="0.25">
      <c r="A176" s="189"/>
      <c r="B176" s="189"/>
      <c r="C176" s="189"/>
      <c r="D176" s="196"/>
      <c r="E176" s="196"/>
      <c r="F176" s="196"/>
      <c r="G176" s="196"/>
      <c r="H176" s="196"/>
      <c r="I176" s="196"/>
      <c r="J176" s="196"/>
    </row>
    <row r="177" spans="1:10" x14ac:dyDescent="0.25">
      <c r="A177" s="189"/>
      <c r="B177" s="189"/>
      <c r="C177" s="189"/>
      <c r="D177" s="196"/>
      <c r="E177" s="196"/>
      <c r="F177" s="196"/>
      <c r="G177" s="196"/>
      <c r="H177" s="196"/>
      <c r="I177" s="196"/>
      <c r="J177" s="196"/>
    </row>
    <row r="178" spans="1:10" x14ac:dyDescent="0.25">
      <c r="A178" s="189"/>
      <c r="B178" s="189"/>
      <c r="C178" s="189"/>
      <c r="D178" s="196"/>
      <c r="E178" s="196"/>
      <c r="F178" s="196"/>
      <c r="G178" s="196"/>
      <c r="H178" s="196"/>
      <c r="I178" s="196"/>
      <c r="J178" s="196"/>
    </row>
    <row r="179" spans="1:10" x14ac:dyDescent="0.25">
      <c r="A179" s="189"/>
      <c r="B179" s="189"/>
      <c r="C179" s="189"/>
      <c r="D179" s="196"/>
      <c r="E179" s="196"/>
      <c r="F179" s="196"/>
      <c r="G179" s="196"/>
      <c r="H179" s="196"/>
      <c r="I179" s="196"/>
      <c r="J179" s="196"/>
    </row>
    <row r="180" spans="1:10" x14ac:dyDescent="0.25">
      <c r="A180" s="189"/>
      <c r="B180" s="189"/>
      <c r="C180" s="189"/>
      <c r="D180" s="196"/>
      <c r="E180" s="196"/>
      <c r="F180" s="196"/>
      <c r="G180" s="196"/>
      <c r="H180" s="196"/>
      <c r="I180" s="196"/>
      <c r="J180" s="196"/>
    </row>
    <row r="181" spans="1:10" x14ac:dyDescent="0.25">
      <c r="A181" s="189"/>
      <c r="B181" s="189"/>
      <c r="C181" s="189"/>
      <c r="D181" s="196"/>
      <c r="E181" s="196"/>
      <c r="F181" s="196"/>
      <c r="G181" s="196"/>
      <c r="H181" s="196"/>
      <c r="I181" s="196"/>
      <c r="J181" s="196"/>
    </row>
    <row r="182" spans="1:10" x14ac:dyDescent="0.25">
      <c r="A182" s="189"/>
      <c r="B182" s="189"/>
      <c r="C182" s="189"/>
      <c r="D182" s="196"/>
      <c r="E182" s="196"/>
      <c r="F182" s="196"/>
      <c r="G182" s="196"/>
      <c r="H182" s="196"/>
      <c r="I182" s="196"/>
      <c r="J182" s="196"/>
    </row>
    <row r="183" spans="1:10" x14ac:dyDescent="0.25">
      <c r="A183" s="189"/>
      <c r="B183" s="189"/>
      <c r="C183" s="189"/>
      <c r="D183" s="196"/>
      <c r="E183" s="196"/>
      <c r="F183" s="196"/>
      <c r="G183" s="196"/>
      <c r="H183" s="196"/>
      <c r="I183" s="196"/>
      <c r="J183" s="196"/>
    </row>
    <row r="184" spans="1:10" x14ac:dyDescent="0.25">
      <c r="A184" s="189"/>
      <c r="B184" s="189"/>
      <c r="C184" s="189"/>
      <c r="D184" s="196"/>
      <c r="E184" s="196"/>
      <c r="F184" s="196"/>
      <c r="G184" s="196"/>
      <c r="H184" s="196"/>
      <c r="I184" s="196"/>
      <c r="J184" s="196"/>
    </row>
    <row r="185" spans="1:10" x14ac:dyDescent="0.25">
      <c r="A185" s="189"/>
      <c r="B185" s="189"/>
      <c r="C185" s="189"/>
      <c r="D185" s="196"/>
      <c r="E185" s="196"/>
      <c r="F185" s="196"/>
      <c r="G185" s="196"/>
      <c r="H185" s="196"/>
      <c r="I185" s="196"/>
      <c r="J185" s="196"/>
    </row>
    <row r="186" spans="1:10" x14ac:dyDescent="0.25">
      <c r="A186" s="189"/>
      <c r="B186" s="189"/>
      <c r="C186" s="189"/>
      <c r="D186" s="196"/>
      <c r="E186" s="196"/>
      <c r="F186" s="196"/>
      <c r="G186" s="196"/>
      <c r="H186" s="196"/>
      <c r="I186" s="196"/>
      <c r="J186" s="196"/>
    </row>
    <row r="187" spans="1:10" x14ac:dyDescent="0.25">
      <c r="A187" s="189"/>
      <c r="B187" s="189"/>
      <c r="C187" s="189"/>
      <c r="D187" s="196"/>
      <c r="E187" s="196"/>
      <c r="F187" s="196"/>
      <c r="G187" s="196"/>
      <c r="H187" s="196"/>
      <c r="I187" s="196"/>
      <c r="J187" s="196"/>
    </row>
    <row r="188" spans="1:10" x14ac:dyDescent="0.25">
      <c r="A188" s="189"/>
      <c r="B188" s="189"/>
      <c r="C188" s="189"/>
      <c r="D188" s="196"/>
      <c r="E188" s="196"/>
      <c r="F188" s="196"/>
      <c r="G188" s="196"/>
      <c r="H188" s="196"/>
      <c r="I188" s="196"/>
      <c r="J188" s="196"/>
    </row>
    <row r="189" spans="1:10" x14ac:dyDescent="0.25">
      <c r="A189" s="189"/>
      <c r="B189" s="189"/>
      <c r="C189" s="189"/>
      <c r="D189" s="196"/>
      <c r="E189" s="196"/>
      <c r="F189" s="196"/>
      <c r="G189" s="196"/>
      <c r="H189" s="196"/>
      <c r="I189" s="196"/>
      <c r="J189" s="196"/>
    </row>
    <row r="190" spans="1:10" x14ac:dyDescent="0.25">
      <c r="A190" s="189"/>
      <c r="B190" s="189"/>
      <c r="C190" s="189"/>
      <c r="D190" s="196"/>
      <c r="E190" s="196"/>
      <c r="F190" s="196"/>
      <c r="G190" s="196"/>
      <c r="H190" s="196"/>
      <c r="I190" s="196"/>
      <c r="J190" s="196"/>
    </row>
    <row r="191" spans="1:10" x14ac:dyDescent="0.25">
      <c r="A191" s="189"/>
      <c r="B191" s="189"/>
      <c r="C191" s="189"/>
      <c r="D191" s="196"/>
      <c r="E191" s="196"/>
      <c r="F191" s="196"/>
      <c r="G191" s="196"/>
      <c r="H191" s="196"/>
      <c r="I191" s="196"/>
      <c r="J191" s="196"/>
    </row>
    <row r="192" spans="1:10" x14ac:dyDescent="0.25">
      <c r="A192" s="189"/>
      <c r="B192" s="189"/>
      <c r="C192" s="189"/>
      <c r="D192" s="196"/>
      <c r="E192" s="196"/>
      <c r="F192" s="196"/>
      <c r="G192" s="196"/>
      <c r="H192" s="196"/>
      <c r="I192" s="196"/>
      <c r="J192" s="196"/>
    </row>
    <row r="193" spans="1:10" x14ac:dyDescent="0.25">
      <c r="A193" s="189"/>
      <c r="B193" s="189"/>
      <c r="C193" s="189"/>
      <c r="D193" s="196"/>
      <c r="E193" s="196"/>
      <c r="F193" s="196"/>
      <c r="G193" s="196"/>
      <c r="H193" s="196"/>
      <c r="I193" s="196"/>
      <c r="J193" s="196"/>
    </row>
    <row r="194" spans="1:10" x14ac:dyDescent="0.25">
      <c r="A194" s="189"/>
      <c r="B194" s="189"/>
      <c r="C194" s="189"/>
      <c r="D194" s="196"/>
      <c r="E194" s="196"/>
      <c r="F194" s="196"/>
      <c r="G194" s="196"/>
      <c r="H194" s="196"/>
      <c r="I194" s="196"/>
      <c r="J194" s="196"/>
    </row>
    <row r="195" spans="1:10" x14ac:dyDescent="0.25">
      <c r="A195" s="189"/>
      <c r="B195" s="189"/>
      <c r="C195" s="189"/>
      <c r="D195" s="196"/>
      <c r="E195" s="196"/>
      <c r="F195" s="196"/>
      <c r="G195" s="196"/>
      <c r="H195" s="196"/>
      <c r="I195" s="196"/>
      <c r="J195" s="196"/>
    </row>
    <row r="196" spans="1:10" x14ac:dyDescent="0.25">
      <c r="A196" s="189"/>
      <c r="B196" s="189"/>
      <c r="C196" s="189"/>
      <c r="D196" s="196"/>
      <c r="E196" s="196"/>
      <c r="F196" s="196"/>
      <c r="G196" s="196"/>
      <c r="H196" s="196"/>
      <c r="I196" s="196"/>
      <c r="J196" s="196"/>
    </row>
    <row r="197" spans="1:10" x14ac:dyDescent="0.25">
      <c r="A197" s="189"/>
      <c r="B197" s="189"/>
      <c r="C197" s="189"/>
      <c r="D197" s="196"/>
      <c r="E197" s="196"/>
      <c r="F197" s="196"/>
      <c r="G197" s="196"/>
      <c r="H197" s="196"/>
      <c r="I197" s="196"/>
      <c r="J197" s="196"/>
    </row>
    <row r="198" spans="1:10" x14ac:dyDescent="0.25">
      <c r="A198" s="189"/>
      <c r="B198" s="189"/>
      <c r="C198" s="189"/>
      <c r="D198" s="196"/>
      <c r="E198" s="196"/>
      <c r="F198" s="196"/>
      <c r="G198" s="196"/>
      <c r="H198" s="196"/>
      <c r="I198" s="196"/>
      <c r="J198" s="196"/>
    </row>
    <row r="199" spans="1:10" x14ac:dyDescent="0.25">
      <c r="A199" s="189"/>
      <c r="B199" s="189"/>
      <c r="C199" s="189"/>
      <c r="D199" s="196"/>
      <c r="E199" s="196"/>
      <c r="F199" s="196"/>
      <c r="G199" s="196"/>
      <c r="H199" s="196"/>
      <c r="I199" s="196"/>
      <c r="J199" s="196"/>
    </row>
    <row r="200" spans="1:10" x14ac:dyDescent="0.25">
      <c r="A200" s="189"/>
      <c r="B200" s="189"/>
      <c r="C200" s="189"/>
      <c r="D200" s="196"/>
      <c r="E200" s="196"/>
      <c r="F200" s="196"/>
      <c r="G200" s="196"/>
      <c r="H200" s="196"/>
      <c r="I200" s="196"/>
      <c r="J200" s="196"/>
    </row>
    <row r="201" spans="1:10" x14ac:dyDescent="0.25">
      <c r="A201" s="189"/>
      <c r="B201" s="189"/>
      <c r="C201" s="189"/>
      <c r="D201" s="196"/>
      <c r="E201" s="196"/>
      <c r="F201" s="196"/>
      <c r="G201" s="196"/>
      <c r="H201" s="196"/>
      <c r="I201" s="196"/>
      <c r="J201" s="196"/>
    </row>
    <row r="202" spans="1:10" x14ac:dyDescent="0.25">
      <c r="A202" s="189"/>
      <c r="B202" s="189"/>
      <c r="C202" s="189"/>
      <c r="D202" s="196"/>
      <c r="E202" s="196"/>
      <c r="F202" s="196"/>
      <c r="G202" s="196"/>
      <c r="H202" s="196"/>
      <c r="I202" s="196"/>
      <c r="J202" s="196"/>
    </row>
    <row r="203" spans="1:10" x14ac:dyDescent="0.25">
      <c r="A203" s="189"/>
      <c r="B203" s="189"/>
      <c r="C203" s="189"/>
      <c r="D203" s="196"/>
      <c r="E203" s="196"/>
      <c r="F203" s="196"/>
      <c r="G203" s="196"/>
      <c r="H203" s="196"/>
      <c r="I203" s="196"/>
      <c r="J203" s="196"/>
    </row>
    <row r="204" spans="1:10" x14ac:dyDescent="0.25">
      <c r="A204" s="189"/>
      <c r="B204" s="189"/>
      <c r="C204" s="189"/>
      <c r="D204" s="196"/>
      <c r="E204" s="196"/>
      <c r="F204" s="196"/>
      <c r="G204" s="196"/>
      <c r="H204" s="196"/>
      <c r="I204" s="196"/>
      <c r="J204" s="196"/>
    </row>
    <row r="205" spans="1:10" x14ac:dyDescent="0.25">
      <c r="A205" s="189"/>
      <c r="B205" s="189"/>
      <c r="C205" s="189"/>
      <c r="D205" s="196"/>
      <c r="E205" s="196"/>
      <c r="F205" s="196"/>
      <c r="G205" s="196"/>
      <c r="H205" s="196"/>
      <c r="I205" s="196"/>
      <c r="J205" s="196"/>
    </row>
    <row r="206" spans="1:10" x14ac:dyDescent="0.25">
      <c r="A206" s="189"/>
      <c r="B206" s="189"/>
      <c r="C206" s="189"/>
      <c r="D206" s="196"/>
      <c r="E206" s="196"/>
      <c r="F206" s="196"/>
      <c r="G206" s="196"/>
      <c r="H206" s="196"/>
      <c r="I206" s="196"/>
      <c r="J206" s="196"/>
    </row>
    <row r="207" spans="1:10" x14ac:dyDescent="0.25">
      <c r="A207" s="189"/>
      <c r="B207" s="189"/>
      <c r="C207" s="189"/>
      <c r="D207" s="196"/>
      <c r="E207" s="196"/>
      <c r="F207" s="196"/>
      <c r="G207" s="196"/>
      <c r="H207" s="196"/>
      <c r="I207" s="196"/>
      <c r="J207" s="196"/>
    </row>
    <row r="208" spans="1:10" x14ac:dyDescent="0.25">
      <c r="A208" s="189"/>
      <c r="B208" s="189"/>
      <c r="C208" s="189"/>
      <c r="D208" s="196"/>
      <c r="E208" s="196"/>
      <c r="F208" s="196"/>
      <c r="G208" s="196"/>
      <c r="H208" s="196"/>
      <c r="I208" s="196"/>
      <c r="J208" s="196"/>
    </row>
    <row r="209" spans="1:10" x14ac:dyDescent="0.25">
      <c r="A209" s="189"/>
      <c r="B209" s="189"/>
      <c r="C209" s="189"/>
      <c r="D209" s="196"/>
      <c r="E209" s="196"/>
      <c r="F209" s="196"/>
      <c r="G209" s="196"/>
      <c r="H209" s="196"/>
      <c r="I209" s="196"/>
      <c r="J209" s="196"/>
    </row>
    <row r="210" spans="1:10" x14ac:dyDescent="0.25">
      <c r="A210" s="189"/>
      <c r="B210" s="189"/>
      <c r="C210" s="189"/>
      <c r="D210" s="196"/>
      <c r="E210" s="196"/>
      <c r="F210" s="196"/>
      <c r="G210" s="196"/>
      <c r="H210" s="196"/>
      <c r="I210" s="196"/>
      <c r="J210" s="196"/>
    </row>
    <row r="211" spans="1:10" x14ac:dyDescent="0.25">
      <c r="A211" s="189"/>
      <c r="B211" s="189"/>
      <c r="C211" s="189"/>
      <c r="D211" s="196"/>
      <c r="E211" s="196"/>
      <c r="F211" s="196"/>
      <c r="G211" s="196"/>
      <c r="H211" s="196"/>
      <c r="I211" s="196"/>
      <c r="J211" s="196"/>
    </row>
    <row r="212" spans="1:10" x14ac:dyDescent="0.25">
      <c r="A212" s="189"/>
      <c r="B212" s="189"/>
      <c r="C212" s="189"/>
      <c r="D212" s="196"/>
      <c r="E212" s="196"/>
      <c r="F212" s="196"/>
      <c r="G212" s="196"/>
      <c r="H212" s="196"/>
      <c r="I212" s="196"/>
      <c r="J212" s="196"/>
    </row>
    <row r="213" spans="1:10" x14ac:dyDescent="0.25">
      <c r="A213" s="189"/>
      <c r="B213" s="189"/>
      <c r="C213" s="189"/>
      <c r="D213" s="196"/>
      <c r="E213" s="196"/>
      <c r="F213" s="196"/>
      <c r="G213" s="196"/>
      <c r="H213" s="196"/>
      <c r="I213" s="196"/>
      <c r="J213" s="196"/>
    </row>
    <row r="214" spans="1:10" x14ac:dyDescent="0.25">
      <c r="A214" s="189"/>
      <c r="B214" s="189"/>
      <c r="C214" s="189"/>
      <c r="D214" s="196"/>
      <c r="E214" s="196"/>
      <c r="F214" s="196"/>
      <c r="G214" s="196"/>
      <c r="H214" s="196"/>
      <c r="I214" s="196"/>
      <c r="J214" s="196"/>
    </row>
    <row r="215" spans="1:10" x14ac:dyDescent="0.25">
      <c r="A215" s="189"/>
      <c r="B215" s="189"/>
      <c r="C215" s="189"/>
      <c r="D215" s="196"/>
      <c r="E215" s="196"/>
      <c r="F215" s="196"/>
      <c r="G215" s="196"/>
      <c r="H215" s="196"/>
      <c r="I215" s="196"/>
      <c r="J215" s="196"/>
    </row>
    <row r="216" spans="1:10" x14ac:dyDescent="0.25">
      <c r="A216" s="189"/>
      <c r="B216" s="189"/>
      <c r="C216" s="189"/>
      <c r="D216" s="196"/>
      <c r="E216" s="196"/>
      <c r="F216" s="196"/>
      <c r="G216" s="196"/>
      <c r="H216" s="196"/>
      <c r="I216" s="196"/>
      <c r="J216" s="196"/>
    </row>
    <row r="217" spans="1:10" x14ac:dyDescent="0.25">
      <c r="A217" s="189"/>
      <c r="B217" s="189"/>
      <c r="C217" s="189"/>
      <c r="D217" s="196"/>
      <c r="E217" s="196"/>
      <c r="F217" s="196"/>
      <c r="G217" s="196"/>
      <c r="H217" s="196"/>
      <c r="I217" s="196"/>
      <c r="J217" s="196"/>
    </row>
    <row r="218" spans="1:10" x14ac:dyDescent="0.25">
      <c r="A218" s="189"/>
      <c r="B218" s="189"/>
      <c r="C218" s="189"/>
      <c r="D218" s="196"/>
      <c r="E218" s="196"/>
      <c r="F218" s="196"/>
      <c r="G218" s="196"/>
      <c r="H218" s="196"/>
      <c r="I218" s="196"/>
      <c r="J218" s="196"/>
    </row>
    <row r="219" spans="1:10" x14ac:dyDescent="0.25">
      <c r="A219" s="189"/>
      <c r="B219" s="189"/>
      <c r="C219" s="189"/>
      <c r="D219" s="196"/>
      <c r="E219" s="196"/>
      <c r="F219" s="196"/>
      <c r="G219" s="196"/>
      <c r="H219" s="196"/>
      <c r="I219" s="196"/>
      <c r="J219" s="196"/>
    </row>
    <row r="220" spans="1:10" x14ac:dyDescent="0.25">
      <c r="A220" s="189"/>
      <c r="B220" s="189"/>
      <c r="C220" s="189"/>
      <c r="D220" s="196"/>
      <c r="E220" s="196"/>
      <c r="F220" s="196"/>
      <c r="G220" s="196"/>
      <c r="H220" s="196"/>
      <c r="I220" s="196"/>
      <c r="J220" s="196"/>
    </row>
    <row r="221" spans="1:10" x14ac:dyDescent="0.25">
      <c r="A221" s="189"/>
      <c r="B221" s="189"/>
      <c r="C221" s="189"/>
      <c r="D221" s="196"/>
      <c r="E221" s="196"/>
      <c r="F221" s="196"/>
      <c r="G221" s="196"/>
      <c r="H221" s="196"/>
      <c r="I221" s="196"/>
      <c r="J221" s="196"/>
    </row>
    <row r="222" spans="1:10" x14ac:dyDescent="0.25">
      <c r="A222" s="189"/>
      <c r="B222" s="189"/>
      <c r="C222" s="189"/>
      <c r="D222" s="196"/>
      <c r="E222" s="196"/>
      <c r="F222" s="196"/>
      <c r="G222" s="196"/>
      <c r="H222" s="196"/>
      <c r="I222" s="196"/>
      <c r="J222" s="196"/>
    </row>
    <row r="223" spans="1:10" x14ac:dyDescent="0.25">
      <c r="A223" s="189"/>
      <c r="B223" s="189"/>
      <c r="C223" s="189"/>
      <c r="D223" s="196"/>
      <c r="E223" s="196"/>
      <c r="F223" s="196"/>
      <c r="G223" s="196"/>
      <c r="H223" s="196"/>
      <c r="I223" s="196"/>
      <c r="J223" s="196"/>
    </row>
    <row r="224" spans="1:10" x14ac:dyDescent="0.25">
      <c r="A224" s="189"/>
      <c r="B224" s="189"/>
      <c r="C224" s="189"/>
      <c r="D224" s="196"/>
      <c r="E224" s="196"/>
      <c r="F224" s="196"/>
      <c r="G224" s="196"/>
      <c r="H224" s="196"/>
      <c r="I224" s="196"/>
      <c r="J224" s="196"/>
    </row>
    <row r="225" spans="1:10" x14ac:dyDescent="0.25">
      <c r="A225" s="189"/>
      <c r="B225" s="189"/>
      <c r="C225" s="189"/>
      <c r="D225" s="196"/>
      <c r="E225" s="196"/>
      <c r="F225" s="196"/>
      <c r="G225" s="196"/>
      <c r="H225" s="196"/>
      <c r="I225" s="196"/>
      <c r="J225" s="196"/>
    </row>
    <row r="226" spans="1:10" x14ac:dyDescent="0.25">
      <c r="A226" s="189"/>
      <c r="B226" s="189"/>
      <c r="C226" s="189"/>
      <c r="D226" s="196"/>
      <c r="E226" s="196"/>
      <c r="F226" s="196"/>
      <c r="G226" s="196"/>
      <c r="H226" s="196"/>
      <c r="I226" s="196"/>
      <c r="J226" s="196"/>
    </row>
    <row r="227" spans="1:10" x14ac:dyDescent="0.25">
      <c r="A227" s="189"/>
      <c r="B227" s="189"/>
      <c r="C227" s="189"/>
      <c r="D227" s="196"/>
      <c r="E227" s="196"/>
      <c r="F227" s="196"/>
      <c r="G227" s="196"/>
      <c r="H227" s="196"/>
      <c r="I227" s="196"/>
      <c r="J227" s="196"/>
    </row>
    <row r="228" spans="1:10" x14ac:dyDescent="0.25">
      <c r="A228" s="189"/>
      <c r="B228" s="189"/>
      <c r="C228" s="189"/>
      <c r="D228" s="196"/>
      <c r="E228" s="196"/>
      <c r="F228" s="196"/>
      <c r="G228" s="196"/>
      <c r="H228" s="196"/>
      <c r="I228" s="196"/>
      <c r="J228" s="196"/>
    </row>
    <row r="229" spans="1:10" x14ac:dyDescent="0.25">
      <c r="A229" s="189"/>
      <c r="B229" s="189"/>
      <c r="C229" s="189"/>
      <c r="D229" s="196"/>
      <c r="E229" s="196"/>
      <c r="F229" s="196"/>
      <c r="G229" s="196"/>
      <c r="H229" s="196"/>
      <c r="I229" s="196"/>
      <c r="J229" s="196"/>
    </row>
    <row r="230" spans="1:10" x14ac:dyDescent="0.25">
      <c r="A230" s="189"/>
      <c r="B230" s="189"/>
      <c r="C230" s="189"/>
      <c r="D230" s="196"/>
      <c r="E230" s="196"/>
      <c r="F230" s="196"/>
      <c r="G230" s="196"/>
      <c r="H230" s="196"/>
      <c r="I230" s="196"/>
      <c r="J230" s="196"/>
    </row>
    <row r="231" spans="1:10" x14ac:dyDescent="0.25">
      <c r="A231" s="189"/>
      <c r="B231" s="189"/>
      <c r="C231" s="189"/>
      <c r="D231" s="196"/>
      <c r="E231" s="196"/>
      <c r="F231" s="196"/>
      <c r="G231" s="196"/>
      <c r="H231" s="196"/>
      <c r="I231" s="196"/>
      <c r="J231" s="196"/>
    </row>
    <row r="232" spans="1:10" x14ac:dyDescent="0.25">
      <c r="A232" s="189"/>
      <c r="B232" s="189"/>
      <c r="C232" s="189"/>
      <c r="D232" s="196"/>
      <c r="E232" s="196"/>
      <c r="F232" s="196"/>
      <c r="G232" s="196"/>
      <c r="H232" s="196"/>
      <c r="I232" s="196"/>
      <c r="J232" s="196"/>
    </row>
    <row r="233" spans="1:10" x14ac:dyDescent="0.25">
      <c r="A233" s="189"/>
      <c r="B233" s="189"/>
      <c r="C233" s="189"/>
      <c r="D233" s="196"/>
      <c r="E233" s="196"/>
      <c r="F233" s="196"/>
      <c r="G233" s="196"/>
      <c r="H233" s="196"/>
      <c r="I233" s="196"/>
      <c r="J233" s="196"/>
    </row>
    <row r="234" spans="1:10" x14ac:dyDescent="0.25">
      <c r="A234" s="189"/>
      <c r="B234" s="189"/>
      <c r="C234" s="189"/>
      <c r="D234" s="196"/>
      <c r="E234" s="196"/>
      <c r="F234" s="196"/>
      <c r="G234" s="196"/>
      <c r="H234" s="196"/>
      <c r="I234" s="196"/>
      <c r="J234" s="196"/>
    </row>
    <row r="235" spans="1:10" x14ac:dyDescent="0.25">
      <c r="A235" s="189"/>
      <c r="B235" s="189"/>
      <c r="C235" s="189"/>
      <c r="D235" s="196"/>
      <c r="E235" s="196"/>
      <c r="F235" s="196"/>
      <c r="G235" s="196"/>
      <c r="H235" s="196"/>
      <c r="I235" s="196"/>
      <c r="J235" s="196"/>
    </row>
    <row r="236" spans="1:10" x14ac:dyDescent="0.25">
      <c r="A236" s="189"/>
      <c r="B236" s="189"/>
      <c r="C236" s="189"/>
      <c r="D236" s="196"/>
      <c r="E236" s="196"/>
      <c r="F236" s="196"/>
      <c r="G236" s="196"/>
      <c r="H236" s="196"/>
      <c r="I236" s="196"/>
      <c r="J236" s="196"/>
    </row>
    <row r="237" spans="1:10" x14ac:dyDescent="0.25">
      <c r="A237" s="189"/>
      <c r="B237" s="189"/>
      <c r="C237" s="189"/>
      <c r="D237" s="196"/>
      <c r="E237" s="196"/>
      <c r="F237" s="196"/>
      <c r="G237" s="196"/>
      <c r="H237" s="196"/>
      <c r="I237" s="196"/>
      <c r="J237" s="196"/>
    </row>
    <row r="238" spans="1:10" x14ac:dyDescent="0.25">
      <c r="A238" s="189"/>
      <c r="B238" s="189"/>
      <c r="C238" s="189"/>
      <c r="D238" s="196"/>
      <c r="E238" s="196"/>
      <c r="F238" s="196"/>
      <c r="G238" s="196"/>
      <c r="H238" s="196"/>
      <c r="I238" s="196"/>
      <c r="J238" s="196"/>
    </row>
    <row r="239" spans="1:10" x14ac:dyDescent="0.25">
      <c r="A239" s="189"/>
      <c r="B239" s="189"/>
      <c r="C239" s="189"/>
      <c r="D239" s="196"/>
      <c r="E239" s="196"/>
      <c r="F239" s="196"/>
      <c r="G239" s="196"/>
      <c r="H239" s="196"/>
      <c r="I239" s="196"/>
      <c r="J239" s="196"/>
    </row>
    <row r="240" spans="1:10" x14ac:dyDescent="0.25">
      <c r="A240" s="189"/>
      <c r="B240" s="189"/>
      <c r="C240" s="189"/>
      <c r="D240" s="196"/>
      <c r="E240" s="196"/>
      <c r="F240" s="196"/>
      <c r="G240" s="196"/>
      <c r="H240" s="196"/>
      <c r="I240" s="196"/>
      <c r="J240" s="196"/>
    </row>
    <row r="241" spans="1:10" x14ac:dyDescent="0.25">
      <c r="A241" s="189"/>
      <c r="B241" s="189"/>
      <c r="C241" s="189"/>
      <c r="D241" s="196"/>
      <c r="E241" s="196"/>
      <c r="F241" s="196"/>
      <c r="G241" s="196"/>
      <c r="H241" s="196"/>
      <c r="I241" s="196"/>
      <c r="J241" s="196"/>
    </row>
    <row r="242" spans="1:10" x14ac:dyDescent="0.25">
      <c r="A242" s="189"/>
      <c r="B242" s="189"/>
      <c r="C242" s="189"/>
      <c r="D242" s="196"/>
      <c r="E242" s="196"/>
      <c r="F242" s="196"/>
      <c r="G242" s="196"/>
      <c r="H242" s="196"/>
      <c r="I242" s="196"/>
      <c r="J242" s="196"/>
    </row>
    <row r="243" spans="1:10" x14ac:dyDescent="0.25">
      <c r="A243" s="189"/>
      <c r="B243" s="189"/>
      <c r="C243" s="189"/>
      <c r="D243" s="196"/>
      <c r="E243" s="196"/>
      <c r="F243" s="196"/>
      <c r="G243" s="196"/>
      <c r="H243" s="196"/>
      <c r="I243" s="196"/>
      <c r="J243" s="196"/>
    </row>
    <row r="244" spans="1:10" x14ac:dyDescent="0.25">
      <c r="A244" s="189"/>
      <c r="B244" s="189"/>
      <c r="C244" s="189"/>
      <c r="D244" s="196"/>
      <c r="E244" s="196"/>
      <c r="F244" s="196"/>
      <c r="G244" s="196"/>
      <c r="H244" s="196"/>
      <c r="I244" s="196"/>
      <c r="J244" s="196"/>
    </row>
    <row r="245" spans="1:10" x14ac:dyDescent="0.25">
      <c r="A245" s="189"/>
      <c r="B245" s="189"/>
      <c r="C245" s="189"/>
      <c r="D245" s="196"/>
      <c r="E245" s="196"/>
      <c r="F245" s="196"/>
      <c r="G245" s="196"/>
      <c r="H245" s="196"/>
      <c r="I245" s="196"/>
      <c r="J245" s="196"/>
    </row>
    <row r="246" spans="1:10" x14ac:dyDescent="0.25">
      <c r="A246" s="189"/>
      <c r="B246" s="189"/>
      <c r="C246" s="189"/>
      <c r="D246" s="196"/>
      <c r="E246" s="196"/>
      <c r="F246" s="196"/>
      <c r="G246" s="196"/>
      <c r="H246" s="196"/>
      <c r="I246" s="196"/>
      <c r="J246" s="196"/>
    </row>
    <row r="247" spans="1:10" x14ac:dyDescent="0.25">
      <c r="A247" s="189"/>
      <c r="B247" s="189"/>
      <c r="C247" s="189"/>
      <c r="D247" s="196"/>
      <c r="E247" s="196"/>
      <c r="F247" s="196"/>
      <c r="G247" s="196"/>
      <c r="H247" s="196"/>
      <c r="I247" s="196"/>
      <c r="J247" s="196"/>
    </row>
    <row r="248" spans="1:10" x14ac:dyDescent="0.25">
      <c r="A248" s="189"/>
      <c r="B248" s="189"/>
      <c r="C248" s="189"/>
      <c r="D248" s="196"/>
      <c r="E248" s="196"/>
      <c r="F248" s="196"/>
      <c r="G248" s="196"/>
      <c r="H248" s="196"/>
      <c r="I248" s="196"/>
      <c r="J248" s="196"/>
    </row>
    <row r="249" spans="1:10" x14ac:dyDescent="0.25">
      <c r="A249" s="189"/>
      <c r="B249" s="189"/>
      <c r="C249" s="189"/>
      <c r="D249" s="196"/>
      <c r="E249" s="196"/>
      <c r="F249" s="196"/>
      <c r="G249" s="196"/>
      <c r="H249" s="196"/>
      <c r="I249" s="196"/>
      <c r="J249" s="196"/>
    </row>
    <row r="250" spans="1:10" x14ac:dyDescent="0.25">
      <c r="A250" s="189"/>
      <c r="B250" s="189"/>
      <c r="C250" s="189"/>
      <c r="D250" s="196"/>
      <c r="E250" s="196"/>
      <c r="F250" s="196"/>
      <c r="G250" s="196"/>
      <c r="H250" s="196"/>
      <c r="I250" s="196"/>
      <c r="J250" s="196"/>
    </row>
    <row r="251" spans="1:10" x14ac:dyDescent="0.25">
      <c r="A251" s="189"/>
      <c r="B251" s="189"/>
      <c r="C251" s="189"/>
      <c r="D251" s="196"/>
      <c r="E251" s="196"/>
      <c r="F251" s="196"/>
      <c r="G251" s="196"/>
      <c r="H251" s="196"/>
      <c r="I251" s="196"/>
      <c r="J251" s="196"/>
    </row>
    <row r="252" spans="1:10" x14ac:dyDescent="0.25">
      <c r="A252" s="189"/>
      <c r="B252" s="189"/>
      <c r="C252" s="189"/>
      <c r="D252" s="196"/>
      <c r="E252" s="196"/>
      <c r="F252" s="196"/>
      <c r="G252" s="196"/>
      <c r="H252" s="196"/>
      <c r="I252" s="196"/>
      <c r="J252" s="196"/>
    </row>
    <row r="253" spans="1:10" x14ac:dyDescent="0.25">
      <c r="A253" s="189"/>
      <c r="B253" s="189"/>
      <c r="C253" s="189"/>
      <c r="D253" s="196"/>
      <c r="E253" s="196"/>
      <c r="F253" s="196"/>
      <c r="G253" s="196"/>
      <c r="H253" s="196"/>
      <c r="I253" s="196"/>
      <c r="J253" s="196"/>
    </row>
    <row r="254" spans="1:10" x14ac:dyDescent="0.25">
      <c r="A254" s="189"/>
      <c r="B254" s="189"/>
      <c r="C254" s="189"/>
      <c r="D254" s="196"/>
      <c r="E254" s="196"/>
      <c r="F254" s="196"/>
      <c r="G254" s="196"/>
      <c r="H254" s="196"/>
      <c r="I254" s="196"/>
      <c r="J254" s="196"/>
    </row>
    <row r="255" spans="1:10" x14ac:dyDescent="0.25">
      <c r="A255" s="189"/>
      <c r="B255" s="189"/>
      <c r="C255" s="189"/>
      <c r="D255" s="196"/>
      <c r="E255" s="196"/>
      <c r="F255" s="196"/>
      <c r="G255" s="196"/>
      <c r="H255" s="196"/>
      <c r="I255" s="196"/>
      <c r="J255" s="196"/>
    </row>
    <row r="256" spans="1:10" x14ac:dyDescent="0.25">
      <c r="A256" s="189"/>
      <c r="B256" s="189"/>
      <c r="C256" s="189"/>
      <c r="D256" s="196"/>
      <c r="E256" s="196"/>
      <c r="F256" s="196"/>
      <c r="G256" s="196"/>
      <c r="H256" s="196"/>
      <c r="I256" s="196"/>
      <c r="J256" s="196"/>
    </row>
    <row r="257" spans="1:10" x14ac:dyDescent="0.25">
      <c r="A257" s="189"/>
      <c r="B257" s="189"/>
      <c r="C257" s="189"/>
      <c r="D257" s="196"/>
      <c r="E257" s="196"/>
      <c r="F257" s="196"/>
      <c r="G257" s="196"/>
      <c r="H257" s="196"/>
      <c r="I257" s="196"/>
      <c r="J257" s="196"/>
    </row>
    <row r="258" spans="1:10" x14ac:dyDescent="0.25">
      <c r="A258" s="189"/>
      <c r="B258" s="189"/>
      <c r="C258" s="189"/>
      <c r="D258" s="196"/>
      <c r="E258" s="196"/>
      <c r="F258" s="196"/>
      <c r="G258" s="196"/>
      <c r="H258" s="196"/>
      <c r="I258" s="196"/>
      <c r="J258" s="196"/>
    </row>
    <row r="259" spans="1:10" x14ac:dyDescent="0.25">
      <c r="A259" s="189"/>
      <c r="B259" s="189"/>
      <c r="C259" s="189"/>
      <c r="D259" s="196"/>
      <c r="E259" s="196"/>
      <c r="F259" s="196"/>
      <c r="G259" s="196"/>
      <c r="H259" s="196"/>
      <c r="I259" s="196"/>
      <c r="J259" s="196"/>
    </row>
    <row r="260" spans="1:10" x14ac:dyDescent="0.25">
      <c r="A260" s="189"/>
      <c r="B260" s="189"/>
      <c r="C260" s="189"/>
      <c r="D260" s="196"/>
      <c r="E260" s="196"/>
      <c r="F260" s="196"/>
      <c r="G260" s="196"/>
      <c r="H260" s="196"/>
      <c r="I260" s="196"/>
      <c r="J260" s="196"/>
    </row>
    <row r="261" spans="1:10" x14ac:dyDescent="0.25">
      <c r="A261" s="189"/>
      <c r="B261" s="189"/>
      <c r="C261" s="189"/>
      <c r="D261" s="196"/>
      <c r="E261" s="196"/>
      <c r="F261" s="196"/>
      <c r="G261" s="196"/>
      <c r="H261" s="196"/>
      <c r="I261" s="196"/>
      <c r="J261" s="196"/>
    </row>
    <row r="262" spans="1:10" x14ac:dyDescent="0.25">
      <c r="A262" s="189"/>
      <c r="B262" s="189"/>
      <c r="C262" s="189"/>
      <c r="D262" s="196"/>
      <c r="E262" s="196"/>
      <c r="F262" s="196"/>
      <c r="G262" s="196"/>
      <c r="H262" s="196"/>
      <c r="I262" s="196"/>
      <c r="J262" s="196"/>
    </row>
    <row r="263" spans="1:10" x14ac:dyDescent="0.25">
      <c r="A263" s="189"/>
      <c r="B263" s="189"/>
      <c r="C263" s="189"/>
      <c r="D263" s="196"/>
      <c r="E263" s="196"/>
      <c r="F263" s="196"/>
      <c r="G263" s="196"/>
      <c r="H263" s="196"/>
      <c r="I263" s="196"/>
      <c r="J263" s="196"/>
    </row>
    <row r="264" spans="1:10" x14ac:dyDescent="0.25">
      <c r="A264" s="189"/>
      <c r="B264" s="189"/>
      <c r="C264" s="189"/>
      <c r="D264" s="196"/>
      <c r="E264" s="196"/>
      <c r="F264" s="196"/>
      <c r="G264" s="196"/>
      <c r="H264" s="196"/>
      <c r="I264" s="196"/>
      <c r="J264" s="196"/>
    </row>
    <row r="265" spans="1:10" x14ac:dyDescent="0.25">
      <c r="A265" s="189"/>
      <c r="B265" s="189"/>
      <c r="C265" s="189"/>
      <c r="D265" s="196"/>
      <c r="E265" s="196"/>
      <c r="F265" s="196"/>
      <c r="G265" s="196"/>
      <c r="H265" s="196"/>
      <c r="I265" s="196"/>
      <c r="J265" s="196"/>
    </row>
    <row r="266" spans="1:10" x14ac:dyDescent="0.25">
      <c r="A266" s="189"/>
      <c r="B266" s="189"/>
      <c r="C266" s="189"/>
      <c r="D266" s="196"/>
      <c r="E266" s="196"/>
      <c r="F266" s="196"/>
      <c r="G266" s="196"/>
      <c r="H266" s="196"/>
      <c r="I266" s="196"/>
      <c r="J266" s="196"/>
    </row>
    <row r="267" spans="1:10" x14ac:dyDescent="0.25">
      <c r="A267" s="189"/>
      <c r="B267" s="189"/>
      <c r="C267" s="189"/>
      <c r="D267" s="196"/>
      <c r="E267" s="196"/>
      <c r="F267" s="196"/>
      <c r="G267" s="196"/>
      <c r="H267" s="196"/>
      <c r="I267" s="196"/>
      <c r="J267" s="196"/>
    </row>
    <row r="268" spans="1:10" x14ac:dyDescent="0.25">
      <c r="A268" s="189"/>
      <c r="B268" s="189"/>
      <c r="C268" s="189"/>
      <c r="D268" s="196"/>
      <c r="E268" s="196"/>
      <c r="F268" s="196"/>
      <c r="G268" s="196"/>
      <c r="H268" s="196"/>
      <c r="I268" s="196"/>
      <c r="J268" s="196"/>
    </row>
    <row r="269" spans="1:10" x14ac:dyDescent="0.25">
      <c r="A269" s="189"/>
      <c r="B269" s="189"/>
      <c r="C269" s="189"/>
      <c r="D269" s="196"/>
      <c r="E269" s="196"/>
      <c r="F269" s="196"/>
      <c r="G269" s="196"/>
      <c r="H269" s="196"/>
      <c r="I269" s="196"/>
      <c r="J269" s="196"/>
    </row>
    <row r="270" spans="1:10" x14ac:dyDescent="0.25">
      <c r="A270" s="189"/>
      <c r="B270" s="189"/>
      <c r="C270" s="189"/>
      <c r="D270" s="196"/>
      <c r="E270" s="196"/>
      <c r="F270" s="196"/>
      <c r="G270" s="196"/>
      <c r="H270" s="196"/>
      <c r="I270" s="196"/>
      <c r="J270" s="196"/>
    </row>
    <row r="271" spans="1:10" x14ac:dyDescent="0.25">
      <c r="A271" s="189"/>
      <c r="B271" s="189"/>
      <c r="C271" s="189"/>
      <c r="D271" s="196"/>
      <c r="E271" s="196"/>
      <c r="F271" s="196"/>
      <c r="G271" s="196"/>
      <c r="H271" s="196"/>
      <c r="I271" s="196"/>
      <c r="J271" s="196"/>
    </row>
    <row r="272" spans="1:10" x14ac:dyDescent="0.25">
      <c r="A272" s="189"/>
      <c r="B272" s="189"/>
      <c r="C272" s="189"/>
      <c r="D272" s="196"/>
      <c r="E272" s="196"/>
      <c r="F272" s="196"/>
      <c r="G272" s="196"/>
      <c r="H272" s="196"/>
      <c r="I272" s="196"/>
      <c r="J272" s="196"/>
    </row>
    <row r="273" spans="1:10" x14ac:dyDescent="0.25">
      <c r="A273" s="189"/>
      <c r="B273" s="189"/>
      <c r="C273" s="189"/>
      <c r="D273" s="196"/>
      <c r="E273" s="196"/>
      <c r="F273" s="196"/>
      <c r="G273" s="196"/>
      <c r="H273" s="196"/>
      <c r="I273" s="196"/>
      <c r="J273" s="196"/>
    </row>
    <row r="274" spans="1:10" x14ac:dyDescent="0.25">
      <c r="A274" s="189"/>
      <c r="B274" s="189"/>
      <c r="C274" s="189"/>
      <c r="D274" s="196"/>
      <c r="E274" s="196"/>
      <c r="F274" s="196"/>
      <c r="G274" s="196"/>
      <c r="H274" s="196"/>
      <c r="I274" s="196"/>
      <c r="J274" s="196"/>
    </row>
    <row r="275" spans="1:10" x14ac:dyDescent="0.25">
      <c r="A275" s="189"/>
      <c r="B275" s="189"/>
      <c r="C275" s="189"/>
      <c r="D275" s="196"/>
      <c r="E275" s="196"/>
      <c r="F275" s="196"/>
      <c r="G275" s="196"/>
      <c r="H275" s="196"/>
      <c r="I275" s="196"/>
      <c r="J275" s="196"/>
    </row>
    <row r="276" spans="1:10" x14ac:dyDescent="0.25">
      <c r="A276" s="189"/>
      <c r="B276" s="189"/>
      <c r="C276" s="189"/>
      <c r="D276" s="196"/>
      <c r="E276" s="196"/>
      <c r="F276" s="196"/>
      <c r="G276" s="196"/>
      <c r="H276" s="196"/>
      <c r="I276" s="196"/>
      <c r="J276" s="196"/>
    </row>
    <row r="277" spans="1:10" x14ac:dyDescent="0.25">
      <c r="A277" s="189"/>
      <c r="B277" s="189"/>
      <c r="C277" s="189"/>
      <c r="D277" s="196"/>
      <c r="E277" s="196"/>
      <c r="F277" s="196"/>
      <c r="G277" s="196"/>
      <c r="H277" s="196"/>
      <c r="I277" s="196"/>
      <c r="J277" s="196"/>
    </row>
    <row r="278" spans="1:10" x14ac:dyDescent="0.25">
      <c r="A278" s="189"/>
      <c r="B278" s="189"/>
      <c r="C278" s="189"/>
      <c r="D278" s="196"/>
      <c r="E278" s="196"/>
      <c r="F278" s="196"/>
      <c r="G278" s="196"/>
      <c r="H278" s="196"/>
      <c r="I278" s="196"/>
      <c r="J278" s="196"/>
    </row>
    <row r="279" spans="1:10" x14ac:dyDescent="0.25">
      <c r="A279" s="189"/>
      <c r="B279" s="189"/>
      <c r="C279" s="189"/>
      <c r="D279" s="196"/>
      <c r="E279" s="196"/>
      <c r="F279" s="196"/>
      <c r="G279" s="196"/>
      <c r="H279" s="196"/>
      <c r="I279" s="196"/>
      <c r="J279" s="196"/>
    </row>
    <row r="280" spans="1:10" x14ac:dyDescent="0.25">
      <c r="A280" s="189"/>
      <c r="B280" s="189"/>
      <c r="C280" s="189"/>
      <c r="D280" s="196"/>
      <c r="E280" s="196"/>
      <c r="F280" s="196"/>
      <c r="G280" s="196"/>
      <c r="H280" s="196"/>
      <c r="I280" s="196"/>
      <c r="J280" s="196"/>
    </row>
    <row r="281" spans="1:10" x14ac:dyDescent="0.25">
      <c r="A281" s="189"/>
      <c r="B281" s="189"/>
      <c r="C281" s="189"/>
      <c r="D281" s="196"/>
      <c r="E281" s="196"/>
      <c r="F281" s="196"/>
      <c r="G281" s="196"/>
      <c r="H281" s="196"/>
      <c r="I281" s="196"/>
      <c r="J281" s="196"/>
    </row>
    <row r="282" spans="1:10" x14ac:dyDescent="0.25">
      <c r="A282" s="189"/>
      <c r="B282" s="189"/>
      <c r="C282" s="189"/>
      <c r="D282" s="196"/>
      <c r="E282" s="196"/>
      <c r="F282" s="196"/>
      <c r="G282" s="196"/>
      <c r="H282" s="196"/>
      <c r="I282" s="196"/>
      <c r="J282" s="196"/>
    </row>
    <row r="283" spans="1:10" x14ac:dyDescent="0.25">
      <c r="A283" s="189"/>
      <c r="B283" s="189"/>
      <c r="C283" s="189"/>
      <c r="D283" s="196"/>
      <c r="E283" s="196"/>
      <c r="F283" s="196"/>
      <c r="G283" s="196"/>
      <c r="H283" s="196"/>
      <c r="I283" s="196"/>
      <c r="J283" s="196"/>
    </row>
    <row r="284" spans="1:10" x14ac:dyDescent="0.25">
      <c r="A284" s="189"/>
      <c r="B284" s="189"/>
      <c r="C284" s="189"/>
      <c r="D284" s="196"/>
      <c r="E284" s="196"/>
      <c r="F284" s="196"/>
      <c r="G284" s="196"/>
      <c r="H284" s="196"/>
      <c r="I284" s="196"/>
      <c r="J284" s="196"/>
    </row>
    <row r="285" spans="1:10" x14ac:dyDescent="0.25">
      <c r="A285" s="189"/>
      <c r="B285" s="189"/>
      <c r="C285" s="189"/>
      <c r="D285" s="196"/>
      <c r="E285" s="196"/>
      <c r="F285" s="196"/>
      <c r="G285" s="196"/>
      <c r="H285" s="196"/>
      <c r="I285" s="196"/>
      <c r="J285" s="196"/>
    </row>
    <row r="286" spans="1:10" x14ac:dyDescent="0.25">
      <c r="A286" s="189"/>
      <c r="B286" s="189"/>
      <c r="C286" s="189"/>
      <c r="D286" s="196"/>
      <c r="E286" s="196"/>
      <c r="F286" s="196"/>
      <c r="G286" s="196"/>
      <c r="H286" s="196"/>
      <c r="I286" s="196"/>
      <c r="J286" s="196"/>
    </row>
    <row r="287" spans="1:10" x14ac:dyDescent="0.25">
      <c r="A287" s="189"/>
      <c r="B287" s="189"/>
      <c r="C287" s="189"/>
      <c r="D287" s="196"/>
      <c r="E287" s="196"/>
      <c r="F287" s="196"/>
      <c r="G287" s="196"/>
      <c r="H287" s="196"/>
      <c r="I287" s="196"/>
      <c r="J287" s="196"/>
    </row>
    <row r="288" spans="1:10" x14ac:dyDescent="0.25">
      <c r="A288" s="189"/>
      <c r="B288" s="189"/>
      <c r="C288" s="189"/>
      <c r="D288" s="196"/>
      <c r="E288" s="196"/>
      <c r="F288" s="196"/>
      <c r="G288" s="196"/>
      <c r="H288" s="196"/>
      <c r="I288" s="196"/>
      <c r="J288" s="196"/>
    </row>
    <row r="289" spans="1:10" x14ac:dyDescent="0.25">
      <c r="A289" s="189"/>
      <c r="B289" s="189"/>
      <c r="C289" s="189"/>
      <c r="D289" s="196"/>
      <c r="E289" s="196"/>
      <c r="F289" s="196"/>
      <c r="G289" s="196"/>
      <c r="H289" s="196"/>
      <c r="I289" s="196"/>
      <c r="J289" s="196"/>
    </row>
    <row r="290" spans="1:10" x14ac:dyDescent="0.25">
      <c r="A290" s="189"/>
      <c r="B290" s="189"/>
      <c r="C290" s="189"/>
      <c r="D290" s="196"/>
      <c r="E290" s="196"/>
      <c r="F290" s="196"/>
      <c r="G290" s="196"/>
      <c r="H290" s="196"/>
      <c r="I290" s="196"/>
      <c r="J290" s="196"/>
    </row>
    <row r="291" spans="1:10" x14ac:dyDescent="0.25">
      <c r="A291" s="189"/>
      <c r="B291" s="189"/>
      <c r="C291" s="189"/>
      <c r="D291" s="196"/>
      <c r="E291" s="196"/>
      <c r="F291" s="196"/>
      <c r="G291" s="196"/>
      <c r="H291" s="196"/>
      <c r="I291" s="196"/>
      <c r="J291" s="196"/>
    </row>
    <row r="292" spans="1:10" x14ac:dyDescent="0.25">
      <c r="A292" s="189"/>
      <c r="B292" s="189"/>
      <c r="C292" s="189"/>
      <c r="D292" s="196"/>
      <c r="E292" s="196"/>
      <c r="F292" s="196"/>
      <c r="G292" s="196"/>
      <c r="H292" s="196"/>
      <c r="I292" s="196"/>
      <c r="J292" s="196"/>
    </row>
    <row r="293" spans="1:10" x14ac:dyDescent="0.25">
      <c r="A293" s="189"/>
      <c r="B293" s="189"/>
      <c r="C293" s="189"/>
      <c r="D293" s="196"/>
      <c r="E293" s="196"/>
      <c r="F293" s="196"/>
      <c r="G293" s="196"/>
      <c r="H293" s="196"/>
      <c r="I293" s="196"/>
      <c r="J293" s="196"/>
    </row>
    <row r="294" spans="1:10" x14ac:dyDescent="0.25">
      <c r="A294" s="189"/>
      <c r="B294" s="189"/>
      <c r="C294" s="189"/>
      <c r="D294" s="196"/>
      <c r="E294" s="196"/>
      <c r="F294" s="196"/>
      <c r="G294" s="196"/>
      <c r="H294" s="196"/>
      <c r="I294" s="196"/>
      <c r="J294" s="196"/>
    </row>
    <row r="295" spans="1:10" x14ac:dyDescent="0.25">
      <c r="A295" s="189"/>
      <c r="B295" s="189"/>
      <c r="C295" s="189"/>
      <c r="D295" s="196"/>
      <c r="E295" s="196"/>
      <c r="F295" s="196"/>
      <c r="G295" s="196"/>
      <c r="H295" s="196"/>
      <c r="I295" s="196"/>
      <c r="J295" s="196"/>
    </row>
    <row r="296" spans="1:10" x14ac:dyDescent="0.25">
      <c r="A296" s="189"/>
      <c r="B296" s="189"/>
      <c r="C296" s="189"/>
      <c r="D296" s="196"/>
      <c r="E296" s="196"/>
      <c r="F296" s="196"/>
      <c r="G296" s="196"/>
      <c r="H296" s="196"/>
      <c r="I296" s="196"/>
      <c r="J296" s="196"/>
    </row>
    <row r="297" spans="1:10" x14ac:dyDescent="0.25">
      <c r="A297" s="189"/>
      <c r="B297" s="189"/>
      <c r="C297" s="189"/>
      <c r="D297" s="196"/>
      <c r="E297" s="196"/>
      <c r="F297" s="196"/>
      <c r="G297" s="196"/>
      <c r="H297" s="196"/>
      <c r="I297" s="196"/>
      <c r="J297" s="196"/>
    </row>
    <row r="298" spans="1:10" x14ac:dyDescent="0.25">
      <c r="A298" s="189"/>
      <c r="B298" s="189"/>
      <c r="C298" s="189"/>
      <c r="D298" s="196"/>
      <c r="E298" s="196"/>
      <c r="F298" s="196"/>
      <c r="G298" s="196"/>
      <c r="H298" s="196"/>
      <c r="I298" s="196"/>
      <c r="J298" s="196"/>
    </row>
    <row r="299" spans="1:10" x14ac:dyDescent="0.25">
      <c r="A299" s="189"/>
      <c r="B299" s="189"/>
      <c r="C299" s="189"/>
      <c r="D299" s="196"/>
      <c r="E299" s="196"/>
      <c r="F299" s="196"/>
      <c r="G299" s="196"/>
      <c r="H299" s="196"/>
      <c r="I299" s="196"/>
      <c r="J299" s="196"/>
    </row>
    <row r="300" spans="1:10" x14ac:dyDescent="0.25">
      <c r="A300" s="189"/>
      <c r="B300" s="189"/>
      <c r="C300" s="189"/>
      <c r="D300" s="196"/>
      <c r="E300" s="196"/>
      <c r="F300" s="196"/>
      <c r="G300" s="196"/>
      <c r="H300" s="196"/>
      <c r="I300" s="196"/>
      <c r="J300" s="196"/>
    </row>
    <row r="301" spans="1:10" x14ac:dyDescent="0.25">
      <c r="A301" s="189"/>
      <c r="B301" s="189"/>
      <c r="C301" s="189"/>
      <c r="D301" s="196"/>
      <c r="E301" s="196"/>
      <c r="F301" s="196"/>
      <c r="G301" s="196"/>
      <c r="H301" s="196"/>
      <c r="I301" s="196"/>
      <c r="J301" s="196"/>
    </row>
    <row r="302" spans="1:10" x14ac:dyDescent="0.25">
      <c r="A302" s="189"/>
      <c r="B302" s="189"/>
      <c r="C302" s="189"/>
      <c r="D302" s="196"/>
      <c r="E302" s="196"/>
      <c r="F302" s="196"/>
      <c r="G302" s="196"/>
      <c r="H302" s="196"/>
      <c r="I302" s="196"/>
      <c r="J302" s="196"/>
    </row>
    <row r="303" spans="1:10" x14ac:dyDescent="0.25">
      <c r="A303" s="189"/>
      <c r="B303" s="189"/>
      <c r="C303" s="189"/>
      <c r="D303" s="196"/>
      <c r="E303" s="196"/>
      <c r="F303" s="196"/>
      <c r="G303" s="196"/>
      <c r="H303" s="196"/>
      <c r="I303" s="196"/>
      <c r="J303" s="196"/>
    </row>
    <row r="304" spans="1:10" x14ac:dyDescent="0.25">
      <c r="A304" s="189"/>
      <c r="B304" s="189"/>
      <c r="C304" s="189"/>
      <c r="D304" s="196"/>
      <c r="E304" s="196"/>
      <c r="F304" s="196"/>
      <c r="G304" s="196"/>
      <c r="H304" s="196"/>
      <c r="I304" s="196"/>
      <c r="J304" s="196"/>
    </row>
    <row r="305" spans="1:10" x14ac:dyDescent="0.25">
      <c r="A305" s="189"/>
      <c r="B305" s="189"/>
      <c r="C305" s="189"/>
      <c r="D305" s="196"/>
      <c r="E305" s="196"/>
      <c r="F305" s="196"/>
      <c r="G305" s="196"/>
      <c r="H305" s="196"/>
      <c r="I305" s="196"/>
      <c r="J305" s="196"/>
    </row>
    <row r="306" spans="1:10" x14ac:dyDescent="0.25">
      <c r="A306" s="189"/>
      <c r="B306" s="189"/>
      <c r="C306" s="189"/>
      <c r="D306" s="196"/>
      <c r="E306" s="196"/>
      <c r="F306" s="196"/>
      <c r="G306" s="196"/>
      <c r="H306" s="196"/>
      <c r="I306" s="196"/>
      <c r="J306" s="196"/>
    </row>
    <row r="307" spans="1:10" x14ac:dyDescent="0.25">
      <c r="A307" s="189"/>
      <c r="B307" s="189"/>
      <c r="C307" s="189"/>
      <c r="D307" s="196"/>
      <c r="E307" s="196"/>
      <c r="F307" s="196"/>
      <c r="G307" s="196"/>
      <c r="H307" s="196"/>
      <c r="I307" s="196"/>
      <c r="J307" s="196"/>
    </row>
    <row r="308" spans="1:10" x14ac:dyDescent="0.25">
      <c r="A308" s="189"/>
      <c r="B308" s="189"/>
      <c r="C308" s="189"/>
      <c r="D308" s="196"/>
      <c r="E308" s="196"/>
      <c r="F308" s="196"/>
      <c r="G308" s="196"/>
      <c r="H308" s="196"/>
      <c r="I308" s="196"/>
      <c r="J308" s="196"/>
    </row>
    <row r="309" spans="1:10" x14ac:dyDescent="0.25">
      <c r="A309" s="189"/>
      <c r="B309" s="189"/>
      <c r="C309" s="189"/>
      <c r="D309" s="196"/>
      <c r="E309" s="196"/>
      <c r="F309" s="196"/>
      <c r="G309" s="196"/>
      <c r="H309" s="196"/>
      <c r="I309" s="196"/>
      <c r="J309" s="196"/>
    </row>
    <row r="310" spans="1:10" x14ac:dyDescent="0.25">
      <c r="A310" s="189"/>
      <c r="B310" s="189"/>
      <c r="C310" s="189"/>
      <c r="D310" s="196"/>
      <c r="E310" s="196"/>
      <c r="F310" s="196"/>
      <c r="G310" s="196"/>
      <c r="H310" s="196"/>
      <c r="I310" s="196"/>
      <c r="J310" s="196"/>
    </row>
    <row r="311" spans="1:10" x14ac:dyDescent="0.25">
      <c r="A311" s="189"/>
      <c r="B311" s="189"/>
      <c r="C311" s="189"/>
      <c r="D311" s="196"/>
      <c r="E311" s="196"/>
      <c r="F311" s="196"/>
      <c r="G311" s="196"/>
      <c r="H311" s="196"/>
      <c r="I311" s="196"/>
      <c r="J311" s="196"/>
    </row>
    <row r="312" spans="1:10" x14ac:dyDescent="0.25">
      <c r="A312" s="189"/>
      <c r="B312" s="189"/>
      <c r="C312" s="189"/>
      <c r="D312" s="196"/>
      <c r="E312" s="196"/>
      <c r="F312" s="196"/>
      <c r="G312" s="196"/>
      <c r="H312" s="196"/>
      <c r="I312" s="196"/>
      <c r="J312" s="196"/>
    </row>
    <row r="313" spans="1:10" x14ac:dyDescent="0.25">
      <c r="A313" s="189"/>
      <c r="B313" s="189"/>
      <c r="C313" s="189"/>
      <c r="D313" s="196"/>
      <c r="E313" s="196"/>
      <c r="F313" s="196"/>
      <c r="G313" s="196"/>
      <c r="H313" s="196"/>
      <c r="I313" s="196"/>
      <c r="J313" s="196"/>
    </row>
    <row r="314" spans="1:10" x14ac:dyDescent="0.25">
      <c r="A314" s="189"/>
      <c r="B314" s="189"/>
      <c r="C314" s="189"/>
      <c r="D314" s="196"/>
      <c r="E314" s="196"/>
      <c r="F314" s="196"/>
      <c r="G314" s="196"/>
      <c r="H314" s="196"/>
      <c r="I314" s="196"/>
      <c r="J314" s="196"/>
    </row>
    <row r="315" spans="1:10" x14ac:dyDescent="0.25">
      <c r="A315" s="189"/>
      <c r="B315" s="189"/>
      <c r="C315" s="189"/>
      <c r="D315" s="196"/>
      <c r="E315" s="196"/>
      <c r="F315" s="196"/>
      <c r="G315" s="196"/>
      <c r="H315" s="196"/>
      <c r="I315" s="196"/>
      <c r="J315" s="196"/>
    </row>
    <row r="316" spans="1:10" x14ac:dyDescent="0.25">
      <c r="A316" s="189"/>
      <c r="B316" s="189"/>
      <c r="C316" s="189"/>
      <c r="D316" s="196"/>
      <c r="E316" s="196"/>
      <c r="F316" s="196"/>
      <c r="G316" s="196"/>
      <c r="H316" s="196"/>
      <c r="I316" s="196"/>
      <c r="J316" s="196"/>
    </row>
    <row r="317" spans="1:10" x14ac:dyDescent="0.25">
      <c r="A317" s="189"/>
      <c r="B317" s="189"/>
      <c r="C317" s="189"/>
      <c r="D317" s="196"/>
      <c r="E317" s="196"/>
      <c r="F317" s="196"/>
      <c r="G317" s="196"/>
      <c r="H317" s="196"/>
      <c r="I317" s="196"/>
      <c r="J317" s="196"/>
    </row>
    <row r="318" spans="1:10" x14ac:dyDescent="0.25">
      <c r="A318" s="189"/>
      <c r="B318" s="189"/>
      <c r="C318" s="189"/>
      <c r="D318" s="196"/>
      <c r="E318" s="196"/>
      <c r="F318" s="196"/>
      <c r="G318" s="196"/>
      <c r="H318" s="196"/>
      <c r="I318" s="196"/>
      <c r="J318" s="196"/>
    </row>
    <row r="319" spans="1:10" x14ac:dyDescent="0.25">
      <c r="A319" s="189"/>
      <c r="B319" s="189"/>
      <c r="C319" s="189"/>
      <c r="D319" s="196"/>
      <c r="E319" s="196"/>
      <c r="F319" s="196"/>
      <c r="G319" s="196"/>
      <c r="H319" s="196"/>
      <c r="I319" s="196"/>
      <c r="J319" s="196"/>
    </row>
    <row r="320" spans="1:10" x14ac:dyDescent="0.25">
      <c r="A320" s="189"/>
      <c r="B320" s="189"/>
      <c r="C320" s="189"/>
      <c r="D320" s="196"/>
      <c r="E320" s="196"/>
      <c r="F320" s="196"/>
      <c r="G320" s="196"/>
      <c r="H320" s="196"/>
      <c r="I320" s="196"/>
      <c r="J320" s="196"/>
    </row>
    <row r="321" spans="1:10" x14ac:dyDescent="0.25">
      <c r="A321" s="189"/>
      <c r="B321" s="189"/>
      <c r="C321" s="189"/>
      <c r="D321" s="196"/>
      <c r="E321" s="196"/>
      <c r="F321" s="196"/>
      <c r="G321" s="196"/>
      <c r="H321" s="196"/>
      <c r="I321" s="196"/>
      <c r="J321" s="196"/>
    </row>
    <row r="322" spans="1:10" x14ac:dyDescent="0.25">
      <c r="A322" s="189"/>
      <c r="B322" s="189"/>
      <c r="C322" s="189"/>
      <c r="D322" s="196"/>
      <c r="E322" s="196"/>
      <c r="F322" s="196"/>
      <c r="G322" s="196"/>
      <c r="H322" s="196"/>
      <c r="I322" s="196"/>
      <c r="J322" s="196"/>
    </row>
    <row r="323" spans="1:10" x14ac:dyDescent="0.25">
      <c r="A323" s="189"/>
      <c r="B323" s="189"/>
      <c r="C323" s="189"/>
      <c r="D323" s="196"/>
      <c r="E323" s="196"/>
      <c r="F323" s="196"/>
      <c r="G323" s="196"/>
      <c r="H323" s="196"/>
      <c r="I323" s="196"/>
      <c r="J323" s="196"/>
    </row>
    <row r="324" spans="1:10" x14ac:dyDescent="0.25">
      <c r="A324" s="189"/>
      <c r="B324" s="189"/>
      <c r="C324" s="189"/>
      <c r="D324" s="196"/>
      <c r="E324" s="196"/>
      <c r="F324" s="196"/>
      <c r="G324" s="196"/>
      <c r="H324" s="196"/>
      <c r="I324" s="196"/>
      <c r="J324" s="196"/>
    </row>
    <row r="325" spans="1:10" x14ac:dyDescent="0.25">
      <c r="A325" s="189"/>
      <c r="B325" s="189"/>
      <c r="C325" s="189"/>
      <c r="D325" s="196"/>
      <c r="E325" s="196"/>
      <c r="F325" s="196"/>
      <c r="G325" s="196"/>
      <c r="H325" s="196"/>
      <c r="I325" s="196"/>
      <c r="J325" s="196"/>
    </row>
    <row r="326" spans="1:10" x14ac:dyDescent="0.25">
      <c r="A326" s="189"/>
      <c r="B326" s="189"/>
      <c r="C326" s="189"/>
      <c r="D326" s="196"/>
      <c r="E326" s="196"/>
      <c r="F326" s="196"/>
      <c r="G326" s="196"/>
      <c r="H326" s="196"/>
      <c r="I326" s="196"/>
      <c r="J326" s="196"/>
    </row>
    <row r="327" spans="1:10" x14ac:dyDescent="0.25">
      <c r="A327" s="189"/>
      <c r="B327" s="189"/>
      <c r="C327" s="189"/>
      <c r="D327" s="196"/>
      <c r="E327" s="196"/>
      <c r="F327" s="196"/>
      <c r="G327" s="196"/>
      <c r="H327" s="196"/>
      <c r="I327" s="196"/>
      <c r="J327" s="196"/>
    </row>
    <row r="328" spans="1:10" x14ac:dyDescent="0.25">
      <c r="A328" s="189"/>
      <c r="B328" s="189"/>
      <c r="C328" s="189"/>
      <c r="D328" s="196"/>
      <c r="E328" s="196"/>
      <c r="F328" s="196"/>
      <c r="G328" s="196"/>
      <c r="H328" s="196"/>
      <c r="I328" s="196"/>
      <c r="J328" s="196"/>
    </row>
    <row r="329" spans="1:10" x14ac:dyDescent="0.25">
      <c r="A329" s="189"/>
      <c r="B329" s="189"/>
      <c r="C329" s="189"/>
      <c r="D329" s="196"/>
      <c r="E329" s="196"/>
      <c r="F329" s="196"/>
      <c r="G329" s="196"/>
      <c r="H329" s="196"/>
      <c r="I329" s="196"/>
      <c r="J329" s="196"/>
    </row>
    <row r="330" spans="1:10" x14ac:dyDescent="0.25">
      <c r="A330" s="189"/>
      <c r="B330" s="189"/>
      <c r="C330" s="189"/>
      <c r="D330" s="196"/>
      <c r="E330" s="196"/>
      <c r="F330" s="196"/>
      <c r="G330" s="196"/>
      <c r="H330" s="196"/>
      <c r="I330" s="196"/>
      <c r="J330" s="196"/>
    </row>
    <row r="331" spans="1:10" x14ac:dyDescent="0.25">
      <c r="A331" s="189"/>
      <c r="B331" s="189"/>
      <c r="C331" s="189"/>
      <c r="D331" s="196"/>
      <c r="E331" s="196"/>
      <c r="F331" s="196"/>
      <c r="G331" s="196"/>
      <c r="H331" s="196"/>
      <c r="I331" s="196"/>
      <c r="J331" s="196"/>
    </row>
    <row r="332" spans="1:10" x14ac:dyDescent="0.25">
      <c r="A332" s="189"/>
      <c r="B332" s="189"/>
      <c r="C332" s="189"/>
      <c r="D332" s="196"/>
      <c r="E332" s="196"/>
      <c r="F332" s="196"/>
      <c r="G332" s="196"/>
      <c r="H332" s="196"/>
      <c r="I332" s="196"/>
      <c r="J332" s="196"/>
    </row>
    <row r="333" spans="1:10" x14ac:dyDescent="0.25">
      <c r="A333" s="189"/>
      <c r="B333" s="189"/>
      <c r="C333" s="189"/>
      <c r="D333" s="196"/>
      <c r="E333" s="196"/>
      <c r="F333" s="196"/>
      <c r="G333" s="196"/>
      <c r="H333" s="196"/>
      <c r="I333" s="196"/>
      <c r="J333" s="196"/>
    </row>
    <row r="334" spans="1:10" x14ac:dyDescent="0.25">
      <c r="A334" s="189"/>
      <c r="B334" s="189"/>
      <c r="C334" s="189"/>
      <c r="D334" s="196"/>
      <c r="E334" s="196"/>
      <c r="F334" s="196"/>
      <c r="G334" s="196"/>
      <c r="H334" s="196"/>
      <c r="I334" s="196"/>
      <c r="J334" s="196"/>
    </row>
    <row r="335" spans="1:10" x14ac:dyDescent="0.25">
      <c r="A335" s="189"/>
      <c r="B335" s="189"/>
      <c r="C335" s="189"/>
      <c r="D335" s="196"/>
      <c r="E335" s="196"/>
      <c r="F335" s="196"/>
      <c r="G335" s="196"/>
      <c r="H335" s="196"/>
      <c r="I335" s="196"/>
      <c r="J335" s="196"/>
    </row>
    <row r="336" spans="1:10" x14ac:dyDescent="0.25">
      <c r="A336" s="189"/>
      <c r="B336" s="189"/>
      <c r="C336" s="189"/>
      <c r="D336" s="196"/>
      <c r="E336" s="196"/>
      <c r="F336" s="196"/>
      <c r="G336" s="196"/>
      <c r="H336" s="196"/>
      <c r="I336" s="196"/>
      <c r="J336" s="196"/>
    </row>
    <row r="337" spans="1:10" x14ac:dyDescent="0.25">
      <c r="A337" s="189"/>
      <c r="B337" s="189"/>
      <c r="C337" s="189"/>
      <c r="D337" s="196"/>
      <c r="E337" s="196"/>
      <c r="F337" s="196"/>
      <c r="G337" s="196"/>
      <c r="H337" s="196"/>
      <c r="I337" s="196"/>
      <c r="J337" s="196"/>
    </row>
    <row r="338" spans="1:10" x14ac:dyDescent="0.25">
      <c r="A338" s="189"/>
      <c r="B338" s="189"/>
      <c r="C338" s="189"/>
      <c r="D338" s="196"/>
      <c r="E338" s="196"/>
      <c r="F338" s="196"/>
      <c r="G338" s="196"/>
      <c r="H338" s="196"/>
      <c r="I338" s="196"/>
      <c r="J338" s="196"/>
    </row>
    <row r="339" spans="1:10" x14ac:dyDescent="0.25">
      <c r="A339" s="189"/>
      <c r="B339" s="189"/>
      <c r="C339" s="189"/>
      <c r="D339" s="196"/>
      <c r="E339" s="196"/>
      <c r="F339" s="196"/>
      <c r="G339" s="196"/>
      <c r="H339" s="196"/>
      <c r="I339" s="196"/>
      <c r="J339" s="196"/>
    </row>
    <row r="340" spans="1:10" x14ac:dyDescent="0.25">
      <c r="A340" s="189"/>
      <c r="B340" s="189"/>
      <c r="C340" s="189"/>
      <c r="D340" s="196"/>
      <c r="E340" s="196"/>
      <c r="F340" s="196"/>
      <c r="G340" s="196"/>
      <c r="H340" s="196"/>
      <c r="I340" s="196"/>
      <c r="J340" s="196"/>
    </row>
    <row r="341" spans="1:10" x14ac:dyDescent="0.25">
      <c r="A341" s="189"/>
      <c r="B341" s="189"/>
      <c r="C341" s="189"/>
      <c r="D341" s="196"/>
      <c r="E341" s="196"/>
      <c r="F341" s="196"/>
      <c r="G341" s="196"/>
      <c r="H341" s="196"/>
      <c r="I341" s="196"/>
      <c r="J341" s="196"/>
    </row>
    <row r="342" spans="1:10" x14ac:dyDescent="0.25">
      <c r="A342" s="189"/>
      <c r="B342" s="189"/>
      <c r="C342" s="189"/>
      <c r="D342" s="196"/>
      <c r="E342" s="196"/>
      <c r="F342" s="196"/>
      <c r="G342" s="196"/>
      <c r="H342" s="196"/>
      <c r="I342" s="196"/>
      <c r="J342" s="196"/>
    </row>
    <row r="343" spans="1:10" x14ac:dyDescent="0.25">
      <c r="A343" s="189"/>
      <c r="B343" s="189"/>
      <c r="C343" s="189"/>
      <c r="D343" s="196"/>
      <c r="E343" s="196"/>
      <c r="F343" s="196"/>
      <c r="G343" s="196"/>
      <c r="H343" s="196"/>
      <c r="I343" s="196"/>
      <c r="J343" s="196"/>
    </row>
    <row r="344" spans="1:10" x14ac:dyDescent="0.25">
      <c r="A344" s="189"/>
      <c r="B344" s="189"/>
      <c r="C344" s="189"/>
      <c r="D344" s="196"/>
      <c r="E344" s="196"/>
      <c r="F344" s="196"/>
      <c r="G344" s="196"/>
      <c r="H344" s="196"/>
      <c r="I344" s="196"/>
      <c r="J344" s="196"/>
    </row>
    <row r="345" spans="1:10" x14ac:dyDescent="0.25">
      <c r="A345" s="189"/>
      <c r="B345" s="189"/>
      <c r="C345" s="189"/>
      <c r="D345" s="196"/>
      <c r="E345" s="196"/>
      <c r="F345" s="196"/>
      <c r="G345" s="196"/>
      <c r="H345" s="196"/>
      <c r="I345" s="196"/>
      <c r="J345" s="196"/>
    </row>
    <row r="346" spans="1:10" x14ac:dyDescent="0.25">
      <c r="A346" s="189"/>
      <c r="B346" s="189"/>
      <c r="C346" s="189"/>
      <c r="D346" s="196"/>
      <c r="E346" s="196"/>
      <c r="F346" s="196"/>
      <c r="G346" s="196"/>
      <c r="H346" s="196"/>
      <c r="I346" s="196"/>
      <c r="J346" s="196"/>
    </row>
    <row r="347" spans="1:10" x14ac:dyDescent="0.25">
      <c r="A347" s="189"/>
      <c r="B347" s="189"/>
      <c r="C347" s="189"/>
      <c r="D347" s="196"/>
      <c r="E347" s="196"/>
      <c r="F347" s="196"/>
      <c r="G347" s="196"/>
      <c r="H347" s="196"/>
      <c r="I347" s="196"/>
      <c r="J347" s="196"/>
    </row>
    <row r="348" spans="1:10" x14ac:dyDescent="0.25">
      <c r="A348" s="189"/>
      <c r="B348" s="189"/>
      <c r="C348" s="189"/>
      <c r="D348" s="196"/>
      <c r="E348" s="196"/>
      <c r="F348" s="196"/>
      <c r="G348" s="196"/>
      <c r="H348" s="196"/>
      <c r="I348" s="196"/>
      <c r="J348" s="196"/>
    </row>
    <row r="349" spans="1:10" x14ac:dyDescent="0.25">
      <c r="A349" s="189"/>
      <c r="B349" s="189"/>
      <c r="C349" s="189"/>
      <c r="D349" s="196"/>
      <c r="E349" s="196"/>
      <c r="F349" s="196"/>
      <c r="G349" s="196"/>
      <c r="H349" s="196"/>
      <c r="I349" s="196"/>
      <c r="J349" s="196"/>
    </row>
    <row r="350" spans="1:10" x14ac:dyDescent="0.25">
      <c r="A350" s="189"/>
      <c r="B350" s="189"/>
      <c r="C350" s="189"/>
      <c r="D350" s="196"/>
      <c r="E350" s="196"/>
      <c r="F350" s="196"/>
      <c r="G350" s="196"/>
      <c r="H350" s="196"/>
      <c r="I350" s="196"/>
      <c r="J350" s="196"/>
    </row>
    <row r="351" spans="1:10" x14ac:dyDescent="0.25">
      <c r="A351" s="189"/>
      <c r="B351" s="189"/>
      <c r="C351" s="189"/>
      <c r="D351" s="196"/>
      <c r="E351" s="196"/>
      <c r="F351" s="196"/>
      <c r="G351" s="196"/>
      <c r="H351" s="196"/>
      <c r="I351" s="196"/>
      <c r="J351" s="196"/>
    </row>
    <row r="352" spans="1:10" x14ac:dyDescent="0.25">
      <c r="A352" s="189"/>
      <c r="B352" s="189"/>
      <c r="C352" s="189"/>
      <c r="D352" s="196"/>
      <c r="E352" s="196"/>
      <c r="F352" s="196"/>
      <c r="G352" s="196"/>
      <c r="H352" s="196"/>
      <c r="I352" s="196"/>
      <c r="J352" s="196"/>
    </row>
    <row r="353" spans="1:10" x14ac:dyDescent="0.25">
      <c r="A353" s="189"/>
      <c r="B353" s="189"/>
      <c r="C353" s="189"/>
      <c r="D353" s="196"/>
      <c r="E353" s="196"/>
      <c r="F353" s="196"/>
      <c r="G353" s="196"/>
      <c r="H353" s="196"/>
      <c r="I353" s="196"/>
      <c r="J353" s="196"/>
    </row>
    <row r="354" spans="1:10" x14ac:dyDescent="0.25">
      <c r="A354" s="189"/>
      <c r="B354" s="189"/>
      <c r="C354" s="189"/>
      <c r="D354" s="196"/>
      <c r="E354" s="196"/>
      <c r="F354" s="196"/>
      <c r="G354" s="196"/>
      <c r="H354" s="196"/>
      <c r="I354" s="196"/>
      <c r="J354" s="196"/>
    </row>
    <row r="355" spans="1:10" x14ac:dyDescent="0.25">
      <c r="A355" s="189"/>
      <c r="B355" s="189"/>
      <c r="C355" s="189"/>
      <c r="D355" s="196"/>
      <c r="E355" s="196"/>
      <c r="F355" s="196"/>
      <c r="G355" s="196"/>
      <c r="H355" s="196"/>
      <c r="I355" s="196"/>
      <c r="J355" s="196"/>
    </row>
    <row r="356" spans="1:10" x14ac:dyDescent="0.25">
      <c r="A356" s="189"/>
      <c r="B356" s="189"/>
      <c r="C356" s="189"/>
      <c r="D356" s="196"/>
      <c r="E356" s="196"/>
      <c r="F356" s="196"/>
      <c r="G356" s="196"/>
      <c r="H356" s="196"/>
      <c r="I356" s="196"/>
      <c r="J356" s="196"/>
    </row>
    <row r="357" spans="1:10" x14ac:dyDescent="0.25">
      <c r="A357" s="189"/>
      <c r="B357" s="189"/>
      <c r="C357" s="189"/>
      <c r="D357" s="196"/>
      <c r="E357" s="196"/>
      <c r="F357" s="196"/>
      <c r="G357" s="196"/>
      <c r="H357" s="196"/>
      <c r="I357" s="196"/>
      <c r="J357" s="196"/>
    </row>
    <row r="358" spans="1:10" x14ac:dyDescent="0.25">
      <c r="A358" s="189"/>
      <c r="B358" s="189"/>
      <c r="C358" s="189"/>
      <c r="D358" s="196"/>
      <c r="E358" s="196"/>
      <c r="F358" s="196"/>
      <c r="G358" s="196"/>
      <c r="H358" s="196"/>
      <c r="I358" s="196"/>
      <c r="J358" s="196"/>
    </row>
    <row r="359" spans="1:10" x14ac:dyDescent="0.25">
      <c r="A359" s="189"/>
      <c r="B359" s="189"/>
      <c r="C359" s="189"/>
      <c r="D359" s="196"/>
      <c r="E359" s="196"/>
      <c r="F359" s="196"/>
      <c r="G359" s="196"/>
      <c r="H359" s="196"/>
      <c r="I359" s="196"/>
      <c r="J359" s="196"/>
    </row>
    <row r="360" spans="1:10" x14ac:dyDescent="0.25">
      <c r="A360" s="189"/>
      <c r="B360" s="189"/>
      <c r="C360" s="189"/>
      <c r="D360" s="196"/>
      <c r="E360" s="196"/>
      <c r="F360" s="196"/>
      <c r="G360" s="196"/>
      <c r="H360" s="196"/>
      <c r="I360" s="196"/>
      <c r="J360" s="196"/>
    </row>
    <row r="361" spans="1:10" x14ac:dyDescent="0.25">
      <c r="A361" s="189"/>
      <c r="B361" s="189"/>
      <c r="C361" s="189"/>
      <c r="D361" s="196"/>
      <c r="E361" s="196"/>
      <c r="F361" s="196"/>
      <c r="G361" s="196"/>
      <c r="H361" s="196"/>
      <c r="I361" s="196"/>
      <c r="J361" s="196"/>
    </row>
    <row r="362" spans="1:10" x14ac:dyDescent="0.25">
      <c r="A362" s="189"/>
      <c r="B362" s="189"/>
      <c r="C362" s="189"/>
      <c r="D362" s="196"/>
      <c r="E362" s="196"/>
      <c r="F362" s="196"/>
      <c r="G362" s="196"/>
      <c r="H362" s="196"/>
      <c r="I362" s="196"/>
      <c r="J362" s="196"/>
    </row>
    <row r="363" spans="1:10" x14ac:dyDescent="0.25">
      <c r="A363" s="189"/>
      <c r="B363" s="189"/>
      <c r="C363" s="189"/>
      <c r="D363" s="196"/>
      <c r="E363" s="196"/>
      <c r="F363" s="196"/>
      <c r="G363" s="196"/>
      <c r="H363" s="196"/>
      <c r="I363" s="196"/>
      <c r="J363" s="196"/>
    </row>
    <row r="364" spans="1:10" x14ac:dyDescent="0.25">
      <c r="A364" s="189"/>
      <c r="B364" s="189"/>
      <c r="C364" s="189"/>
      <c r="D364" s="196"/>
      <c r="E364" s="196"/>
      <c r="F364" s="196"/>
      <c r="G364" s="196"/>
      <c r="H364" s="196"/>
      <c r="I364" s="196"/>
      <c r="J364" s="196"/>
    </row>
    <row r="365" spans="1:10" x14ac:dyDescent="0.25">
      <c r="A365" s="189"/>
      <c r="B365" s="189"/>
      <c r="C365" s="189"/>
      <c r="D365" s="196"/>
      <c r="E365" s="196"/>
      <c r="F365" s="196"/>
      <c r="G365" s="196"/>
      <c r="H365" s="196"/>
      <c r="I365" s="196"/>
      <c r="J365" s="196"/>
    </row>
    <row r="366" spans="1:10" x14ac:dyDescent="0.25">
      <c r="A366" s="189"/>
      <c r="B366" s="189"/>
      <c r="C366" s="189"/>
      <c r="D366" s="196"/>
      <c r="E366" s="196"/>
      <c r="F366" s="196"/>
      <c r="G366" s="196"/>
      <c r="H366" s="196"/>
      <c r="I366" s="196"/>
      <c r="J366" s="196"/>
    </row>
    <row r="367" spans="1:10" x14ac:dyDescent="0.25">
      <c r="A367" s="189"/>
      <c r="B367" s="189"/>
      <c r="C367" s="189"/>
      <c r="D367" s="196"/>
      <c r="E367" s="196"/>
      <c r="F367" s="196"/>
      <c r="G367" s="196"/>
      <c r="H367" s="196"/>
      <c r="I367" s="196"/>
      <c r="J367" s="196"/>
    </row>
    <row r="368" spans="1:10" x14ac:dyDescent="0.25">
      <c r="A368" s="189"/>
      <c r="B368" s="189"/>
      <c r="C368" s="189"/>
      <c r="D368" s="196"/>
      <c r="E368" s="196"/>
      <c r="F368" s="196"/>
      <c r="G368" s="196"/>
      <c r="H368" s="196"/>
      <c r="I368" s="196"/>
      <c r="J368" s="196"/>
    </row>
    <row r="369" spans="1:10" x14ac:dyDescent="0.25">
      <c r="A369" s="189"/>
      <c r="B369" s="189"/>
      <c r="C369" s="189"/>
      <c r="D369" s="196"/>
      <c r="E369" s="196"/>
      <c r="F369" s="196"/>
      <c r="G369" s="196"/>
      <c r="H369" s="196"/>
      <c r="I369" s="196"/>
      <c r="J369" s="196"/>
    </row>
    <row r="370" spans="1:10" x14ac:dyDescent="0.25">
      <c r="A370" s="189"/>
      <c r="B370" s="189"/>
      <c r="C370" s="189"/>
      <c r="D370" s="196"/>
      <c r="E370" s="196"/>
      <c r="F370" s="196"/>
      <c r="G370" s="196"/>
      <c r="H370" s="196"/>
      <c r="I370" s="196"/>
      <c r="J370" s="196"/>
    </row>
    <row r="371" spans="1:10" x14ac:dyDescent="0.25">
      <c r="A371" s="189"/>
      <c r="B371" s="189"/>
      <c r="C371" s="189"/>
      <c r="D371" s="196"/>
      <c r="E371" s="196"/>
      <c r="F371" s="196"/>
      <c r="G371" s="196"/>
      <c r="H371" s="196"/>
      <c r="I371" s="196"/>
      <c r="J371" s="196"/>
    </row>
    <row r="372" spans="1:10" x14ac:dyDescent="0.25">
      <c r="A372" s="189"/>
      <c r="B372" s="189"/>
      <c r="C372" s="189"/>
      <c r="D372" s="196"/>
      <c r="E372" s="196"/>
      <c r="F372" s="196"/>
      <c r="G372" s="196"/>
      <c r="H372" s="196"/>
      <c r="I372" s="196"/>
      <c r="J372" s="196"/>
    </row>
    <row r="373" spans="1:10" x14ac:dyDescent="0.25">
      <c r="A373" s="189"/>
      <c r="B373" s="189"/>
      <c r="C373" s="189"/>
      <c r="D373" s="196"/>
      <c r="E373" s="196"/>
      <c r="F373" s="196"/>
      <c r="G373" s="196"/>
      <c r="H373" s="196"/>
      <c r="I373" s="196"/>
      <c r="J373" s="196"/>
    </row>
    <row r="374" spans="1:10" x14ac:dyDescent="0.25">
      <c r="A374" s="189"/>
      <c r="B374" s="189"/>
      <c r="C374" s="189"/>
      <c r="D374" s="196"/>
      <c r="E374" s="196"/>
      <c r="F374" s="196"/>
      <c r="G374" s="196"/>
      <c r="H374" s="196"/>
      <c r="I374" s="196"/>
      <c r="J374" s="196"/>
    </row>
    <row r="375" spans="1:10" x14ac:dyDescent="0.25">
      <c r="A375" s="189"/>
      <c r="B375" s="189"/>
      <c r="C375" s="189"/>
      <c r="D375" s="196"/>
      <c r="E375" s="196"/>
      <c r="F375" s="196"/>
      <c r="G375" s="196"/>
      <c r="H375" s="196"/>
      <c r="I375" s="196"/>
      <c r="J375" s="196"/>
    </row>
    <row r="376" spans="1:10" x14ac:dyDescent="0.25">
      <c r="A376" s="189"/>
      <c r="B376" s="189"/>
      <c r="C376" s="189"/>
      <c r="D376" s="196"/>
      <c r="E376" s="196"/>
      <c r="F376" s="196"/>
      <c r="G376" s="196"/>
      <c r="H376" s="196"/>
      <c r="I376" s="196"/>
      <c r="J376" s="196"/>
    </row>
    <row r="377" spans="1:10" x14ac:dyDescent="0.25">
      <c r="A377" s="189"/>
      <c r="B377" s="189"/>
      <c r="C377" s="189"/>
      <c r="D377" s="196"/>
      <c r="E377" s="196"/>
      <c r="F377" s="196"/>
      <c r="G377" s="196"/>
      <c r="H377" s="196"/>
      <c r="I377" s="196"/>
      <c r="J377" s="196"/>
    </row>
    <row r="378" spans="1:10" x14ac:dyDescent="0.25">
      <c r="A378" s="189"/>
      <c r="B378" s="189"/>
      <c r="C378" s="189"/>
      <c r="D378" s="196"/>
      <c r="E378" s="196"/>
      <c r="F378" s="196"/>
      <c r="G378" s="196"/>
      <c r="H378" s="196"/>
      <c r="I378" s="196"/>
      <c r="J378" s="196"/>
    </row>
    <row r="379" spans="1:10" x14ac:dyDescent="0.25">
      <c r="A379" s="189"/>
      <c r="B379" s="189"/>
      <c r="C379" s="189"/>
      <c r="D379" s="196"/>
      <c r="E379" s="196"/>
      <c r="F379" s="196"/>
      <c r="G379" s="196"/>
      <c r="H379" s="196"/>
      <c r="I379" s="196"/>
      <c r="J379" s="196"/>
    </row>
    <row r="380" spans="1:10" x14ac:dyDescent="0.25">
      <c r="A380" s="189"/>
      <c r="B380" s="189"/>
      <c r="C380" s="189"/>
      <c r="D380" s="196"/>
      <c r="E380" s="196"/>
      <c r="F380" s="196"/>
      <c r="G380" s="196"/>
      <c r="H380" s="196"/>
      <c r="I380" s="196"/>
      <c r="J380" s="196"/>
    </row>
    <row r="381" spans="1:10" x14ac:dyDescent="0.25">
      <c r="A381" s="189"/>
      <c r="B381" s="189"/>
      <c r="C381" s="189"/>
      <c r="D381" s="196"/>
      <c r="E381" s="196"/>
      <c r="F381" s="196"/>
      <c r="G381" s="196"/>
      <c r="H381" s="196"/>
      <c r="I381" s="196"/>
      <c r="J381" s="196"/>
    </row>
    <row r="382" spans="1:10" x14ac:dyDescent="0.25">
      <c r="A382" s="189"/>
      <c r="B382" s="189"/>
      <c r="C382" s="189"/>
      <c r="D382" s="196"/>
      <c r="E382" s="196"/>
      <c r="F382" s="196"/>
      <c r="G382" s="196"/>
      <c r="H382" s="196"/>
      <c r="I382" s="196"/>
      <c r="J382" s="196"/>
    </row>
    <row r="383" spans="1:10" x14ac:dyDescent="0.25">
      <c r="A383" s="189"/>
      <c r="B383" s="189"/>
      <c r="C383" s="189"/>
      <c r="D383" s="196"/>
      <c r="E383" s="196"/>
      <c r="F383" s="196"/>
      <c r="G383" s="196"/>
      <c r="H383" s="196"/>
      <c r="I383" s="196"/>
      <c r="J383" s="196"/>
    </row>
    <row r="384" spans="1:10" x14ac:dyDescent="0.25">
      <c r="A384" s="189"/>
      <c r="B384" s="189"/>
      <c r="C384" s="189"/>
      <c r="D384" s="196"/>
      <c r="E384" s="196"/>
      <c r="F384" s="196"/>
      <c r="G384" s="196"/>
      <c r="H384" s="196"/>
      <c r="I384" s="196"/>
      <c r="J384" s="196"/>
    </row>
    <row r="385" spans="1:10" x14ac:dyDescent="0.25">
      <c r="A385" s="189"/>
      <c r="B385" s="189"/>
      <c r="C385" s="189"/>
      <c r="D385" s="196"/>
      <c r="E385" s="196"/>
      <c r="F385" s="196"/>
      <c r="G385" s="196"/>
      <c r="H385" s="196"/>
      <c r="I385" s="196"/>
      <c r="J385" s="196"/>
    </row>
    <row r="386" spans="1:10" x14ac:dyDescent="0.25">
      <c r="A386" s="189"/>
      <c r="B386" s="189"/>
      <c r="C386" s="189"/>
      <c r="D386" s="196"/>
      <c r="E386" s="196"/>
      <c r="F386" s="196"/>
      <c r="G386" s="196"/>
      <c r="H386" s="196"/>
      <c r="I386" s="196"/>
      <c r="J386" s="196"/>
    </row>
    <row r="387" spans="1:10" x14ac:dyDescent="0.25">
      <c r="A387" s="189"/>
      <c r="B387" s="189"/>
      <c r="C387" s="189"/>
      <c r="D387" s="196"/>
      <c r="E387" s="196"/>
      <c r="F387" s="196"/>
      <c r="G387" s="196"/>
      <c r="H387" s="196"/>
      <c r="I387" s="196"/>
      <c r="J387" s="196"/>
    </row>
    <row r="388" spans="1:10" x14ac:dyDescent="0.25">
      <c r="A388" s="189"/>
      <c r="B388" s="189"/>
      <c r="C388" s="189"/>
      <c r="D388" s="196"/>
      <c r="E388" s="196"/>
      <c r="F388" s="196"/>
      <c r="G388" s="196"/>
      <c r="H388" s="196"/>
      <c r="I388" s="196"/>
      <c r="J388" s="196"/>
    </row>
    <row r="389" spans="1:10" x14ac:dyDescent="0.25">
      <c r="A389" s="189"/>
      <c r="B389" s="189"/>
      <c r="C389" s="189"/>
      <c r="D389" s="196"/>
      <c r="E389" s="196"/>
      <c r="F389" s="196"/>
      <c r="G389" s="196"/>
      <c r="H389" s="196"/>
      <c r="I389" s="196"/>
      <c r="J389" s="196"/>
    </row>
    <row r="390" spans="1:10" x14ac:dyDescent="0.25">
      <c r="A390" s="189"/>
      <c r="B390" s="189"/>
      <c r="C390" s="189"/>
      <c r="D390" s="196"/>
      <c r="E390" s="196"/>
      <c r="F390" s="196"/>
      <c r="G390" s="196"/>
      <c r="H390" s="196"/>
      <c r="I390" s="196"/>
      <c r="J390" s="196"/>
    </row>
    <row r="391" spans="1:10" x14ac:dyDescent="0.25">
      <c r="A391" s="189"/>
      <c r="B391" s="189"/>
      <c r="C391" s="189"/>
      <c r="D391" s="196"/>
      <c r="E391" s="196"/>
      <c r="F391" s="196"/>
      <c r="G391" s="196"/>
      <c r="H391" s="196"/>
      <c r="I391" s="196"/>
      <c r="J391" s="196"/>
    </row>
    <row r="392" spans="1:10" x14ac:dyDescent="0.25">
      <c r="A392" s="189"/>
      <c r="B392" s="189"/>
      <c r="C392" s="189"/>
      <c r="D392" s="196"/>
      <c r="E392" s="196"/>
      <c r="F392" s="196"/>
      <c r="G392" s="196"/>
      <c r="H392" s="196"/>
      <c r="I392" s="196"/>
      <c r="J392" s="196"/>
    </row>
    <row r="393" spans="1:10" x14ac:dyDescent="0.25">
      <c r="A393" s="189"/>
      <c r="B393" s="189"/>
      <c r="C393" s="189"/>
      <c r="D393" s="196"/>
      <c r="E393" s="196"/>
      <c r="F393" s="196"/>
      <c r="G393" s="196"/>
      <c r="H393" s="196"/>
      <c r="I393" s="196"/>
      <c r="J393" s="196"/>
    </row>
    <row r="394" spans="1:10" x14ac:dyDescent="0.25">
      <c r="A394" s="189"/>
      <c r="B394" s="189"/>
      <c r="C394" s="189"/>
      <c r="D394" s="196"/>
      <c r="E394" s="196"/>
      <c r="F394" s="196"/>
      <c r="G394" s="196"/>
      <c r="H394" s="196"/>
      <c r="I394" s="196"/>
      <c r="J394" s="196"/>
    </row>
    <row r="395" spans="1:10" x14ac:dyDescent="0.25">
      <c r="A395" s="189"/>
      <c r="B395" s="189"/>
      <c r="C395" s="189"/>
      <c r="D395" s="196"/>
      <c r="E395" s="196"/>
      <c r="F395" s="196"/>
      <c r="G395" s="196"/>
      <c r="H395" s="196"/>
      <c r="I395" s="196"/>
      <c r="J395" s="196"/>
    </row>
    <row r="396" spans="1:10" x14ac:dyDescent="0.25">
      <c r="A396" s="189"/>
      <c r="B396" s="189"/>
      <c r="C396" s="189"/>
      <c r="D396" s="196"/>
      <c r="E396" s="196"/>
      <c r="F396" s="196"/>
      <c r="G396" s="196"/>
      <c r="H396" s="196"/>
      <c r="I396" s="196"/>
      <c r="J396" s="196"/>
    </row>
    <row r="397" spans="1:10" x14ac:dyDescent="0.25">
      <c r="A397" s="189"/>
      <c r="B397" s="189"/>
      <c r="C397" s="189"/>
      <c r="D397" s="196"/>
      <c r="E397" s="196"/>
      <c r="F397" s="196"/>
      <c r="G397" s="196"/>
      <c r="H397" s="196"/>
      <c r="I397" s="196"/>
      <c r="J397" s="196"/>
    </row>
    <row r="398" spans="1:10" x14ac:dyDescent="0.25">
      <c r="A398" s="189"/>
      <c r="B398" s="189"/>
      <c r="C398" s="189"/>
      <c r="D398" s="196"/>
      <c r="E398" s="196"/>
      <c r="F398" s="196"/>
      <c r="G398" s="196"/>
      <c r="H398" s="196"/>
      <c r="I398" s="196"/>
      <c r="J398" s="196"/>
    </row>
    <row r="399" spans="1:10" x14ac:dyDescent="0.25">
      <c r="A399" s="189"/>
      <c r="B399" s="189"/>
      <c r="C399" s="189"/>
      <c r="D399" s="196"/>
      <c r="E399" s="196"/>
      <c r="F399" s="196"/>
      <c r="G399" s="196"/>
      <c r="H399" s="196"/>
      <c r="I399" s="196"/>
      <c r="J399" s="196"/>
    </row>
    <row r="400" spans="1:10" x14ac:dyDescent="0.25">
      <c r="A400" s="189"/>
      <c r="B400" s="189"/>
      <c r="C400" s="189"/>
      <c r="D400" s="196"/>
      <c r="E400" s="196"/>
      <c r="F400" s="196"/>
      <c r="G400" s="196"/>
      <c r="H400" s="196"/>
      <c r="I400" s="196"/>
      <c r="J400" s="196"/>
    </row>
    <row r="401" spans="1:10" x14ac:dyDescent="0.25">
      <c r="A401" s="189"/>
      <c r="B401" s="189"/>
      <c r="C401" s="189"/>
      <c r="D401" s="196"/>
      <c r="E401" s="196"/>
      <c r="F401" s="196"/>
      <c r="G401" s="196"/>
      <c r="H401" s="196"/>
      <c r="I401" s="196"/>
      <c r="J401" s="196"/>
    </row>
    <row r="402" spans="1:10" x14ac:dyDescent="0.25">
      <c r="A402" s="189"/>
      <c r="B402" s="189"/>
      <c r="C402" s="189"/>
      <c r="D402" s="196"/>
      <c r="E402" s="196"/>
      <c r="F402" s="196"/>
      <c r="G402" s="196"/>
      <c r="H402" s="196"/>
      <c r="I402" s="196"/>
      <c r="J402" s="196"/>
    </row>
    <row r="403" spans="1:10" x14ac:dyDescent="0.25">
      <c r="A403" s="189"/>
      <c r="B403" s="189"/>
      <c r="C403" s="189"/>
      <c r="D403" s="196"/>
      <c r="E403" s="196"/>
      <c r="F403" s="196"/>
      <c r="G403" s="196"/>
      <c r="H403" s="196"/>
      <c r="I403" s="196"/>
      <c r="J403" s="196"/>
    </row>
    <row r="404" spans="1:10" x14ac:dyDescent="0.25">
      <c r="A404" s="189"/>
      <c r="B404" s="189"/>
      <c r="C404" s="189"/>
      <c r="D404" s="196"/>
      <c r="E404" s="196"/>
      <c r="F404" s="196"/>
      <c r="G404" s="196"/>
      <c r="H404" s="196"/>
      <c r="I404" s="196"/>
      <c r="J404" s="196"/>
    </row>
    <row r="405" spans="1:10" x14ac:dyDescent="0.25">
      <c r="A405" s="189"/>
      <c r="B405" s="189"/>
      <c r="C405" s="189"/>
      <c r="D405" s="196"/>
      <c r="E405" s="196"/>
      <c r="F405" s="196"/>
      <c r="G405" s="196"/>
      <c r="H405" s="196"/>
      <c r="I405" s="196"/>
      <c r="J405" s="196"/>
    </row>
    <row r="406" spans="1:10" x14ac:dyDescent="0.25">
      <c r="A406" s="189"/>
      <c r="B406" s="189"/>
      <c r="C406" s="189"/>
      <c r="D406" s="196"/>
      <c r="E406" s="196"/>
      <c r="F406" s="196"/>
      <c r="G406" s="196"/>
      <c r="H406" s="196"/>
      <c r="I406" s="196"/>
      <c r="J406" s="196"/>
    </row>
    <row r="407" spans="1:10" x14ac:dyDescent="0.25">
      <c r="A407" s="189"/>
      <c r="B407" s="189"/>
      <c r="C407" s="189"/>
      <c r="D407" s="196"/>
      <c r="E407" s="196"/>
      <c r="F407" s="196"/>
      <c r="G407" s="196"/>
      <c r="H407" s="196"/>
      <c r="I407" s="196"/>
      <c r="J407" s="196"/>
    </row>
    <row r="408" spans="1:10" x14ac:dyDescent="0.25">
      <c r="B408" s="189"/>
      <c r="C408" s="192"/>
      <c r="D408" s="193"/>
      <c r="E408" s="189"/>
      <c r="F408" s="194"/>
      <c r="G408" s="189"/>
      <c r="H408" s="19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78"/>
  <sheetViews>
    <sheetView topLeftCell="A24" workbookViewId="0">
      <selection activeCell="C37" sqref="C37"/>
    </sheetView>
  </sheetViews>
  <sheetFormatPr baseColWidth="10" defaultRowHeight="15" x14ac:dyDescent="0.25"/>
  <cols>
    <col min="1" max="1" width="6" bestFit="1" customWidth="1"/>
    <col min="2" max="2" width="5.28515625" bestFit="1" customWidth="1"/>
    <col min="3" max="3" width="24.7109375" bestFit="1" customWidth="1"/>
    <col min="4" max="4" width="8.7109375" bestFit="1" customWidth="1"/>
    <col min="5" max="5" width="30" bestFit="1" customWidth="1"/>
    <col min="6" max="6" width="5" bestFit="1" customWidth="1"/>
  </cols>
  <sheetData>
    <row r="1" spans="1:6" x14ac:dyDescent="0.25">
      <c r="A1" s="5" t="s">
        <v>285</v>
      </c>
      <c r="B1" s="5" t="s">
        <v>286</v>
      </c>
      <c r="C1" s="5" t="s">
        <v>2</v>
      </c>
      <c r="D1" s="5" t="s">
        <v>0</v>
      </c>
      <c r="E1" s="5" t="s">
        <v>2</v>
      </c>
      <c r="F1" s="5" t="s">
        <v>287</v>
      </c>
    </row>
    <row r="2" spans="1:6" x14ac:dyDescent="0.25">
      <c r="A2" s="5" t="s">
        <v>288</v>
      </c>
      <c r="B2" s="5">
        <v>557</v>
      </c>
      <c r="C2" s="5" t="s">
        <v>78</v>
      </c>
      <c r="D2" s="5" t="s">
        <v>18</v>
      </c>
      <c r="E2" s="5" t="s">
        <v>19</v>
      </c>
      <c r="F2" s="5">
        <f>+IFERROR(IF(A2="Loeke",VLOOKUP(B2,'Est Madre LK 10-25'!A:C,3,),VLOOKUP(B2,'Est Madre CH 10-25'!A:C,3,)),0)</f>
        <v>1400</v>
      </c>
    </row>
    <row r="3" spans="1:6" x14ac:dyDescent="0.25">
      <c r="A3" s="5" t="s">
        <v>288</v>
      </c>
      <c r="B3" s="5">
        <v>558</v>
      </c>
      <c r="C3" s="5" t="s">
        <v>77</v>
      </c>
      <c r="D3" s="5" t="s">
        <v>18</v>
      </c>
      <c r="E3" s="5" t="s">
        <v>19</v>
      </c>
      <c r="F3" s="5">
        <f>+IFERROR(IF(A3="Loeke",VLOOKUP(B3,'Est Madre LK 10-25'!A:C,3,),VLOOKUP(B3,'Est Madre CH 10-25'!A:C,3,)),0)</f>
        <v>2124</v>
      </c>
    </row>
    <row r="4" spans="1:6" x14ac:dyDescent="0.25">
      <c r="A4" s="5" t="s">
        <v>288</v>
      </c>
      <c r="B4" s="5">
        <v>573</v>
      </c>
      <c r="C4" s="5" t="s">
        <v>138</v>
      </c>
      <c r="D4" s="5" t="s">
        <v>18</v>
      </c>
      <c r="E4" s="5" t="s">
        <v>19</v>
      </c>
      <c r="F4" s="5">
        <f>+IFERROR(IF(A4="Loeke",VLOOKUP(B4,'Est Madre LK 10-25'!A:C,3,),VLOOKUP(B4,'Est Madre CH 10-25'!A:C,3,)),0)</f>
        <v>360</v>
      </c>
    </row>
    <row r="5" spans="1:6" x14ac:dyDescent="0.25">
      <c r="A5" s="5" t="s">
        <v>288</v>
      </c>
      <c r="B5" s="5">
        <v>654</v>
      </c>
      <c r="C5" s="5" t="s">
        <v>85</v>
      </c>
      <c r="D5" s="5" t="s">
        <v>18</v>
      </c>
      <c r="E5" s="5" t="s">
        <v>19</v>
      </c>
      <c r="F5" s="5">
        <f>+IFERROR(IF(A5="Loeke",VLOOKUP(B5,'Est Madre LK 10-25'!A:C,3,),VLOOKUP(B5,'Est Madre CH 10-25'!A:C,3,)),0)</f>
        <v>912</v>
      </c>
    </row>
    <row r="6" spans="1:6" x14ac:dyDescent="0.25">
      <c r="A6" s="5" t="s">
        <v>288</v>
      </c>
      <c r="B6" s="5">
        <v>557</v>
      </c>
      <c r="C6" s="5" t="s">
        <v>78</v>
      </c>
      <c r="D6" s="6" t="s">
        <v>20</v>
      </c>
      <c r="E6" s="5" t="s">
        <v>22</v>
      </c>
      <c r="F6" s="5">
        <f>+IFERROR(IF(A6="Loeke",VLOOKUP(B6,'Est Madre LK 10-25'!A:C,3,),VLOOKUP(B6,'Est Madre CH 10-25'!A:C,3,)),0)</f>
        <v>1400</v>
      </c>
    </row>
    <row r="7" spans="1:6" x14ac:dyDescent="0.25">
      <c r="A7" s="5" t="s">
        <v>288</v>
      </c>
      <c r="B7" s="5">
        <v>558</v>
      </c>
      <c r="C7" s="5" t="s">
        <v>77</v>
      </c>
      <c r="D7" s="6" t="s">
        <v>20</v>
      </c>
      <c r="E7" s="5" t="s">
        <v>22</v>
      </c>
      <c r="F7" s="5">
        <f>+IFERROR(IF(A7="Loeke",VLOOKUP(B7,'Est Madre LK 10-25'!A:C,3,),VLOOKUP(B7,'Est Madre CH 10-25'!A:C,3,)),0)</f>
        <v>2124</v>
      </c>
    </row>
    <row r="8" spans="1:6" x14ac:dyDescent="0.25">
      <c r="A8" s="5" t="s">
        <v>288</v>
      </c>
      <c r="B8" s="5">
        <v>654</v>
      </c>
      <c r="C8" s="5" t="s">
        <v>85</v>
      </c>
      <c r="D8" s="6" t="s">
        <v>20</v>
      </c>
      <c r="E8" s="5" t="s">
        <v>22</v>
      </c>
      <c r="F8" s="5">
        <f>+IFERROR(IF(A8="Loeke",VLOOKUP(B8,'Est Madre LK 10-25'!A:C,3,),VLOOKUP(B8,'Est Madre CH 10-25'!A:C,3,)),0)</f>
        <v>912</v>
      </c>
    </row>
    <row r="9" spans="1:6" x14ac:dyDescent="0.25">
      <c r="A9" s="5" t="s">
        <v>288</v>
      </c>
      <c r="B9" s="5">
        <v>573</v>
      </c>
      <c r="C9" s="5" t="s">
        <v>138</v>
      </c>
      <c r="D9" s="6" t="s">
        <v>20</v>
      </c>
      <c r="E9" s="5" t="s">
        <v>22</v>
      </c>
      <c r="F9" s="5">
        <f>+IFERROR(IF(A9="Loeke",VLOOKUP(B9,'Est Madre LK 10-25'!A:C,3,),VLOOKUP(B9,'Est Madre CH 10-25'!A:C,3,)),0)</f>
        <v>360</v>
      </c>
    </row>
    <row r="10" spans="1:6" x14ac:dyDescent="0.25">
      <c r="A10" s="5" t="s">
        <v>288</v>
      </c>
      <c r="B10" s="5">
        <v>654</v>
      </c>
      <c r="C10" s="5" t="s">
        <v>85</v>
      </c>
      <c r="D10" s="5" t="s">
        <v>11</v>
      </c>
      <c r="E10" s="5" t="s">
        <v>13</v>
      </c>
      <c r="F10" s="5">
        <f>+IFERROR(IF(A10="Loeke",VLOOKUP(B10,'Est Madre LK 10-25'!A:C,3,),VLOOKUP(B10,'Est Madre CH 10-25'!A:C,3,)),0)</f>
        <v>912</v>
      </c>
    </row>
    <row r="11" spans="1:6" x14ac:dyDescent="0.25">
      <c r="A11" s="5" t="s">
        <v>288</v>
      </c>
      <c r="B11" s="5">
        <v>548</v>
      </c>
      <c r="C11" s="5" t="s">
        <v>148</v>
      </c>
      <c r="D11" s="5" t="s">
        <v>23</v>
      </c>
      <c r="E11" s="5" t="s">
        <v>24</v>
      </c>
      <c r="F11" s="5">
        <f>+IFERROR(IF(A11="Loeke",VLOOKUP(B11,'Est Madre LK 10-25'!A:C,3,),VLOOKUP(B11,'Est Madre CH 10-25'!A:C,3,)),0)</f>
        <v>0</v>
      </c>
    </row>
    <row r="12" spans="1:6" x14ac:dyDescent="0.25">
      <c r="A12" s="5" t="s">
        <v>288</v>
      </c>
      <c r="B12" s="5">
        <v>557</v>
      </c>
      <c r="C12" s="5" t="s">
        <v>78</v>
      </c>
      <c r="D12" s="5" t="s">
        <v>25</v>
      </c>
      <c r="E12" s="5" t="s">
        <v>26</v>
      </c>
      <c r="F12" s="5">
        <f>+IFERROR(IF(A12="Loeke",VLOOKUP(B12,'Est Madre LK 10-25'!A:C,3,),VLOOKUP(B12,'Est Madre CH 10-25'!A:C,3,)),0)</f>
        <v>1400</v>
      </c>
    </row>
    <row r="13" spans="1:6" x14ac:dyDescent="0.25">
      <c r="A13" s="5" t="s">
        <v>288</v>
      </c>
      <c r="B13" s="5">
        <v>558</v>
      </c>
      <c r="C13" s="5" t="s">
        <v>77</v>
      </c>
      <c r="D13" s="5" t="s">
        <v>25</v>
      </c>
      <c r="E13" s="5" t="s">
        <v>26</v>
      </c>
      <c r="F13" s="5">
        <f>+IFERROR(IF(A13="Loeke",VLOOKUP(B13,'Est Madre LK 10-25'!A:C,3,),VLOOKUP(B13,'Est Madre CH 10-25'!A:C,3,)),0)</f>
        <v>2124</v>
      </c>
    </row>
    <row r="14" spans="1:6" x14ac:dyDescent="0.25">
      <c r="A14" s="5" t="s">
        <v>288</v>
      </c>
      <c r="B14" s="5">
        <v>573</v>
      </c>
      <c r="C14" s="5" t="s">
        <v>138</v>
      </c>
      <c r="D14" s="5" t="s">
        <v>25</v>
      </c>
      <c r="E14" s="5" t="s">
        <v>26</v>
      </c>
      <c r="F14" s="5">
        <f>+IFERROR(IF(A14="Loeke",VLOOKUP(B14,'Est Madre LK 10-25'!A:C,3,),VLOOKUP(B14,'Est Madre CH 10-25'!A:C,3,)),0)</f>
        <v>360</v>
      </c>
    </row>
    <row r="15" spans="1:6" x14ac:dyDescent="0.25">
      <c r="A15" s="5" t="s">
        <v>288</v>
      </c>
      <c r="B15" s="5">
        <v>654</v>
      </c>
      <c r="C15" s="5" t="s">
        <v>85</v>
      </c>
      <c r="D15" s="5" t="s">
        <v>25</v>
      </c>
      <c r="E15" s="5" t="s">
        <v>26</v>
      </c>
      <c r="F15" s="5">
        <f>+IFERROR(IF(A15="Loeke",VLOOKUP(B15,'Est Madre LK 10-25'!A:C,3,),VLOOKUP(B15,'Est Madre CH 10-25'!A:C,3,)),0)</f>
        <v>912</v>
      </c>
    </row>
    <row r="16" spans="1:6" x14ac:dyDescent="0.25">
      <c r="A16" s="5" t="s">
        <v>288</v>
      </c>
      <c r="B16" s="5">
        <v>552</v>
      </c>
      <c r="C16" s="5">
        <v>0</v>
      </c>
      <c r="D16" s="5" t="s">
        <v>16</v>
      </c>
      <c r="E16" s="5" t="s">
        <v>17</v>
      </c>
      <c r="F16" s="5">
        <f>+IFERROR(IF(A16="Loeke",VLOOKUP(B16,'Est Madre LK 10-25'!A:C,3,),VLOOKUP(B16,'Est Madre CH 10-25'!A:C,3,)),0)</f>
        <v>0</v>
      </c>
    </row>
    <row r="17" spans="1:6" x14ac:dyDescent="0.25">
      <c r="A17" s="5" t="s">
        <v>288</v>
      </c>
      <c r="B17" s="5">
        <v>553</v>
      </c>
      <c r="C17" s="5">
        <v>0</v>
      </c>
      <c r="D17" s="5" t="s">
        <v>16</v>
      </c>
      <c r="E17" s="5" t="s">
        <v>17</v>
      </c>
      <c r="F17" s="5">
        <f>+IFERROR(IF(A17="Loeke",VLOOKUP(B17,'Est Madre LK 10-25'!A:C,3,),VLOOKUP(B17,'Est Madre CH 10-25'!A:C,3,)),0)</f>
        <v>0</v>
      </c>
    </row>
    <row r="18" spans="1:6" x14ac:dyDescent="0.25">
      <c r="A18" s="5" t="s">
        <v>288</v>
      </c>
      <c r="B18" s="5">
        <v>654</v>
      </c>
      <c r="C18" s="5" t="s">
        <v>85</v>
      </c>
      <c r="D18" s="5" t="s">
        <v>16</v>
      </c>
      <c r="E18" s="5" t="s">
        <v>17</v>
      </c>
      <c r="F18" s="5">
        <f>+IFERROR(IF(A18="Loeke",VLOOKUP(B18,'Est Madre LK 10-25'!A:C,3,),VLOOKUP(B18,'Est Madre CH 10-25'!A:C,3,)),0)</f>
        <v>912</v>
      </c>
    </row>
    <row r="19" spans="1:6" ht="17.25" customHeight="1" x14ac:dyDescent="0.25">
      <c r="A19" s="5" t="s">
        <v>288</v>
      </c>
      <c r="B19" s="5">
        <v>654</v>
      </c>
      <c r="C19" s="5" t="s">
        <v>85</v>
      </c>
      <c r="D19" s="5" t="s">
        <v>14</v>
      </c>
      <c r="E19" s="5" t="s">
        <v>15</v>
      </c>
      <c r="F19" s="5">
        <f>+IFERROR(IF(A19="Loeke",VLOOKUP(B19,'Est Madre LK 10-25'!A:C,3,),VLOOKUP(B19,'Est Madre CH 10-25'!A:C,3,)),0)</f>
        <v>912</v>
      </c>
    </row>
    <row r="20" spans="1:6" x14ac:dyDescent="0.25">
      <c r="A20" s="5" t="s">
        <v>288</v>
      </c>
      <c r="B20" s="5">
        <v>557</v>
      </c>
      <c r="C20" s="5" t="s">
        <v>78</v>
      </c>
      <c r="D20" s="6" t="s">
        <v>27</v>
      </c>
      <c r="E20" s="5" t="s">
        <v>28</v>
      </c>
      <c r="F20" s="5">
        <f>+IFERROR(IF(A20="Loeke",VLOOKUP(B20,'Est Madre LK 10-25'!A:C,3,),VLOOKUP(B20,'Est Madre CH 10-25'!A:C,3,)),0)</f>
        <v>1400</v>
      </c>
    </row>
    <row r="21" spans="1:6" x14ac:dyDescent="0.25">
      <c r="A21" s="5" t="s">
        <v>288</v>
      </c>
      <c r="B21" s="5">
        <v>655</v>
      </c>
      <c r="C21" s="5" t="s">
        <v>165</v>
      </c>
      <c r="D21" s="6" t="s">
        <v>27</v>
      </c>
      <c r="E21" s="5" t="s">
        <v>28</v>
      </c>
      <c r="F21" s="5">
        <f>+IFERROR(IF(A21="Loeke",VLOOKUP(B21,'Est Madre LK 10-25'!A:C,3,),VLOOKUP(B21,'Est Madre CH 10-25'!A:C,3,)),0)</f>
        <v>0</v>
      </c>
    </row>
    <row r="22" spans="1:6" x14ac:dyDescent="0.25">
      <c r="A22" s="5" t="s">
        <v>288</v>
      </c>
      <c r="B22" s="5">
        <v>558</v>
      </c>
      <c r="C22" s="5" t="s">
        <v>77</v>
      </c>
      <c r="D22" s="6" t="s">
        <v>27</v>
      </c>
      <c r="E22" s="5" t="s">
        <v>28</v>
      </c>
      <c r="F22" s="5">
        <f>+IFERROR(IF(A22="Loeke",VLOOKUP(B22,'Est Madre LK 10-25'!A:C,3,),VLOOKUP(B22,'Est Madre CH 10-25'!A:C,3,)),0)</f>
        <v>2124</v>
      </c>
    </row>
    <row r="23" spans="1:6" x14ac:dyDescent="0.25">
      <c r="A23" s="5" t="s">
        <v>288</v>
      </c>
      <c r="B23" s="5">
        <v>654</v>
      </c>
      <c r="C23" s="5" t="s">
        <v>85</v>
      </c>
      <c r="D23" s="5" t="s">
        <v>29</v>
      </c>
      <c r="E23" s="5" t="s">
        <v>30</v>
      </c>
      <c r="F23" s="5">
        <f>+IFERROR(IF(A23="Loeke",VLOOKUP(B23,'Est Madre LK 10-25'!A:C,3,),VLOOKUP(B23,'Est Madre CH 10-25'!A:C,3,)),0)</f>
        <v>912</v>
      </c>
    </row>
    <row r="24" spans="1:6" x14ac:dyDescent="0.25">
      <c r="A24" s="5" t="s">
        <v>288</v>
      </c>
      <c r="B24" s="5">
        <v>573</v>
      </c>
      <c r="C24" s="5" t="s">
        <v>138</v>
      </c>
      <c r="D24" s="5" t="s">
        <v>8</v>
      </c>
      <c r="E24" s="5" t="s">
        <v>10</v>
      </c>
      <c r="F24" s="5">
        <f>+IFERROR(IF(A24="Loeke",VLOOKUP(B24,'Est Madre LK 10-25'!A:C,3,),VLOOKUP(B24,'Est Madre CH 10-25'!A:C,3,)),0)</f>
        <v>360</v>
      </c>
    </row>
    <row r="25" spans="1:6" x14ac:dyDescent="0.25">
      <c r="A25" s="5" t="s">
        <v>289</v>
      </c>
      <c r="B25" s="5">
        <v>755</v>
      </c>
      <c r="C25" s="5" t="s">
        <v>231</v>
      </c>
      <c r="D25" s="5" t="s">
        <v>18</v>
      </c>
      <c r="E25" s="5" t="s">
        <v>19</v>
      </c>
      <c r="F25" s="5">
        <f>+IFERROR(IF(A25="Loeke",VLOOKUP(B25,'Est Madre LK 10-25'!A:C,3,),VLOOKUP(B25,'Est Madre CH 10-25'!A:C,3,)),0)</f>
        <v>0</v>
      </c>
    </row>
    <row r="26" spans="1:6" x14ac:dyDescent="0.25">
      <c r="A26" s="5" t="s">
        <v>289</v>
      </c>
      <c r="B26" s="5">
        <v>762</v>
      </c>
      <c r="C26" s="5" t="s">
        <v>78</v>
      </c>
      <c r="D26" s="5" t="s">
        <v>18</v>
      </c>
      <c r="E26" s="5" t="s">
        <v>19</v>
      </c>
      <c r="F26" s="5">
        <f>+IFERROR(IF(A26="Loeke",VLOOKUP(B26,'Est Madre LK 10-25'!A:C,3,),VLOOKUP(B26,'Est Madre CH 10-25'!A:C,3,)),0)</f>
        <v>24</v>
      </c>
    </row>
    <row r="27" spans="1:6" x14ac:dyDescent="0.25">
      <c r="A27" s="5" t="s">
        <v>289</v>
      </c>
      <c r="B27" s="5">
        <v>763</v>
      </c>
      <c r="C27" s="5" t="s">
        <v>77</v>
      </c>
      <c r="D27" s="5" t="s">
        <v>18</v>
      </c>
      <c r="E27" s="5" t="s">
        <v>19</v>
      </c>
      <c r="F27" s="5">
        <f>+IFERROR(IF(A27="Loeke",VLOOKUP(B27,'Est Madre LK 10-25'!A:C,3,),VLOOKUP(B27,'Est Madre CH 10-25'!A:C,3,)),0)</f>
        <v>480</v>
      </c>
    </row>
    <row r="28" spans="1:6" x14ac:dyDescent="0.25">
      <c r="A28" s="5" t="s">
        <v>289</v>
      </c>
      <c r="B28" s="5">
        <v>769</v>
      </c>
      <c r="C28" s="5" t="s">
        <v>234</v>
      </c>
      <c r="D28" s="5" t="s">
        <v>18</v>
      </c>
      <c r="E28" s="5" t="s">
        <v>19</v>
      </c>
      <c r="F28" s="5">
        <f>+IFERROR(IF(A28="Loeke",VLOOKUP(B28,'Est Madre LK 10-25'!A:C,3,),VLOOKUP(B28,'Est Madre CH 10-25'!A:C,3,)),0)</f>
        <v>240</v>
      </c>
    </row>
    <row r="29" spans="1:6" x14ac:dyDescent="0.25">
      <c r="A29" s="5" t="s">
        <v>289</v>
      </c>
      <c r="B29" s="5">
        <v>755</v>
      </c>
      <c r="C29" s="5" t="s">
        <v>231</v>
      </c>
      <c r="D29" s="6" t="s">
        <v>20</v>
      </c>
      <c r="E29" s="5" t="s">
        <v>22</v>
      </c>
      <c r="F29" s="5">
        <f>+IFERROR(IF(A29="Loeke",VLOOKUP(B29,'Est Madre LK 10-25'!A:C,3,),VLOOKUP(B29,'Est Madre CH 10-25'!A:C,3,)),0)</f>
        <v>0</v>
      </c>
    </row>
    <row r="30" spans="1:6" x14ac:dyDescent="0.25">
      <c r="A30" s="5" t="s">
        <v>289</v>
      </c>
      <c r="B30" s="5">
        <v>762</v>
      </c>
      <c r="C30" s="5" t="s">
        <v>78</v>
      </c>
      <c r="D30" s="6" t="s">
        <v>20</v>
      </c>
      <c r="E30" s="5" t="s">
        <v>22</v>
      </c>
      <c r="F30" s="5">
        <f>+IFERROR(IF(A30="Loeke",VLOOKUP(B30,'Est Madre LK 10-25'!A:C,3,),VLOOKUP(B30,'Est Madre CH 10-25'!A:C,3,)),0)</f>
        <v>24</v>
      </c>
    </row>
    <row r="31" spans="1:6" x14ac:dyDescent="0.25">
      <c r="A31" s="5" t="s">
        <v>289</v>
      </c>
      <c r="B31" s="5">
        <v>769</v>
      </c>
      <c r="C31" s="5" t="s">
        <v>234</v>
      </c>
      <c r="D31" s="6" t="s">
        <v>20</v>
      </c>
      <c r="E31" s="5" t="s">
        <v>22</v>
      </c>
      <c r="F31" s="5">
        <f>+IFERROR(IF(A31="Loeke",VLOOKUP(B31,'Est Madre LK 10-25'!A:C,3,),VLOOKUP(B31,'Est Madre CH 10-25'!A:C,3,)),0)</f>
        <v>240</v>
      </c>
    </row>
    <row r="32" spans="1:6" x14ac:dyDescent="0.25">
      <c r="A32" s="5" t="s">
        <v>289</v>
      </c>
      <c r="B32" s="5">
        <v>763</v>
      </c>
      <c r="C32" s="5" t="s">
        <v>77</v>
      </c>
      <c r="D32" s="6" t="s">
        <v>20</v>
      </c>
      <c r="E32" s="5" t="s">
        <v>22</v>
      </c>
      <c r="F32" s="5">
        <f>+IFERROR(IF(A32="Loeke",VLOOKUP(B32,'Est Madre LK 10-25'!A:C,3,),VLOOKUP(B32,'Est Madre CH 10-25'!A:C,3,)),0)</f>
        <v>480</v>
      </c>
    </row>
    <row r="33" spans="1:6" x14ac:dyDescent="0.25">
      <c r="A33" s="5" t="s">
        <v>289</v>
      </c>
      <c r="B33" s="5">
        <v>769</v>
      </c>
      <c r="C33" s="5" t="s">
        <v>234</v>
      </c>
      <c r="D33" s="5" t="s">
        <v>11</v>
      </c>
      <c r="E33" s="5" t="s">
        <v>13</v>
      </c>
      <c r="F33" s="5">
        <f>+IFERROR(IF(A33="Loeke",VLOOKUP(B33,'Est Madre LK 10-25'!A:C,3,),VLOOKUP(B33,'Est Madre CH 10-25'!A:C,3,)),0)</f>
        <v>240</v>
      </c>
    </row>
    <row r="34" spans="1:6" x14ac:dyDescent="0.25">
      <c r="A34" s="5" t="s">
        <v>289</v>
      </c>
      <c r="B34" s="5">
        <v>864</v>
      </c>
      <c r="C34" s="5" t="s">
        <v>148</v>
      </c>
      <c r="D34" s="5" t="s">
        <v>23</v>
      </c>
      <c r="E34" s="5" t="s">
        <v>24</v>
      </c>
      <c r="F34" s="5">
        <f>+IFERROR(IF(A34="Loeke",VLOOKUP(B34,'Est Madre LK 10-25'!A:C,3,),VLOOKUP(B34,'Est Madre CH 10-25'!A:C,3,)),0)</f>
        <v>48</v>
      </c>
    </row>
    <row r="35" spans="1:6" x14ac:dyDescent="0.25">
      <c r="A35" s="5" t="s">
        <v>289</v>
      </c>
      <c r="B35" s="5">
        <v>755</v>
      </c>
      <c r="C35" s="5" t="s">
        <v>231</v>
      </c>
      <c r="D35" s="5" t="s">
        <v>25</v>
      </c>
      <c r="E35" s="5" t="s">
        <v>26</v>
      </c>
      <c r="F35" s="5">
        <f>+IFERROR(IF(A35="Loeke",VLOOKUP(B35,'Est Madre LK 10-25'!A:C,3,),VLOOKUP(B35,'Est Madre CH 10-25'!A:C,3,)),0)</f>
        <v>0</v>
      </c>
    </row>
    <row r="36" spans="1:6" x14ac:dyDescent="0.25">
      <c r="A36" s="5" t="s">
        <v>289</v>
      </c>
      <c r="B36" s="5">
        <v>762</v>
      </c>
      <c r="C36" s="5" t="s">
        <v>78</v>
      </c>
      <c r="D36" s="5" t="s">
        <v>25</v>
      </c>
      <c r="E36" s="5" t="s">
        <v>26</v>
      </c>
      <c r="F36" s="5">
        <f>+IFERROR(IF(A36="Loeke",VLOOKUP(B36,'Est Madre LK 10-25'!A:C,3,),VLOOKUP(B36,'Est Madre CH 10-25'!A:C,3,)),0)</f>
        <v>24</v>
      </c>
    </row>
    <row r="37" spans="1:6" x14ac:dyDescent="0.25">
      <c r="A37" s="5" t="s">
        <v>289</v>
      </c>
      <c r="B37" s="5">
        <v>763</v>
      </c>
      <c r="C37" s="5" t="s">
        <v>77</v>
      </c>
      <c r="D37" s="5" t="s">
        <v>25</v>
      </c>
      <c r="E37" s="5" t="s">
        <v>26</v>
      </c>
      <c r="F37" s="5">
        <f>+IFERROR(IF(A37="Loeke",VLOOKUP(B37,'Est Madre LK 10-25'!A:C,3,),VLOOKUP(B37,'Est Madre CH 10-25'!A:C,3,)),0)</f>
        <v>480</v>
      </c>
    </row>
    <row r="38" spans="1:6" x14ac:dyDescent="0.25">
      <c r="A38" s="5" t="s">
        <v>289</v>
      </c>
      <c r="B38" s="5">
        <v>769</v>
      </c>
      <c r="C38" s="5" t="s">
        <v>234</v>
      </c>
      <c r="D38" s="5" t="s">
        <v>25</v>
      </c>
      <c r="E38" s="5" t="s">
        <v>26</v>
      </c>
      <c r="F38" s="5">
        <f>+IFERROR(IF(A38="Loeke",VLOOKUP(B38,'Est Madre LK 10-25'!A:C,3,),VLOOKUP(B38,'Est Madre CH 10-25'!A:C,3,)),0)</f>
        <v>240</v>
      </c>
    </row>
    <row r="39" spans="1:6" x14ac:dyDescent="0.25">
      <c r="A39" s="5" t="s">
        <v>289</v>
      </c>
      <c r="B39" s="5">
        <v>766</v>
      </c>
      <c r="C39" s="5">
        <v>0</v>
      </c>
      <c r="D39" s="5" t="s">
        <v>16</v>
      </c>
      <c r="E39" s="5" t="s">
        <v>17</v>
      </c>
      <c r="F39" s="5">
        <f>+IFERROR(IF(A39="Loeke",VLOOKUP(B39,'Est Madre LK 10-25'!A:C,3,),VLOOKUP(B39,'Est Madre CH 10-25'!A:C,3,)),0)</f>
        <v>0</v>
      </c>
    </row>
    <row r="40" spans="1:6" x14ac:dyDescent="0.25">
      <c r="A40" s="5" t="s">
        <v>289</v>
      </c>
      <c r="B40" s="5">
        <v>767</v>
      </c>
      <c r="C40" s="5">
        <v>0</v>
      </c>
      <c r="D40" s="5" t="s">
        <v>16</v>
      </c>
      <c r="E40" s="5" t="s">
        <v>17</v>
      </c>
      <c r="F40" s="5">
        <f>+IFERROR(IF(A40="Loeke",VLOOKUP(B40,'Est Madre LK 10-25'!A:C,3,),VLOOKUP(B40,'Est Madre CH 10-25'!A:C,3,)),0)</f>
        <v>0</v>
      </c>
    </row>
    <row r="41" spans="1:6" x14ac:dyDescent="0.25">
      <c r="A41" s="5" t="s">
        <v>289</v>
      </c>
      <c r="B41" s="5">
        <v>769</v>
      </c>
      <c r="C41" s="5" t="s">
        <v>234</v>
      </c>
      <c r="D41" s="5" t="s">
        <v>16</v>
      </c>
      <c r="E41" s="5" t="s">
        <v>17</v>
      </c>
      <c r="F41" s="5">
        <f>+IFERROR(IF(A41="Loeke",VLOOKUP(B41,'Est Madre LK 10-25'!A:C,3,),VLOOKUP(B41,'Est Madre CH 10-25'!A:C,3,)),0)</f>
        <v>240</v>
      </c>
    </row>
    <row r="42" spans="1:6" x14ac:dyDescent="0.25">
      <c r="A42" s="5" t="s">
        <v>289</v>
      </c>
      <c r="B42" s="5">
        <v>769</v>
      </c>
      <c r="C42" s="5" t="s">
        <v>234</v>
      </c>
      <c r="D42" s="5" t="s">
        <v>14</v>
      </c>
      <c r="E42" s="5" t="s">
        <v>15</v>
      </c>
      <c r="F42" s="5">
        <f>+IFERROR(IF(A42="Loeke",VLOOKUP(B42,'Est Madre LK 10-25'!A:C,3,),VLOOKUP(B42,'Est Madre CH 10-25'!A:C,3,)),0)</f>
        <v>240</v>
      </c>
    </row>
    <row r="43" spans="1:6" x14ac:dyDescent="0.25">
      <c r="A43" s="5" t="s">
        <v>289</v>
      </c>
      <c r="B43" s="5">
        <v>762</v>
      </c>
      <c r="C43" s="5" t="s">
        <v>78</v>
      </c>
      <c r="D43" s="6" t="s">
        <v>27</v>
      </c>
      <c r="E43" s="5" t="s">
        <v>28</v>
      </c>
      <c r="F43" s="5">
        <f>+IFERROR(IF(A43="Loeke",VLOOKUP(B43,'Est Madre LK 10-25'!A:C,3,),VLOOKUP(B43,'Est Madre CH 10-25'!A:C,3,)),0)</f>
        <v>24</v>
      </c>
    </row>
    <row r="44" spans="1:6" x14ac:dyDescent="0.25">
      <c r="A44" s="5" t="s">
        <v>289</v>
      </c>
      <c r="B44" s="5">
        <v>763</v>
      </c>
      <c r="C44" s="5" t="s">
        <v>77</v>
      </c>
      <c r="D44" s="6" t="s">
        <v>27</v>
      </c>
      <c r="E44" s="5" t="s">
        <v>28</v>
      </c>
      <c r="F44" s="5">
        <f>+IFERROR(IF(A44="Loeke",VLOOKUP(B44,'Est Madre LK 10-25'!A:C,3,),VLOOKUP(B44,'Est Madre CH 10-25'!A:C,3,)),0)</f>
        <v>480</v>
      </c>
    </row>
    <row r="45" spans="1:6" x14ac:dyDescent="0.25">
      <c r="A45" s="5" t="s">
        <v>289</v>
      </c>
      <c r="B45" s="5">
        <v>769</v>
      </c>
      <c r="C45" s="5" t="s">
        <v>234</v>
      </c>
      <c r="D45" s="5" t="s">
        <v>29</v>
      </c>
      <c r="E45" s="5" t="s">
        <v>30</v>
      </c>
      <c r="F45" s="5">
        <f>+IFERROR(IF(A45="Loeke",VLOOKUP(B45,'Est Madre LK 10-25'!A:C,3,),VLOOKUP(B45,'Est Madre CH 10-25'!A:C,3,)),0)</f>
        <v>240</v>
      </c>
    </row>
    <row r="46" spans="1:6" x14ac:dyDescent="0.25">
      <c r="A46" s="5" t="s">
        <v>289</v>
      </c>
      <c r="B46" s="5">
        <v>755</v>
      </c>
      <c r="C46" s="5" t="s">
        <v>231</v>
      </c>
      <c r="D46" s="5" t="s">
        <v>8</v>
      </c>
      <c r="E46" s="5" t="s">
        <v>10</v>
      </c>
      <c r="F46" s="5">
        <f>+IFERROR(IF(A46="Loeke",VLOOKUP(B46,'Est Madre LK 10-25'!A:C,3,),VLOOKUP(B46,'Est Madre CH 10-25'!A:C,3,)),0)</f>
        <v>0</v>
      </c>
    </row>
    <row r="47" spans="1:6" x14ac:dyDescent="0.25">
      <c r="A47" s="5" t="s">
        <v>288</v>
      </c>
      <c r="B47" s="5">
        <v>548</v>
      </c>
      <c r="C47" s="5" t="s">
        <v>148</v>
      </c>
      <c r="D47" s="5" t="s">
        <v>423</v>
      </c>
      <c r="E47" s="5" t="s">
        <v>32</v>
      </c>
      <c r="F47" s="5">
        <f>+IFERROR(IF(A47="Loeke",VLOOKUP(B47,'Est Madre LK 10-25'!A:C,3,),VLOOKUP(B47,'Est Madre CH 10-25'!A:C,3,)),0)</f>
        <v>0</v>
      </c>
    </row>
    <row r="48" spans="1:6" x14ac:dyDescent="0.25">
      <c r="A48" s="6" t="s">
        <v>289</v>
      </c>
      <c r="B48" s="5">
        <v>864</v>
      </c>
      <c r="C48" s="5" t="s">
        <v>148</v>
      </c>
      <c r="D48" s="5" t="s">
        <v>423</v>
      </c>
      <c r="E48" s="5" t="s">
        <v>32</v>
      </c>
      <c r="F48" s="5">
        <f>+IFERROR(IF(A48="Loeke",VLOOKUP(B48,'Est Madre LK 10-25'!A:C,3,),VLOOKUP(B48,'Est Madre CH 10-25'!A:C,3,)),0)</f>
        <v>48</v>
      </c>
    </row>
    <row r="49" spans="1:6" x14ac:dyDescent="0.25">
      <c r="A49" s="5" t="s">
        <v>288</v>
      </c>
      <c r="B49" s="5">
        <v>396</v>
      </c>
      <c r="C49" s="5" t="s">
        <v>174</v>
      </c>
      <c r="D49" s="5" t="s">
        <v>299</v>
      </c>
      <c r="E49" s="5" t="s">
        <v>34</v>
      </c>
      <c r="F49" s="5">
        <f>+IFERROR(IF(A49="Loeke",VLOOKUP(B49,'Est Madre LK 10-25'!A:C,3,),VLOOKUP(B49,'Est Madre CH 10-25'!A:C,3,)),0)</f>
        <v>180</v>
      </c>
    </row>
    <row r="50" spans="1:6" x14ac:dyDescent="0.25">
      <c r="A50" s="6" t="s">
        <v>289</v>
      </c>
      <c r="B50" s="5">
        <v>710</v>
      </c>
      <c r="C50" s="5" t="s">
        <v>216</v>
      </c>
      <c r="D50" s="5" t="s">
        <v>299</v>
      </c>
      <c r="E50" s="5" t="s">
        <v>34</v>
      </c>
      <c r="F50" s="5">
        <f>+IFERROR(IF(A50="Loeke",VLOOKUP(B50,'Est Madre LK 10-25'!A:C,3,),VLOOKUP(B50,'Est Madre CH 10-25'!A:C,3,)),0)</f>
        <v>0</v>
      </c>
    </row>
    <row r="51" spans="1:6" x14ac:dyDescent="0.25">
      <c r="A51" s="5" t="s">
        <v>288</v>
      </c>
      <c r="B51" s="5">
        <v>396</v>
      </c>
      <c r="C51" s="5" t="s">
        <v>174</v>
      </c>
      <c r="D51" s="5" t="s">
        <v>300</v>
      </c>
      <c r="E51" s="5" t="s">
        <v>35</v>
      </c>
      <c r="F51" s="5">
        <f>+IFERROR(IF(A51="Loeke",VLOOKUP(B51,'Est Madre LK 10-25'!A:C,3,),VLOOKUP(B51,'Est Madre CH 10-25'!A:C,3,)),0)</f>
        <v>180</v>
      </c>
    </row>
    <row r="52" spans="1:6" x14ac:dyDescent="0.25">
      <c r="A52" s="6" t="s">
        <v>289</v>
      </c>
      <c r="B52" s="5">
        <v>710</v>
      </c>
      <c r="C52" s="5" t="s">
        <v>216</v>
      </c>
      <c r="D52" s="5" t="s">
        <v>300</v>
      </c>
      <c r="E52" s="5" t="s">
        <v>35</v>
      </c>
      <c r="F52" s="5">
        <f>+IFERROR(IF(A52="Loeke",VLOOKUP(B52,'Est Madre LK 10-25'!A:C,3,),VLOOKUP(B52,'Est Madre CH 10-25'!A:C,3,)),0)</f>
        <v>0</v>
      </c>
    </row>
    <row r="53" spans="1:6" x14ac:dyDescent="0.25">
      <c r="A53" s="5" t="s">
        <v>288</v>
      </c>
      <c r="B53" s="5">
        <v>515</v>
      </c>
      <c r="C53" s="5" t="s">
        <v>152</v>
      </c>
      <c r="D53" s="5" t="s">
        <v>36</v>
      </c>
      <c r="E53" s="5" t="s">
        <v>38</v>
      </c>
      <c r="F53" s="5">
        <f>+IFERROR(IF(A53="Loeke",VLOOKUP(B53,'Est Madre LK 10-25'!A:C,3,),VLOOKUP(B53,'Est Madre CH 10-25'!A:C,3,)),0)</f>
        <v>441.6</v>
      </c>
    </row>
    <row r="54" spans="1:6" x14ac:dyDescent="0.25">
      <c r="A54" s="5" t="s">
        <v>289</v>
      </c>
      <c r="B54" s="5">
        <v>615</v>
      </c>
      <c r="C54" s="5" t="s">
        <v>152</v>
      </c>
      <c r="D54" s="5" t="s">
        <v>36</v>
      </c>
      <c r="E54" s="5" t="s">
        <v>38</v>
      </c>
      <c r="F54" s="5">
        <f>+IFERROR(IF(A54="Loeke",VLOOKUP(B54,'Est Madre LK 10-25'!A:C,3,),VLOOKUP(B54,'Est Madre CH 10-25'!A:C,3,)),0)</f>
        <v>60</v>
      </c>
    </row>
    <row r="55" spans="1:6" x14ac:dyDescent="0.25">
      <c r="A55" s="6" t="s">
        <v>288</v>
      </c>
      <c r="B55" s="5">
        <v>544</v>
      </c>
      <c r="C55" s="5" t="s">
        <v>54</v>
      </c>
      <c r="D55" s="5" t="s">
        <v>468</v>
      </c>
      <c r="E55" s="5" t="s">
        <v>39</v>
      </c>
      <c r="F55" s="5">
        <f>+IFERROR(IF(A55="Loeke",VLOOKUP(B55,'Est Madre LK 10-25'!A:C,3,),VLOOKUP(B55,'Est Madre CH 10-25'!A:C,3,)),0)</f>
        <v>7464</v>
      </c>
    </row>
    <row r="56" spans="1:6" x14ac:dyDescent="0.25">
      <c r="A56" s="6" t="s">
        <v>289</v>
      </c>
      <c r="B56" s="5" t="s">
        <v>262</v>
      </c>
      <c r="C56" s="5" t="s">
        <v>263</v>
      </c>
      <c r="D56" s="5" t="s">
        <v>468</v>
      </c>
      <c r="E56" s="5" t="s">
        <v>39</v>
      </c>
      <c r="F56" s="5">
        <f>+IFERROR(IF(A56="Loeke",VLOOKUP(B56,'Est Madre LK 10-25'!A:C,3,),VLOOKUP(B56,'Est Madre CH 10-25'!A:C,3,)),0)</f>
        <v>0</v>
      </c>
    </row>
    <row r="57" spans="1:6" x14ac:dyDescent="0.25">
      <c r="A57" s="6" t="s">
        <v>289</v>
      </c>
      <c r="B57" s="5">
        <v>802</v>
      </c>
      <c r="C57" s="5" t="s">
        <v>270</v>
      </c>
      <c r="D57" s="5" t="s">
        <v>468</v>
      </c>
      <c r="E57" s="5" t="s">
        <v>39</v>
      </c>
      <c r="F57" s="5">
        <f>+IFERROR(IF(A57="Loeke",VLOOKUP(B57,'Est Madre LK 10-25'!A:C,3,),VLOOKUP(B57,'Est Madre CH 10-25'!A:C,3,)),0)</f>
        <v>540</v>
      </c>
    </row>
    <row r="58" spans="1:6" x14ac:dyDescent="0.25">
      <c r="A58" s="6" t="s">
        <v>288</v>
      </c>
      <c r="B58" s="5">
        <v>532</v>
      </c>
      <c r="C58" s="5" t="s">
        <v>107</v>
      </c>
      <c r="D58" s="5" t="s">
        <v>301</v>
      </c>
      <c r="E58" s="5" t="s">
        <v>40</v>
      </c>
      <c r="F58" s="5">
        <f>+IFERROR(IF(A58="Loeke",VLOOKUP(B58,'Est Madre LK 10-25'!A:C,3,),VLOOKUP(B58,'Est Madre CH 10-25'!A:C,3,)),0)</f>
        <v>312</v>
      </c>
    </row>
    <row r="59" spans="1:6" x14ac:dyDescent="0.25">
      <c r="A59" s="6" t="s">
        <v>289</v>
      </c>
      <c r="B59" s="5">
        <v>732</v>
      </c>
      <c r="C59" s="5" t="s">
        <v>228</v>
      </c>
      <c r="D59" s="5" t="s">
        <v>301</v>
      </c>
      <c r="E59" s="5" t="s">
        <v>40</v>
      </c>
      <c r="F59" s="5">
        <f>+IFERROR(IF(A59="Loeke",VLOOKUP(B59,'Est Madre LK 10-25'!A:C,3,),VLOOKUP(B59,'Est Madre CH 10-25'!A:C,3,)),0)</f>
        <v>96</v>
      </c>
    </row>
    <row r="60" spans="1:6" x14ac:dyDescent="0.25">
      <c r="A60" s="6" t="s">
        <v>288</v>
      </c>
      <c r="B60" s="5">
        <v>315</v>
      </c>
      <c r="C60" s="5" t="s">
        <v>59</v>
      </c>
      <c r="D60" s="5" t="s">
        <v>302</v>
      </c>
      <c r="E60" s="5" t="s">
        <v>41</v>
      </c>
      <c r="F60" s="5">
        <f>+IFERROR(IF(A60="Loeke",VLOOKUP(B60,'Est Madre LK 10-25'!A:C,3,),VLOOKUP(B60,'Est Madre CH 10-25'!A:C,3,)),0)</f>
        <v>4500</v>
      </c>
    </row>
    <row r="61" spans="1:6" x14ac:dyDescent="0.25">
      <c r="A61" s="6" t="s">
        <v>289</v>
      </c>
      <c r="B61" s="5">
        <v>609</v>
      </c>
      <c r="C61" s="5" t="s">
        <v>199</v>
      </c>
      <c r="D61" s="5" t="s">
        <v>302</v>
      </c>
      <c r="E61" s="5" t="s">
        <v>41</v>
      </c>
      <c r="F61" s="5">
        <f>+IFERROR(IF(A61="Loeke",VLOOKUP(B61,'Est Madre LK 10-25'!A:C,3,),VLOOKUP(B61,'Est Madre CH 10-25'!A:C,3,)),0)</f>
        <v>480</v>
      </c>
    </row>
    <row r="62" spans="1:6" x14ac:dyDescent="0.25">
      <c r="A62" s="6" t="s">
        <v>288</v>
      </c>
      <c r="B62" s="5">
        <v>523</v>
      </c>
      <c r="C62" s="5" t="s">
        <v>62</v>
      </c>
      <c r="D62" s="5" t="s">
        <v>303</v>
      </c>
      <c r="E62" s="5" t="s">
        <v>306</v>
      </c>
      <c r="F62" s="5">
        <f>+IFERROR(IF(A62="Loeke",VLOOKUP(B62,'Est Madre LK 10-25'!A:C,3,),VLOOKUP(B62,'Est Madre CH 10-25'!A:C,3,)),0)</f>
        <v>2400</v>
      </c>
    </row>
    <row r="63" spans="1:6" x14ac:dyDescent="0.25">
      <c r="A63" s="6" t="s">
        <v>289</v>
      </c>
      <c r="B63" s="5">
        <v>723</v>
      </c>
      <c r="C63" s="5" t="s">
        <v>62</v>
      </c>
      <c r="D63" s="5" t="s">
        <v>303</v>
      </c>
      <c r="E63" s="5" t="s">
        <v>306</v>
      </c>
      <c r="F63" s="5">
        <f>+IFERROR(IF(A63="Loeke",VLOOKUP(B63,'Est Madre LK 10-25'!A:C,3,),VLOOKUP(B63,'Est Madre CH 10-25'!A:C,3,)),0)</f>
        <v>372</v>
      </c>
    </row>
    <row r="64" spans="1:6" x14ac:dyDescent="0.25">
      <c r="A64" s="6" t="s">
        <v>288</v>
      </c>
      <c r="B64" s="5">
        <v>395</v>
      </c>
      <c r="C64" s="5" t="s">
        <v>101</v>
      </c>
      <c r="D64" s="5" t="s">
        <v>304</v>
      </c>
      <c r="E64" s="5" t="s">
        <v>101</v>
      </c>
      <c r="F64" s="5">
        <f>+IFERROR(IF(A64="Loeke",VLOOKUP(B64,'Est Madre LK 10-25'!A:C,3,),VLOOKUP(B64,'Est Madre CH 10-25'!A:C,3,)),0)</f>
        <v>600</v>
      </c>
    </row>
    <row r="65" spans="1:6" x14ac:dyDescent="0.25">
      <c r="A65" s="6" t="s">
        <v>289</v>
      </c>
      <c r="B65" s="5">
        <v>709</v>
      </c>
      <c r="C65" s="5" t="s">
        <v>101</v>
      </c>
      <c r="D65" s="5" t="s">
        <v>304</v>
      </c>
      <c r="E65" s="5" t="s">
        <v>101</v>
      </c>
      <c r="F65" s="5">
        <f>+IFERROR(IF(A65="Loeke",VLOOKUP(B65,'Est Madre LK 10-25'!A:C,3,),VLOOKUP(B65,'Est Madre CH 10-25'!A:C,3,)),0)</f>
        <v>24</v>
      </c>
    </row>
    <row r="66" spans="1:6" x14ac:dyDescent="0.25">
      <c r="A66" s="6" t="s">
        <v>288</v>
      </c>
      <c r="B66" s="5">
        <v>546</v>
      </c>
      <c r="C66" s="5" t="s">
        <v>371</v>
      </c>
      <c r="D66" s="5" t="s">
        <v>370</v>
      </c>
      <c r="E66" s="5" t="s">
        <v>369</v>
      </c>
      <c r="F66" s="5">
        <f>+IFERROR(IF(A66="Loeke",VLOOKUP(B66,'Est Madre LK 10-25'!A:C,3,),VLOOKUP(B66,'Est Madre CH 10-25'!A:C,3,)),0)</f>
        <v>7200</v>
      </c>
    </row>
    <row r="67" spans="1:6" x14ac:dyDescent="0.25">
      <c r="A67" s="6" t="s">
        <v>289</v>
      </c>
      <c r="B67" s="5">
        <v>809</v>
      </c>
      <c r="C67" s="5" t="s">
        <v>371</v>
      </c>
      <c r="D67" s="5" t="s">
        <v>370</v>
      </c>
      <c r="E67" s="5" t="s">
        <v>369</v>
      </c>
      <c r="F67" s="5">
        <f>+IFERROR(IF(A67="Loeke",VLOOKUP(B67,'Est Madre LK 10-25'!A:C,3,),VLOOKUP(B67,'Est Madre CH 10-25'!A:C,3,)),0)</f>
        <v>1296</v>
      </c>
    </row>
    <row r="68" spans="1:6" x14ac:dyDescent="0.25">
      <c r="A68" s="6" t="s">
        <v>288</v>
      </c>
      <c r="B68" s="5">
        <v>546</v>
      </c>
      <c r="C68" s="5" t="s">
        <v>371</v>
      </c>
      <c r="D68" s="5" t="s">
        <v>376</v>
      </c>
      <c r="E68" s="5" t="s">
        <v>372</v>
      </c>
      <c r="F68" s="5">
        <f>+IFERROR(IF(A68="Loeke",VLOOKUP(B68,'Est Madre LK 10-25'!A:C,3,),VLOOKUP(B68,'Est Madre CH 10-25'!A:C,3,)),0)</f>
        <v>7200</v>
      </c>
    </row>
    <row r="69" spans="1:6" x14ac:dyDescent="0.25">
      <c r="A69" s="6" t="s">
        <v>289</v>
      </c>
      <c r="B69" s="5">
        <v>809</v>
      </c>
      <c r="C69" s="5" t="s">
        <v>371</v>
      </c>
      <c r="D69" s="5" t="s">
        <v>376</v>
      </c>
      <c r="E69" s="5" t="s">
        <v>372</v>
      </c>
      <c r="F69" s="5">
        <f>+IFERROR(IF(A69="Loeke",VLOOKUP(B69,'Est Madre LK 10-25'!A:C,3,),VLOOKUP(B69,'Est Madre CH 10-25'!A:C,3,)),0)</f>
        <v>1296</v>
      </c>
    </row>
    <row r="70" spans="1:6" x14ac:dyDescent="0.25">
      <c r="A70" s="6" t="s">
        <v>288</v>
      </c>
      <c r="B70" s="5">
        <v>57</v>
      </c>
      <c r="C70" s="5" t="s">
        <v>414</v>
      </c>
      <c r="D70" s="5" t="s">
        <v>405</v>
      </c>
      <c r="E70" s="5" t="s">
        <v>415</v>
      </c>
      <c r="F70" s="5">
        <f>+IFERROR(IF(A70="Loeke",VLOOKUP(B70,'Est Madre LK 10-25'!A:C,3,),VLOOKUP(B70,'Est Madre CH 10-25'!A:C,3,)),0)</f>
        <v>744</v>
      </c>
    </row>
    <row r="71" spans="1:6" x14ac:dyDescent="0.25">
      <c r="A71" s="6" t="s">
        <v>288</v>
      </c>
      <c r="B71" s="5">
        <v>499</v>
      </c>
      <c r="C71" s="5" t="s">
        <v>413</v>
      </c>
      <c r="D71" s="5" t="s">
        <v>405</v>
      </c>
      <c r="E71" s="5" t="s">
        <v>415</v>
      </c>
      <c r="F71" s="5">
        <f>+IFERROR(IF(A71="Loeke",VLOOKUP(B71,'Est Madre LK 10-25'!A:C,3,),VLOOKUP(B71,'Est Madre CH 10-25'!A:C,3,)),0)</f>
        <v>144</v>
      </c>
    </row>
    <row r="72" spans="1:6" x14ac:dyDescent="0.25">
      <c r="A72" s="6" t="s">
        <v>288</v>
      </c>
      <c r="B72" s="5">
        <v>499</v>
      </c>
      <c r="C72" s="5" t="s">
        <v>413</v>
      </c>
      <c r="D72" s="5" t="s">
        <v>407</v>
      </c>
      <c r="E72" s="5" t="s">
        <v>406</v>
      </c>
      <c r="F72" s="5">
        <f>+IFERROR(IF(A72="Loeke",VLOOKUP(B72,'Est Madre LK 10-25'!A:C,3,),VLOOKUP(B72,'Est Madre CH 10-25'!A:C,3,)),0)</f>
        <v>144</v>
      </c>
    </row>
    <row r="73" spans="1:6" x14ac:dyDescent="0.25">
      <c r="A73" s="6" t="s">
        <v>288</v>
      </c>
      <c r="B73" s="5">
        <v>280</v>
      </c>
      <c r="C73" s="5" t="s">
        <v>86</v>
      </c>
      <c r="D73" s="5" t="s">
        <v>411</v>
      </c>
      <c r="E73" s="5" t="s">
        <v>410</v>
      </c>
      <c r="F73" s="5">
        <f>+IFERROR(IF(A73="Loeke",VLOOKUP(B73,'Est Madre LK 10-25'!A:C,3,),VLOOKUP(B73,'Est Madre CH 10-25'!A:C,3,)),0)</f>
        <v>1300</v>
      </c>
    </row>
    <row r="74" spans="1:6" s="228" customFormat="1" ht="30" x14ac:dyDescent="0.25">
      <c r="A74" s="231" t="s">
        <v>288</v>
      </c>
      <c r="B74" s="232">
        <v>323</v>
      </c>
      <c r="C74" s="232" t="s">
        <v>122</v>
      </c>
      <c r="D74" s="233" t="s">
        <v>456</v>
      </c>
      <c r="E74" s="232" t="s">
        <v>454</v>
      </c>
      <c r="F74" s="232">
        <f>+IFERROR(IF(A74="Loeke",VLOOKUP(B74,'Est Madre LK 10-25'!A:C,3,),VLOOKUP(B74,'Est Madre CH 10-25'!A:C,3,)),0)</f>
        <v>264</v>
      </c>
    </row>
    <row r="75" spans="1:6" s="228" customFormat="1" ht="30" x14ac:dyDescent="0.25">
      <c r="A75" s="231" t="s">
        <v>289</v>
      </c>
      <c r="B75" s="232">
        <v>839</v>
      </c>
      <c r="C75" s="232" t="s">
        <v>244</v>
      </c>
      <c r="D75" s="233" t="s">
        <v>456</v>
      </c>
      <c r="E75" s="232" t="s">
        <v>454</v>
      </c>
      <c r="F75" s="232">
        <f>+IFERROR(IF(A75="Loeke",VLOOKUP(B75,'Est Madre LK 10-25'!A:C,3,),VLOOKUP(B75,'Est Madre CH 10-25'!A:C,3,)),0)</f>
        <v>180</v>
      </c>
    </row>
    <row r="76" spans="1:6" x14ac:dyDescent="0.25">
      <c r="A76" s="231" t="s">
        <v>288</v>
      </c>
      <c r="B76" s="5">
        <v>312</v>
      </c>
      <c r="C76" s="5" t="s">
        <v>153</v>
      </c>
      <c r="D76" s="5" t="s">
        <v>425</v>
      </c>
      <c r="E76" s="5" t="s">
        <v>458</v>
      </c>
      <c r="F76" s="232">
        <f>+IFERROR(IF(A76="Loeke",VLOOKUP(B76,'Est Madre LK 10-25'!A:C,3,),VLOOKUP(B76,'Est Madre CH 10-25'!A:C,3,)),0)</f>
        <v>204</v>
      </c>
    </row>
    <row r="77" spans="1:6" x14ac:dyDescent="0.25">
      <c r="A77" s="231" t="s">
        <v>289</v>
      </c>
      <c r="B77" s="5">
        <v>856</v>
      </c>
      <c r="C77" s="5" t="s">
        <v>153</v>
      </c>
      <c r="D77" s="5" t="s">
        <v>425</v>
      </c>
      <c r="E77" s="5" t="s">
        <v>458</v>
      </c>
      <c r="F77" s="232">
        <f>+IFERROR(IF(A77="Loeke",VLOOKUP(B77,'Est Madre LK 10-25'!A:C,3,),VLOOKUP(B77,'Est Madre CH 10-25'!A:C,3,)),0)</f>
        <v>96</v>
      </c>
    </row>
    <row r="78" spans="1:6" x14ac:dyDescent="0.25">
      <c r="A78" s="231" t="s">
        <v>288</v>
      </c>
      <c r="B78" s="5">
        <v>580</v>
      </c>
      <c r="C78" s="5" t="s">
        <v>474</v>
      </c>
      <c r="D78" s="5" t="s">
        <v>472</v>
      </c>
      <c r="E78" s="5" t="s">
        <v>473</v>
      </c>
      <c r="F78" s="232">
        <f>+IFERROR(IF(A78="Loeke",VLOOKUP(B78,'Est Madre LK 10-25'!A:C,3,),VLOOKUP(B78,'Est Madre CH 10-25'!A:C,3,)),0)</f>
        <v>684</v>
      </c>
    </row>
  </sheetData>
  <autoFilter ref="E1:E77"/>
  <phoneticPr fontId="3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11"/>
  <sheetViews>
    <sheetView tabSelected="1" workbookViewId="0">
      <selection activeCell="H13" sqref="H13"/>
    </sheetView>
  </sheetViews>
  <sheetFormatPr baseColWidth="10" defaultRowHeight="15" x14ac:dyDescent="0.25"/>
  <cols>
    <col min="1" max="1" width="8.42578125" customWidth="1"/>
    <col min="2" max="2" width="32.5703125" customWidth="1"/>
    <col min="3" max="3" width="14.28515625" bestFit="1" customWidth="1"/>
    <col min="254" max="254" width="8.85546875" customWidth="1"/>
    <col min="255" max="255" width="32.5703125" customWidth="1"/>
    <col min="256" max="256" width="8.28515625" customWidth="1"/>
    <col min="510" max="510" width="8.85546875" customWidth="1"/>
    <col min="511" max="511" width="32.5703125" customWidth="1"/>
    <col min="512" max="512" width="8.28515625" customWidth="1"/>
    <col min="766" max="766" width="8.85546875" customWidth="1"/>
    <col min="767" max="767" width="32.5703125" customWidth="1"/>
    <col min="768" max="768" width="8.28515625" customWidth="1"/>
    <col min="1022" max="1022" width="8.85546875" customWidth="1"/>
    <col min="1023" max="1023" width="32.5703125" customWidth="1"/>
    <col min="1024" max="1024" width="8.28515625" customWidth="1"/>
    <col min="1278" max="1278" width="8.85546875" customWidth="1"/>
    <col min="1279" max="1279" width="32.5703125" customWidth="1"/>
    <col min="1280" max="1280" width="8.28515625" customWidth="1"/>
    <col min="1534" max="1534" width="8.85546875" customWidth="1"/>
    <col min="1535" max="1535" width="32.5703125" customWidth="1"/>
    <col min="1536" max="1536" width="8.28515625" customWidth="1"/>
    <col min="1790" max="1790" width="8.85546875" customWidth="1"/>
    <col min="1791" max="1791" width="32.5703125" customWidth="1"/>
    <col min="1792" max="1792" width="8.28515625" customWidth="1"/>
    <col min="2046" max="2046" width="8.85546875" customWidth="1"/>
    <col min="2047" max="2047" width="32.5703125" customWidth="1"/>
    <col min="2048" max="2048" width="8.28515625" customWidth="1"/>
    <col min="2302" max="2302" width="8.85546875" customWidth="1"/>
    <col min="2303" max="2303" width="32.5703125" customWidth="1"/>
    <col min="2304" max="2304" width="8.28515625" customWidth="1"/>
    <col min="2558" max="2558" width="8.85546875" customWidth="1"/>
    <col min="2559" max="2559" width="32.5703125" customWidth="1"/>
    <col min="2560" max="2560" width="8.28515625" customWidth="1"/>
    <col min="2814" max="2814" width="8.85546875" customWidth="1"/>
    <col min="2815" max="2815" width="32.5703125" customWidth="1"/>
    <col min="2816" max="2816" width="8.28515625" customWidth="1"/>
    <col min="3070" max="3070" width="8.85546875" customWidth="1"/>
    <col min="3071" max="3071" width="32.5703125" customWidth="1"/>
    <col min="3072" max="3072" width="8.28515625" customWidth="1"/>
    <col min="3326" max="3326" width="8.85546875" customWidth="1"/>
    <col min="3327" max="3327" width="32.5703125" customWidth="1"/>
    <col min="3328" max="3328" width="8.28515625" customWidth="1"/>
    <col min="3582" max="3582" width="8.85546875" customWidth="1"/>
    <col min="3583" max="3583" width="32.5703125" customWidth="1"/>
    <col min="3584" max="3584" width="8.28515625" customWidth="1"/>
    <col min="3838" max="3838" width="8.85546875" customWidth="1"/>
    <col min="3839" max="3839" width="32.5703125" customWidth="1"/>
    <col min="3840" max="3840" width="8.28515625" customWidth="1"/>
    <col min="4094" max="4094" width="8.85546875" customWidth="1"/>
    <col min="4095" max="4095" width="32.5703125" customWidth="1"/>
    <col min="4096" max="4096" width="8.28515625" customWidth="1"/>
    <col min="4350" max="4350" width="8.85546875" customWidth="1"/>
    <col min="4351" max="4351" width="32.5703125" customWidth="1"/>
    <col min="4352" max="4352" width="8.28515625" customWidth="1"/>
    <col min="4606" max="4606" width="8.85546875" customWidth="1"/>
    <col min="4607" max="4607" width="32.5703125" customWidth="1"/>
    <col min="4608" max="4608" width="8.28515625" customWidth="1"/>
    <col min="4862" max="4862" width="8.85546875" customWidth="1"/>
    <col min="4863" max="4863" width="32.5703125" customWidth="1"/>
    <col min="4864" max="4864" width="8.28515625" customWidth="1"/>
    <col min="5118" max="5118" width="8.85546875" customWidth="1"/>
    <col min="5119" max="5119" width="32.5703125" customWidth="1"/>
    <col min="5120" max="5120" width="8.28515625" customWidth="1"/>
    <col min="5374" max="5374" width="8.85546875" customWidth="1"/>
    <col min="5375" max="5375" width="32.5703125" customWidth="1"/>
    <col min="5376" max="5376" width="8.28515625" customWidth="1"/>
    <col min="5630" max="5630" width="8.85546875" customWidth="1"/>
    <col min="5631" max="5631" width="32.5703125" customWidth="1"/>
    <col min="5632" max="5632" width="8.28515625" customWidth="1"/>
    <col min="5886" max="5886" width="8.85546875" customWidth="1"/>
    <col min="5887" max="5887" width="32.5703125" customWidth="1"/>
    <col min="5888" max="5888" width="8.28515625" customWidth="1"/>
    <col min="6142" max="6142" width="8.85546875" customWidth="1"/>
    <col min="6143" max="6143" width="32.5703125" customWidth="1"/>
    <col min="6144" max="6144" width="8.28515625" customWidth="1"/>
    <col min="6398" max="6398" width="8.85546875" customWidth="1"/>
    <col min="6399" max="6399" width="32.5703125" customWidth="1"/>
    <col min="6400" max="6400" width="8.28515625" customWidth="1"/>
    <col min="6654" max="6654" width="8.85546875" customWidth="1"/>
    <col min="6655" max="6655" width="32.5703125" customWidth="1"/>
    <col min="6656" max="6656" width="8.28515625" customWidth="1"/>
    <col min="6910" max="6910" width="8.85546875" customWidth="1"/>
    <col min="6911" max="6911" width="32.5703125" customWidth="1"/>
    <col min="6912" max="6912" width="8.28515625" customWidth="1"/>
    <col min="7166" max="7166" width="8.85546875" customWidth="1"/>
    <col min="7167" max="7167" width="32.5703125" customWidth="1"/>
    <col min="7168" max="7168" width="8.28515625" customWidth="1"/>
    <col min="7422" max="7422" width="8.85546875" customWidth="1"/>
    <col min="7423" max="7423" width="32.5703125" customWidth="1"/>
    <col min="7424" max="7424" width="8.28515625" customWidth="1"/>
    <col min="7678" max="7678" width="8.85546875" customWidth="1"/>
    <col min="7679" max="7679" width="32.5703125" customWidth="1"/>
    <col min="7680" max="7680" width="8.28515625" customWidth="1"/>
    <col min="7934" max="7934" width="8.85546875" customWidth="1"/>
    <col min="7935" max="7935" width="32.5703125" customWidth="1"/>
    <col min="7936" max="7936" width="8.28515625" customWidth="1"/>
    <col min="8190" max="8190" width="8.85546875" customWidth="1"/>
    <col min="8191" max="8191" width="32.5703125" customWidth="1"/>
    <col min="8192" max="8192" width="8.28515625" customWidth="1"/>
    <col min="8446" max="8446" width="8.85546875" customWidth="1"/>
    <col min="8447" max="8447" width="32.5703125" customWidth="1"/>
    <col min="8448" max="8448" width="8.28515625" customWidth="1"/>
    <col min="8702" max="8702" width="8.85546875" customWidth="1"/>
    <col min="8703" max="8703" width="32.5703125" customWidth="1"/>
    <col min="8704" max="8704" width="8.28515625" customWidth="1"/>
    <col min="8958" max="8958" width="8.85546875" customWidth="1"/>
    <col min="8959" max="8959" width="32.5703125" customWidth="1"/>
    <col min="8960" max="8960" width="8.28515625" customWidth="1"/>
    <col min="9214" max="9214" width="8.85546875" customWidth="1"/>
    <col min="9215" max="9215" width="32.5703125" customWidth="1"/>
    <col min="9216" max="9216" width="8.28515625" customWidth="1"/>
    <col min="9470" max="9470" width="8.85546875" customWidth="1"/>
    <col min="9471" max="9471" width="32.5703125" customWidth="1"/>
    <col min="9472" max="9472" width="8.28515625" customWidth="1"/>
    <col min="9726" max="9726" width="8.85546875" customWidth="1"/>
    <col min="9727" max="9727" width="32.5703125" customWidth="1"/>
    <col min="9728" max="9728" width="8.28515625" customWidth="1"/>
    <col min="9982" max="9982" width="8.85546875" customWidth="1"/>
    <col min="9983" max="9983" width="32.5703125" customWidth="1"/>
    <col min="9984" max="9984" width="8.28515625" customWidth="1"/>
    <col min="10238" max="10238" width="8.85546875" customWidth="1"/>
    <col min="10239" max="10239" width="32.5703125" customWidth="1"/>
    <col min="10240" max="10240" width="8.28515625" customWidth="1"/>
    <col min="10494" max="10494" width="8.85546875" customWidth="1"/>
    <col min="10495" max="10495" width="32.5703125" customWidth="1"/>
    <col min="10496" max="10496" width="8.28515625" customWidth="1"/>
    <col min="10750" max="10750" width="8.85546875" customWidth="1"/>
    <col min="10751" max="10751" width="32.5703125" customWidth="1"/>
    <col min="10752" max="10752" width="8.28515625" customWidth="1"/>
    <col min="11006" max="11006" width="8.85546875" customWidth="1"/>
    <col min="11007" max="11007" width="32.5703125" customWidth="1"/>
    <col min="11008" max="11008" width="8.28515625" customWidth="1"/>
    <col min="11262" max="11262" width="8.85546875" customWidth="1"/>
    <col min="11263" max="11263" width="32.5703125" customWidth="1"/>
    <col min="11264" max="11264" width="8.28515625" customWidth="1"/>
    <col min="11518" max="11518" width="8.85546875" customWidth="1"/>
    <col min="11519" max="11519" width="32.5703125" customWidth="1"/>
    <col min="11520" max="11520" width="8.28515625" customWidth="1"/>
    <col min="11774" max="11774" width="8.85546875" customWidth="1"/>
    <col min="11775" max="11775" width="32.5703125" customWidth="1"/>
    <col min="11776" max="11776" width="8.28515625" customWidth="1"/>
    <col min="12030" max="12030" width="8.85546875" customWidth="1"/>
    <col min="12031" max="12031" width="32.5703125" customWidth="1"/>
    <col min="12032" max="12032" width="8.28515625" customWidth="1"/>
    <col min="12286" max="12286" width="8.85546875" customWidth="1"/>
    <col min="12287" max="12287" width="32.5703125" customWidth="1"/>
    <col min="12288" max="12288" width="8.28515625" customWidth="1"/>
    <col min="12542" max="12542" width="8.85546875" customWidth="1"/>
    <col min="12543" max="12543" width="32.5703125" customWidth="1"/>
    <col min="12544" max="12544" width="8.28515625" customWidth="1"/>
    <col min="12798" max="12798" width="8.85546875" customWidth="1"/>
    <col min="12799" max="12799" width="32.5703125" customWidth="1"/>
    <col min="12800" max="12800" width="8.28515625" customWidth="1"/>
    <col min="13054" max="13054" width="8.85546875" customWidth="1"/>
    <col min="13055" max="13055" width="32.5703125" customWidth="1"/>
    <col min="13056" max="13056" width="8.28515625" customWidth="1"/>
    <col min="13310" max="13310" width="8.85546875" customWidth="1"/>
    <col min="13311" max="13311" width="32.5703125" customWidth="1"/>
    <col min="13312" max="13312" width="8.28515625" customWidth="1"/>
    <col min="13566" max="13566" width="8.85546875" customWidth="1"/>
    <col min="13567" max="13567" width="32.5703125" customWidth="1"/>
    <col min="13568" max="13568" width="8.28515625" customWidth="1"/>
    <col min="13822" max="13822" width="8.85546875" customWidth="1"/>
    <col min="13823" max="13823" width="32.5703125" customWidth="1"/>
    <col min="13824" max="13824" width="8.28515625" customWidth="1"/>
    <col min="14078" max="14078" width="8.85546875" customWidth="1"/>
    <col min="14079" max="14079" width="32.5703125" customWidth="1"/>
    <col min="14080" max="14080" width="8.28515625" customWidth="1"/>
    <col min="14334" max="14334" width="8.85546875" customWidth="1"/>
    <col min="14335" max="14335" width="32.5703125" customWidth="1"/>
    <col min="14336" max="14336" width="8.28515625" customWidth="1"/>
    <col min="14590" max="14590" width="8.85546875" customWidth="1"/>
    <col min="14591" max="14591" width="32.5703125" customWidth="1"/>
    <col min="14592" max="14592" width="8.28515625" customWidth="1"/>
    <col min="14846" max="14846" width="8.85546875" customWidth="1"/>
    <col min="14847" max="14847" width="32.5703125" customWidth="1"/>
    <col min="14848" max="14848" width="8.28515625" customWidth="1"/>
    <col min="15102" max="15102" width="8.85546875" customWidth="1"/>
    <col min="15103" max="15103" width="32.5703125" customWidth="1"/>
    <col min="15104" max="15104" width="8.28515625" customWidth="1"/>
    <col min="15358" max="15358" width="8.85546875" customWidth="1"/>
    <col min="15359" max="15359" width="32.5703125" customWidth="1"/>
    <col min="15360" max="15360" width="8.28515625" customWidth="1"/>
    <col min="15614" max="15614" width="8.85546875" customWidth="1"/>
    <col min="15615" max="15615" width="32.5703125" customWidth="1"/>
    <col min="15616" max="15616" width="8.28515625" customWidth="1"/>
    <col min="15870" max="15870" width="8.85546875" customWidth="1"/>
    <col min="15871" max="15871" width="32.5703125" customWidth="1"/>
    <col min="15872" max="15872" width="8.28515625" customWidth="1"/>
    <col min="16126" max="16126" width="8.85546875" customWidth="1"/>
    <col min="16127" max="16127" width="32.5703125" customWidth="1"/>
    <col min="16128" max="16128" width="8.28515625" customWidth="1"/>
  </cols>
  <sheetData>
    <row r="1" spans="1:7" ht="3.95" customHeight="1" x14ac:dyDescent="0.25"/>
    <row r="2" spans="1:7" ht="3.95" customHeight="1" x14ac:dyDescent="0.25"/>
    <row r="3" spans="1:7" ht="3.95" customHeight="1" x14ac:dyDescent="0.25"/>
    <row r="4" spans="1:7" ht="3.95" customHeight="1" thickBot="1" x14ac:dyDescent="0.3"/>
    <row r="5" spans="1:7" ht="57" thickBot="1" x14ac:dyDescent="0.3">
      <c r="A5" s="8" t="s">
        <v>312</v>
      </c>
      <c r="B5" s="321" t="s">
        <v>2</v>
      </c>
      <c r="C5" s="8" t="s">
        <v>486</v>
      </c>
    </row>
    <row r="6" spans="1:7" ht="23.25" x14ac:dyDescent="0.3">
      <c r="A6" s="322">
        <v>505</v>
      </c>
      <c r="B6" s="12" t="s">
        <v>42</v>
      </c>
      <c r="C6" s="323">
        <v>30000</v>
      </c>
      <c r="G6" s="443"/>
    </row>
    <row r="7" spans="1:7" ht="23.25" x14ac:dyDescent="0.3">
      <c r="A7" s="322">
        <v>506</v>
      </c>
      <c r="B7" s="324" t="s">
        <v>44</v>
      </c>
      <c r="C7" s="325">
        <v>18840</v>
      </c>
      <c r="G7" s="443"/>
    </row>
    <row r="8" spans="1:7" ht="23.25" x14ac:dyDescent="0.3">
      <c r="A8" s="322">
        <v>513</v>
      </c>
      <c r="B8" s="14" t="s">
        <v>43</v>
      </c>
      <c r="C8" s="323">
        <v>18204</v>
      </c>
      <c r="G8" s="443"/>
    </row>
    <row r="9" spans="1:7" ht="23.25" x14ac:dyDescent="0.3">
      <c r="A9" s="322">
        <v>31</v>
      </c>
      <c r="B9" s="14" t="s">
        <v>46</v>
      </c>
      <c r="C9" s="326">
        <v>18192</v>
      </c>
      <c r="G9" s="443"/>
    </row>
    <row r="10" spans="1:7" ht="23.25" x14ac:dyDescent="0.3">
      <c r="A10" s="322">
        <v>586</v>
      </c>
      <c r="B10" s="14" t="s">
        <v>45</v>
      </c>
      <c r="C10" s="326">
        <v>6996</v>
      </c>
      <c r="G10" s="443"/>
    </row>
    <row r="11" spans="1:7" ht="23.25" x14ac:dyDescent="0.3">
      <c r="A11" s="322">
        <v>530</v>
      </c>
      <c r="B11" s="324" t="s">
        <v>58</v>
      </c>
      <c r="C11" s="327">
        <v>3600</v>
      </c>
      <c r="G11" s="443"/>
    </row>
    <row r="12" spans="1:7" ht="23.25" x14ac:dyDescent="0.3">
      <c r="A12" s="322">
        <v>546</v>
      </c>
      <c r="B12" s="14" t="s">
        <v>51</v>
      </c>
      <c r="C12" s="326">
        <v>7200</v>
      </c>
      <c r="G12" s="443"/>
    </row>
    <row r="13" spans="1:7" ht="23.25" x14ac:dyDescent="0.3">
      <c r="A13" s="322">
        <v>544</v>
      </c>
      <c r="B13" s="14" t="s">
        <v>54</v>
      </c>
      <c r="C13" s="325">
        <v>7464</v>
      </c>
      <c r="G13" s="443"/>
    </row>
    <row r="14" spans="1:7" ht="23.25" x14ac:dyDescent="0.3">
      <c r="A14" s="322">
        <v>504</v>
      </c>
      <c r="B14" s="14" t="s">
        <v>47</v>
      </c>
      <c r="C14" s="325">
        <v>6996</v>
      </c>
      <c r="G14" s="443"/>
    </row>
    <row r="15" spans="1:7" ht="23.25" x14ac:dyDescent="0.3">
      <c r="A15" s="322">
        <v>501</v>
      </c>
      <c r="B15" s="14" t="s">
        <v>48</v>
      </c>
      <c r="C15" s="326">
        <v>6912</v>
      </c>
      <c r="G15" s="443"/>
    </row>
    <row r="16" spans="1:7" ht="23.25" x14ac:dyDescent="0.3">
      <c r="A16" s="322">
        <v>502</v>
      </c>
      <c r="B16" s="14" t="s">
        <v>55</v>
      </c>
      <c r="C16" s="326">
        <v>5796</v>
      </c>
      <c r="G16" s="443"/>
    </row>
    <row r="17" spans="1:7" ht="23.25" x14ac:dyDescent="0.3">
      <c r="A17" s="322">
        <v>321</v>
      </c>
      <c r="B17" s="14" t="s">
        <v>487</v>
      </c>
      <c r="C17" s="325">
        <v>3120</v>
      </c>
      <c r="G17" s="443"/>
    </row>
    <row r="18" spans="1:7" ht="23.25" x14ac:dyDescent="0.3">
      <c r="A18" s="322">
        <v>510</v>
      </c>
      <c r="B18" s="324" t="s">
        <v>61</v>
      </c>
      <c r="C18" s="327">
        <v>6456</v>
      </c>
      <c r="G18" s="443"/>
    </row>
    <row r="19" spans="1:7" ht="23.25" x14ac:dyDescent="0.25">
      <c r="A19" s="322">
        <v>27</v>
      </c>
      <c r="B19" s="13" t="s">
        <v>56</v>
      </c>
      <c r="C19" s="328">
        <v>4512</v>
      </c>
      <c r="G19" s="443"/>
    </row>
    <row r="20" spans="1:7" ht="23.25" x14ac:dyDescent="0.3">
      <c r="A20" s="329">
        <v>587</v>
      </c>
      <c r="B20" s="21" t="s">
        <v>60</v>
      </c>
      <c r="C20" s="325">
        <v>3600</v>
      </c>
      <c r="G20" s="443"/>
    </row>
    <row r="21" spans="1:7" ht="23.25" x14ac:dyDescent="0.3">
      <c r="A21" s="322">
        <v>315</v>
      </c>
      <c r="B21" s="330" t="s">
        <v>59</v>
      </c>
      <c r="C21" s="328">
        <v>4500</v>
      </c>
      <c r="G21" s="443"/>
    </row>
    <row r="22" spans="1:7" ht="23.25" x14ac:dyDescent="0.3">
      <c r="A22" s="322">
        <v>520</v>
      </c>
      <c r="B22" s="14" t="s">
        <v>68</v>
      </c>
      <c r="C22" s="325">
        <v>3120</v>
      </c>
      <c r="G22" s="443"/>
    </row>
    <row r="23" spans="1:7" ht="23.25" x14ac:dyDescent="0.3">
      <c r="A23" s="322">
        <v>26</v>
      </c>
      <c r="B23" s="330" t="s">
        <v>53</v>
      </c>
      <c r="C23" s="331">
        <v>7236</v>
      </c>
      <c r="G23" s="443"/>
    </row>
    <row r="24" spans="1:7" ht="23.25" x14ac:dyDescent="0.3">
      <c r="A24" s="322">
        <v>325</v>
      </c>
      <c r="B24" s="14" t="s">
        <v>57</v>
      </c>
      <c r="C24" s="331">
        <v>2256</v>
      </c>
      <c r="G24" s="443"/>
    </row>
    <row r="25" spans="1:7" ht="23.25" x14ac:dyDescent="0.3">
      <c r="A25" s="322">
        <v>30</v>
      </c>
      <c r="B25" s="332" t="s">
        <v>296</v>
      </c>
      <c r="C25" s="333">
        <v>0</v>
      </c>
      <c r="G25" s="443"/>
    </row>
    <row r="26" spans="1:7" ht="23.25" x14ac:dyDescent="0.3">
      <c r="A26" s="322" t="s">
        <v>69</v>
      </c>
      <c r="B26" s="14" t="s">
        <v>70</v>
      </c>
      <c r="C26" s="325">
        <v>4400</v>
      </c>
      <c r="G26" s="443"/>
    </row>
    <row r="27" spans="1:7" ht="23.25" x14ac:dyDescent="0.3">
      <c r="A27" s="334">
        <v>224</v>
      </c>
      <c r="B27" s="15" t="s">
        <v>98</v>
      </c>
      <c r="C27" s="335">
        <v>588</v>
      </c>
      <c r="G27" s="443"/>
    </row>
    <row r="28" spans="1:7" ht="23.25" x14ac:dyDescent="0.3">
      <c r="A28" s="322">
        <v>29</v>
      </c>
      <c r="B28" s="332" t="s">
        <v>295</v>
      </c>
      <c r="C28" s="333">
        <v>0</v>
      </c>
      <c r="G28" s="443"/>
    </row>
    <row r="29" spans="1:7" ht="23.25" x14ac:dyDescent="0.3">
      <c r="A29" s="322">
        <v>558</v>
      </c>
      <c r="B29" s="330" t="s">
        <v>77</v>
      </c>
      <c r="C29" s="331">
        <v>2124</v>
      </c>
      <c r="G29" s="443"/>
    </row>
    <row r="30" spans="1:7" ht="23.25" x14ac:dyDescent="0.3">
      <c r="A30" s="322">
        <v>523</v>
      </c>
      <c r="B30" s="14" t="s">
        <v>62</v>
      </c>
      <c r="C30" s="331">
        <v>2400</v>
      </c>
      <c r="G30" s="443"/>
    </row>
    <row r="31" spans="1:7" ht="23.25" x14ac:dyDescent="0.3">
      <c r="A31" s="322">
        <v>512</v>
      </c>
      <c r="B31" s="330" t="s">
        <v>90</v>
      </c>
      <c r="C31" s="333">
        <v>1656</v>
      </c>
      <c r="G31" s="443"/>
    </row>
    <row r="32" spans="1:7" ht="23.25" x14ac:dyDescent="0.3">
      <c r="A32" s="322">
        <v>521</v>
      </c>
      <c r="B32" s="14" t="s">
        <v>67</v>
      </c>
      <c r="C32" s="325">
        <v>2220</v>
      </c>
      <c r="G32" s="443"/>
    </row>
    <row r="33" spans="1:7" ht="23.25" x14ac:dyDescent="0.3">
      <c r="A33" s="322">
        <v>581</v>
      </c>
      <c r="B33" s="14" t="s">
        <v>105</v>
      </c>
      <c r="C33" s="325">
        <v>768</v>
      </c>
      <c r="G33" s="443"/>
    </row>
    <row r="34" spans="1:7" ht="23.25" x14ac:dyDescent="0.3">
      <c r="A34" s="322">
        <v>531</v>
      </c>
      <c r="B34" s="14" t="s">
        <v>74</v>
      </c>
      <c r="C34" s="325">
        <v>1440</v>
      </c>
      <c r="G34" s="443"/>
    </row>
    <row r="35" spans="1:7" ht="23.25" x14ac:dyDescent="0.3">
      <c r="A35" s="334">
        <v>248</v>
      </c>
      <c r="B35" s="330" t="s">
        <v>84</v>
      </c>
      <c r="C35" s="331">
        <v>924</v>
      </c>
      <c r="G35" s="443"/>
    </row>
    <row r="36" spans="1:7" ht="23.25" x14ac:dyDescent="0.3">
      <c r="A36" s="322">
        <v>555</v>
      </c>
      <c r="B36" s="330" t="s">
        <v>81</v>
      </c>
      <c r="C36" s="328">
        <v>1800</v>
      </c>
      <c r="G36" s="443"/>
    </row>
    <row r="37" spans="1:7" ht="23.25" x14ac:dyDescent="0.3">
      <c r="A37" s="322">
        <v>575</v>
      </c>
      <c r="B37" s="14" t="s">
        <v>73</v>
      </c>
      <c r="C37" s="328">
        <v>1092</v>
      </c>
      <c r="G37" s="443"/>
    </row>
    <row r="38" spans="1:7" ht="23.25" x14ac:dyDescent="0.3">
      <c r="A38" s="336">
        <v>66</v>
      </c>
      <c r="B38" s="14" t="s">
        <v>322</v>
      </c>
      <c r="C38" s="325">
        <v>2100</v>
      </c>
      <c r="G38" s="443"/>
    </row>
    <row r="39" spans="1:7" ht="23.25" x14ac:dyDescent="0.3">
      <c r="A39" s="322">
        <v>535</v>
      </c>
      <c r="B39" s="14" t="s">
        <v>91</v>
      </c>
      <c r="C39" s="325">
        <v>1584</v>
      </c>
      <c r="G39" s="443"/>
    </row>
    <row r="40" spans="1:7" ht="23.25" x14ac:dyDescent="0.3">
      <c r="A40" s="322">
        <v>34</v>
      </c>
      <c r="B40" s="14" t="s">
        <v>66</v>
      </c>
      <c r="C40" s="325">
        <v>1536</v>
      </c>
      <c r="G40" s="443"/>
    </row>
    <row r="41" spans="1:7" ht="23.25" x14ac:dyDescent="0.3">
      <c r="A41" s="334">
        <v>551</v>
      </c>
      <c r="B41" s="15" t="s">
        <v>363</v>
      </c>
      <c r="C41" s="328">
        <v>468</v>
      </c>
      <c r="G41" s="443"/>
    </row>
    <row r="42" spans="1:7" ht="23.25" x14ac:dyDescent="0.3">
      <c r="A42" s="334">
        <v>550</v>
      </c>
      <c r="B42" s="15" t="s">
        <v>93</v>
      </c>
      <c r="C42" s="325">
        <v>1368</v>
      </c>
      <c r="G42" s="443"/>
    </row>
    <row r="43" spans="1:7" ht="23.25" x14ac:dyDescent="0.3">
      <c r="A43" s="334">
        <v>562</v>
      </c>
      <c r="B43" s="15" t="s">
        <v>102</v>
      </c>
      <c r="C43" s="331">
        <v>1200</v>
      </c>
      <c r="G43" s="443"/>
    </row>
    <row r="44" spans="1:7" ht="23.25" x14ac:dyDescent="0.3">
      <c r="A44" s="337" t="s">
        <v>356</v>
      </c>
      <c r="B44" s="11" t="s">
        <v>265</v>
      </c>
      <c r="C44" s="325">
        <v>1872</v>
      </c>
      <c r="G44" s="443"/>
    </row>
    <row r="45" spans="1:7" ht="23.25" x14ac:dyDescent="0.3">
      <c r="A45" s="334">
        <v>229</v>
      </c>
      <c r="B45" s="15" t="s">
        <v>87</v>
      </c>
      <c r="C45" s="331">
        <v>1008</v>
      </c>
      <c r="G45" s="443"/>
    </row>
    <row r="46" spans="1:7" ht="23.25" x14ac:dyDescent="0.3">
      <c r="A46" s="322">
        <v>500</v>
      </c>
      <c r="B46" s="14" t="s">
        <v>65</v>
      </c>
      <c r="C46" s="325">
        <v>1440</v>
      </c>
      <c r="G46" s="443"/>
    </row>
    <row r="47" spans="1:7" ht="23.25" x14ac:dyDescent="0.3">
      <c r="A47" s="334">
        <v>654</v>
      </c>
      <c r="B47" s="15" t="s">
        <v>85</v>
      </c>
      <c r="C47" s="331">
        <v>912</v>
      </c>
      <c r="G47" s="443"/>
    </row>
    <row r="48" spans="1:7" ht="23.25" x14ac:dyDescent="0.3">
      <c r="A48" s="334">
        <v>564</v>
      </c>
      <c r="B48" s="15" t="s">
        <v>114</v>
      </c>
      <c r="C48" s="335">
        <v>444</v>
      </c>
      <c r="G48" s="443"/>
    </row>
    <row r="49" spans="1:7" ht="23.25" x14ac:dyDescent="0.3">
      <c r="A49" s="322">
        <v>525</v>
      </c>
      <c r="B49" s="14" t="s">
        <v>75</v>
      </c>
      <c r="C49" s="325">
        <v>0</v>
      </c>
      <c r="G49" s="443"/>
    </row>
    <row r="50" spans="1:7" ht="23.25" x14ac:dyDescent="0.3">
      <c r="A50" s="334">
        <v>560</v>
      </c>
      <c r="B50" s="15" t="s">
        <v>103</v>
      </c>
      <c r="C50" s="338">
        <v>660</v>
      </c>
      <c r="G50" s="443"/>
    </row>
    <row r="51" spans="1:7" ht="23.25" x14ac:dyDescent="0.3">
      <c r="A51" s="339">
        <v>225</v>
      </c>
      <c r="B51" s="330" t="s">
        <v>76</v>
      </c>
      <c r="C51" s="328">
        <v>2400</v>
      </c>
      <c r="G51" s="443"/>
    </row>
    <row r="52" spans="1:7" ht="23.25" x14ac:dyDescent="0.3">
      <c r="A52" s="334">
        <v>518</v>
      </c>
      <c r="B52" s="15" t="s">
        <v>95</v>
      </c>
      <c r="C52" s="331">
        <v>780</v>
      </c>
      <c r="G52" s="443"/>
    </row>
    <row r="53" spans="1:7" ht="23.25" x14ac:dyDescent="0.3">
      <c r="A53" s="340">
        <v>580</v>
      </c>
      <c r="B53" s="15" t="s">
        <v>128</v>
      </c>
      <c r="C53" s="338">
        <v>684</v>
      </c>
      <c r="G53" s="443"/>
    </row>
    <row r="54" spans="1:7" ht="23.25" x14ac:dyDescent="0.3">
      <c r="A54" s="322">
        <v>577</v>
      </c>
      <c r="B54" s="14" t="s">
        <v>80</v>
      </c>
      <c r="C54" s="331">
        <v>984</v>
      </c>
      <c r="G54" s="443"/>
    </row>
    <row r="55" spans="1:7" ht="23.25" x14ac:dyDescent="0.3">
      <c r="A55" s="334">
        <v>280</v>
      </c>
      <c r="B55" s="15" t="s">
        <v>86</v>
      </c>
      <c r="C55" s="331">
        <v>1300</v>
      </c>
      <c r="G55" s="443"/>
    </row>
    <row r="56" spans="1:7" ht="23.25" x14ac:dyDescent="0.3">
      <c r="A56" s="334">
        <v>507</v>
      </c>
      <c r="B56" s="15" t="s">
        <v>83</v>
      </c>
      <c r="C56" s="328">
        <v>792</v>
      </c>
      <c r="G56" s="443"/>
    </row>
    <row r="57" spans="1:7" ht="23.25" x14ac:dyDescent="0.3">
      <c r="A57" s="334">
        <v>220</v>
      </c>
      <c r="B57" s="15" t="s">
        <v>126</v>
      </c>
      <c r="C57" s="338">
        <v>540</v>
      </c>
      <c r="G57" s="443"/>
    </row>
    <row r="58" spans="1:7" ht="23.25" x14ac:dyDescent="0.3">
      <c r="A58" s="334">
        <v>559</v>
      </c>
      <c r="B58" s="15" t="s">
        <v>82</v>
      </c>
      <c r="C58" s="331">
        <v>996</v>
      </c>
      <c r="G58" s="443"/>
    </row>
    <row r="59" spans="1:7" ht="23.25" x14ac:dyDescent="0.3">
      <c r="A59" s="334">
        <v>519</v>
      </c>
      <c r="B59" s="15" t="s">
        <v>129</v>
      </c>
      <c r="C59" s="331">
        <v>600</v>
      </c>
      <c r="G59" s="443"/>
    </row>
    <row r="60" spans="1:7" ht="23.25" x14ac:dyDescent="0.3">
      <c r="A60" s="334">
        <v>221</v>
      </c>
      <c r="B60" s="15" t="s">
        <v>139</v>
      </c>
      <c r="C60" s="328">
        <v>396</v>
      </c>
      <c r="G60" s="443"/>
    </row>
    <row r="61" spans="1:7" ht="23.25" x14ac:dyDescent="0.3">
      <c r="A61" s="10">
        <v>557</v>
      </c>
      <c r="B61" s="14" t="s">
        <v>78</v>
      </c>
      <c r="C61" s="341">
        <v>1400</v>
      </c>
      <c r="G61" s="443"/>
    </row>
    <row r="62" spans="1:7" ht="23.25" x14ac:dyDescent="0.3">
      <c r="A62" s="322">
        <v>57</v>
      </c>
      <c r="B62" s="14" t="s">
        <v>79</v>
      </c>
      <c r="C62" s="325">
        <v>744</v>
      </c>
      <c r="G62" s="443"/>
    </row>
    <row r="63" spans="1:7" ht="23.25" x14ac:dyDescent="0.3">
      <c r="A63" s="334">
        <v>207</v>
      </c>
      <c r="B63" s="15" t="s">
        <v>175</v>
      </c>
      <c r="C63" s="338">
        <v>600</v>
      </c>
      <c r="G63" s="443"/>
    </row>
    <row r="64" spans="1:7" ht="23.25" x14ac:dyDescent="0.3">
      <c r="A64" s="340">
        <v>565</v>
      </c>
      <c r="B64" s="15" t="s">
        <v>97</v>
      </c>
      <c r="C64" s="331">
        <v>432</v>
      </c>
      <c r="G64" s="443"/>
    </row>
    <row r="65" spans="1:7" ht="23.25" x14ac:dyDescent="0.3">
      <c r="A65" s="342">
        <v>222</v>
      </c>
      <c r="B65" s="15" t="s">
        <v>96</v>
      </c>
      <c r="C65" s="331">
        <v>600</v>
      </c>
      <c r="G65" s="443"/>
    </row>
    <row r="66" spans="1:7" ht="23.25" x14ac:dyDescent="0.3">
      <c r="A66" s="334">
        <v>355</v>
      </c>
      <c r="B66" s="15" t="s">
        <v>115</v>
      </c>
      <c r="C66" s="333">
        <v>720</v>
      </c>
      <c r="G66" s="443"/>
    </row>
    <row r="67" spans="1:7" ht="23.25" x14ac:dyDescent="0.3">
      <c r="A67" s="340">
        <v>573</v>
      </c>
      <c r="B67" s="15" t="s">
        <v>138</v>
      </c>
      <c r="C67" s="333">
        <v>360</v>
      </c>
      <c r="G67" s="443"/>
    </row>
    <row r="68" spans="1:7" ht="23.25" x14ac:dyDescent="0.3">
      <c r="A68" s="334">
        <v>508</v>
      </c>
      <c r="B68" s="15" t="s">
        <v>119</v>
      </c>
      <c r="C68" s="331">
        <v>420</v>
      </c>
      <c r="G68" s="443"/>
    </row>
    <row r="69" spans="1:7" ht="23.25" x14ac:dyDescent="0.3">
      <c r="A69" s="340">
        <v>553</v>
      </c>
      <c r="B69" s="18" t="s">
        <v>229</v>
      </c>
      <c r="C69" s="338">
        <v>0</v>
      </c>
      <c r="G69" s="443"/>
    </row>
    <row r="70" spans="1:7" ht="23.25" x14ac:dyDescent="0.3">
      <c r="A70" s="340">
        <v>395</v>
      </c>
      <c r="B70" s="15" t="s">
        <v>101</v>
      </c>
      <c r="C70" s="333">
        <v>600</v>
      </c>
      <c r="G70" s="443"/>
    </row>
    <row r="71" spans="1:7" ht="23.25" x14ac:dyDescent="0.3">
      <c r="A71" s="334">
        <v>594</v>
      </c>
      <c r="B71" s="15" t="s">
        <v>104</v>
      </c>
      <c r="C71" s="331">
        <v>312</v>
      </c>
      <c r="G71" s="443"/>
    </row>
    <row r="72" spans="1:7" ht="23.25" x14ac:dyDescent="0.3">
      <c r="A72" s="334">
        <v>223</v>
      </c>
      <c r="B72" s="15" t="s">
        <v>158</v>
      </c>
      <c r="C72" s="338">
        <v>276</v>
      </c>
      <c r="G72" s="443"/>
    </row>
    <row r="73" spans="1:7" ht="23.25" x14ac:dyDescent="0.3">
      <c r="A73" s="334" t="s">
        <v>108</v>
      </c>
      <c r="B73" s="15" t="s">
        <v>109</v>
      </c>
      <c r="C73" s="325">
        <v>360</v>
      </c>
      <c r="G73" s="443"/>
    </row>
    <row r="74" spans="1:7" ht="23.25" x14ac:dyDescent="0.3">
      <c r="A74" s="334">
        <v>543</v>
      </c>
      <c r="B74" s="15" t="s">
        <v>106</v>
      </c>
      <c r="C74" s="335">
        <v>396</v>
      </c>
      <c r="G74" s="443"/>
    </row>
    <row r="75" spans="1:7" ht="23.25" x14ac:dyDescent="0.3">
      <c r="A75" s="340">
        <v>569</v>
      </c>
      <c r="B75" s="15" t="s">
        <v>163</v>
      </c>
      <c r="C75" s="338">
        <v>168</v>
      </c>
      <c r="G75" s="443"/>
    </row>
    <row r="76" spans="1:7" ht="23.25" x14ac:dyDescent="0.3">
      <c r="A76" s="334">
        <v>392</v>
      </c>
      <c r="B76" s="15" t="s">
        <v>100</v>
      </c>
      <c r="C76" s="335">
        <v>312</v>
      </c>
      <c r="G76" s="443"/>
    </row>
    <row r="77" spans="1:7" ht="23.25" x14ac:dyDescent="0.3">
      <c r="A77" s="334">
        <v>595</v>
      </c>
      <c r="B77" s="15" t="s">
        <v>137</v>
      </c>
      <c r="C77" s="338">
        <v>288</v>
      </c>
      <c r="G77" s="443"/>
    </row>
    <row r="78" spans="1:7" ht="23.25" x14ac:dyDescent="0.3">
      <c r="A78" s="340">
        <v>312</v>
      </c>
      <c r="B78" s="15" t="s">
        <v>153</v>
      </c>
      <c r="C78" s="331">
        <v>204</v>
      </c>
      <c r="G78" s="443"/>
    </row>
    <row r="79" spans="1:7" ht="23.25" x14ac:dyDescent="0.3">
      <c r="A79" s="334">
        <v>515</v>
      </c>
      <c r="B79" s="15" t="s">
        <v>152</v>
      </c>
      <c r="C79" s="338">
        <v>441.6</v>
      </c>
      <c r="G79" s="443"/>
    </row>
    <row r="80" spans="1:7" ht="23.25" x14ac:dyDescent="0.3">
      <c r="A80" s="322">
        <v>579</v>
      </c>
      <c r="B80" s="14" t="s">
        <v>92</v>
      </c>
      <c r="C80" s="325">
        <v>660</v>
      </c>
      <c r="G80" s="443"/>
    </row>
    <row r="81" spans="1:7" ht="23.25" x14ac:dyDescent="0.3">
      <c r="A81" s="334">
        <v>532</v>
      </c>
      <c r="B81" s="15" t="s">
        <v>107</v>
      </c>
      <c r="C81" s="331">
        <v>312</v>
      </c>
      <c r="G81" s="443"/>
    </row>
    <row r="82" spans="1:7" ht="23.25" x14ac:dyDescent="0.3">
      <c r="A82" s="343">
        <v>511</v>
      </c>
      <c r="B82" s="17" t="s">
        <v>113</v>
      </c>
      <c r="C82" s="331">
        <v>484</v>
      </c>
      <c r="G82" s="443"/>
    </row>
    <row r="83" spans="1:7" ht="23.25" x14ac:dyDescent="0.3">
      <c r="A83" s="340">
        <v>394</v>
      </c>
      <c r="B83" s="15" t="s">
        <v>125</v>
      </c>
      <c r="C83" s="333">
        <v>360</v>
      </c>
      <c r="G83" s="443"/>
    </row>
    <row r="84" spans="1:7" ht="23.25" x14ac:dyDescent="0.3">
      <c r="A84" s="334">
        <v>542</v>
      </c>
      <c r="B84" s="15" t="s">
        <v>99</v>
      </c>
      <c r="C84" s="338">
        <v>384</v>
      </c>
      <c r="G84" s="443"/>
    </row>
    <row r="85" spans="1:7" ht="23.25" x14ac:dyDescent="0.3">
      <c r="A85" s="340">
        <v>299</v>
      </c>
      <c r="B85" s="15" t="s">
        <v>162</v>
      </c>
      <c r="C85" s="331">
        <v>324</v>
      </c>
      <c r="G85" s="443"/>
    </row>
    <row r="86" spans="1:7" ht="23.25" x14ac:dyDescent="0.3">
      <c r="A86" s="334">
        <v>393</v>
      </c>
      <c r="B86" s="15" t="s">
        <v>112</v>
      </c>
      <c r="C86" s="331">
        <v>312</v>
      </c>
      <c r="G86" s="443"/>
    </row>
    <row r="87" spans="1:7" ht="23.25" x14ac:dyDescent="0.3">
      <c r="A87" s="344">
        <v>59</v>
      </c>
      <c r="B87" s="15" t="s">
        <v>120</v>
      </c>
      <c r="C87" s="325">
        <v>144</v>
      </c>
      <c r="G87" s="443"/>
    </row>
    <row r="88" spans="1:7" ht="23.25" x14ac:dyDescent="0.3">
      <c r="A88" s="340">
        <v>334</v>
      </c>
      <c r="B88" s="15" t="s">
        <v>151</v>
      </c>
      <c r="C88" s="338">
        <v>192</v>
      </c>
      <c r="G88" s="443"/>
    </row>
    <row r="89" spans="1:7" ht="23.25" x14ac:dyDescent="0.3">
      <c r="A89" s="340">
        <v>58</v>
      </c>
      <c r="B89" s="15" t="s">
        <v>121</v>
      </c>
      <c r="C89" s="325">
        <v>312</v>
      </c>
      <c r="G89" s="443"/>
    </row>
    <row r="90" spans="1:7" ht="23.25" x14ac:dyDescent="0.3">
      <c r="A90" s="340">
        <v>323</v>
      </c>
      <c r="B90" s="15" t="s">
        <v>122</v>
      </c>
      <c r="C90" s="338">
        <v>264</v>
      </c>
      <c r="G90" s="443"/>
    </row>
    <row r="91" spans="1:7" ht="23.25" x14ac:dyDescent="0.3">
      <c r="A91" s="340">
        <v>242</v>
      </c>
      <c r="B91" s="18" t="s">
        <v>488</v>
      </c>
      <c r="C91" s="338">
        <v>0</v>
      </c>
      <c r="G91" s="443"/>
    </row>
    <row r="92" spans="1:7" ht="23.25" x14ac:dyDescent="0.3">
      <c r="A92" s="340">
        <v>570</v>
      </c>
      <c r="B92" s="15" t="s">
        <v>149</v>
      </c>
      <c r="C92" s="335">
        <v>432</v>
      </c>
      <c r="G92" s="443"/>
    </row>
    <row r="93" spans="1:7" ht="23.25" x14ac:dyDescent="0.3">
      <c r="A93" s="340">
        <v>246</v>
      </c>
      <c r="B93" s="15" t="s">
        <v>170</v>
      </c>
      <c r="C93" s="333">
        <v>120</v>
      </c>
      <c r="G93" s="443"/>
    </row>
    <row r="94" spans="1:7" ht="23.25" x14ac:dyDescent="0.3">
      <c r="A94" s="340">
        <v>396</v>
      </c>
      <c r="B94" s="15" t="s">
        <v>174</v>
      </c>
      <c r="C94" s="335">
        <v>180</v>
      </c>
      <c r="G94" s="443"/>
    </row>
    <row r="95" spans="1:7" ht="23.25" x14ac:dyDescent="0.3">
      <c r="A95" s="340">
        <v>548</v>
      </c>
      <c r="B95" s="15" t="s">
        <v>148</v>
      </c>
      <c r="C95" s="338">
        <v>0</v>
      </c>
      <c r="G95" s="443"/>
    </row>
    <row r="96" spans="1:7" ht="23.25" x14ac:dyDescent="0.3">
      <c r="A96" s="340">
        <v>333</v>
      </c>
      <c r="B96" s="330" t="s">
        <v>116</v>
      </c>
      <c r="C96" s="325">
        <v>288</v>
      </c>
      <c r="G96" s="443"/>
    </row>
    <row r="97" spans="1:7" ht="23.25" x14ac:dyDescent="0.3">
      <c r="A97" s="340">
        <v>400</v>
      </c>
      <c r="B97" s="18" t="s">
        <v>489</v>
      </c>
      <c r="C97" s="338">
        <v>24</v>
      </c>
      <c r="G97" s="443"/>
    </row>
    <row r="98" spans="1:7" ht="23.25" x14ac:dyDescent="0.3">
      <c r="A98" s="340">
        <v>596</v>
      </c>
      <c r="B98" s="15" t="s">
        <v>169</v>
      </c>
      <c r="C98" s="335">
        <v>108</v>
      </c>
      <c r="G98" s="443"/>
    </row>
    <row r="99" spans="1:7" ht="23.25" x14ac:dyDescent="0.3">
      <c r="A99" s="342">
        <v>499</v>
      </c>
      <c r="B99" s="15" t="s">
        <v>88</v>
      </c>
      <c r="C99" s="325">
        <v>144</v>
      </c>
      <c r="G99" s="443"/>
    </row>
    <row r="100" spans="1:7" ht="23.25" x14ac:dyDescent="0.3">
      <c r="A100" s="340">
        <v>391</v>
      </c>
      <c r="B100" s="15" t="s">
        <v>150</v>
      </c>
      <c r="C100" s="335">
        <v>192</v>
      </c>
      <c r="G100" s="443"/>
    </row>
    <row r="101" spans="1:7" ht="23.25" x14ac:dyDescent="0.3">
      <c r="A101" s="340">
        <v>336</v>
      </c>
      <c r="B101" s="16" t="s">
        <v>131</v>
      </c>
      <c r="C101" s="335">
        <v>216</v>
      </c>
      <c r="G101" s="443"/>
    </row>
    <row r="102" spans="1:7" ht="23.25" x14ac:dyDescent="0.3">
      <c r="A102" s="340">
        <v>332</v>
      </c>
      <c r="B102" s="16" t="s">
        <v>142</v>
      </c>
      <c r="C102" s="325">
        <v>264</v>
      </c>
      <c r="G102" s="443"/>
    </row>
    <row r="103" spans="1:7" ht="23.25" x14ac:dyDescent="0.3">
      <c r="A103" s="340">
        <v>311</v>
      </c>
      <c r="B103" s="345" t="s">
        <v>313</v>
      </c>
      <c r="C103" s="331">
        <v>96</v>
      </c>
      <c r="G103" s="443"/>
    </row>
    <row r="104" spans="1:7" ht="23.25" x14ac:dyDescent="0.3">
      <c r="A104" s="340">
        <v>208</v>
      </c>
      <c r="B104" s="22" t="s">
        <v>180</v>
      </c>
      <c r="C104" s="331">
        <v>144</v>
      </c>
      <c r="G104" s="443"/>
    </row>
    <row r="105" spans="1:7" ht="23.25" x14ac:dyDescent="0.3">
      <c r="A105" s="340">
        <v>561</v>
      </c>
      <c r="B105" s="20" t="s">
        <v>490</v>
      </c>
      <c r="C105" s="335">
        <v>300</v>
      </c>
      <c r="G105" s="443"/>
    </row>
    <row r="106" spans="1:7" ht="23.25" x14ac:dyDescent="0.3">
      <c r="A106" s="340">
        <v>823</v>
      </c>
      <c r="B106" s="16" t="s">
        <v>134</v>
      </c>
      <c r="C106" s="325">
        <v>108</v>
      </c>
      <c r="G106" s="443"/>
    </row>
    <row r="107" spans="1:7" ht="23.25" x14ac:dyDescent="0.3">
      <c r="A107" s="340">
        <v>509</v>
      </c>
      <c r="B107" s="22" t="s">
        <v>173</v>
      </c>
      <c r="C107" s="331">
        <v>192</v>
      </c>
      <c r="G107" s="443"/>
    </row>
    <row r="108" spans="1:7" ht="18.75" x14ac:dyDescent="0.3">
      <c r="A108" s="346" t="s">
        <v>352</v>
      </c>
      <c r="B108" s="22" t="s">
        <v>353</v>
      </c>
      <c r="C108" s="347">
        <v>36</v>
      </c>
      <c r="G108" s="443"/>
    </row>
    <row r="109" spans="1:7" ht="23.25" x14ac:dyDescent="0.3">
      <c r="A109" s="334" t="s">
        <v>348</v>
      </c>
      <c r="B109" s="16" t="s">
        <v>349</v>
      </c>
      <c r="C109" s="338">
        <v>600</v>
      </c>
      <c r="G109" s="443"/>
    </row>
    <row r="110" spans="1:7" ht="23.25" x14ac:dyDescent="0.3">
      <c r="A110" s="334" t="s">
        <v>123</v>
      </c>
      <c r="B110" s="15" t="s">
        <v>124</v>
      </c>
      <c r="C110" s="331">
        <v>600</v>
      </c>
      <c r="G110" s="443"/>
    </row>
    <row r="111" spans="1:7" ht="23.25" x14ac:dyDescent="0.3">
      <c r="A111" s="334" t="s">
        <v>127</v>
      </c>
      <c r="B111" s="15" t="s">
        <v>128</v>
      </c>
      <c r="C111" s="338">
        <v>0</v>
      </c>
      <c r="G111" s="443"/>
    </row>
    <row r="112" spans="1:7" ht="23.25" x14ac:dyDescent="0.3">
      <c r="A112" s="340" t="s">
        <v>117</v>
      </c>
      <c r="B112" s="15" t="s">
        <v>118</v>
      </c>
      <c r="C112" s="338">
        <v>360</v>
      </c>
      <c r="G112" s="443"/>
    </row>
    <row r="113" spans="1:7" ht="23.25" x14ac:dyDescent="0.3">
      <c r="A113" s="340" t="s">
        <v>135</v>
      </c>
      <c r="B113" s="15" t="s">
        <v>136</v>
      </c>
      <c r="C113" s="338">
        <v>120</v>
      </c>
      <c r="G113" s="443"/>
    </row>
    <row r="114" spans="1:7" ht="23.25" x14ac:dyDescent="0.3">
      <c r="A114" s="340">
        <v>516</v>
      </c>
      <c r="B114" s="15" t="s">
        <v>89</v>
      </c>
      <c r="C114" s="331">
        <v>500</v>
      </c>
      <c r="G114" s="443"/>
    </row>
    <row r="115" spans="1:7" ht="23.25" x14ac:dyDescent="0.3">
      <c r="A115" s="340">
        <v>554</v>
      </c>
      <c r="B115" s="15" t="s">
        <v>161</v>
      </c>
      <c r="C115" s="338">
        <v>192</v>
      </c>
      <c r="G115" s="443"/>
    </row>
    <row r="116" spans="1:7" ht="23.25" x14ac:dyDescent="0.3">
      <c r="A116" s="348" t="s">
        <v>335</v>
      </c>
      <c r="B116" s="15" t="s">
        <v>336</v>
      </c>
      <c r="C116" s="325">
        <v>700</v>
      </c>
      <c r="G116" s="443"/>
    </row>
    <row r="117" spans="1:7" ht="23.25" x14ac:dyDescent="0.3">
      <c r="A117" s="340">
        <v>335</v>
      </c>
      <c r="B117" s="15" t="s">
        <v>176</v>
      </c>
      <c r="C117" s="338">
        <v>120</v>
      </c>
      <c r="G117" s="443"/>
    </row>
    <row r="118" spans="1:7" ht="23.25" x14ac:dyDescent="0.3">
      <c r="A118" s="340">
        <v>390</v>
      </c>
      <c r="B118" s="15" t="s">
        <v>159</v>
      </c>
      <c r="C118" s="338">
        <v>120</v>
      </c>
      <c r="G118" s="443"/>
    </row>
    <row r="119" spans="1:7" ht="23.25" x14ac:dyDescent="0.3">
      <c r="A119" s="340">
        <v>389</v>
      </c>
      <c r="B119" s="15" t="s">
        <v>166</v>
      </c>
      <c r="C119" s="331">
        <v>0</v>
      </c>
      <c r="G119" s="443"/>
    </row>
    <row r="120" spans="1:7" ht="23.25" x14ac:dyDescent="0.3">
      <c r="A120" s="340">
        <v>534</v>
      </c>
      <c r="B120" s="15" t="s">
        <v>178</v>
      </c>
      <c r="C120" s="338">
        <v>144</v>
      </c>
      <c r="G120" s="443"/>
    </row>
    <row r="121" spans="1:7" ht="23.25" x14ac:dyDescent="0.3">
      <c r="A121" s="340">
        <v>339</v>
      </c>
      <c r="B121" s="15" t="s">
        <v>181</v>
      </c>
      <c r="C121" s="338">
        <v>0</v>
      </c>
      <c r="G121" s="443"/>
    </row>
    <row r="122" spans="1:7" ht="23.25" x14ac:dyDescent="0.3">
      <c r="A122" s="340">
        <v>338</v>
      </c>
      <c r="B122" s="15" t="s">
        <v>154</v>
      </c>
      <c r="C122" s="338">
        <v>240</v>
      </c>
      <c r="G122" s="443"/>
    </row>
    <row r="123" spans="1:7" ht="23.25" x14ac:dyDescent="0.3">
      <c r="A123" s="340">
        <v>498</v>
      </c>
      <c r="B123" s="15" t="s">
        <v>94</v>
      </c>
      <c r="C123" s="338">
        <v>144</v>
      </c>
      <c r="G123" s="443"/>
    </row>
    <row r="124" spans="1:7" ht="23.25" x14ac:dyDescent="0.3">
      <c r="A124" s="340">
        <v>337</v>
      </c>
      <c r="B124" s="15" t="s">
        <v>177</v>
      </c>
      <c r="C124" s="338">
        <v>96</v>
      </c>
      <c r="G124" s="443"/>
    </row>
    <row r="125" spans="1:7" ht="23.25" x14ac:dyDescent="0.3">
      <c r="A125" s="340">
        <v>547</v>
      </c>
      <c r="B125" s="15" t="s">
        <v>182</v>
      </c>
      <c r="C125" s="338">
        <v>24</v>
      </c>
      <c r="G125" s="443"/>
    </row>
    <row r="126" spans="1:7" ht="23.25" x14ac:dyDescent="0.3">
      <c r="A126" s="10" t="s">
        <v>49</v>
      </c>
      <c r="B126" s="349" t="s">
        <v>50</v>
      </c>
      <c r="C126" s="331">
        <v>0</v>
      </c>
      <c r="G126" s="443"/>
    </row>
    <row r="127" spans="1:7" ht="23.25" x14ac:dyDescent="0.3">
      <c r="A127" s="10" t="s">
        <v>72</v>
      </c>
      <c r="B127" s="349" t="s">
        <v>70</v>
      </c>
      <c r="C127" s="331"/>
      <c r="G127" s="443"/>
    </row>
    <row r="128" spans="1:7" ht="23.25" x14ac:dyDescent="0.3">
      <c r="A128" s="322" t="s">
        <v>345</v>
      </c>
      <c r="B128" s="349" t="s">
        <v>71</v>
      </c>
      <c r="C128" s="331">
        <v>1800</v>
      </c>
      <c r="G128" s="443"/>
    </row>
    <row r="129" spans="1:7" ht="23.25" x14ac:dyDescent="0.3">
      <c r="A129" s="340">
        <v>574</v>
      </c>
      <c r="B129" s="350" t="s">
        <v>111</v>
      </c>
      <c r="C129" s="338"/>
      <c r="G129" s="443"/>
    </row>
    <row r="130" spans="1:7" ht="23.25" x14ac:dyDescent="0.3">
      <c r="A130" s="351">
        <v>28</v>
      </c>
      <c r="B130" s="352" t="s">
        <v>491</v>
      </c>
      <c r="C130" s="341">
        <v>0</v>
      </c>
      <c r="G130" s="443"/>
    </row>
    <row r="131" spans="1:7" ht="23.25" x14ac:dyDescent="0.3">
      <c r="A131" s="351">
        <v>250</v>
      </c>
      <c r="B131" s="352" t="s">
        <v>492</v>
      </c>
      <c r="C131" s="353">
        <v>0</v>
      </c>
      <c r="G131" s="443"/>
    </row>
    <row r="132" spans="1:7" ht="23.25" x14ac:dyDescent="0.3">
      <c r="A132" s="340">
        <v>253</v>
      </c>
      <c r="B132" s="354" t="s">
        <v>493</v>
      </c>
      <c r="C132" s="338">
        <v>0</v>
      </c>
      <c r="G132" s="443"/>
    </row>
    <row r="133" spans="1:7" ht="23.25" x14ac:dyDescent="0.3">
      <c r="A133" s="340">
        <v>254</v>
      </c>
      <c r="B133" s="354" t="s">
        <v>494</v>
      </c>
      <c r="C133" s="338">
        <v>0</v>
      </c>
      <c r="G133" s="443"/>
    </row>
    <row r="134" spans="1:7" ht="23.25" x14ac:dyDescent="0.3">
      <c r="A134" s="355">
        <v>578</v>
      </c>
      <c r="B134" s="356" t="s">
        <v>316</v>
      </c>
      <c r="C134" s="357">
        <v>0</v>
      </c>
      <c r="G134" s="443"/>
    </row>
    <row r="135" spans="1:7" ht="23.25" x14ac:dyDescent="0.3">
      <c r="A135" s="358" t="s">
        <v>110</v>
      </c>
      <c r="B135" s="359" t="s">
        <v>111</v>
      </c>
      <c r="C135" s="357">
        <v>648</v>
      </c>
      <c r="G135" s="443"/>
    </row>
    <row r="136" spans="1:7" ht="23.25" x14ac:dyDescent="0.3">
      <c r="A136" s="340" t="s">
        <v>132</v>
      </c>
      <c r="B136" s="360" t="s">
        <v>133</v>
      </c>
      <c r="C136" s="338">
        <v>480</v>
      </c>
      <c r="G136" s="443"/>
    </row>
    <row r="137" spans="1:7" ht="23.25" x14ac:dyDescent="0.3">
      <c r="A137" s="340" t="s">
        <v>362</v>
      </c>
      <c r="B137" s="360" t="s">
        <v>130</v>
      </c>
      <c r="C137" s="331">
        <v>0</v>
      </c>
      <c r="G137" s="443"/>
    </row>
    <row r="138" spans="1:7" ht="23.25" x14ac:dyDescent="0.3">
      <c r="A138" s="340" t="s">
        <v>143</v>
      </c>
      <c r="B138" s="360" t="s">
        <v>144</v>
      </c>
      <c r="C138" s="338">
        <v>312</v>
      </c>
      <c r="G138" s="443"/>
    </row>
    <row r="139" spans="1:7" ht="23.25" x14ac:dyDescent="0.3">
      <c r="A139" s="340" t="s">
        <v>323</v>
      </c>
      <c r="B139" s="360" t="s">
        <v>147</v>
      </c>
      <c r="C139" s="361">
        <v>180</v>
      </c>
      <c r="G139" s="443"/>
    </row>
    <row r="140" spans="1:7" ht="23.25" x14ac:dyDescent="0.3">
      <c r="A140" s="340" t="s">
        <v>145</v>
      </c>
      <c r="B140" s="360" t="s">
        <v>146</v>
      </c>
      <c r="C140" s="338">
        <v>144</v>
      </c>
      <c r="G140" s="443"/>
    </row>
    <row r="141" spans="1:7" ht="23.25" x14ac:dyDescent="0.3">
      <c r="A141" s="362" t="s">
        <v>335</v>
      </c>
      <c r="B141" s="354" t="s">
        <v>336</v>
      </c>
      <c r="C141" s="338">
        <v>700</v>
      </c>
      <c r="G141" s="443"/>
    </row>
    <row r="142" spans="1:7" ht="23.25" x14ac:dyDescent="0.3">
      <c r="A142" s="340" t="s">
        <v>140</v>
      </c>
      <c r="B142" s="360" t="s">
        <v>141</v>
      </c>
      <c r="C142" s="338">
        <v>240</v>
      </c>
      <c r="G142" s="443"/>
    </row>
    <row r="143" spans="1:7" ht="23.25" x14ac:dyDescent="0.3">
      <c r="A143" s="340">
        <v>230</v>
      </c>
      <c r="B143" s="363" t="s">
        <v>495</v>
      </c>
      <c r="C143" s="338">
        <v>0</v>
      </c>
      <c r="G143" s="443"/>
    </row>
    <row r="144" spans="1:7" ht="23.25" x14ac:dyDescent="0.3">
      <c r="A144" s="340">
        <v>233</v>
      </c>
      <c r="B144" s="364" t="s">
        <v>496</v>
      </c>
      <c r="C144" s="338">
        <v>0</v>
      </c>
      <c r="G144" s="443"/>
    </row>
    <row r="145" spans="1:7" ht="23.25" x14ac:dyDescent="0.3">
      <c r="A145" s="365" t="s">
        <v>331</v>
      </c>
      <c r="B145" s="354" t="s">
        <v>332</v>
      </c>
      <c r="C145" s="338">
        <v>0</v>
      </c>
      <c r="G145" s="443"/>
    </row>
    <row r="146" spans="1:7" ht="23.25" x14ac:dyDescent="0.3">
      <c r="A146" s="366" t="s">
        <v>156</v>
      </c>
      <c r="B146" s="367" t="s">
        <v>157</v>
      </c>
      <c r="C146" s="331">
        <v>600</v>
      </c>
      <c r="G146" s="443"/>
    </row>
    <row r="147" spans="1:7" ht="23.25" x14ac:dyDescent="0.3">
      <c r="A147" s="150" t="s">
        <v>333</v>
      </c>
      <c r="B147" s="352" t="s">
        <v>334</v>
      </c>
      <c r="C147" s="353">
        <v>912</v>
      </c>
      <c r="G147" s="443"/>
    </row>
    <row r="148" spans="1:7" ht="23.25" x14ac:dyDescent="0.3">
      <c r="A148" s="351">
        <v>231</v>
      </c>
      <c r="B148" s="368" t="s">
        <v>497</v>
      </c>
      <c r="C148" s="353">
        <v>0</v>
      </c>
      <c r="G148" s="443"/>
    </row>
    <row r="149" spans="1:7" ht="24" thickBot="1" x14ac:dyDescent="0.35">
      <c r="A149" s="369">
        <v>322</v>
      </c>
      <c r="B149" s="370" t="s">
        <v>498</v>
      </c>
      <c r="C149" s="371">
        <v>0</v>
      </c>
      <c r="G149" s="443"/>
    </row>
    <row r="150" spans="1:7" ht="23.25" x14ac:dyDescent="0.25">
      <c r="A150" s="372">
        <v>517</v>
      </c>
      <c r="B150" s="373" t="s">
        <v>499</v>
      </c>
      <c r="C150" s="374">
        <v>0</v>
      </c>
      <c r="G150" s="443"/>
    </row>
    <row r="151" spans="1:7" ht="23.25" x14ac:dyDescent="0.3">
      <c r="A151" s="339" t="s">
        <v>500</v>
      </c>
      <c r="B151" s="15" t="s">
        <v>77</v>
      </c>
      <c r="C151" s="375">
        <v>0</v>
      </c>
      <c r="G151" s="443"/>
    </row>
    <row r="152" spans="1:7" ht="23.25" x14ac:dyDescent="0.3">
      <c r="A152" s="340">
        <v>592</v>
      </c>
      <c r="B152" s="360" t="s">
        <v>164</v>
      </c>
      <c r="C152" s="338">
        <v>0</v>
      </c>
      <c r="G152" s="443"/>
    </row>
    <row r="153" spans="1:7" ht="23.25" x14ac:dyDescent="0.3">
      <c r="A153" s="340">
        <v>593</v>
      </c>
      <c r="B153" s="360" t="s">
        <v>160</v>
      </c>
      <c r="C153" s="338">
        <v>0</v>
      </c>
      <c r="G153" s="443"/>
    </row>
    <row r="154" spans="1:7" ht="23.25" x14ac:dyDescent="0.3">
      <c r="A154" s="340">
        <v>655</v>
      </c>
      <c r="B154" s="360" t="s">
        <v>165</v>
      </c>
      <c r="C154" s="338">
        <v>0</v>
      </c>
      <c r="G154" s="443"/>
    </row>
    <row r="155" spans="1:7" ht="23.25" x14ac:dyDescent="0.3">
      <c r="A155" s="340" t="s">
        <v>167</v>
      </c>
      <c r="B155" s="360" t="s">
        <v>168</v>
      </c>
      <c r="C155" s="331">
        <v>420</v>
      </c>
      <c r="G155" s="443"/>
    </row>
    <row r="156" spans="1:7" ht="23.25" x14ac:dyDescent="0.3">
      <c r="A156" s="340">
        <v>326</v>
      </c>
      <c r="B156" s="15" t="s">
        <v>155</v>
      </c>
      <c r="C156" s="338">
        <v>144</v>
      </c>
      <c r="G156" s="443"/>
    </row>
    <row r="157" spans="1:7" ht="23.25" x14ac:dyDescent="0.3">
      <c r="A157" s="362">
        <v>571</v>
      </c>
      <c r="B157" s="354" t="s">
        <v>315</v>
      </c>
      <c r="C157" s="338">
        <v>0</v>
      </c>
      <c r="G157" s="443"/>
    </row>
    <row r="158" spans="1:7" ht="23.25" x14ac:dyDescent="0.3">
      <c r="A158" s="340" t="s">
        <v>171</v>
      </c>
      <c r="B158" s="360" t="s">
        <v>172</v>
      </c>
      <c r="C158" s="338">
        <v>0</v>
      </c>
      <c r="G158" s="443"/>
    </row>
    <row r="159" spans="1:7" ht="23.25" x14ac:dyDescent="0.3">
      <c r="A159" s="340" t="s">
        <v>362</v>
      </c>
      <c r="B159" s="18" t="s">
        <v>501</v>
      </c>
      <c r="C159" s="338">
        <v>0</v>
      </c>
      <c r="G159" s="443"/>
    </row>
    <row r="160" spans="1:7" ht="23.25" x14ac:dyDescent="0.3">
      <c r="A160" s="340">
        <v>324</v>
      </c>
      <c r="B160" s="360" t="s">
        <v>502</v>
      </c>
      <c r="C160" s="338">
        <v>0</v>
      </c>
      <c r="G160" s="443"/>
    </row>
    <row r="161" spans="1:7" ht="23.25" x14ac:dyDescent="0.3">
      <c r="A161" s="340">
        <v>524</v>
      </c>
      <c r="B161" s="360" t="s">
        <v>503</v>
      </c>
      <c r="C161" s="338">
        <v>24</v>
      </c>
      <c r="G161" s="443"/>
    </row>
    <row r="162" spans="1:7" ht="23.25" x14ac:dyDescent="0.3">
      <c r="A162" s="334">
        <v>556</v>
      </c>
      <c r="B162" s="15" t="s">
        <v>179</v>
      </c>
      <c r="C162" s="338">
        <v>24</v>
      </c>
      <c r="G162" s="443"/>
    </row>
    <row r="163" spans="1:7" ht="23.25" x14ac:dyDescent="0.3">
      <c r="A163" s="376" t="s">
        <v>290</v>
      </c>
      <c r="B163" s="349" t="s">
        <v>341</v>
      </c>
      <c r="C163" s="331">
        <v>0</v>
      </c>
      <c r="G163" s="443"/>
    </row>
    <row r="164" spans="1:7" ht="23.25" x14ac:dyDescent="0.3">
      <c r="A164" s="362" t="s">
        <v>325</v>
      </c>
      <c r="B164" s="377" t="s">
        <v>326</v>
      </c>
      <c r="C164" s="338">
        <v>48</v>
      </c>
      <c r="G164" s="443"/>
    </row>
    <row r="165" spans="1:7" ht="23.25" x14ac:dyDescent="0.3">
      <c r="A165" s="376" t="s">
        <v>291</v>
      </c>
      <c r="B165" s="349" t="s">
        <v>342</v>
      </c>
      <c r="C165" s="331">
        <v>0</v>
      </c>
      <c r="G165" s="443"/>
    </row>
    <row r="166" spans="1:7" ht="23.25" x14ac:dyDescent="0.3">
      <c r="A166" s="362" t="s">
        <v>329</v>
      </c>
      <c r="B166" s="377" t="s">
        <v>330</v>
      </c>
      <c r="C166" s="338">
        <v>0</v>
      </c>
      <c r="G166" s="443"/>
    </row>
    <row r="167" spans="1:7" ht="23.25" x14ac:dyDescent="0.3">
      <c r="A167" s="376" t="s">
        <v>292</v>
      </c>
      <c r="B167" s="378" t="s">
        <v>344</v>
      </c>
      <c r="C167" s="331">
        <v>0</v>
      </c>
      <c r="G167" s="443"/>
    </row>
    <row r="168" spans="1:7" ht="23.25" x14ac:dyDescent="0.3">
      <c r="A168" s="340">
        <v>247</v>
      </c>
      <c r="B168" s="354" t="s">
        <v>504</v>
      </c>
      <c r="C168" s="338">
        <v>0</v>
      </c>
      <c r="G168" s="443"/>
    </row>
    <row r="169" spans="1:7" ht="23.25" x14ac:dyDescent="0.3">
      <c r="A169" s="379" t="s">
        <v>293</v>
      </c>
      <c r="B169" s="378" t="s">
        <v>347</v>
      </c>
      <c r="C169" s="331">
        <v>0</v>
      </c>
      <c r="G169" s="443"/>
    </row>
    <row r="170" spans="1:7" ht="23.25" x14ac:dyDescent="0.3">
      <c r="A170" s="376" t="s">
        <v>294</v>
      </c>
      <c r="B170" s="378" t="s">
        <v>350</v>
      </c>
      <c r="C170" s="331">
        <v>0</v>
      </c>
      <c r="G170" s="443"/>
    </row>
    <row r="171" spans="1:7" ht="23.25" x14ac:dyDescent="0.3">
      <c r="A171" s="322" t="s">
        <v>327</v>
      </c>
      <c r="B171" s="18" t="s">
        <v>328</v>
      </c>
      <c r="C171" s="338">
        <v>480</v>
      </c>
      <c r="G171" s="443"/>
    </row>
    <row r="172" spans="1:7" ht="23.25" x14ac:dyDescent="0.3">
      <c r="A172" s="380" t="s">
        <v>337</v>
      </c>
      <c r="B172" s="381" t="s">
        <v>338</v>
      </c>
      <c r="C172" s="382">
        <v>120</v>
      </c>
      <c r="G172" s="443"/>
    </row>
    <row r="173" spans="1:7" ht="23.25" x14ac:dyDescent="0.3">
      <c r="A173" s="150" t="s">
        <v>339</v>
      </c>
      <c r="B173" s="352" t="s">
        <v>340</v>
      </c>
      <c r="C173" s="353">
        <v>120</v>
      </c>
      <c r="G173" s="443"/>
    </row>
    <row r="174" spans="1:7" ht="23.25" x14ac:dyDescent="0.3">
      <c r="A174" s="334" t="s">
        <v>183</v>
      </c>
      <c r="B174" s="383" t="s">
        <v>184</v>
      </c>
      <c r="C174" s="338">
        <v>120</v>
      </c>
      <c r="G174" s="443"/>
    </row>
    <row r="175" spans="1:7" ht="23.25" x14ac:dyDescent="0.3">
      <c r="A175" s="384">
        <v>526</v>
      </c>
      <c r="B175" s="385" t="s">
        <v>505</v>
      </c>
      <c r="C175" s="333">
        <v>0</v>
      </c>
      <c r="G175" s="443"/>
    </row>
    <row r="176" spans="1:7" ht="24" thickBot="1" x14ac:dyDescent="0.35">
      <c r="A176" s="340">
        <v>552</v>
      </c>
      <c r="B176" s="386" t="s">
        <v>364</v>
      </c>
      <c r="C176" s="382">
        <v>0</v>
      </c>
      <c r="G176" s="443"/>
    </row>
    <row r="177" spans="1:7" ht="23.25" x14ac:dyDescent="0.3">
      <c r="A177" s="362">
        <v>658</v>
      </c>
      <c r="B177" s="354" t="s">
        <v>318</v>
      </c>
      <c r="C177" s="338">
        <v>0</v>
      </c>
      <c r="G177" s="443"/>
    </row>
    <row r="178" spans="1:7" ht="23.25" x14ac:dyDescent="0.3">
      <c r="A178" s="387">
        <v>659</v>
      </c>
      <c r="B178" s="354" t="s">
        <v>319</v>
      </c>
      <c r="C178" s="338">
        <v>0</v>
      </c>
      <c r="G178" s="443"/>
    </row>
    <row r="179" spans="1:7" ht="23.25" x14ac:dyDescent="0.3">
      <c r="A179" s="10" t="s">
        <v>63</v>
      </c>
      <c r="B179" s="378" t="s">
        <v>64</v>
      </c>
      <c r="C179" s="388">
        <v>0</v>
      </c>
      <c r="G179" s="443"/>
    </row>
    <row r="180" spans="1:7" ht="23.25" x14ac:dyDescent="0.25">
      <c r="A180" s="337" t="s">
        <v>506</v>
      </c>
      <c r="B180" s="318" t="s">
        <v>365</v>
      </c>
      <c r="C180" s="389">
        <v>336</v>
      </c>
      <c r="G180" s="443"/>
    </row>
    <row r="181" spans="1:7" ht="23.25" x14ac:dyDescent="0.3">
      <c r="A181" s="362" t="s">
        <v>343</v>
      </c>
      <c r="B181" s="354" t="s">
        <v>90</v>
      </c>
      <c r="C181" s="333">
        <v>0</v>
      </c>
      <c r="G181" s="443"/>
    </row>
    <row r="182" spans="1:7" ht="23.25" x14ac:dyDescent="0.25">
      <c r="A182" s="322" t="s">
        <v>507</v>
      </c>
      <c r="B182" s="390" t="s">
        <v>366</v>
      </c>
      <c r="C182" s="391">
        <v>0</v>
      </c>
      <c r="G182" s="443"/>
    </row>
    <row r="183" spans="1:7" ht="23.25" x14ac:dyDescent="0.3">
      <c r="A183" s="10" t="s">
        <v>346</v>
      </c>
      <c r="B183" s="377" t="s">
        <v>270</v>
      </c>
      <c r="C183" s="331">
        <v>0</v>
      </c>
      <c r="G183" s="443"/>
    </row>
    <row r="184" spans="1:7" ht="23.25" x14ac:dyDescent="0.3">
      <c r="A184" s="340">
        <v>25</v>
      </c>
      <c r="B184" s="392" t="s">
        <v>508</v>
      </c>
      <c r="C184" s="331">
        <v>0</v>
      </c>
      <c r="G184" s="443"/>
    </row>
    <row r="185" spans="1:7" ht="23.25" x14ac:dyDescent="0.3">
      <c r="A185" s="340">
        <v>56</v>
      </c>
      <c r="B185" s="393" t="s">
        <v>509</v>
      </c>
      <c r="C185" s="331">
        <v>0</v>
      </c>
      <c r="G185" s="443"/>
    </row>
    <row r="186" spans="1:7" ht="18.75" x14ac:dyDescent="0.3">
      <c r="A186" s="346">
        <v>563</v>
      </c>
      <c r="B186" s="19" t="s">
        <v>314</v>
      </c>
      <c r="C186" s="347">
        <v>96</v>
      </c>
      <c r="G186" s="443"/>
    </row>
    <row r="187" spans="1:7" ht="21" x14ac:dyDescent="0.3">
      <c r="A187" s="346">
        <v>657</v>
      </c>
      <c r="B187" s="394" t="s">
        <v>317</v>
      </c>
      <c r="C187" s="395">
        <v>0</v>
      </c>
      <c r="G187" s="443"/>
    </row>
    <row r="188" spans="1:7" ht="18.75" x14ac:dyDescent="0.3">
      <c r="A188" s="346" t="s">
        <v>351</v>
      </c>
      <c r="B188" s="394" t="s">
        <v>261</v>
      </c>
      <c r="C188" s="347">
        <v>0</v>
      </c>
      <c r="G188" s="443"/>
    </row>
    <row r="189" spans="1:7" ht="18.75" x14ac:dyDescent="0.3">
      <c r="A189" s="346" t="s">
        <v>354</v>
      </c>
      <c r="B189" s="394" t="s">
        <v>355</v>
      </c>
      <c r="C189" s="347">
        <v>0</v>
      </c>
      <c r="G189" s="443"/>
    </row>
    <row r="190" spans="1:7" ht="18.75" x14ac:dyDescent="0.3">
      <c r="A190" s="346" t="s">
        <v>357</v>
      </c>
      <c r="B190" s="394" t="s">
        <v>358</v>
      </c>
      <c r="C190" s="347">
        <v>0</v>
      </c>
      <c r="G190" s="443"/>
    </row>
    <row r="191" spans="1:7" ht="21" x14ac:dyDescent="0.3">
      <c r="A191" s="340" t="s">
        <v>362</v>
      </c>
      <c r="B191" s="393" t="s">
        <v>367</v>
      </c>
      <c r="C191" s="347">
        <v>0</v>
      </c>
      <c r="G191" s="443"/>
    </row>
    <row r="192" spans="1:7" ht="23.25" x14ac:dyDescent="0.3">
      <c r="A192" s="346" t="s">
        <v>320</v>
      </c>
      <c r="B192" s="394" t="s">
        <v>321</v>
      </c>
      <c r="C192" s="331">
        <v>0</v>
      </c>
      <c r="G192" s="443"/>
    </row>
    <row r="193" spans="1:7" ht="23.25" x14ac:dyDescent="0.3">
      <c r="A193" s="10">
        <v>67</v>
      </c>
      <c r="B193" s="378" t="s">
        <v>510</v>
      </c>
      <c r="C193" s="396">
        <v>840</v>
      </c>
      <c r="G193" s="443"/>
    </row>
    <row r="194" spans="1:7" ht="23.25" x14ac:dyDescent="0.25">
      <c r="A194" s="397" t="s">
        <v>511</v>
      </c>
      <c r="B194" s="398"/>
      <c r="C194" s="375">
        <v>0</v>
      </c>
      <c r="G194" s="443"/>
    </row>
    <row r="195" spans="1:7" ht="21" x14ac:dyDescent="0.35">
      <c r="A195" s="397" t="s">
        <v>512</v>
      </c>
      <c r="B195" s="399"/>
      <c r="C195" s="400">
        <v>0</v>
      </c>
      <c r="G195" s="443"/>
    </row>
    <row r="196" spans="1:7" ht="23.25" x14ac:dyDescent="0.3">
      <c r="A196" s="340">
        <v>241</v>
      </c>
      <c r="B196" s="18" t="s">
        <v>513</v>
      </c>
      <c r="C196" s="338">
        <v>0</v>
      </c>
      <c r="G196" s="443"/>
    </row>
    <row r="197" spans="1:7" ht="23.25" x14ac:dyDescent="0.3">
      <c r="A197" s="340">
        <v>398</v>
      </c>
      <c r="B197" s="18" t="s">
        <v>514</v>
      </c>
      <c r="C197" s="338">
        <v>0</v>
      </c>
      <c r="G197" s="443"/>
    </row>
    <row r="198" spans="1:7" ht="23.25" x14ac:dyDescent="0.3">
      <c r="A198" s="340">
        <v>399</v>
      </c>
      <c r="B198" s="18" t="s">
        <v>515</v>
      </c>
      <c r="C198" s="338">
        <v>0</v>
      </c>
      <c r="G198" s="443"/>
    </row>
    <row r="199" spans="1:7" ht="23.25" x14ac:dyDescent="0.3">
      <c r="A199" s="340">
        <v>514</v>
      </c>
      <c r="B199" s="18" t="s">
        <v>516</v>
      </c>
      <c r="C199" s="338">
        <v>0</v>
      </c>
      <c r="G199" s="443"/>
    </row>
    <row r="200" spans="1:7" ht="23.25" x14ac:dyDescent="0.25">
      <c r="A200" s="397" t="s">
        <v>517</v>
      </c>
      <c r="B200" s="398"/>
      <c r="C200" s="375">
        <v>0</v>
      </c>
      <c r="G200" s="443"/>
    </row>
    <row r="201" spans="1:7" ht="23.25" x14ac:dyDescent="0.3">
      <c r="A201" s="358" t="s">
        <v>324</v>
      </c>
      <c r="B201" s="359" t="s">
        <v>133</v>
      </c>
      <c r="C201" s="357">
        <v>0</v>
      </c>
      <c r="G201" s="443"/>
    </row>
    <row r="202" spans="1:7" ht="23.25" x14ac:dyDescent="0.3">
      <c r="A202" s="340">
        <v>537</v>
      </c>
      <c r="B202" s="15" t="s">
        <v>518</v>
      </c>
      <c r="C202" s="331">
        <v>0</v>
      </c>
      <c r="G202" s="443"/>
    </row>
    <row r="203" spans="1:7" ht="23.25" x14ac:dyDescent="0.3">
      <c r="A203" s="334">
        <v>101</v>
      </c>
      <c r="B203" s="15" t="s">
        <v>519</v>
      </c>
      <c r="C203" s="331">
        <v>300</v>
      </c>
      <c r="G203" s="443"/>
    </row>
    <row r="204" spans="1:7" ht="23.25" x14ac:dyDescent="0.3">
      <c r="A204" s="334">
        <v>102</v>
      </c>
      <c r="B204" s="15" t="s">
        <v>520</v>
      </c>
      <c r="C204" s="331"/>
      <c r="G204" s="443"/>
    </row>
    <row r="205" spans="1:7" ht="23.25" x14ac:dyDescent="0.3">
      <c r="A205" s="334">
        <v>106</v>
      </c>
      <c r="B205" s="15" t="s">
        <v>521</v>
      </c>
      <c r="C205" s="331"/>
      <c r="G205" s="443"/>
    </row>
    <row r="206" spans="1:7" ht="23.25" x14ac:dyDescent="0.3">
      <c r="A206" s="334">
        <v>108</v>
      </c>
      <c r="B206" s="15" t="s">
        <v>522</v>
      </c>
      <c r="C206" s="331">
        <v>408</v>
      </c>
      <c r="G206" s="443"/>
    </row>
    <row r="207" spans="1:7" ht="23.25" x14ac:dyDescent="0.3">
      <c r="A207" s="334">
        <v>110</v>
      </c>
      <c r="B207" s="15" t="s">
        <v>523</v>
      </c>
      <c r="C207" s="331">
        <v>1200</v>
      </c>
      <c r="G207" s="443"/>
    </row>
    <row r="208" spans="1:7" ht="23.25" x14ac:dyDescent="0.3">
      <c r="A208" s="334">
        <v>111</v>
      </c>
      <c r="B208" s="15" t="s">
        <v>524</v>
      </c>
      <c r="C208" s="331">
        <v>552</v>
      </c>
      <c r="G208" s="443"/>
    </row>
    <row r="209" spans="1:7" ht="23.25" x14ac:dyDescent="0.3">
      <c r="A209" s="334">
        <v>114</v>
      </c>
      <c r="B209" s="15" t="s">
        <v>525</v>
      </c>
      <c r="C209" s="331">
        <v>264</v>
      </c>
      <c r="G209" s="443"/>
    </row>
    <row r="210" spans="1:7" ht="23.25" x14ac:dyDescent="0.3">
      <c r="A210" s="334">
        <v>115</v>
      </c>
      <c r="B210" s="15" t="s">
        <v>526</v>
      </c>
      <c r="C210" s="331">
        <v>312</v>
      </c>
      <c r="G210" s="443"/>
    </row>
    <row r="211" spans="1:7" ht="23.25" x14ac:dyDescent="0.3">
      <c r="A211" s="334">
        <v>123</v>
      </c>
      <c r="B211" s="15" t="s">
        <v>527</v>
      </c>
      <c r="C211" s="331">
        <v>2136</v>
      </c>
      <c r="G211" s="443"/>
    </row>
  </sheetData>
  <autoFilter ref="A5:C211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19"/>
  <sheetViews>
    <sheetView workbookViewId="0">
      <selection activeCell="C6" sqref="C6:C117"/>
    </sheetView>
  </sheetViews>
  <sheetFormatPr baseColWidth="10" defaultRowHeight="15" x14ac:dyDescent="0.25"/>
  <cols>
    <col min="1" max="1" width="7.28515625" customWidth="1"/>
    <col min="2" max="2" width="40" customWidth="1"/>
    <col min="3" max="3" width="8.28515625" customWidth="1"/>
    <col min="254" max="254" width="7.28515625" customWidth="1"/>
    <col min="255" max="255" width="40" customWidth="1"/>
    <col min="256" max="256" width="8.28515625" customWidth="1"/>
    <col min="257" max="258" width="41" customWidth="1"/>
    <col min="510" max="510" width="7.28515625" customWidth="1"/>
    <col min="511" max="511" width="40" customWidth="1"/>
    <col min="512" max="512" width="8.28515625" customWidth="1"/>
    <col min="513" max="514" width="41" customWidth="1"/>
    <col min="766" max="766" width="7.28515625" customWidth="1"/>
    <col min="767" max="767" width="40" customWidth="1"/>
    <col min="768" max="768" width="8.28515625" customWidth="1"/>
    <col min="769" max="770" width="41" customWidth="1"/>
    <col min="1022" max="1022" width="7.28515625" customWidth="1"/>
    <col min="1023" max="1023" width="40" customWidth="1"/>
    <col min="1024" max="1024" width="8.28515625" customWidth="1"/>
    <col min="1025" max="1026" width="41" customWidth="1"/>
    <col min="1278" max="1278" width="7.28515625" customWidth="1"/>
    <col min="1279" max="1279" width="40" customWidth="1"/>
    <col min="1280" max="1280" width="8.28515625" customWidth="1"/>
    <col min="1281" max="1282" width="41" customWidth="1"/>
    <col min="1534" max="1534" width="7.28515625" customWidth="1"/>
    <col min="1535" max="1535" width="40" customWidth="1"/>
    <col min="1536" max="1536" width="8.28515625" customWidth="1"/>
    <col min="1537" max="1538" width="41" customWidth="1"/>
    <col min="1790" max="1790" width="7.28515625" customWidth="1"/>
    <col min="1791" max="1791" width="40" customWidth="1"/>
    <col min="1792" max="1792" width="8.28515625" customWidth="1"/>
    <col min="1793" max="1794" width="41" customWidth="1"/>
    <col min="2046" max="2046" width="7.28515625" customWidth="1"/>
    <col min="2047" max="2047" width="40" customWidth="1"/>
    <col min="2048" max="2048" width="8.28515625" customWidth="1"/>
    <col min="2049" max="2050" width="41" customWidth="1"/>
    <col min="2302" max="2302" width="7.28515625" customWidth="1"/>
    <col min="2303" max="2303" width="40" customWidth="1"/>
    <col min="2304" max="2304" width="8.28515625" customWidth="1"/>
    <col min="2305" max="2306" width="41" customWidth="1"/>
    <col min="2558" max="2558" width="7.28515625" customWidth="1"/>
    <col min="2559" max="2559" width="40" customWidth="1"/>
    <col min="2560" max="2560" width="8.28515625" customWidth="1"/>
    <col min="2561" max="2562" width="41" customWidth="1"/>
    <col min="2814" max="2814" width="7.28515625" customWidth="1"/>
    <col min="2815" max="2815" width="40" customWidth="1"/>
    <col min="2816" max="2816" width="8.28515625" customWidth="1"/>
    <col min="2817" max="2818" width="41" customWidth="1"/>
    <col min="3070" max="3070" width="7.28515625" customWidth="1"/>
    <col min="3071" max="3071" width="40" customWidth="1"/>
    <col min="3072" max="3072" width="8.28515625" customWidth="1"/>
    <col min="3073" max="3074" width="41" customWidth="1"/>
    <col min="3326" max="3326" width="7.28515625" customWidth="1"/>
    <col min="3327" max="3327" width="40" customWidth="1"/>
    <col min="3328" max="3328" width="8.28515625" customWidth="1"/>
    <col min="3329" max="3330" width="41" customWidth="1"/>
    <col min="3582" max="3582" width="7.28515625" customWidth="1"/>
    <col min="3583" max="3583" width="40" customWidth="1"/>
    <col min="3584" max="3584" width="8.28515625" customWidth="1"/>
    <col min="3585" max="3586" width="41" customWidth="1"/>
    <col min="3838" max="3838" width="7.28515625" customWidth="1"/>
    <col min="3839" max="3839" width="40" customWidth="1"/>
    <col min="3840" max="3840" width="8.28515625" customWidth="1"/>
    <col min="3841" max="3842" width="41" customWidth="1"/>
    <col min="4094" max="4094" width="7.28515625" customWidth="1"/>
    <col min="4095" max="4095" width="40" customWidth="1"/>
    <col min="4096" max="4096" width="8.28515625" customWidth="1"/>
    <col min="4097" max="4098" width="41" customWidth="1"/>
    <col min="4350" max="4350" width="7.28515625" customWidth="1"/>
    <col min="4351" max="4351" width="40" customWidth="1"/>
    <col min="4352" max="4352" width="8.28515625" customWidth="1"/>
    <col min="4353" max="4354" width="41" customWidth="1"/>
    <col min="4606" max="4606" width="7.28515625" customWidth="1"/>
    <col min="4607" max="4607" width="40" customWidth="1"/>
    <col min="4608" max="4608" width="8.28515625" customWidth="1"/>
    <col min="4609" max="4610" width="41" customWidth="1"/>
    <col min="4862" max="4862" width="7.28515625" customWidth="1"/>
    <col min="4863" max="4863" width="40" customWidth="1"/>
    <col min="4864" max="4864" width="8.28515625" customWidth="1"/>
    <col min="4865" max="4866" width="41" customWidth="1"/>
    <col min="5118" max="5118" width="7.28515625" customWidth="1"/>
    <col min="5119" max="5119" width="40" customWidth="1"/>
    <col min="5120" max="5120" width="8.28515625" customWidth="1"/>
    <col min="5121" max="5122" width="41" customWidth="1"/>
    <col min="5374" max="5374" width="7.28515625" customWidth="1"/>
    <col min="5375" max="5375" width="40" customWidth="1"/>
    <col min="5376" max="5376" width="8.28515625" customWidth="1"/>
    <col min="5377" max="5378" width="41" customWidth="1"/>
    <col min="5630" max="5630" width="7.28515625" customWidth="1"/>
    <col min="5631" max="5631" width="40" customWidth="1"/>
    <col min="5632" max="5632" width="8.28515625" customWidth="1"/>
    <col min="5633" max="5634" width="41" customWidth="1"/>
    <col min="5886" max="5886" width="7.28515625" customWidth="1"/>
    <col min="5887" max="5887" width="40" customWidth="1"/>
    <col min="5888" max="5888" width="8.28515625" customWidth="1"/>
    <col min="5889" max="5890" width="41" customWidth="1"/>
    <col min="6142" max="6142" width="7.28515625" customWidth="1"/>
    <col min="6143" max="6143" width="40" customWidth="1"/>
    <col min="6144" max="6144" width="8.28515625" customWidth="1"/>
    <col min="6145" max="6146" width="41" customWidth="1"/>
    <col min="6398" max="6398" width="7.28515625" customWidth="1"/>
    <col min="6399" max="6399" width="40" customWidth="1"/>
    <col min="6400" max="6400" width="8.28515625" customWidth="1"/>
    <col min="6401" max="6402" width="41" customWidth="1"/>
    <col min="6654" max="6654" width="7.28515625" customWidth="1"/>
    <col min="6655" max="6655" width="40" customWidth="1"/>
    <col min="6656" max="6656" width="8.28515625" customWidth="1"/>
    <col min="6657" max="6658" width="41" customWidth="1"/>
    <col min="6910" max="6910" width="7.28515625" customWidth="1"/>
    <col min="6911" max="6911" width="40" customWidth="1"/>
    <col min="6912" max="6912" width="8.28515625" customWidth="1"/>
    <col min="6913" max="6914" width="41" customWidth="1"/>
    <col min="7166" max="7166" width="7.28515625" customWidth="1"/>
    <col min="7167" max="7167" width="40" customWidth="1"/>
    <col min="7168" max="7168" width="8.28515625" customWidth="1"/>
    <col min="7169" max="7170" width="41" customWidth="1"/>
    <col min="7422" max="7422" width="7.28515625" customWidth="1"/>
    <col min="7423" max="7423" width="40" customWidth="1"/>
    <col min="7424" max="7424" width="8.28515625" customWidth="1"/>
    <col min="7425" max="7426" width="41" customWidth="1"/>
    <col min="7678" max="7678" width="7.28515625" customWidth="1"/>
    <col min="7679" max="7679" width="40" customWidth="1"/>
    <col min="7680" max="7680" width="8.28515625" customWidth="1"/>
    <col min="7681" max="7682" width="41" customWidth="1"/>
    <col min="7934" max="7934" width="7.28515625" customWidth="1"/>
    <col min="7935" max="7935" width="40" customWidth="1"/>
    <col min="7936" max="7936" width="8.28515625" customWidth="1"/>
    <col min="7937" max="7938" width="41" customWidth="1"/>
    <col min="8190" max="8190" width="7.28515625" customWidth="1"/>
    <col min="8191" max="8191" width="40" customWidth="1"/>
    <col min="8192" max="8192" width="8.28515625" customWidth="1"/>
    <col min="8193" max="8194" width="41" customWidth="1"/>
    <col min="8446" max="8446" width="7.28515625" customWidth="1"/>
    <col min="8447" max="8447" width="40" customWidth="1"/>
    <col min="8448" max="8448" width="8.28515625" customWidth="1"/>
    <col min="8449" max="8450" width="41" customWidth="1"/>
    <col min="8702" max="8702" width="7.28515625" customWidth="1"/>
    <col min="8703" max="8703" width="40" customWidth="1"/>
    <col min="8704" max="8704" width="8.28515625" customWidth="1"/>
    <col min="8705" max="8706" width="41" customWidth="1"/>
    <col min="8958" max="8958" width="7.28515625" customWidth="1"/>
    <col min="8959" max="8959" width="40" customWidth="1"/>
    <col min="8960" max="8960" width="8.28515625" customWidth="1"/>
    <col min="8961" max="8962" width="41" customWidth="1"/>
    <col min="9214" max="9214" width="7.28515625" customWidth="1"/>
    <col min="9215" max="9215" width="40" customWidth="1"/>
    <col min="9216" max="9216" width="8.28515625" customWidth="1"/>
    <col min="9217" max="9218" width="41" customWidth="1"/>
    <col min="9470" max="9470" width="7.28515625" customWidth="1"/>
    <col min="9471" max="9471" width="40" customWidth="1"/>
    <col min="9472" max="9472" width="8.28515625" customWidth="1"/>
    <col min="9473" max="9474" width="41" customWidth="1"/>
    <col min="9726" max="9726" width="7.28515625" customWidth="1"/>
    <col min="9727" max="9727" width="40" customWidth="1"/>
    <col min="9728" max="9728" width="8.28515625" customWidth="1"/>
    <col min="9729" max="9730" width="41" customWidth="1"/>
    <col min="9982" max="9982" width="7.28515625" customWidth="1"/>
    <col min="9983" max="9983" width="40" customWidth="1"/>
    <col min="9984" max="9984" width="8.28515625" customWidth="1"/>
    <col min="9985" max="9986" width="41" customWidth="1"/>
    <col min="10238" max="10238" width="7.28515625" customWidth="1"/>
    <col min="10239" max="10239" width="40" customWidth="1"/>
    <col min="10240" max="10240" width="8.28515625" customWidth="1"/>
    <col min="10241" max="10242" width="41" customWidth="1"/>
    <col min="10494" max="10494" width="7.28515625" customWidth="1"/>
    <col min="10495" max="10495" width="40" customWidth="1"/>
    <col min="10496" max="10496" width="8.28515625" customWidth="1"/>
    <col min="10497" max="10498" width="41" customWidth="1"/>
    <col min="10750" max="10750" width="7.28515625" customWidth="1"/>
    <col min="10751" max="10751" width="40" customWidth="1"/>
    <col min="10752" max="10752" width="8.28515625" customWidth="1"/>
    <col min="10753" max="10754" width="41" customWidth="1"/>
    <col min="11006" max="11006" width="7.28515625" customWidth="1"/>
    <col min="11007" max="11007" width="40" customWidth="1"/>
    <col min="11008" max="11008" width="8.28515625" customWidth="1"/>
    <col min="11009" max="11010" width="41" customWidth="1"/>
    <col min="11262" max="11262" width="7.28515625" customWidth="1"/>
    <col min="11263" max="11263" width="40" customWidth="1"/>
    <col min="11264" max="11264" width="8.28515625" customWidth="1"/>
    <col min="11265" max="11266" width="41" customWidth="1"/>
    <col min="11518" max="11518" width="7.28515625" customWidth="1"/>
    <col min="11519" max="11519" width="40" customWidth="1"/>
    <col min="11520" max="11520" width="8.28515625" customWidth="1"/>
    <col min="11521" max="11522" width="41" customWidth="1"/>
    <col min="11774" max="11774" width="7.28515625" customWidth="1"/>
    <col min="11775" max="11775" width="40" customWidth="1"/>
    <col min="11776" max="11776" width="8.28515625" customWidth="1"/>
    <col min="11777" max="11778" width="41" customWidth="1"/>
    <col min="12030" max="12030" width="7.28515625" customWidth="1"/>
    <col min="12031" max="12031" width="40" customWidth="1"/>
    <col min="12032" max="12032" width="8.28515625" customWidth="1"/>
    <col min="12033" max="12034" width="41" customWidth="1"/>
    <col min="12286" max="12286" width="7.28515625" customWidth="1"/>
    <col min="12287" max="12287" width="40" customWidth="1"/>
    <col min="12288" max="12288" width="8.28515625" customWidth="1"/>
    <col min="12289" max="12290" width="41" customWidth="1"/>
    <col min="12542" max="12542" width="7.28515625" customWidth="1"/>
    <col min="12543" max="12543" width="40" customWidth="1"/>
    <col min="12544" max="12544" width="8.28515625" customWidth="1"/>
    <col min="12545" max="12546" width="41" customWidth="1"/>
    <col min="12798" max="12798" width="7.28515625" customWidth="1"/>
    <col min="12799" max="12799" width="40" customWidth="1"/>
    <col min="12800" max="12800" width="8.28515625" customWidth="1"/>
    <col min="12801" max="12802" width="41" customWidth="1"/>
    <col min="13054" max="13054" width="7.28515625" customWidth="1"/>
    <col min="13055" max="13055" width="40" customWidth="1"/>
    <col min="13056" max="13056" width="8.28515625" customWidth="1"/>
    <col min="13057" max="13058" width="41" customWidth="1"/>
    <col min="13310" max="13310" width="7.28515625" customWidth="1"/>
    <col min="13311" max="13311" width="40" customWidth="1"/>
    <col min="13312" max="13312" width="8.28515625" customWidth="1"/>
    <col min="13313" max="13314" width="41" customWidth="1"/>
    <col min="13566" max="13566" width="7.28515625" customWidth="1"/>
    <col min="13567" max="13567" width="40" customWidth="1"/>
    <col min="13568" max="13568" width="8.28515625" customWidth="1"/>
    <col min="13569" max="13570" width="41" customWidth="1"/>
    <col min="13822" max="13822" width="7.28515625" customWidth="1"/>
    <col min="13823" max="13823" width="40" customWidth="1"/>
    <col min="13824" max="13824" width="8.28515625" customWidth="1"/>
    <col min="13825" max="13826" width="41" customWidth="1"/>
    <col min="14078" max="14078" width="7.28515625" customWidth="1"/>
    <col min="14079" max="14079" width="40" customWidth="1"/>
    <col min="14080" max="14080" width="8.28515625" customWidth="1"/>
    <col min="14081" max="14082" width="41" customWidth="1"/>
    <col min="14334" max="14334" width="7.28515625" customWidth="1"/>
    <col min="14335" max="14335" width="40" customWidth="1"/>
    <col min="14336" max="14336" width="8.28515625" customWidth="1"/>
    <col min="14337" max="14338" width="41" customWidth="1"/>
    <col min="14590" max="14590" width="7.28515625" customWidth="1"/>
    <col min="14591" max="14591" width="40" customWidth="1"/>
    <col min="14592" max="14592" width="8.28515625" customWidth="1"/>
    <col min="14593" max="14594" width="41" customWidth="1"/>
    <col min="14846" max="14846" width="7.28515625" customWidth="1"/>
    <col min="14847" max="14847" width="40" customWidth="1"/>
    <col min="14848" max="14848" width="8.28515625" customWidth="1"/>
    <col min="14849" max="14850" width="41" customWidth="1"/>
    <col min="15102" max="15102" width="7.28515625" customWidth="1"/>
    <col min="15103" max="15103" width="40" customWidth="1"/>
    <col min="15104" max="15104" width="8.28515625" customWidth="1"/>
    <col min="15105" max="15106" width="41" customWidth="1"/>
    <col min="15358" max="15358" width="7.28515625" customWidth="1"/>
    <col min="15359" max="15359" width="40" customWidth="1"/>
    <col min="15360" max="15360" width="8.28515625" customWidth="1"/>
    <col min="15361" max="15362" width="41" customWidth="1"/>
    <col min="15614" max="15614" width="7.28515625" customWidth="1"/>
    <col min="15615" max="15615" width="40" customWidth="1"/>
    <col min="15616" max="15616" width="8.28515625" customWidth="1"/>
    <col min="15617" max="15618" width="41" customWidth="1"/>
    <col min="15870" max="15870" width="7.28515625" customWidth="1"/>
    <col min="15871" max="15871" width="40" customWidth="1"/>
    <col min="15872" max="15872" width="8.28515625" customWidth="1"/>
    <col min="15873" max="15874" width="41" customWidth="1"/>
    <col min="16126" max="16126" width="7.28515625" customWidth="1"/>
    <col min="16127" max="16127" width="40" customWidth="1"/>
    <col min="16128" max="16128" width="8.28515625" customWidth="1"/>
    <col min="16129" max="16130" width="41" customWidth="1"/>
  </cols>
  <sheetData>
    <row r="1" spans="1:3" ht="3.95" customHeight="1" x14ac:dyDescent="0.25"/>
    <row r="2" spans="1:3" ht="3.95" customHeight="1" x14ac:dyDescent="0.25"/>
    <row r="3" spans="1:3" ht="3.95" customHeight="1" x14ac:dyDescent="0.25"/>
    <row r="4" spans="1:3" ht="3.95" customHeight="1" thickBot="1" x14ac:dyDescent="0.3"/>
    <row r="5" spans="1:3" ht="42.75" thickBot="1" x14ac:dyDescent="0.35">
      <c r="A5" s="23" t="s">
        <v>185</v>
      </c>
      <c r="B5" s="24" t="s">
        <v>2</v>
      </c>
      <c r="C5" s="25" t="s">
        <v>359</v>
      </c>
    </row>
    <row r="6" spans="1:3" ht="18.75" x14ac:dyDescent="0.3">
      <c r="A6" s="26">
        <v>43</v>
      </c>
      <c r="B6" s="4" t="s">
        <v>186</v>
      </c>
      <c r="C6" s="27">
        <v>240</v>
      </c>
    </row>
    <row r="7" spans="1:3" ht="18.75" x14ac:dyDescent="0.3">
      <c r="A7" s="26">
        <v>52</v>
      </c>
      <c r="B7" s="4" t="s">
        <v>187</v>
      </c>
      <c r="C7" s="27">
        <v>24</v>
      </c>
    </row>
    <row r="8" spans="1:3" ht="18.75" x14ac:dyDescent="0.3">
      <c r="A8" s="29">
        <v>53</v>
      </c>
      <c r="B8" s="30" t="s">
        <v>188</v>
      </c>
      <c r="C8" s="27">
        <v>48</v>
      </c>
    </row>
    <row r="9" spans="1:3" ht="18.75" x14ac:dyDescent="0.3">
      <c r="A9" s="26">
        <v>54</v>
      </c>
      <c r="B9" s="4" t="s">
        <v>189</v>
      </c>
      <c r="C9" s="27">
        <v>24</v>
      </c>
    </row>
    <row r="10" spans="1:3" ht="18.75" x14ac:dyDescent="0.3">
      <c r="A10" s="26">
        <v>55</v>
      </c>
      <c r="B10" s="31" t="s">
        <v>190</v>
      </c>
      <c r="C10" s="27">
        <v>96</v>
      </c>
    </row>
    <row r="11" spans="1:3" ht="18.75" x14ac:dyDescent="0.3">
      <c r="A11" s="26">
        <v>61</v>
      </c>
      <c r="B11" s="4" t="s">
        <v>191</v>
      </c>
      <c r="C11" s="27">
        <v>0</v>
      </c>
    </row>
    <row r="12" spans="1:3" ht="18.75" x14ac:dyDescent="0.3">
      <c r="A12" s="26">
        <v>97</v>
      </c>
      <c r="B12" s="4" t="s">
        <v>192</v>
      </c>
      <c r="C12" s="27">
        <v>840</v>
      </c>
    </row>
    <row r="13" spans="1:3" ht="18.75" x14ac:dyDescent="0.3">
      <c r="A13" s="26">
        <v>99</v>
      </c>
      <c r="B13" s="4" t="s">
        <v>193</v>
      </c>
      <c r="C13" s="27">
        <v>2976</v>
      </c>
    </row>
    <row r="14" spans="1:3" ht="18.75" x14ac:dyDescent="0.3">
      <c r="A14" s="26">
        <v>307</v>
      </c>
      <c r="B14" s="4" t="s">
        <v>194</v>
      </c>
      <c r="C14" s="27">
        <v>360</v>
      </c>
    </row>
    <row r="15" spans="1:3" ht="18.75" x14ac:dyDescent="0.3">
      <c r="A15" s="26">
        <v>453</v>
      </c>
      <c r="B15" s="4" t="s">
        <v>195</v>
      </c>
      <c r="C15" s="27">
        <v>0</v>
      </c>
    </row>
    <row r="16" spans="1:3" ht="18.75" x14ac:dyDescent="0.3">
      <c r="A16" s="29">
        <v>454</v>
      </c>
      <c r="B16" s="30" t="s">
        <v>196</v>
      </c>
      <c r="C16" s="27">
        <v>0</v>
      </c>
    </row>
    <row r="17" spans="1:3" ht="18.75" x14ac:dyDescent="0.3">
      <c r="A17" s="29">
        <v>455</v>
      </c>
      <c r="B17" s="30" t="s">
        <v>197</v>
      </c>
      <c r="C17" s="27">
        <v>0</v>
      </c>
    </row>
    <row r="18" spans="1:3" ht="18.75" x14ac:dyDescent="0.3">
      <c r="A18" s="29">
        <v>456</v>
      </c>
      <c r="B18" s="30" t="s">
        <v>198</v>
      </c>
      <c r="C18" s="27">
        <v>0</v>
      </c>
    </row>
    <row r="19" spans="1:3" ht="18.75" x14ac:dyDescent="0.3">
      <c r="A19" s="26">
        <v>609</v>
      </c>
      <c r="B19" s="4" t="s">
        <v>199</v>
      </c>
      <c r="C19" s="27">
        <v>480</v>
      </c>
    </row>
    <row r="20" spans="1:3" ht="18.75" x14ac:dyDescent="0.3">
      <c r="A20" s="29">
        <v>613</v>
      </c>
      <c r="B20" s="30" t="s">
        <v>200</v>
      </c>
      <c r="C20" s="27">
        <v>0</v>
      </c>
    </row>
    <row r="21" spans="1:3" ht="18.75" x14ac:dyDescent="0.3">
      <c r="A21" s="26">
        <v>615</v>
      </c>
      <c r="B21" s="4" t="s">
        <v>152</v>
      </c>
      <c r="C21" s="27">
        <v>60</v>
      </c>
    </row>
    <row r="22" spans="1:3" ht="18.75" x14ac:dyDescent="0.3">
      <c r="A22" s="26">
        <v>617</v>
      </c>
      <c r="B22" s="4" t="s">
        <v>201</v>
      </c>
      <c r="C22" s="27">
        <v>0</v>
      </c>
    </row>
    <row r="23" spans="1:3" ht="18.75" x14ac:dyDescent="0.3">
      <c r="A23" s="26">
        <v>618</v>
      </c>
      <c r="B23" s="4" t="s">
        <v>202</v>
      </c>
      <c r="C23" s="27">
        <v>0</v>
      </c>
    </row>
    <row r="24" spans="1:3" ht="18.75" x14ac:dyDescent="0.3">
      <c r="A24" s="29">
        <v>619</v>
      </c>
      <c r="B24" s="30" t="s">
        <v>203</v>
      </c>
      <c r="C24" s="27">
        <v>0</v>
      </c>
    </row>
    <row r="25" spans="1:3" ht="18.75" x14ac:dyDescent="0.3">
      <c r="A25" s="26">
        <v>630</v>
      </c>
      <c r="B25" s="4" t="s">
        <v>204</v>
      </c>
      <c r="C25" s="27">
        <v>72</v>
      </c>
    </row>
    <row r="26" spans="1:3" ht="18.75" x14ac:dyDescent="0.3">
      <c r="A26" s="29">
        <v>631</v>
      </c>
      <c r="B26" s="30" t="s">
        <v>205</v>
      </c>
      <c r="C26" s="27">
        <v>48</v>
      </c>
    </row>
    <row r="27" spans="1:3" ht="18.75" x14ac:dyDescent="0.3">
      <c r="A27" s="29">
        <v>632</v>
      </c>
      <c r="B27" s="30" t="s">
        <v>206</v>
      </c>
      <c r="C27" s="27">
        <v>24</v>
      </c>
    </row>
    <row r="28" spans="1:3" ht="18.75" x14ac:dyDescent="0.3">
      <c r="A28" s="26">
        <v>633</v>
      </c>
      <c r="B28" s="4" t="s">
        <v>207</v>
      </c>
      <c r="C28" s="27">
        <v>36</v>
      </c>
    </row>
    <row r="29" spans="1:3" ht="18.75" x14ac:dyDescent="0.3">
      <c r="A29" s="26">
        <v>634</v>
      </c>
      <c r="B29" s="4" t="s">
        <v>208</v>
      </c>
      <c r="C29" s="27">
        <v>12</v>
      </c>
    </row>
    <row r="30" spans="1:3" ht="18.75" x14ac:dyDescent="0.3">
      <c r="A30" s="26">
        <v>635</v>
      </c>
      <c r="B30" s="4" t="s">
        <v>209</v>
      </c>
      <c r="C30" s="27">
        <v>48</v>
      </c>
    </row>
    <row r="31" spans="1:3" ht="18.75" x14ac:dyDescent="0.3">
      <c r="A31" s="26">
        <v>636</v>
      </c>
      <c r="B31" s="4" t="s">
        <v>210</v>
      </c>
      <c r="C31" s="27">
        <v>48</v>
      </c>
    </row>
    <row r="32" spans="1:3" ht="18.75" x14ac:dyDescent="0.3">
      <c r="A32" s="26">
        <v>637</v>
      </c>
      <c r="B32" s="4" t="s">
        <v>211</v>
      </c>
      <c r="C32" s="27">
        <v>12</v>
      </c>
    </row>
    <row r="33" spans="1:3" ht="18.75" x14ac:dyDescent="0.3">
      <c r="A33" s="26">
        <v>700</v>
      </c>
      <c r="B33" s="4" t="s">
        <v>212</v>
      </c>
      <c r="C33" s="27">
        <v>96</v>
      </c>
    </row>
    <row r="34" spans="1:3" ht="18.75" x14ac:dyDescent="0.3">
      <c r="A34" s="26">
        <v>701</v>
      </c>
      <c r="B34" s="4" t="s">
        <v>48</v>
      </c>
      <c r="C34" s="27">
        <v>618</v>
      </c>
    </row>
    <row r="35" spans="1:3" ht="18.75" x14ac:dyDescent="0.3">
      <c r="A35" s="26">
        <v>702</v>
      </c>
      <c r="B35" s="4" t="s">
        <v>213</v>
      </c>
      <c r="C35" s="27">
        <v>504</v>
      </c>
    </row>
    <row r="36" spans="1:3" ht="18.75" x14ac:dyDescent="0.3">
      <c r="A36" s="26">
        <v>706</v>
      </c>
      <c r="B36" s="4" t="s">
        <v>215</v>
      </c>
      <c r="C36" s="27">
        <v>3144</v>
      </c>
    </row>
    <row r="37" spans="1:3" ht="18.75" x14ac:dyDescent="0.3">
      <c r="A37" s="26">
        <v>707</v>
      </c>
      <c r="B37" s="4" t="s">
        <v>83</v>
      </c>
      <c r="C37" s="27">
        <v>48</v>
      </c>
    </row>
    <row r="38" spans="1:3" ht="18.75" x14ac:dyDescent="0.3">
      <c r="A38" s="26">
        <v>708</v>
      </c>
      <c r="B38" s="4" t="s">
        <v>361</v>
      </c>
      <c r="C38" s="27">
        <v>72</v>
      </c>
    </row>
    <row r="39" spans="1:3" ht="18.75" x14ac:dyDescent="0.3">
      <c r="A39" s="26">
        <v>709</v>
      </c>
      <c r="B39" s="4" t="s">
        <v>101</v>
      </c>
      <c r="C39" s="27">
        <v>24</v>
      </c>
    </row>
    <row r="40" spans="1:3" ht="18.75" x14ac:dyDescent="0.3">
      <c r="A40" s="26">
        <v>710</v>
      </c>
      <c r="B40" s="4" t="s">
        <v>216</v>
      </c>
      <c r="C40" s="27">
        <v>0</v>
      </c>
    </row>
    <row r="41" spans="1:3" ht="18.75" x14ac:dyDescent="0.3">
      <c r="A41" s="26">
        <v>713</v>
      </c>
      <c r="B41" s="4" t="s">
        <v>219</v>
      </c>
      <c r="C41" s="27">
        <v>2280</v>
      </c>
    </row>
    <row r="42" spans="1:3" ht="18.75" x14ac:dyDescent="0.3">
      <c r="A42" s="29">
        <v>715</v>
      </c>
      <c r="B42" s="30" t="s">
        <v>220</v>
      </c>
      <c r="C42" s="27">
        <v>192</v>
      </c>
    </row>
    <row r="43" spans="1:3" ht="18.75" x14ac:dyDescent="0.3">
      <c r="A43" s="26">
        <v>717</v>
      </c>
      <c r="B43" s="4" t="s">
        <v>221</v>
      </c>
      <c r="C43" s="27">
        <v>0</v>
      </c>
    </row>
    <row r="44" spans="1:3" ht="18.75" x14ac:dyDescent="0.3">
      <c r="A44" s="26">
        <v>718</v>
      </c>
      <c r="B44" s="4" t="s">
        <v>222</v>
      </c>
      <c r="C44" s="27">
        <v>48</v>
      </c>
    </row>
    <row r="45" spans="1:3" ht="18.75" x14ac:dyDescent="0.3">
      <c r="A45" s="26">
        <v>719</v>
      </c>
      <c r="B45" s="4" t="s">
        <v>223</v>
      </c>
      <c r="C45" s="27">
        <v>72</v>
      </c>
    </row>
    <row r="46" spans="1:3" ht="18.75" x14ac:dyDescent="0.3">
      <c r="A46" s="26">
        <v>720</v>
      </c>
      <c r="B46" s="4" t="s">
        <v>224</v>
      </c>
      <c r="C46" s="27">
        <v>24</v>
      </c>
    </row>
    <row r="47" spans="1:3" ht="18.75" x14ac:dyDescent="0.3">
      <c r="A47" s="26">
        <v>722</v>
      </c>
      <c r="B47" s="4" t="s">
        <v>106</v>
      </c>
      <c r="C47" s="27">
        <v>24</v>
      </c>
    </row>
    <row r="48" spans="1:3" ht="18.75" x14ac:dyDescent="0.3">
      <c r="A48" s="26">
        <v>723</v>
      </c>
      <c r="B48" s="4" t="s">
        <v>62</v>
      </c>
      <c r="C48" s="27">
        <v>372</v>
      </c>
    </row>
    <row r="49" spans="1:3" ht="18.75" x14ac:dyDescent="0.3">
      <c r="A49" s="26">
        <v>724</v>
      </c>
      <c r="B49" s="4" t="s">
        <v>225</v>
      </c>
      <c r="C49" s="27">
        <v>0</v>
      </c>
    </row>
    <row r="50" spans="1:3" ht="18.75" x14ac:dyDescent="0.3">
      <c r="A50" s="26">
        <v>725</v>
      </c>
      <c r="B50" s="4" t="s">
        <v>75</v>
      </c>
      <c r="C50" s="27">
        <v>480</v>
      </c>
    </row>
    <row r="51" spans="1:3" ht="18.75" x14ac:dyDescent="0.3">
      <c r="A51" s="26">
        <v>730</v>
      </c>
      <c r="B51" s="4" t="s">
        <v>226</v>
      </c>
      <c r="C51" s="27">
        <v>600</v>
      </c>
    </row>
    <row r="52" spans="1:3" ht="18.75" x14ac:dyDescent="0.3">
      <c r="A52" s="26">
        <v>731</v>
      </c>
      <c r="B52" s="4" t="s">
        <v>227</v>
      </c>
      <c r="C52" s="27">
        <v>264</v>
      </c>
    </row>
    <row r="53" spans="1:3" ht="18.75" x14ac:dyDescent="0.3">
      <c r="A53" s="29">
        <v>732</v>
      </c>
      <c r="B53" s="30" t="s">
        <v>228</v>
      </c>
      <c r="C53" s="27">
        <v>96</v>
      </c>
    </row>
    <row r="54" spans="1:3" ht="18.75" x14ac:dyDescent="0.3">
      <c r="A54" s="26">
        <v>747</v>
      </c>
      <c r="B54" s="4" t="s">
        <v>229</v>
      </c>
      <c r="C54" s="27">
        <v>24</v>
      </c>
    </row>
    <row r="55" spans="1:3" ht="18.75" x14ac:dyDescent="0.3">
      <c r="A55" s="29">
        <v>748</v>
      </c>
      <c r="B55" s="30" t="s">
        <v>230</v>
      </c>
      <c r="C55" s="27">
        <v>0</v>
      </c>
    </row>
    <row r="56" spans="1:3" ht="18.75" x14ac:dyDescent="0.3">
      <c r="A56" s="26">
        <v>755</v>
      </c>
      <c r="B56" s="4" t="s">
        <v>231</v>
      </c>
      <c r="C56" s="27">
        <v>0</v>
      </c>
    </row>
    <row r="57" spans="1:3" ht="18.75" x14ac:dyDescent="0.3">
      <c r="A57" s="29">
        <v>760</v>
      </c>
      <c r="B57" s="30" t="s">
        <v>232</v>
      </c>
      <c r="C57" s="27">
        <v>288</v>
      </c>
    </row>
    <row r="58" spans="1:3" ht="18.75" x14ac:dyDescent="0.3">
      <c r="A58" s="29">
        <v>761</v>
      </c>
      <c r="B58" s="30" t="s">
        <v>161</v>
      </c>
      <c r="C58" s="27">
        <v>24</v>
      </c>
    </row>
    <row r="59" spans="1:3" ht="18.75" x14ac:dyDescent="0.3">
      <c r="A59" s="26">
        <v>762</v>
      </c>
      <c r="B59" s="4" t="s">
        <v>78</v>
      </c>
      <c r="C59" s="27">
        <v>24</v>
      </c>
    </row>
    <row r="60" spans="1:3" ht="18.75" x14ac:dyDescent="0.3">
      <c r="A60" s="26">
        <v>763</v>
      </c>
      <c r="B60" s="4" t="s">
        <v>77</v>
      </c>
      <c r="C60" s="27">
        <v>480</v>
      </c>
    </row>
    <row r="61" spans="1:3" ht="18.75" x14ac:dyDescent="0.3">
      <c r="A61" s="26">
        <v>764</v>
      </c>
      <c r="B61" s="4" t="s">
        <v>233</v>
      </c>
      <c r="C61" s="27">
        <v>504</v>
      </c>
    </row>
    <row r="62" spans="1:3" ht="18.75" x14ac:dyDescent="0.3">
      <c r="A62" s="26">
        <v>765</v>
      </c>
      <c r="B62" s="4" t="s">
        <v>179</v>
      </c>
      <c r="C62" s="27">
        <v>0</v>
      </c>
    </row>
    <row r="63" spans="1:3" ht="18.75" x14ac:dyDescent="0.3">
      <c r="A63" s="26">
        <v>769</v>
      </c>
      <c r="B63" s="4" t="s">
        <v>234</v>
      </c>
      <c r="C63" s="27">
        <v>240</v>
      </c>
    </row>
    <row r="64" spans="1:3" ht="18.75" x14ac:dyDescent="0.3">
      <c r="A64" s="26">
        <v>789</v>
      </c>
      <c r="B64" s="4" t="s">
        <v>235</v>
      </c>
      <c r="C64" s="27">
        <v>1056</v>
      </c>
    </row>
    <row r="65" spans="1:3" ht="18.75" x14ac:dyDescent="0.3">
      <c r="A65" s="26">
        <v>800</v>
      </c>
      <c r="B65" s="4" t="s">
        <v>236</v>
      </c>
      <c r="C65" s="27">
        <v>72</v>
      </c>
    </row>
    <row r="66" spans="1:3" ht="18.75" x14ac:dyDescent="0.3">
      <c r="A66" s="26">
        <v>802</v>
      </c>
      <c r="B66" s="4" t="s">
        <v>270</v>
      </c>
      <c r="C66" s="27">
        <v>540</v>
      </c>
    </row>
    <row r="67" spans="1:3" ht="18.75" x14ac:dyDescent="0.3">
      <c r="A67" s="26">
        <v>809</v>
      </c>
      <c r="B67" s="4" t="s">
        <v>51</v>
      </c>
      <c r="C67" s="27">
        <v>1296</v>
      </c>
    </row>
    <row r="68" spans="1:3" ht="18.75" x14ac:dyDescent="0.3">
      <c r="A68" s="26">
        <v>816</v>
      </c>
      <c r="B68" s="4" t="s">
        <v>238</v>
      </c>
      <c r="C68" s="27">
        <v>204</v>
      </c>
    </row>
    <row r="69" spans="1:3" ht="18.75" x14ac:dyDescent="0.3">
      <c r="A69" s="26">
        <v>817</v>
      </c>
      <c r="B69" s="4" t="s">
        <v>239</v>
      </c>
      <c r="C69" s="27">
        <v>312</v>
      </c>
    </row>
    <row r="70" spans="1:3" ht="18.75" x14ac:dyDescent="0.3">
      <c r="A70" s="26">
        <v>818</v>
      </c>
      <c r="B70" s="4" t="s">
        <v>240</v>
      </c>
      <c r="C70" s="27">
        <v>0</v>
      </c>
    </row>
    <row r="71" spans="1:3" ht="18.75" x14ac:dyDescent="0.3">
      <c r="A71" s="26">
        <v>824</v>
      </c>
      <c r="B71" s="4" t="s">
        <v>241</v>
      </c>
      <c r="C71" s="27">
        <v>1920</v>
      </c>
    </row>
    <row r="72" spans="1:3" ht="18.75" x14ac:dyDescent="0.3">
      <c r="A72" s="26">
        <v>825</v>
      </c>
      <c r="B72" s="28" t="s">
        <v>242</v>
      </c>
      <c r="C72" s="27">
        <v>2328</v>
      </c>
    </row>
    <row r="73" spans="1:3" ht="18.75" x14ac:dyDescent="0.3">
      <c r="A73" s="26">
        <v>836</v>
      </c>
      <c r="B73" s="4" t="s">
        <v>243</v>
      </c>
      <c r="C73" s="27">
        <v>2400</v>
      </c>
    </row>
    <row r="74" spans="1:3" ht="18.75" x14ac:dyDescent="0.3">
      <c r="A74" s="26">
        <v>839</v>
      </c>
      <c r="B74" s="4" t="s">
        <v>244</v>
      </c>
      <c r="C74" s="27">
        <v>180</v>
      </c>
    </row>
    <row r="75" spans="1:3" ht="18.75" x14ac:dyDescent="0.3">
      <c r="A75" s="26">
        <v>840</v>
      </c>
      <c r="B75" s="4" t="s">
        <v>52</v>
      </c>
      <c r="C75" s="27">
        <v>2400</v>
      </c>
    </row>
    <row r="76" spans="1:3" ht="18.75" x14ac:dyDescent="0.3">
      <c r="A76" s="26">
        <v>842</v>
      </c>
      <c r="B76" s="4" t="s">
        <v>245</v>
      </c>
      <c r="C76" s="27">
        <v>120</v>
      </c>
    </row>
    <row r="77" spans="1:3" ht="18.75" x14ac:dyDescent="0.3">
      <c r="A77" s="26">
        <v>843</v>
      </c>
      <c r="B77" s="4" t="s">
        <v>246</v>
      </c>
      <c r="C77" s="27">
        <v>48</v>
      </c>
    </row>
    <row r="78" spans="1:3" ht="18.75" x14ac:dyDescent="0.3">
      <c r="A78" s="26">
        <v>844</v>
      </c>
      <c r="B78" s="4" t="s">
        <v>247</v>
      </c>
      <c r="C78" s="27">
        <v>48</v>
      </c>
    </row>
    <row r="79" spans="1:3" ht="18.75" x14ac:dyDescent="0.3">
      <c r="A79" s="26">
        <v>845</v>
      </c>
      <c r="B79" s="4" t="s">
        <v>248</v>
      </c>
      <c r="C79" s="27">
        <v>168</v>
      </c>
    </row>
    <row r="80" spans="1:3" ht="18.75" x14ac:dyDescent="0.3">
      <c r="A80" s="26">
        <v>846</v>
      </c>
      <c r="B80" s="4" t="s">
        <v>249</v>
      </c>
      <c r="C80" s="27">
        <v>192</v>
      </c>
    </row>
    <row r="81" spans="1:3" ht="18.75" x14ac:dyDescent="0.3">
      <c r="A81" s="26">
        <v>847</v>
      </c>
      <c r="B81" s="4" t="s">
        <v>250</v>
      </c>
      <c r="C81" s="27">
        <v>1440</v>
      </c>
    </row>
    <row r="82" spans="1:3" ht="18.75" x14ac:dyDescent="0.3">
      <c r="A82" s="26">
        <v>848</v>
      </c>
      <c r="B82" s="4" t="s">
        <v>57</v>
      </c>
      <c r="C82" s="27">
        <v>24</v>
      </c>
    </row>
    <row r="83" spans="1:3" ht="18.75" x14ac:dyDescent="0.3">
      <c r="A83" s="26">
        <v>852</v>
      </c>
      <c r="B83" s="4" t="s">
        <v>251</v>
      </c>
      <c r="C83" s="27">
        <v>60</v>
      </c>
    </row>
    <row r="84" spans="1:3" ht="18.75" x14ac:dyDescent="0.3">
      <c r="A84" s="26">
        <v>856</v>
      </c>
      <c r="B84" s="4" t="s">
        <v>252</v>
      </c>
      <c r="C84" s="27">
        <v>96</v>
      </c>
    </row>
    <row r="85" spans="1:3" ht="18.75" x14ac:dyDescent="0.3">
      <c r="A85" s="26">
        <v>857</v>
      </c>
      <c r="B85" s="4" t="s">
        <v>253</v>
      </c>
      <c r="C85" s="27">
        <v>24</v>
      </c>
    </row>
    <row r="86" spans="1:3" ht="18.75" x14ac:dyDescent="0.3">
      <c r="A86" s="26">
        <v>858</v>
      </c>
      <c r="B86" s="4" t="s">
        <v>149</v>
      </c>
      <c r="C86" s="27">
        <v>96</v>
      </c>
    </row>
    <row r="87" spans="1:3" ht="18.75" x14ac:dyDescent="0.3">
      <c r="A87" s="26">
        <v>859</v>
      </c>
      <c r="B87" s="4" t="s">
        <v>82</v>
      </c>
      <c r="C87" s="27">
        <v>72</v>
      </c>
    </row>
    <row r="88" spans="1:3" ht="18.75" x14ac:dyDescent="0.3">
      <c r="A88" s="26">
        <v>860</v>
      </c>
      <c r="B88" s="4" t="s">
        <v>254</v>
      </c>
      <c r="C88" s="27">
        <v>0</v>
      </c>
    </row>
    <row r="89" spans="1:3" ht="18.75" x14ac:dyDescent="0.3">
      <c r="A89" s="26">
        <v>862</v>
      </c>
      <c r="B89" s="4" t="s">
        <v>255</v>
      </c>
      <c r="C89" s="27">
        <v>180</v>
      </c>
    </row>
    <row r="90" spans="1:3" ht="18.75" x14ac:dyDescent="0.3">
      <c r="A90" s="29">
        <v>863</v>
      </c>
      <c r="B90" s="30" t="s">
        <v>256</v>
      </c>
      <c r="C90" s="27">
        <v>48</v>
      </c>
    </row>
    <row r="91" spans="1:3" ht="18.75" x14ac:dyDescent="0.3">
      <c r="A91" s="26">
        <v>864</v>
      </c>
      <c r="B91" s="4" t="s">
        <v>148</v>
      </c>
      <c r="C91" s="27">
        <v>48</v>
      </c>
    </row>
    <row r="92" spans="1:3" ht="18.75" x14ac:dyDescent="0.3">
      <c r="A92" s="26">
        <v>867</v>
      </c>
      <c r="B92" s="4" t="s">
        <v>273</v>
      </c>
      <c r="C92" s="27">
        <v>312</v>
      </c>
    </row>
    <row r="93" spans="1:3" ht="18.75" x14ac:dyDescent="0.3">
      <c r="A93" s="26">
        <v>872</v>
      </c>
      <c r="B93" s="4" t="s">
        <v>164</v>
      </c>
      <c r="C93" s="27">
        <v>0</v>
      </c>
    </row>
    <row r="94" spans="1:3" ht="18.75" x14ac:dyDescent="0.3">
      <c r="A94" s="26">
        <v>873</v>
      </c>
      <c r="B94" s="4" t="s">
        <v>160</v>
      </c>
      <c r="C94" s="27">
        <v>0</v>
      </c>
    </row>
    <row r="95" spans="1:3" ht="18.75" x14ac:dyDescent="0.3">
      <c r="A95" s="26">
        <v>878</v>
      </c>
      <c r="B95" s="4" t="s">
        <v>257</v>
      </c>
      <c r="C95" s="27">
        <v>240</v>
      </c>
    </row>
    <row r="96" spans="1:3" ht="18.75" x14ac:dyDescent="0.3">
      <c r="A96" s="26">
        <v>879</v>
      </c>
      <c r="B96" s="4" t="s">
        <v>258</v>
      </c>
      <c r="C96" s="27">
        <v>24</v>
      </c>
    </row>
    <row r="97" spans="1:3" ht="18.75" x14ac:dyDescent="0.3">
      <c r="A97" s="26">
        <v>900</v>
      </c>
      <c r="B97" s="4" t="s">
        <v>277</v>
      </c>
      <c r="C97" s="27">
        <v>24</v>
      </c>
    </row>
    <row r="98" spans="1:3" ht="18.75" x14ac:dyDescent="0.3">
      <c r="A98" s="26">
        <v>901</v>
      </c>
      <c r="B98" s="4" t="s">
        <v>278</v>
      </c>
      <c r="C98" s="27">
        <v>1440</v>
      </c>
    </row>
    <row r="99" spans="1:3" ht="18.75" x14ac:dyDescent="0.3">
      <c r="A99" s="26">
        <v>902</v>
      </c>
      <c r="B99" s="4" t="s">
        <v>279</v>
      </c>
      <c r="C99" s="27">
        <v>228</v>
      </c>
    </row>
    <row r="100" spans="1:3" ht="18.75" x14ac:dyDescent="0.3">
      <c r="A100" s="26">
        <v>908</v>
      </c>
      <c r="B100" s="4" t="s">
        <v>259</v>
      </c>
      <c r="C100" s="27">
        <v>60</v>
      </c>
    </row>
    <row r="101" spans="1:3" ht="18.75" x14ac:dyDescent="0.3">
      <c r="A101" s="26">
        <v>909</v>
      </c>
      <c r="B101" s="4" t="s">
        <v>280</v>
      </c>
      <c r="C101" s="27">
        <v>276</v>
      </c>
    </row>
    <row r="102" spans="1:3" ht="18.75" x14ac:dyDescent="0.3">
      <c r="A102" s="26">
        <v>910</v>
      </c>
      <c r="B102" s="4" t="s">
        <v>281</v>
      </c>
      <c r="C102" s="27">
        <v>864</v>
      </c>
    </row>
    <row r="103" spans="1:3" ht="18.75" x14ac:dyDescent="0.3">
      <c r="A103" s="26">
        <v>911</v>
      </c>
      <c r="B103" s="4" t="s">
        <v>282</v>
      </c>
      <c r="C103" s="27">
        <v>336</v>
      </c>
    </row>
    <row r="104" spans="1:3" ht="18.75" x14ac:dyDescent="0.3">
      <c r="A104" s="26">
        <v>912</v>
      </c>
      <c r="B104" s="4" t="s">
        <v>260</v>
      </c>
      <c r="C104" s="27">
        <v>0</v>
      </c>
    </row>
    <row r="105" spans="1:3" ht="18.75" x14ac:dyDescent="0.3">
      <c r="A105" s="26">
        <v>920</v>
      </c>
      <c r="B105" s="4" t="s">
        <v>283</v>
      </c>
      <c r="C105" s="27">
        <v>144</v>
      </c>
    </row>
    <row r="106" spans="1:3" ht="18.75" x14ac:dyDescent="0.3">
      <c r="A106" s="26">
        <v>922</v>
      </c>
      <c r="B106" s="4" t="s">
        <v>284</v>
      </c>
      <c r="C106" s="27">
        <v>696</v>
      </c>
    </row>
    <row r="107" spans="1:3" ht="18.75" x14ac:dyDescent="0.3">
      <c r="A107" s="26" t="s">
        <v>264</v>
      </c>
      <c r="B107" s="4" t="s">
        <v>265</v>
      </c>
      <c r="C107" s="27">
        <v>240</v>
      </c>
    </row>
    <row r="108" spans="1:3" ht="18.75" x14ac:dyDescent="0.3">
      <c r="A108" s="26" t="s">
        <v>214</v>
      </c>
      <c r="B108" s="4" t="s">
        <v>213</v>
      </c>
      <c r="C108" s="27">
        <v>1200</v>
      </c>
    </row>
    <row r="109" spans="1:3" ht="18.75" x14ac:dyDescent="0.3">
      <c r="A109" s="26" t="s">
        <v>217</v>
      </c>
      <c r="B109" s="4" t="s">
        <v>218</v>
      </c>
      <c r="C109" s="27">
        <v>240</v>
      </c>
    </row>
    <row r="110" spans="1:3" ht="18.75" x14ac:dyDescent="0.3">
      <c r="A110" s="26" t="s">
        <v>360</v>
      </c>
      <c r="B110" s="4" t="s">
        <v>75</v>
      </c>
      <c r="C110" s="27">
        <v>1080</v>
      </c>
    </row>
    <row r="111" spans="1:3" ht="18.75" x14ac:dyDescent="0.3">
      <c r="A111" s="26" t="s">
        <v>266</v>
      </c>
      <c r="B111" s="4" t="s">
        <v>70</v>
      </c>
      <c r="C111" s="27">
        <v>240</v>
      </c>
    </row>
    <row r="112" spans="1:3" ht="18.75" x14ac:dyDescent="0.3">
      <c r="A112" s="26" t="s">
        <v>267</v>
      </c>
      <c r="B112" s="4" t="s">
        <v>268</v>
      </c>
      <c r="C112" s="27">
        <v>276</v>
      </c>
    </row>
    <row r="113" spans="1:3" ht="18.75" x14ac:dyDescent="0.3">
      <c r="A113" s="26" t="s">
        <v>269</v>
      </c>
      <c r="B113" s="4" t="s">
        <v>70</v>
      </c>
      <c r="C113" s="27">
        <v>792</v>
      </c>
    </row>
    <row r="114" spans="1:3" ht="18.75" x14ac:dyDescent="0.3">
      <c r="A114" s="26" t="s">
        <v>135</v>
      </c>
      <c r="B114" s="4" t="s">
        <v>237</v>
      </c>
      <c r="C114" s="27">
        <v>1680</v>
      </c>
    </row>
    <row r="115" spans="1:3" ht="18.75" x14ac:dyDescent="0.3">
      <c r="A115" s="26" t="s">
        <v>271</v>
      </c>
      <c r="B115" s="4" t="s">
        <v>272</v>
      </c>
      <c r="C115" s="27">
        <v>120</v>
      </c>
    </row>
    <row r="116" spans="1:3" ht="18.75" x14ac:dyDescent="0.3">
      <c r="A116" s="26" t="s">
        <v>274</v>
      </c>
      <c r="B116" s="4" t="s">
        <v>147</v>
      </c>
      <c r="C116" s="27">
        <v>0</v>
      </c>
    </row>
    <row r="117" spans="1:3" ht="18.75" x14ac:dyDescent="0.3">
      <c r="A117" s="26" t="s">
        <v>275</v>
      </c>
      <c r="B117" s="4" t="s">
        <v>276</v>
      </c>
      <c r="C117" s="27">
        <v>204</v>
      </c>
    </row>
    <row r="118" spans="1:3" ht="18.75" x14ac:dyDescent="0.3">
      <c r="A118" s="32"/>
      <c r="B118" s="33"/>
      <c r="C118" s="27"/>
    </row>
    <row r="119" spans="1:3" ht="19.5" thickBot="1" x14ac:dyDescent="0.35">
      <c r="A119" s="34"/>
      <c r="B119" s="35"/>
      <c r="C119" s="27"/>
    </row>
  </sheetData>
  <autoFilter ref="A5:C119"/>
  <sortState ref="A2:D113">
    <sortCondition ref="A2:A113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</vt:i4>
      </vt:variant>
    </vt:vector>
  </HeadingPairs>
  <TitlesOfParts>
    <vt:vector size="20" baseType="lpstr">
      <vt:lpstr>O.C. Rueda</vt:lpstr>
      <vt:lpstr>O.C. Roosevelt</vt:lpstr>
      <vt:lpstr>O.C. Resortes Charcas</vt:lpstr>
      <vt:lpstr>O.C. Colodis Kufo</vt:lpstr>
      <vt:lpstr>O.C. Melinox</vt:lpstr>
      <vt:lpstr>O.C. Rueda y Cia</vt:lpstr>
      <vt:lpstr>O.C. Alambres Rumbo</vt:lpstr>
      <vt:lpstr>O.C. Casa Landau </vt:lpstr>
      <vt:lpstr>O.C. Bella Vista</vt:lpstr>
      <vt:lpstr>O.C. Giser</vt:lpstr>
      <vt:lpstr>Conteo 18-02-26</vt:lpstr>
      <vt:lpstr>Stock Prov. Serv.</vt:lpstr>
      <vt:lpstr>Stock Taller</vt:lpstr>
      <vt:lpstr>Stock CD</vt:lpstr>
      <vt:lpstr>Stock ISIS LK</vt:lpstr>
      <vt:lpstr>Stock ISIS CH</vt:lpstr>
      <vt:lpstr>Consumo</vt:lpstr>
      <vt:lpstr>Est Madre LK 10-25</vt:lpstr>
      <vt:lpstr>Est Madre CH 10-25</vt:lpstr>
      <vt:lpstr>'Stock CD'!Títulos_a_imprimir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Logistica2</dc:creator>
  <cp:lastModifiedBy>Pagos</cp:lastModifiedBy>
  <cp:lastPrinted>2026-02-23T15:13:18Z</cp:lastPrinted>
  <dcterms:created xsi:type="dcterms:W3CDTF">2023-06-26T13:22:59Z</dcterms:created>
  <dcterms:modified xsi:type="dcterms:W3CDTF">2026-03-18T19:12:56Z</dcterms:modified>
</cp:coreProperties>
</file>