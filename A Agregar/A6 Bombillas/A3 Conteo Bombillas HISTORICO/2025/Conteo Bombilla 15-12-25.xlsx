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V:\AA  LOGISTICA\A3 Relevamiento INSUMOS Stock y OP\Relevamiento\A Conteo INSUMOS y OP\A Bombillas\AA Conteo Vigente\"/>
    </mc:Choice>
  </mc:AlternateContent>
  <xr:revisionPtr revIDLastSave="0" documentId="13_ncr:1_{FC535A14-0806-4181-A89B-18285C70D4C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.C. Rueda" sheetId="44" r:id="rId1"/>
    <sheet name="O.C. Roosvelt" sheetId="39" r:id="rId2"/>
    <sheet name="O.C. Resortes Charcas" sheetId="40" r:id="rId3"/>
    <sheet name="O.C. Colodis Kufo" sheetId="41" r:id="rId4"/>
    <sheet name="O.C. Melinox" sheetId="42" r:id="rId5"/>
    <sheet name="O.C. Rueda y Cia" sheetId="43" r:id="rId6"/>
    <sheet name="O.C. Alambres Rumbo" sheetId="38" r:id="rId7"/>
    <sheet name="O.C. Casa Landau" sheetId="37" r:id="rId8"/>
    <sheet name="O.C. Bella Vista" sheetId="36" r:id="rId9"/>
    <sheet name="O.C. Giser" sheetId="34" r:id="rId10"/>
    <sheet name="Conteo VACIO" sheetId="25" r:id="rId11"/>
    <sheet name="Stock Prov. Serv." sheetId="29" r:id="rId12"/>
    <sheet name="Stock Taller" sheetId="30" r:id="rId13"/>
    <sheet name="Stock CD" sheetId="31" r:id="rId14"/>
    <sheet name="Stock ISIS LK" sheetId="32" r:id="rId15"/>
    <sheet name="Stock ISIS CH" sheetId="33" r:id="rId16"/>
    <sheet name="Consumo" sheetId="4" r:id="rId17"/>
    <sheet name="Est Madre LK 10-25" sheetId="16" r:id="rId18"/>
    <sheet name="Est Madre CH 10-25" sheetId="17" r:id="rId19"/>
  </sheets>
  <externalReferences>
    <externalReference r:id="rId20"/>
    <externalReference r:id="rId21"/>
    <externalReference r:id="rId22"/>
  </externalReferences>
  <definedNames>
    <definedName name="_360EN">#REF!</definedName>
    <definedName name="_361EN">#REF!</definedName>
    <definedName name="_388EN">#REF!</definedName>
    <definedName name="_503EN">#REF!</definedName>
    <definedName name="_525EN">#REF!</definedName>
    <definedName name="_529EN">#REF!</definedName>
    <definedName name="_544EN">#REF!</definedName>
    <definedName name="_575D">#REF!</definedName>
    <definedName name="_577D">#REF!</definedName>
    <definedName name="_585EN">#REF!</definedName>
    <definedName name="_811EN">#REF!</definedName>
    <definedName name="_812EN">#REF!</definedName>
    <definedName name="_813EN">#REF!</definedName>
    <definedName name="_814EN">#REF!</definedName>
    <definedName name="_816EN">#REF!</definedName>
    <definedName name="_817EN">#REF!</definedName>
    <definedName name="_819EN">#REF!</definedName>
    <definedName name="_xlnm._FilterDatabase" localSheetId="16" hidden="1">Consumo!$E$1:$E$77</definedName>
    <definedName name="_xlnm._FilterDatabase" localSheetId="10" hidden="1">'Conteo VACIO'!$B$10:$C$37</definedName>
    <definedName name="_xlnm._FilterDatabase" localSheetId="18" hidden="1">'Est Madre CH 10-25'!$A$5:$C$119</definedName>
    <definedName name="_xlnm._FilterDatabase" localSheetId="17" hidden="1">'Est Madre LK 10-25'!$A$5:$C$211</definedName>
    <definedName name="_xlnm._FilterDatabase" localSheetId="13" hidden="1">'Stock CD'!$A$3:$XEX$41</definedName>
    <definedName name="_xlnm._FilterDatabase" localSheetId="11" hidden="1">'Stock Prov. Serv.'!$A$2:$F$19</definedName>
    <definedName name="_xlnm._FilterDatabase" localSheetId="12" hidden="1">'Stock Taller'!$B$2:$J$21</definedName>
    <definedName name="ALCOHOL">#REF!</definedName>
    <definedName name="ALQ_LARRAZABAL">#REF!</definedName>
    <definedName name="ANHILINA">#REF!</definedName>
    <definedName name="_xlnm.Print_Area">#REF!</definedName>
    <definedName name="Atriles10x15">#REF!</definedName>
    <definedName name="Atriles13x18">#REF!</definedName>
    <definedName name="BuiltIn_Print_Area">#REF!</definedName>
    <definedName name="BuiltIn_Print_Area___0">#REF!</definedName>
    <definedName name="BuiltIn_Print_Titles">#REF!</definedName>
    <definedName name="BuiltIn_Print_Titles___0">#REF!</definedName>
    <definedName name="CAJAS">#REF!</definedName>
    <definedName name="CARTON">#REF!</definedName>
    <definedName name="CHAPA">#REF!</definedName>
    <definedName name="CHAPADUR">#REF!</definedName>
    <definedName name="COLA">#REF!</definedName>
    <definedName name="CONTADOR1">#REF!</definedName>
    <definedName name="CORCHO">#REF!</definedName>
    <definedName name="CORTE_LASER">#REF!</definedName>
    <definedName name="CRAYOVAC">#REF!</definedName>
    <definedName name="DIOXIDO">#REF!</definedName>
    <definedName name="DOLAR">#REF!</definedName>
    <definedName name="Dólar">#REF!</definedName>
    <definedName name="Estimado">#REF!</definedName>
    <definedName name="Gananc._Chef">#REF!</definedName>
    <definedName name="GOMALACA">#REF!</definedName>
    <definedName name="Griego10x15">#REF!</definedName>
    <definedName name="Griego13x18">#REF!</definedName>
    <definedName name="Griego15x21">#REF!</definedName>
    <definedName name="HORA">#REF!</definedName>
    <definedName name="IB_3">#REF!</definedName>
    <definedName name="IG_35">#REF!</definedName>
    <definedName name="LA_015">#REF!</definedName>
    <definedName name="LA_052">#REF!</definedName>
    <definedName name="LA_053">#REF!</definedName>
    <definedName name="LA_070">#REF!</definedName>
    <definedName name="LA_071">#REF!</definedName>
    <definedName name="LA_072">#REF!</definedName>
    <definedName name="LA_113">#REF!</definedName>
    <definedName name="LA_114">#REF!</definedName>
    <definedName name="LA_115">#REF!</definedName>
    <definedName name="LA_117">#REF!</definedName>
    <definedName name="LA_119">#REF!</definedName>
    <definedName name="LA_195">#REF!</definedName>
    <definedName name="LA_196">#REF!</definedName>
    <definedName name="LA_197">#REF!</definedName>
    <definedName name="LA_198">#REF!</definedName>
    <definedName name="LA_199">#REF!</definedName>
    <definedName name="LA_211">#REF!</definedName>
    <definedName name="LA_219">#REF!</definedName>
    <definedName name="LA_223">#REF!</definedName>
    <definedName name="LA_224">#REF!</definedName>
    <definedName name="LA_238">#REF!</definedName>
    <definedName name="LA_242">#REF!</definedName>
    <definedName name="LA_244">#REF!</definedName>
    <definedName name="LA_264">#REF!</definedName>
    <definedName name="LA_265">#REF!</definedName>
    <definedName name="LA_267">#REF!</definedName>
    <definedName name="LA_270">#REF!</definedName>
    <definedName name="LA_276">#REF!</definedName>
    <definedName name="LA_278">#REF!</definedName>
    <definedName name="LA_279">#REF!</definedName>
    <definedName name="LA_285">#REF!</definedName>
    <definedName name="LA_287">#REF!</definedName>
    <definedName name="LA_291">#REF!</definedName>
    <definedName name="LA_293">#REF!</definedName>
    <definedName name="LA_294">#REF!</definedName>
    <definedName name="LA_302">#REF!</definedName>
    <definedName name="LA_310">#REF!</definedName>
    <definedName name="LA_313">#REF!</definedName>
    <definedName name="LA_316">#REF!</definedName>
    <definedName name="LA_317">#REF!</definedName>
    <definedName name="LA_318">#REF!</definedName>
    <definedName name="LA_335">#REF!</definedName>
    <definedName name="LA_336">#REF!</definedName>
    <definedName name="LA_350">#REF!</definedName>
    <definedName name="LA_351">#REF!</definedName>
    <definedName name="LA_352">#REF!</definedName>
    <definedName name="LA_354">#REF!</definedName>
    <definedName name="LA_355">#REF!</definedName>
    <definedName name="LA_356">#REF!</definedName>
    <definedName name="LA_542">#REF!</definedName>
    <definedName name="LA_546">#REF!</definedName>
    <definedName name="LA_548">#REF!</definedName>
    <definedName name="LA_564">#REF!</definedName>
    <definedName name="LA_570">#REF!</definedName>
    <definedName name="LA_571">#REF!</definedName>
    <definedName name="LA_690">#REF!</definedName>
    <definedName name="LA_691">#REF!</definedName>
    <definedName name="LA_692">#REF!</definedName>
    <definedName name="LA_702">#REF!</definedName>
    <definedName name="LA_710">#REF!</definedName>
    <definedName name="LA_711">#REF!</definedName>
    <definedName name="LA_712">#REF!</definedName>
    <definedName name="LA_741">#REF!</definedName>
    <definedName name="LA_742">#REF!</definedName>
    <definedName name="LA_743">#REF!</definedName>
    <definedName name="LA_744">#REF!</definedName>
    <definedName name="LA_776">#REF!</definedName>
    <definedName name="LA_777">#REF!</definedName>
    <definedName name="LA_780">#REF!</definedName>
    <definedName name="LA_781">#REF!</definedName>
    <definedName name="LA_782">#REF!</definedName>
    <definedName name="LA_790">#REF!</definedName>
    <definedName name="LA_791">#REF!</definedName>
    <definedName name="LA_792">#REF!</definedName>
    <definedName name="LA_814">#REF!</definedName>
    <definedName name="LA_815">#REF!</definedName>
    <definedName name="LA_816">#REF!</definedName>
    <definedName name="LA_834">#REF!</definedName>
    <definedName name="LA_835">#REF!</definedName>
    <definedName name="LA_900">#REF!</definedName>
    <definedName name="LA_901">#REF!</definedName>
    <definedName name="LA_902">#REF!</definedName>
    <definedName name="LAMINAS">#REF!</definedName>
    <definedName name="LARRAZABAL">#REF!</definedName>
    <definedName name="lllll">#REF!</definedName>
    <definedName name="M03Blanco">#REF!</definedName>
    <definedName name="M03BlancoP">#REF!</definedName>
    <definedName name="M03Negro">#REF!</definedName>
    <definedName name="M237SOD_318">#REF!</definedName>
    <definedName name="MADERA">#REF!</definedName>
    <definedName name="MEDICINA">#REF!</definedName>
    <definedName name="MOLD_FORRADA">#REF!</definedName>
    <definedName name="Nacionaliz.">#REF!</definedName>
    <definedName name="NACIONALIZACION">#REF!</definedName>
    <definedName name="PANFLETOS">#REF!</definedName>
    <definedName name="PITON">#REF!</definedName>
    <definedName name="SEGUNDO">#REF!</definedName>
    <definedName name="SUBLIMACION">#REF!</definedName>
    <definedName name="SUELDO_ESNAOLA">#REF!</definedName>
    <definedName name="TIRADOR">#REF!</definedName>
    <definedName name="_xlnm.Print_Titles" localSheetId="13">'Stock CD'!$3:$3</definedName>
    <definedName name="VIDRIO">#REF!</definedName>
    <definedName name="wewerrwr">#REF!</definedName>
    <definedName name="WM_057">#REF!</definedName>
    <definedName name="WM_114">#REF!</definedName>
    <definedName name="WM_115">#REF!</definedName>
    <definedName name="WM_292">#REF!</definedName>
    <definedName name="WM_301">#REF!</definedName>
    <definedName name="WM_305">#REF!</definedName>
    <definedName name="WM_546">#REF!</definedName>
    <definedName name="WM_547">#REF!</definedName>
    <definedName name="WM_793">#REF!</definedName>
    <definedName name="WM_794">#REF!</definedName>
    <definedName name="WM_814">#REF!</definedName>
    <definedName name="WM_815">#REF!</definedName>
    <definedName name="WM_816">#REF!</definedName>
    <definedName name="WM_824">#REF!</definedName>
    <definedName name="WM_825">#REF!</definedName>
    <definedName name="WM_826">#REF!</definedName>
    <definedName name="WM_827">#REF!</definedName>
    <definedName name="WM_900">#REF!</definedName>
    <definedName name="WM_901">#REF!</definedName>
    <definedName name="WM_902">#REF!</definedName>
    <definedName name="WM_903">#REF!</definedName>
    <definedName name="WM_904">#REF!</definedName>
    <definedName name="WM_906">#REF!</definedName>
    <definedName name="WM_907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" i="37" l="1" a="1"/>
  <c r="C6" i="37" s="1"/>
  <c r="K71" i="25"/>
  <c r="T71" i="25"/>
  <c r="S71" i="25"/>
  <c r="P71" i="25"/>
  <c r="O71" i="25"/>
  <c r="N71" i="25"/>
  <c r="G4" i="44"/>
  <c r="Q71" i="25" l="1"/>
  <c r="A2" i="34"/>
  <c r="K66" i="25" l="1"/>
  <c r="D13" i="44"/>
  <c r="D2" i="39"/>
  <c r="A2" i="40"/>
  <c r="D2" i="41"/>
  <c r="D2" i="42"/>
  <c r="D2" i="43"/>
  <c r="D2" i="38"/>
  <c r="A2" i="37"/>
  <c r="D2" i="36"/>
  <c r="F78" i="4" l="1"/>
  <c r="AA55" i="25" s="1"/>
  <c r="AG55" i="25"/>
  <c r="AF55" i="25"/>
  <c r="K55" i="25"/>
  <c r="N55" i="25"/>
  <c r="O55" i="25"/>
  <c r="P55" i="25"/>
  <c r="S55" i="25"/>
  <c r="T55" i="25"/>
  <c r="AB55" i="25" l="1"/>
  <c r="J55" i="25"/>
  <c r="L55" i="25" s="1"/>
  <c r="Q55" i="25"/>
  <c r="U55" i="25" l="1"/>
  <c r="H55" i="25" s="1"/>
  <c r="G55" i="25"/>
  <c r="AE14" i="25" l="1"/>
  <c r="K15" i="25"/>
  <c r="K14" i="25"/>
  <c r="K81" i="25" l="1"/>
  <c r="G18" i="30" l="1"/>
  <c r="J48" i="31" l="1"/>
  <c r="K48" i="31" s="1"/>
  <c r="L48" i="31" s="1"/>
  <c r="J49" i="31"/>
  <c r="K49" i="31" s="1"/>
  <c r="L49" i="31" s="1"/>
  <c r="D49" i="31"/>
  <c r="D48" i="31"/>
  <c r="M48" i="31"/>
  <c r="M49" i="31"/>
  <c r="E48" i="31" l="1"/>
  <c r="E49" i="31"/>
  <c r="AG42" i="25"/>
  <c r="AF42" i="25"/>
  <c r="F76" i="4" l="1"/>
  <c r="F77" i="4"/>
  <c r="AA42" i="25" l="1"/>
  <c r="T42" i="25"/>
  <c r="S42" i="25"/>
  <c r="P42" i="25"/>
  <c r="O42" i="25"/>
  <c r="K42" i="25"/>
  <c r="AB42" i="25" l="1"/>
  <c r="J42" i="25"/>
  <c r="L42" i="25" s="1"/>
  <c r="G14" i="29"/>
  <c r="D4" i="29"/>
  <c r="H3" i="29"/>
  <c r="D3" i="29" s="1"/>
  <c r="F74" i="4"/>
  <c r="F75" i="4"/>
  <c r="AH47" i="25"/>
  <c r="G42" i="25" l="1"/>
  <c r="U42" i="25"/>
  <c r="D14" i="29"/>
  <c r="AD47" i="25"/>
  <c r="D47" i="31" l="1"/>
  <c r="D46" i="31"/>
  <c r="M46" i="31" l="1"/>
  <c r="M47" i="31"/>
  <c r="J46" i="31"/>
  <c r="K46" i="31" s="1"/>
  <c r="L46" i="31" s="1"/>
  <c r="J47" i="31"/>
  <c r="K47" i="31" s="1"/>
  <c r="L47" i="31" s="1"/>
  <c r="E47" i="31" l="1"/>
  <c r="E46" i="31"/>
  <c r="AG21" i="25"/>
  <c r="AH26" i="25" l="1"/>
  <c r="AA47" i="25"/>
  <c r="J47" i="25" s="1"/>
  <c r="AF47" i="25"/>
  <c r="AG47" i="25"/>
  <c r="T47" i="25"/>
  <c r="S47" i="25"/>
  <c r="P47" i="25"/>
  <c r="O47" i="25"/>
  <c r="N47" i="25"/>
  <c r="K47" i="25"/>
  <c r="L47" i="25" l="1"/>
  <c r="AC26" i="25"/>
  <c r="AF26" i="25"/>
  <c r="AG26" i="25"/>
  <c r="AB47" i="25"/>
  <c r="Q47" i="25"/>
  <c r="D45" i="31"/>
  <c r="D44" i="31"/>
  <c r="D43" i="31"/>
  <c r="D42" i="31"/>
  <c r="D41" i="31"/>
  <c r="D40" i="31"/>
  <c r="D39" i="31"/>
  <c r="D38" i="31"/>
  <c r="D37" i="31"/>
  <c r="D36" i="31"/>
  <c r="D35" i="31"/>
  <c r="D34" i="31"/>
  <c r="D33" i="31"/>
  <c r="D32" i="31"/>
  <c r="D31" i="31"/>
  <c r="D30" i="31"/>
  <c r="D29" i="31"/>
  <c r="D28" i="31"/>
  <c r="D27" i="31"/>
  <c r="D26" i="31"/>
  <c r="D25" i="31"/>
  <c r="D24" i="31"/>
  <c r="D23" i="31"/>
  <c r="D22" i="31"/>
  <c r="D21" i="31"/>
  <c r="D20" i="31"/>
  <c r="D19" i="31"/>
  <c r="D18" i="31"/>
  <c r="D17" i="31"/>
  <c r="D16" i="31"/>
  <c r="D15" i="31"/>
  <c r="D14" i="31"/>
  <c r="D13" i="31"/>
  <c r="D12" i="31"/>
  <c r="D11" i="31"/>
  <c r="D10" i="31"/>
  <c r="D9" i="31"/>
  <c r="D8" i="31"/>
  <c r="D7" i="31"/>
  <c r="D6" i="31"/>
  <c r="D5" i="31"/>
  <c r="D4" i="31"/>
  <c r="U47" i="25" l="1"/>
  <c r="H47" i="25" s="1"/>
  <c r="G47" i="25"/>
  <c r="S52" i="25" l="1"/>
  <c r="S11" i="25"/>
  <c r="G5" i="30"/>
  <c r="T53" i="25"/>
  <c r="T11" i="25"/>
  <c r="M45" i="31" l="1"/>
  <c r="M44" i="31"/>
  <c r="M43" i="31"/>
  <c r="M42" i="31"/>
  <c r="M41" i="31"/>
  <c r="M40" i="31"/>
  <c r="M39" i="31"/>
  <c r="M38" i="31"/>
  <c r="M37" i="31"/>
  <c r="M36" i="31"/>
  <c r="M35" i="31"/>
  <c r="M34" i="31"/>
  <c r="M33" i="31"/>
  <c r="M32" i="31"/>
  <c r="M31" i="31"/>
  <c r="M30" i="31"/>
  <c r="M29" i="31"/>
  <c r="M28" i="31"/>
  <c r="M27" i="31"/>
  <c r="M26" i="31"/>
  <c r="M25" i="31"/>
  <c r="M24" i="31"/>
  <c r="M23" i="31"/>
  <c r="M22" i="31"/>
  <c r="M21" i="31"/>
  <c r="M20" i="31"/>
  <c r="M19" i="31"/>
  <c r="M18" i="31"/>
  <c r="M17" i="31"/>
  <c r="M16" i="31"/>
  <c r="M15" i="31"/>
  <c r="M14" i="31"/>
  <c r="M13" i="31"/>
  <c r="M12" i="31"/>
  <c r="M11" i="31"/>
  <c r="M10" i="31"/>
  <c r="M9" i="31"/>
  <c r="M8" i="31"/>
  <c r="M7" i="31"/>
  <c r="M6" i="31"/>
  <c r="M5" i="31"/>
  <c r="M4" i="31"/>
  <c r="AG11" i="25"/>
  <c r="P53" i="25" l="1"/>
  <c r="P11" i="25"/>
  <c r="J35" i="31"/>
  <c r="K35" i="31" s="1"/>
  <c r="T66" i="25" s="1"/>
  <c r="J36" i="31"/>
  <c r="E36" i="31" s="1"/>
  <c r="J37" i="31"/>
  <c r="K37" i="31" s="1"/>
  <c r="L37" i="31" s="1"/>
  <c r="J38" i="31"/>
  <c r="K38" i="31" s="1"/>
  <c r="J39" i="31"/>
  <c r="E39" i="31" s="1"/>
  <c r="J40" i="31"/>
  <c r="E40" i="31" s="1"/>
  <c r="J41" i="31"/>
  <c r="K41" i="31" s="1"/>
  <c r="L41" i="31" s="1"/>
  <c r="J42" i="31"/>
  <c r="K42" i="31" s="1"/>
  <c r="J43" i="31"/>
  <c r="E43" i="31" s="1"/>
  <c r="J44" i="31"/>
  <c r="K44" i="31" s="1"/>
  <c r="L44" i="31" s="1"/>
  <c r="J45" i="31"/>
  <c r="K45" i="31" s="1"/>
  <c r="T27" i="25" s="1"/>
  <c r="J31" i="31"/>
  <c r="K31" i="31" s="1"/>
  <c r="J32" i="31"/>
  <c r="K32" i="31" s="1"/>
  <c r="L32" i="31" s="1"/>
  <c r="J33" i="31"/>
  <c r="K33" i="31" s="1"/>
  <c r="J34" i="31"/>
  <c r="K34" i="31" s="1"/>
  <c r="L34" i="31" s="1"/>
  <c r="J30" i="31"/>
  <c r="E30" i="31" s="1"/>
  <c r="J29" i="31"/>
  <c r="E29" i="31" s="1"/>
  <c r="J28" i="31"/>
  <c r="E28" i="31" s="1"/>
  <c r="J27" i="31"/>
  <c r="E27" i="31" s="1"/>
  <c r="J26" i="31"/>
  <c r="E26" i="31" s="1"/>
  <c r="J25" i="31"/>
  <c r="E25" i="31" s="1"/>
  <c r="J24" i="31"/>
  <c r="E24" i="31" s="1"/>
  <c r="J23" i="31"/>
  <c r="E23" i="31" s="1"/>
  <c r="J22" i="31"/>
  <c r="E22" i="31" s="1"/>
  <c r="J21" i="31"/>
  <c r="E21" i="31" s="1"/>
  <c r="J20" i="31"/>
  <c r="E20" i="31" s="1"/>
  <c r="J19" i="31"/>
  <c r="E19" i="31" s="1"/>
  <c r="J18" i="31"/>
  <c r="E18" i="31" s="1"/>
  <c r="J17" i="31"/>
  <c r="E17" i="31" s="1"/>
  <c r="J16" i="31"/>
  <c r="E16" i="31" s="1"/>
  <c r="J15" i="31"/>
  <c r="E15" i="31" s="1"/>
  <c r="J14" i="31"/>
  <c r="E14" i="31" s="1"/>
  <c r="J13" i="31"/>
  <c r="E13" i="31" s="1"/>
  <c r="J12" i="31"/>
  <c r="E12" i="31" s="1"/>
  <c r="J11" i="31"/>
  <c r="E11" i="31" s="1"/>
  <c r="J10" i="31"/>
  <c r="E10" i="31" s="1"/>
  <c r="J9" i="31"/>
  <c r="E9" i="31" s="1"/>
  <c r="J8" i="31"/>
  <c r="E8" i="31" s="1"/>
  <c r="J7" i="31"/>
  <c r="E7" i="31" s="1"/>
  <c r="J6" i="31"/>
  <c r="E6" i="31" s="1"/>
  <c r="J5" i="31"/>
  <c r="E5" i="31" s="1"/>
  <c r="J4" i="31"/>
  <c r="E4" i="31" s="1"/>
  <c r="P52" i="25" l="1"/>
  <c r="P20" i="25"/>
  <c r="K40" i="31"/>
  <c r="T37" i="25" s="1"/>
  <c r="E33" i="31"/>
  <c r="E34" i="31"/>
  <c r="T56" i="25"/>
  <c r="K36" i="31"/>
  <c r="T32" i="25" s="1"/>
  <c r="P13" i="25"/>
  <c r="T54" i="25"/>
  <c r="P15" i="25"/>
  <c r="P61" i="25"/>
  <c r="P21" i="25"/>
  <c r="P12" i="25"/>
  <c r="P14" i="25"/>
  <c r="L33" i="31"/>
  <c r="L42" i="31"/>
  <c r="L38" i="31"/>
  <c r="L31" i="31"/>
  <c r="L35" i="31"/>
  <c r="E31" i="31"/>
  <c r="E37" i="31"/>
  <c r="P32" i="25" s="1"/>
  <c r="E41" i="31"/>
  <c r="P37" i="25" s="1"/>
  <c r="K43" i="31"/>
  <c r="L43" i="31" s="1"/>
  <c r="K39" i="31"/>
  <c r="L39" i="31" s="1"/>
  <c r="E44" i="31"/>
  <c r="E32" i="31"/>
  <c r="E38" i="31"/>
  <c r="P80" i="25" s="1"/>
  <c r="E42" i="31"/>
  <c r="L45" i="31"/>
  <c r="E35" i="31"/>
  <c r="P66" i="25" s="1"/>
  <c r="E45" i="31"/>
  <c r="P27" i="25" s="1"/>
  <c r="K8" i="31"/>
  <c r="L8" i="31" s="1"/>
  <c r="K26" i="31"/>
  <c r="L26" i="31" s="1"/>
  <c r="K14" i="31"/>
  <c r="K12" i="31"/>
  <c r="K20" i="31"/>
  <c r="K18" i="31"/>
  <c r="L18" i="31" s="1"/>
  <c r="K6" i="31"/>
  <c r="K24" i="31"/>
  <c r="L24" i="31" s="1"/>
  <c r="K13" i="31"/>
  <c r="K25" i="31"/>
  <c r="L25" i="31" s="1"/>
  <c r="K7" i="31"/>
  <c r="K19" i="31"/>
  <c r="K4" i="31"/>
  <c r="K5" i="31"/>
  <c r="K15" i="31"/>
  <c r="K16" i="31"/>
  <c r="L16" i="31" s="1"/>
  <c r="K17" i="31"/>
  <c r="K27" i="31"/>
  <c r="L27" i="31" s="1"/>
  <c r="K28" i="31"/>
  <c r="L28" i="31" s="1"/>
  <c r="K29" i="31"/>
  <c r="K30" i="31"/>
  <c r="L30" i="31" s="1"/>
  <c r="K9" i="31"/>
  <c r="K10" i="31"/>
  <c r="K11" i="31"/>
  <c r="L11" i="31" s="1"/>
  <c r="K21" i="31"/>
  <c r="K22" i="31"/>
  <c r="L22" i="31" s="1"/>
  <c r="K23" i="31"/>
  <c r="T12" i="25" l="1"/>
  <c r="P26" i="25"/>
  <c r="L40" i="31"/>
  <c r="P56" i="25"/>
  <c r="T13" i="25"/>
  <c r="T21" i="25"/>
  <c r="T15" i="25"/>
  <c r="L36" i="31"/>
  <c r="T80" i="25"/>
  <c r="T52" i="25"/>
  <c r="T61" i="25"/>
  <c r="P54" i="25"/>
  <c r="T20" i="25"/>
  <c r="T14" i="25"/>
  <c r="T26" i="25"/>
  <c r="L21" i="31"/>
  <c r="L4" i="31"/>
  <c r="L19" i="31"/>
  <c r="L10" i="31"/>
  <c r="L23" i="31"/>
  <c r="L17" i="31"/>
  <c r="L15" i="31"/>
  <c r="L20" i="31"/>
  <c r="L14" i="31"/>
  <c r="L5" i="31"/>
  <c r="L13" i="31"/>
  <c r="L29" i="31"/>
  <c r="L6" i="31"/>
  <c r="L12" i="31"/>
  <c r="L7" i="31"/>
  <c r="L9" i="31"/>
  <c r="O80" i="25" l="1"/>
  <c r="O32" i="25"/>
  <c r="O37" i="25"/>
  <c r="O27" i="25"/>
  <c r="O26" i="25"/>
  <c r="O21" i="25"/>
  <c r="O20" i="25"/>
  <c r="O66" i="25"/>
  <c r="O61" i="25"/>
  <c r="O53" i="25"/>
  <c r="O56" i="25"/>
  <c r="O54" i="25"/>
  <c r="O52" i="25"/>
  <c r="O15" i="25"/>
  <c r="O14" i="25"/>
  <c r="O13" i="25"/>
  <c r="O12" i="25"/>
  <c r="O11" i="25"/>
  <c r="N80" i="25"/>
  <c r="N32" i="25"/>
  <c r="N27" i="25"/>
  <c r="N26" i="25"/>
  <c r="N66" i="25"/>
  <c r="N56" i="25"/>
  <c r="N11" i="25"/>
  <c r="D19" i="29"/>
  <c r="N15" i="25" s="1"/>
  <c r="D18" i="29"/>
  <c r="N14" i="25" s="1"/>
  <c r="D17" i="29"/>
  <c r="N21" i="25" s="1"/>
  <c r="D16" i="29"/>
  <c r="N54" i="25" s="1"/>
  <c r="D15" i="29"/>
  <c r="N20" i="25" s="1"/>
  <c r="D13" i="29"/>
  <c r="N61" i="25" s="1"/>
  <c r="D12" i="29"/>
  <c r="N53" i="25" s="1"/>
  <c r="D11" i="29"/>
  <c r="N13" i="25" s="1"/>
  <c r="D10" i="29"/>
  <c r="N12" i="25" s="1"/>
  <c r="D9" i="29"/>
  <c r="N52" i="25" s="1"/>
  <c r="D8" i="29"/>
  <c r="D7" i="29"/>
  <c r="D6" i="29"/>
  <c r="N42" i="25" s="1"/>
  <c r="Q42" i="25" s="1"/>
  <c r="H42" i="25" s="1"/>
  <c r="D5" i="29"/>
  <c r="N37" i="25" s="1"/>
  <c r="J21" i="30"/>
  <c r="G21" i="30" s="1"/>
  <c r="S56" i="25" s="1"/>
  <c r="H6" i="30"/>
  <c r="G6" i="30" s="1"/>
  <c r="H20" i="30"/>
  <c r="G20" i="30" s="1"/>
  <c r="S80" i="25" s="1"/>
  <c r="H17" i="30"/>
  <c r="G17" i="30" s="1"/>
  <c r="S26" i="25" s="1"/>
  <c r="H16" i="30"/>
  <c r="G16" i="30" s="1"/>
  <c r="S66" i="25" s="1"/>
  <c r="H15" i="30"/>
  <c r="G15" i="30" s="1"/>
  <c r="S61" i="25" s="1"/>
  <c r="H14" i="30"/>
  <c r="G14" i="30" s="1"/>
  <c r="S53" i="25" s="1"/>
  <c r="H13" i="30"/>
  <c r="G13" i="30" s="1"/>
  <c r="S15" i="25" s="1"/>
  <c r="H12" i="30"/>
  <c r="G12" i="30" s="1"/>
  <c r="S14" i="25" s="1"/>
  <c r="H11" i="30"/>
  <c r="G11" i="30" s="1"/>
  <c r="S21" i="25" s="1"/>
  <c r="H10" i="30"/>
  <c r="G10" i="30" s="1"/>
  <c r="S54" i="25" s="1"/>
  <c r="H9" i="30"/>
  <c r="G9" i="30" s="1"/>
  <c r="S20" i="25" s="1"/>
  <c r="H8" i="30"/>
  <c r="G8" i="30" s="1"/>
  <c r="S13" i="25" s="1"/>
  <c r="H7" i="30"/>
  <c r="I4" i="30"/>
  <c r="J4" i="30"/>
  <c r="G4" i="30" s="1"/>
  <c r="S37" i="25" s="1"/>
  <c r="J7" i="30" l="1"/>
  <c r="G7" i="30" s="1"/>
  <c r="S12" i="25" s="1"/>
  <c r="J3" i="30"/>
  <c r="G3" i="30" s="1"/>
  <c r="S32" i="25" s="1"/>
  <c r="I6" i="29" l="1"/>
  <c r="I4" i="29"/>
  <c r="F73" i="4" l="1"/>
  <c r="AA66" i="25" s="1"/>
  <c r="F72" i="4"/>
  <c r="F71" i="4"/>
  <c r="F70" i="4"/>
  <c r="Q66" i="25" l="1"/>
  <c r="Y80" i="25"/>
  <c r="K26" i="25"/>
  <c r="K21" i="25"/>
  <c r="K20" i="25"/>
  <c r="K61" i="25"/>
  <c r="K53" i="25"/>
  <c r="K56" i="25"/>
  <c r="K54" i="25"/>
  <c r="K52" i="25"/>
  <c r="K13" i="25"/>
  <c r="K12" i="25"/>
  <c r="K11" i="25"/>
  <c r="AH27" i="25"/>
  <c r="AB66" i="25" l="1"/>
  <c r="J66" i="25"/>
  <c r="AF27" i="25"/>
  <c r="AG27" i="25"/>
  <c r="AC27" i="25"/>
  <c r="K27" i="25" s="1"/>
  <c r="Q27" i="25" s="1"/>
  <c r="H19" i="30"/>
  <c r="G19" i="30" s="1"/>
  <c r="S27" i="25" s="1"/>
  <c r="Q11" i="25"/>
  <c r="AA26" i="25"/>
  <c r="AA27" i="25"/>
  <c r="Q26" i="25"/>
  <c r="U66" i="25" l="1"/>
  <c r="H66" i="25" s="1"/>
  <c r="L66" i="25"/>
  <c r="AB27" i="25"/>
  <c r="J27" i="25"/>
  <c r="L27" i="25" s="1"/>
  <c r="AB26" i="25"/>
  <c r="J26" i="25"/>
  <c r="L26" i="25" s="1"/>
  <c r="G66" i="25"/>
  <c r="U27" i="25" l="1"/>
  <c r="H27" i="25" s="1"/>
  <c r="U26" i="25"/>
  <c r="H26" i="25" s="1"/>
  <c r="G26" i="25"/>
  <c r="G27" i="25"/>
  <c r="AE37" i="25"/>
  <c r="AC37" i="25"/>
  <c r="AD37" i="25"/>
  <c r="Y84" i="25"/>
  <c r="Y83" i="25"/>
  <c r="Y82" i="25"/>
  <c r="Y81" i="25"/>
  <c r="AF80" i="25"/>
  <c r="AG80" i="25"/>
  <c r="Q80" i="25"/>
  <c r="AE32" i="25"/>
  <c r="AD32" i="25"/>
  <c r="AC32" i="25"/>
  <c r="AF71" i="25"/>
  <c r="AG71" i="25"/>
  <c r="AF21" i="25"/>
  <c r="Q21" i="25"/>
  <c r="AF20" i="25"/>
  <c r="AG20" i="25"/>
  <c r="Q20" i="25"/>
  <c r="AE61" i="25"/>
  <c r="AF61" i="25"/>
  <c r="Q61" i="25"/>
  <c r="AF53" i="25"/>
  <c r="AE53" i="25"/>
  <c r="AG53" i="25" s="1"/>
  <c r="Q53" i="25"/>
  <c r="AF56" i="25"/>
  <c r="AG56" i="25"/>
  <c r="Q56" i="25"/>
  <c r="AF54" i="25"/>
  <c r="Q54" i="25"/>
  <c r="AF52" i="25"/>
  <c r="Q52" i="25"/>
  <c r="AE15" i="25"/>
  <c r="AD15" i="25"/>
  <c r="AD14" i="25"/>
  <c r="AF13" i="25"/>
  <c r="AG13" i="25"/>
  <c r="Q13" i="25"/>
  <c r="AF12" i="25"/>
  <c r="AG12" i="25"/>
  <c r="Q12" i="25"/>
  <c r="AF11" i="25"/>
  <c r="AA11" i="25"/>
  <c r="AB11" i="25" l="1"/>
  <c r="J11" i="25"/>
  <c r="G11" i="25" s="1"/>
  <c r="K32" i="25"/>
  <c r="K37" i="25"/>
  <c r="AG54" i="25"/>
  <c r="AG52" i="25"/>
  <c r="L11" i="25" l="1"/>
  <c r="Q37" i="25"/>
  <c r="Q32" i="25"/>
  <c r="U11" i="25"/>
  <c r="H11" i="25" s="1"/>
  <c r="F68" i="4" l="1"/>
  <c r="F69" i="4"/>
  <c r="AA80" i="25" l="1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AA61" i="25" l="1"/>
  <c r="J61" i="25" s="1"/>
  <c r="L61" i="25" s="1"/>
  <c r="AA71" i="25"/>
  <c r="J71" i="25" s="1"/>
  <c r="AA12" i="25"/>
  <c r="J12" i="25" s="1"/>
  <c r="AA84" i="25"/>
  <c r="J84" i="25" s="1"/>
  <c r="AA15" i="25"/>
  <c r="AA32" i="25"/>
  <c r="J32" i="25" s="1"/>
  <c r="L32" i="25" s="1"/>
  <c r="AA81" i="25"/>
  <c r="J81" i="25" s="1"/>
  <c r="AA52" i="25"/>
  <c r="J52" i="25" s="1"/>
  <c r="L52" i="25" s="1"/>
  <c r="AA83" i="25"/>
  <c r="J83" i="25" s="1"/>
  <c r="AB80" i="25"/>
  <c r="J80" i="25"/>
  <c r="G80" i="25" s="1"/>
  <c r="K80" i="25" s="1"/>
  <c r="AA54" i="25"/>
  <c r="J54" i="25" s="1"/>
  <c r="L54" i="25" s="1"/>
  <c r="AA82" i="25"/>
  <c r="J82" i="25" s="1"/>
  <c r="AA14" i="25"/>
  <c r="AA13" i="25"/>
  <c r="J13" i="25" s="1"/>
  <c r="AA21" i="25"/>
  <c r="J21" i="25" s="1"/>
  <c r="AA56" i="25"/>
  <c r="J56" i="25" s="1"/>
  <c r="L56" i="25" s="1"/>
  <c r="AA37" i="25"/>
  <c r="AA20" i="25"/>
  <c r="J20" i="25" s="1"/>
  <c r="G71" i="25" l="1"/>
  <c r="L71" i="25"/>
  <c r="U71" i="25"/>
  <c r="H71" i="25" s="1"/>
  <c r="AB37" i="25"/>
  <c r="J37" i="25"/>
  <c r="L37" i="25" s="1"/>
  <c r="L12" i="25"/>
  <c r="U80" i="25"/>
  <c r="H80" i="25" s="1"/>
  <c r="AB20" i="25"/>
  <c r="AB13" i="25"/>
  <c r="L13" i="25"/>
  <c r="G82" i="25"/>
  <c r="K82" i="25" s="1"/>
  <c r="AB54" i="25"/>
  <c r="G83" i="25"/>
  <c r="K83" i="25" s="1"/>
  <c r="AB61" i="25"/>
  <c r="AB15" i="25"/>
  <c r="J15" i="25" s="1"/>
  <c r="L15" i="25" s="1"/>
  <c r="AB12" i="25"/>
  <c r="AB56" i="25"/>
  <c r="L21" i="25"/>
  <c r="AB21" i="25"/>
  <c r="AB14" i="25"/>
  <c r="J14" i="25" s="1"/>
  <c r="L14" i="25" s="1"/>
  <c r="AB52" i="25"/>
  <c r="AB32" i="25"/>
  <c r="G84" i="25"/>
  <c r="K84" i="25" s="1"/>
  <c r="L20" i="25" l="1"/>
  <c r="G32" i="25"/>
  <c r="G56" i="25"/>
  <c r="G12" i="25"/>
  <c r="G54" i="25"/>
  <c r="G13" i="25"/>
  <c r="G37" i="25"/>
  <c r="G52" i="25"/>
  <c r="G21" i="25"/>
  <c r="G61" i="25"/>
  <c r="U20" i="25"/>
  <c r="H20" i="25" s="1"/>
  <c r="G20" i="25"/>
  <c r="U32" i="25"/>
  <c r="H32" i="25" s="1"/>
  <c r="U12" i="25"/>
  <c r="H12" i="25" s="1"/>
  <c r="U15" i="25"/>
  <c r="U37" i="25"/>
  <c r="H37" i="25" s="1"/>
  <c r="U21" i="25"/>
  <c r="H21" i="25" s="1"/>
  <c r="U14" i="25"/>
  <c r="U56" i="25"/>
  <c r="H56" i="25" s="1"/>
  <c r="U54" i="25"/>
  <c r="H54" i="25" s="1"/>
  <c r="U13" i="25"/>
  <c r="H13" i="25" s="1"/>
  <c r="U52" i="25"/>
  <c r="H52" i="25" s="1"/>
  <c r="U61" i="25"/>
  <c r="H61" i="25" s="1"/>
  <c r="F2" i="4"/>
  <c r="AA53" i="25" l="1"/>
  <c r="J53" i="25" s="1"/>
  <c r="L53" i="25" s="1"/>
  <c r="AB53" i="25" l="1"/>
  <c r="G53" i="25" l="1"/>
  <c r="U53" i="25"/>
  <c r="H53" i="25" s="1"/>
  <c r="AE11" i="25" l="1"/>
  <c r="G14" i="25"/>
  <c r="Q14" i="25"/>
  <c r="H14" i="25" s="1"/>
  <c r="G15" i="25"/>
  <c r="Q15" i="25"/>
  <c r="H15" i="25" s="1"/>
  <c r="AB71" i="2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Logistica1</author>
    <author>Pablo Martos</author>
    <author>Pagos</author>
  </authors>
  <commentList>
    <comment ref="AF14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Corresponde a 1 caja
</t>
        </r>
      </text>
    </comment>
    <comment ref="AD47" authorId="1" shapeId="0" xr:uid="{00000000-0006-0000-0B00-000002000000}">
      <text>
        <r>
          <rPr>
            <b/>
            <sz val="9"/>
            <color indexed="81"/>
            <rFont val="Tahoma"/>
            <family val="2"/>
          </rPr>
          <t>Pablo Martos:</t>
        </r>
        <r>
          <rPr>
            <sz val="9"/>
            <color indexed="81"/>
            <rFont val="Tahoma"/>
            <family val="2"/>
          </rPr>
          <t xml:space="preserve">
Pedido minimo equivalente a $600.000
</t>
        </r>
      </text>
    </comment>
    <comment ref="AC66" authorId="2" shapeId="0" xr:uid="{00000000-0006-0000-0B00-000003000000}">
      <text>
        <r>
          <rPr>
            <b/>
            <sz val="9"/>
            <color indexed="81"/>
            <rFont val="Tahoma"/>
            <family val="2"/>
          </rPr>
          <t>Pagos:</t>
        </r>
        <r>
          <rPr>
            <sz val="9"/>
            <color indexed="81"/>
            <rFont val="Tahoma"/>
            <family val="2"/>
          </rPr>
          <t xml:space="preserve">
Cantidad de unidades que salen en un rollo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Recepción</author>
    <author>Logistica2</author>
  </authors>
  <commentList>
    <comment ref="B17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Logistica2:
Articulos Nuevos 
Stock Maximo Puesto a Ojo VERIFICAR cuando haya ventas reales</t>
        </r>
      </text>
    </comment>
    <comment ref="B18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Logistica2:
Articulos Nuevos 
Stock Maximo Puesto a Ojo VERIFICAR cuando haya ventas reales</t>
        </r>
      </text>
    </comment>
    <comment ref="B26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Logistica2:
Articulos Nuevos 
Stock Maximo Puesto a Ojo VERIFICAR cuando haya ventas reales</t>
        </r>
      </text>
    </comment>
    <comment ref="B27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Logistica2:
Articulos Nuevos 
Stock Maximo Puesto a Ojo VERIFICAR cuando haya ventas reales</t>
        </r>
      </text>
    </comment>
    <comment ref="B28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Logistica2:
Articulos Nuevos 
Stock Maximo Puesto a Ojo VERIFICAR cuando haya ventas reales</t>
        </r>
      </text>
    </comment>
    <comment ref="B53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Logistica2:
Articulos Nuevos 
Stock Maximo Puesto a Ojo VERIFICAR cuando haya ventas reales</t>
        </r>
      </text>
    </comment>
    <comment ref="B55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Logistica2:
Articulos Nuevos 
Stock Maximo Puesto a Ojo VERIFICAR cuando haya ventas reales</t>
        </r>
      </text>
    </comment>
    <comment ref="B74" authorId="1" shapeId="0" xr:uid="{00000000-0006-0000-1200-00000800000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</t>
        </r>
      </text>
    </comment>
    <comment ref="B115" authorId="1" shapeId="0" xr:uid="{00000000-0006-0000-1200-00000900000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</t>
        </r>
      </text>
    </comment>
    <comment ref="B151" authorId="1" shapeId="0" xr:uid="{00000000-0006-0000-1200-00000A00000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al 7/3 no hay stock
</t>
        </r>
      </text>
    </comment>
    <comment ref="B156" authorId="1" shapeId="0" xr:uid="{00000000-0006-0000-1200-00000B00000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al 7/3 no hay stock
</t>
        </r>
      </text>
    </comment>
    <comment ref="B166" authorId="1" shapeId="0" xr:uid="{00000000-0006-0000-1200-00000C00000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no se importa mas este art se fabrica nacional</t>
        </r>
      </text>
    </comment>
    <comment ref="B170" authorId="1" shapeId="0" xr:uid="{00000000-0006-0000-1200-00000D00000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Se usa el 544 nacional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Logistica2</author>
  </authors>
  <commentList>
    <comment ref="B8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16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
</t>
        </r>
      </text>
    </comment>
    <comment ref="B17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18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20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24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26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27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42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53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55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57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58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90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118" authorId="0" shapeId="0" xr:uid="{00000000-0006-0000-1300-00000F00000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119" authorId="0" shapeId="0" xr:uid="{00000000-0006-0000-1300-00001000000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<sst xmlns="http://schemas.openxmlformats.org/spreadsheetml/2006/main" count="1539" uniqueCount="558">
  <si>
    <t>Sector</t>
  </si>
  <si>
    <t>Prov</t>
  </si>
  <si>
    <t>Descripcion</t>
  </si>
  <si>
    <t>Cons x Mes</t>
  </si>
  <si>
    <t>Uni Sueltas</t>
  </si>
  <si>
    <t>Stock Total</t>
  </si>
  <si>
    <t>BOM2</t>
  </si>
  <si>
    <t>Giser</t>
  </si>
  <si>
    <t>BOM3</t>
  </si>
  <si>
    <t>Aluher</t>
  </si>
  <si>
    <t>Caño Alum Bombilla p/ Anodizar</t>
  </si>
  <si>
    <t>BOM4</t>
  </si>
  <si>
    <t>Resorte Charcas</t>
  </si>
  <si>
    <t>Resorte p/ Bombilla Autolimp.</t>
  </si>
  <si>
    <t>BOM5</t>
  </si>
  <si>
    <t>Buje Bombilla Bronce</t>
  </si>
  <si>
    <t>BOM6</t>
  </si>
  <si>
    <t>Adorno Bombilla Bronce</t>
  </si>
  <si>
    <t>BOM7</t>
  </si>
  <si>
    <t>Resorte p/ Bombilla Crudo</t>
  </si>
  <si>
    <t>BOM8</t>
  </si>
  <si>
    <t>Roosvelt</t>
  </si>
  <si>
    <t>Resorte p/ Bombilla Niq</t>
  </si>
  <si>
    <t>BOM9</t>
  </si>
  <si>
    <t>Cañito Pincel  Pastelero</t>
  </si>
  <si>
    <t>BOM11</t>
  </si>
  <si>
    <t>Tapita Aluminio</t>
  </si>
  <si>
    <t>BOM12</t>
  </si>
  <si>
    <t>Caño Inox 140 mm</t>
  </si>
  <si>
    <t>BOM14</t>
  </si>
  <si>
    <t>Caño Inox 170 mm</t>
  </si>
  <si>
    <t>Raspa y Cia</t>
  </si>
  <si>
    <t>Cerda P/Pincel Pastelero</t>
  </si>
  <si>
    <t>Metalurg Eclipse</t>
  </si>
  <si>
    <t>Enrulador Largo</t>
  </si>
  <si>
    <t>Enrulador Corto</t>
  </si>
  <si>
    <t>BOM10</t>
  </si>
  <si>
    <t>Resortes Charcas</t>
  </si>
  <si>
    <t>Resorte Biconico</t>
  </si>
  <si>
    <t>Resorte Batidor Pera</t>
  </si>
  <si>
    <t>Resorte Conico Cuchara Helado</t>
  </si>
  <si>
    <t>Vastago Pisapapa</t>
  </si>
  <si>
    <t xml:space="preserve">Pelador Mgo Plastico     </t>
  </si>
  <si>
    <t xml:space="preserve">Pelador Mgo Metalico     </t>
  </si>
  <si>
    <t xml:space="preserve">Abrelatas Uña            </t>
  </si>
  <si>
    <t xml:space="preserve">Pelapapas Mgo Ergonomico </t>
  </si>
  <si>
    <t xml:space="preserve">Filtro De Cafe           </t>
  </si>
  <si>
    <t xml:space="preserve">Afila Cuchillos          </t>
  </si>
  <si>
    <t xml:space="preserve">Abrelatas A Manija       </t>
  </si>
  <si>
    <t>435E</t>
  </si>
  <si>
    <t xml:space="preserve">Colador Acero Inox 10 Cm </t>
  </si>
  <si>
    <t xml:space="preserve">Corta Queso              </t>
  </si>
  <si>
    <t xml:space="preserve">Rallador Cilindrico      </t>
  </si>
  <si>
    <t xml:space="preserve">Colador N°8              </t>
  </si>
  <si>
    <t xml:space="preserve">Batidor Pera Alambre     </t>
  </si>
  <si>
    <t xml:space="preserve">Abrelatas A Mariposa     </t>
  </si>
  <si>
    <t xml:space="preserve">Colador N°10             </t>
  </si>
  <si>
    <t xml:space="preserve">Espatula Repostera Plast </t>
  </si>
  <si>
    <t>Sacacorcho Tipo Mozo Color</t>
  </si>
  <si>
    <t xml:space="preserve">Pisa Papas Acero Inox    </t>
  </si>
  <si>
    <t>Pelapapas Cuchilla Corte Laser</t>
  </si>
  <si>
    <t>Abrelata Uña Cromado</t>
  </si>
  <si>
    <t xml:space="preserve">Sacacorcho Doble Aleta   </t>
  </si>
  <si>
    <t>502E</t>
  </si>
  <si>
    <t xml:space="preserve">Abrelata Mariposa        </t>
  </si>
  <si>
    <t xml:space="preserve">Abrelata Uña Pie Color   </t>
  </si>
  <si>
    <t>Filtro De Cafe Gastronomi</t>
  </si>
  <si>
    <t>Sacacorcho Combinado Crom</t>
  </si>
  <si>
    <t>Sacacorcho Tipo Mozo Crom</t>
  </si>
  <si>
    <t>529E</t>
  </si>
  <si>
    <t xml:space="preserve">Sacacorcho Doble Impulso </t>
  </si>
  <si>
    <t>Sacacorcho Cabo Madera</t>
  </si>
  <si>
    <t>478E</t>
  </si>
  <si>
    <t>Tapon De Vino/Cerv X1  Negro</t>
  </si>
  <si>
    <t>Sacacorcho Combinado Color</t>
  </si>
  <si>
    <t>Sacacorcho Cabo De Madera</t>
  </si>
  <si>
    <t>Cuchara Madera 35 Cm X 12</t>
  </si>
  <si>
    <t>Bombilla Resorte Tradicio</t>
  </si>
  <si>
    <t xml:space="preserve">Bombilla Resorte Chata   </t>
  </si>
  <si>
    <t>Destapa Corona X1 Cromado</t>
  </si>
  <si>
    <t>Tapon De Vino/Cerveza Premium</t>
  </si>
  <si>
    <t xml:space="preserve">Cepillo Limpia Bombilla  </t>
  </si>
  <si>
    <t xml:space="preserve">Corta Ravioles           </t>
  </si>
  <si>
    <t xml:space="preserve">Rompenueces              </t>
  </si>
  <si>
    <t>Cuchara De Cocina 33 Cm X 12</t>
  </si>
  <si>
    <t>Bombilla Autolimpiante In</t>
  </si>
  <si>
    <t>Manga Repostera + 4 Boqui</t>
  </si>
  <si>
    <t xml:space="preserve">Ñoquera Madera           </t>
  </si>
  <si>
    <t xml:space="preserve">Destapador Pie Color     </t>
  </si>
  <si>
    <t xml:space="preserve">Destapacorona Suelto     </t>
  </si>
  <si>
    <t>Abrelata Mariposa Plastic</t>
  </si>
  <si>
    <t>Cepillo Limpia Vaso Mamad</t>
  </si>
  <si>
    <t>Tapon De Vino/Cerv X 1 Color</t>
  </si>
  <si>
    <t xml:space="preserve">Filtro Para Bombillas    </t>
  </si>
  <si>
    <t>Destapador Pie Cromado</t>
  </si>
  <si>
    <t xml:space="preserve">Sacafuente Gastronomico  </t>
  </si>
  <si>
    <t xml:space="preserve">Bate Bife Madera         </t>
  </si>
  <si>
    <t xml:space="preserve">Pinza De Hielo           </t>
  </si>
  <si>
    <t>Cuchara Madera 30 Cm X 12</t>
  </si>
  <si>
    <t xml:space="preserve">Ahueca Papas             </t>
  </si>
  <si>
    <t xml:space="preserve">Cucharon Nylon 1 Pza     </t>
  </si>
  <si>
    <t>Descorazonador De Manzana</t>
  </si>
  <si>
    <t>Corta Pizza Mgo 6cm</t>
  </si>
  <si>
    <t xml:space="preserve">Pinza Chica              </t>
  </si>
  <si>
    <t>Pinza De Fideos Mgo Plast X 12</t>
  </si>
  <si>
    <t>Sacacorcho Cabo Plastico</t>
  </si>
  <si>
    <t xml:space="preserve">Ahueca Frutas            </t>
  </si>
  <si>
    <t xml:space="preserve">Cuchara De Helado        </t>
  </si>
  <si>
    <t>811E</t>
  </si>
  <si>
    <t>Corta Pizza C/Mgo Ergonom</t>
  </si>
  <si>
    <t>574E</t>
  </si>
  <si>
    <t xml:space="preserve">Corta Queso De Alambre   </t>
  </si>
  <si>
    <t>Espatula Calada Nylon 1 P</t>
  </si>
  <si>
    <t xml:space="preserve">3 En 1                   </t>
  </si>
  <si>
    <t xml:space="preserve">Corta Pizza Gastronomico </t>
  </si>
  <si>
    <t>Pisa Papas Nylon Mgo Plas</t>
  </si>
  <si>
    <t xml:space="preserve">Espumadera Ac.Inox.      </t>
  </si>
  <si>
    <t>503E</t>
  </si>
  <si>
    <t>Abrelatas Doble Engranaje</t>
  </si>
  <si>
    <t xml:space="preserve">Sacafuentes Articulado   </t>
  </si>
  <si>
    <t>Cuchillito De Untar Plast</t>
  </si>
  <si>
    <t xml:space="preserve">Cierra Bolsa X2          </t>
  </si>
  <si>
    <t>Rallador Cilindrico Chico</t>
  </si>
  <si>
    <t>819E</t>
  </si>
  <si>
    <t xml:space="preserve">Sacacorcho "Fish" Grande </t>
  </si>
  <si>
    <t>Espatula Lisa Nylon 1 Pza</t>
  </si>
  <si>
    <t>Cuchara Madera 40 Cm X 12</t>
  </si>
  <si>
    <t>580E</t>
  </si>
  <si>
    <t>Batidor Mini</t>
  </si>
  <si>
    <t>Cuchillo De Untar X 2 mad</t>
  </si>
  <si>
    <t xml:space="preserve">Cuchillo De Untar Suelto </t>
  </si>
  <si>
    <t xml:space="preserve">Cucharon Ac.Inox.        </t>
  </si>
  <si>
    <t>361E</t>
  </si>
  <si>
    <t>Rallador 4 Lados Ac Inox(</t>
  </si>
  <si>
    <t xml:space="preserve">Exprimidor De Citricos   </t>
  </si>
  <si>
    <t>809E</t>
  </si>
  <si>
    <t>Corta Pizza Familiar</t>
  </si>
  <si>
    <t>Pinza De Fiambre Mgo Plas X 12</t>
  </si>
  <si>
    <t>Bombilla Colores Metaliza</t>
  </si>
  <si>
    <t>Cuchara Madera 45 Cm X 12</t>
  </si>
  <si>
    <t>810E</t>
  </si>
  <si>
    <t>Corta Queso Semiduros A/I</t>
  </si>
  <si>
    <t xml:space="preserve">Espatula Acero Inox.     </t>
  </si>
  <si>
    <t>328E</t>
  </si>
  <si>
    <t xml:space="preserve">Rallador Plano 3 Usos Ac </t>
  </si>
  <si>
    <t>363E</t>
  </si>
  <si>
    <t>Rallador Gurmet Grano Fin</t>
  </si>
  <si>
    <t xml:space="preserve">Rallador 4 Lados A/I Mgo </t>
  </si>
  <si>
    <t xml:space="preserve">Pincel Pastelero         </t>
  </si>
  <si>
    <t xml:space="preserve">Pala De Canelones        </t>
  </si>
  <si>
    <t>Cuchara Pulpo Nylon 1 Pza</t>
  </si>
  <si>
    <t xml:space="preserve">Cuchara Salsera Inox     </t>
  </si>
  <si>
    <t xml:space="preserve">Batidor Resorte          </t>
  </si>
  <si>
    <t xml:space="preserve">Pala De Torta Acero Inox </t>
  </si>
  <si>
    <t xml:space="preserve">Espatula Lisa Ac.Inox.   </t>
  </si>
  <si>
    <t xml:space="preserve">Espatula Plastica 3 Usos </t>
  </si>
  <si>
    <t>812E</t>
  </si>
  <si>
    <t xml:space="preserve">Corta Huevo              </t>
  </si>
  <si>
    <t>Cuchara Madera 25 Cm X 12</t>
  </si>
  <si>
    <t>Cuchara Calada Nylon 1 Pz</t>
  </si>
  <si>
    <t xml:space="preserve">Tostador Enlozado        </t>
  </si>
  <si>
    <t xml:space="preserve">Cucharita Matera         </t>
  </si>
  <si>
    <t>Muñeco Silicona Antiderra</t>
  </si>
  <si>
    <t xml:space="preserve">Pelanaranjas X 1 Display </t>
  </si>
  <si>
    <t xml:space="preserve">Tostador                 </t>
  </si>
  <si>
    <t>Bombilla Eco Plastica</t>
  </si>
  <si>
    <t>Espumadera Nylon c/ Mgo</t>
  </si>
  <si>
    <t>817E</t>
  </si>
  <si>
    <t>Rallador C/Mgo Ergonomico</t>
  </si>
  <si>
    <t>Pinza De Ensalada Mgo Pla X 12</t>
  </si>
  <si>
    <t xml:space="preserve">Prensa Matambre          </t>
  </si>
  <si>
    <t>364E</t>
  </si>
  <si>
    <t>Rallador Gourmet Grano Me</t>
  </si>
  <si>
    <t xml:space="preserve">Paleta Batidora          </t>
  </si>
  <si>
    <t xml:space="preserve">Enrulador De Manteca     </t>
  </si>
  <si>
    <t>Ñoquera Mad. Mgo Redondo</t>
  </si>
  <si>
    <t xml:space="preserve">Cuchara Calada Ac.Inox.  </t>
  </si>
  <si>
    <t>Tenedor Ac Inox</t>
  </si>
  <si>
    <t>Cepillo Lava Vajilla</t>
  </si>
  <si>
    <t>Sacayerba</t>
  </si>
  <si>
    <t xml:space="preserve">Cucharita 13cm Azucarera </t>
  </si>
  <si>
    <t xml:space="preserve">Cuchara Spaghetti Ac Inox. </t>
  </si>
  <si>
    <t xml:space="preserve">Corta Torta              </t>
  </si>
  <si>
    <t>366E</t>
  </si>
  <si>
    <t>Rallador Conico A/I X 12</t>
  </si>
  <si>
    <t>Cod.Art.</t>
  </si>
  <si>
    <t xml:space="preserve">Tres En Uno              </t>
  </si>
  <si>
    <t xml:space="preserve">Lavavajilla C/Mgo.Arte   </t>
  </si>
  <si>
    <t>Pinza De Fiambre*Arte* X 12</t>
  </si>
  <si>
    <t>Pinza De Ensaladas*Arte* X 12</t>
  </si>
  <si>
    <t xml:space="preserve">Pinza De Fideos*Arte*  </t>
  </si>
  <si>
    <t>Pinza Chica Detalles Bco Azul</t>
  </si>
  <si>
    <t>Afila Cuchillo Con Base V</t>
  </si>
  <si>
    <t>Pelapapas Mgo Plast Verde</t>
  </si>
  <si>
    <t xml:space="preserve">Limpia Mamadera A/I      </t>
  </si>
  <si>
    <t>Cuchara Fideos Nylon C/Mgo</t>
  </si>
  <si>
    <t xml:space="preserve">Cucharon Nylon C/Mgo   </t>
  </si>
  <si>
    <t>Espatula Calada Nylon C/Mgo</t>
  </si>
  <si>
    <t>Espatula Lisa Nylon C/Mgo</t>
  </si>
  <si>
    <t xml:space="preserve">Pisa Papas               </t>
  </si>
  <si>
    <t>Cuchara Calada 1 Pieza Ac. Inox</t>
  </si>
  <si>
    <t>Pinza Del Chef</t>
  </si>
  <si>
    <t>Espat. Repost. Goma Gastr</t>
  </si>
  <si>
    <t>Espatula Repost. Goma Com</t>
  </si>
  <si>
    <t>Cucharon Ac Inox C/Mgo Ch</t>
  </si>
  <si>
    <t xml:space="preserve">Espumadera Ac Inox C/Mgo </t>
  </si>
  <si>
    <t>Pinche Ac Inox C/Mgo Chef</t>
  </si>
  <si>
    <t>Cuchara Salsera Ac Inox</t>
  </si>
  <si>
    <t>Cuchara Calada Ac Inox</t>
  </si>
  <si>
    <t>Espatula Lisa Ac Inox</t>
  </si>
  <si>
    <t>Espatula Calada Ac Inox</t>
  </si>
  <si>
    <t>Cuchara Spaghetti Ac. Inox</t>
  </si>
  <si>
    <t xml:space="preserve">Destapaca Corona Pint. X </t>
  </si>
  <si>
    <t xml:space="preserve">Abrelatas Mariposa       </t>
  </si>
  <si>
    <t>702E</t>
  </si>
  <si>
    <t xml:space="preserve">Abrelatas Uñas           </t>
  </si>
  <si>
    <t>Enrulador Manteca</t>
  </si>
  <si>
    <t>712E</t>
  </si>
  <si>
    <t>Pelador Mgo Plastico Econ</t>
  </si>
  <si>
    <t xml:space="preserve">Pelapapas Metalico       </t>
  </si>
  <si>
    <t xml:space="preserve">Cierra Bolsa X 4         </t>
  </si>
  <si>
    <t>Cuchillo de Untar Acrilico Transp.</t>
  </si>
  <si>
    <t xml:space="preserve">Cuch. Untar Blanco X 4   </t>
  </si>
  <si>
    <t>Cuch Untar Mgo Madera X2</t>
  </si>
  <si>
    <t xml:space="preserve">Ahueca Papa              </t>
  </si>
  <si>
    <t>Espumante</t>
  </si>
  <si>
    <t>Sacacorcho Tipo Mozo Colo</t>
  </si>
  <si>
    <t>Sacacocrcho Combinado Col</t>
  </si>
  <si>
    <t xml:space="preserve">Cuchara Helado           </t>
  </si>
  <si>
    <t>Bombilla Coco Hexagonal</t>
  </si>
  <si>
    <t xml:space="preserve">Bombilla Coco Bolita </t>
  </si>
  <si>
    <t>Bomb. Resorte Color Metal</t>
  </si>
  <si>
    <t xml:space="preserve">Filtro Para Bombilla     </t>
  </si>
  <si>
    <t xml:space="preserve">Limpia Bombilla          </t>
  </si>
  <si>
    <t>Bomb. Autolimpiante Ac. I</t>
  </si>
  <si>
    <t xml:space="preserve">Pisa Papa Nylon          </t>
  </si>
  <si>
    <t xml:space="preserve">Pinza Chica Display      </t>
  </si>
  <si>
    <t>Corta Queso Blandos Mango Alambre</t>
  </si>
  <si>
    <t xml:space="preserve">Tapon Gaseosa            </t>
  </si>
  <si>
    <t>Tapon De Gaseosa X 2 Negr</t>
  </si>
  <si>
    <t>Corta Torta Plast</t>
  </si>
  <si>
    <t xml:space="preserve">Colador 8 Cm             </t>
  </si>
  <si>
    <t xml:space="preserve">Colador 10 Cm            </t>
  </si>
  <si>
    <t xml:space="preserve">Filtro Para Cafe         </t>
  </si>
  <si>
    <t xml:space="preserve">Rallador Chico Chocolate </t>
  </si>
  <si>
    <t xml:space="preserve">Espatula Lisa Plastica   </t>
  </si>
  <si>
    <t xml:space="preserve">Cuchara Calada Plastica  </t>
  </si>
  <si>
    <t xml:space="preserve">Cuchara Pulpo Plastica   </t>
  </si>
  <si>
    <t xml:space="preserve">Cucharon Plastico        </t>
  </si>
  <si>
    <t xml:space="preserve">Espatula Calada Plastica </t>
  </si>
  <si>
    <t>Espatula Repostera Plasti</t>
  </si>
  <si>
    <t xml:space="preserve">Pinza Hielo Display      </t>
  </si>
  <si>
    <t xml:space="preserve">Pala Torta               </t>
  </si>
  <si>
    <t>Cuchillo De Torta</t>
  </si>
  <si>
    <t xml:space="preserve">Tenedor Copetin X 6      </t>
  </si>
  <si>
    <t xml:space="preserve">Corta Pizza Mgo Chef 6cm              </t>
  </si>
  <si>
    <t xml:space="preserve">Corta Pizza Grande       </t>
  </si>
  <si>
    <t xml:space="preserve">Cuchillitos De Untar Mgo </t>
  </si>
  <si>
    <t>Set X 3 Espatulas Plastic</t>
  </si>
  <si>
    <t>Cuchara De Cocina 33Cm X 12</t>
  </si>
  <si>
    <t>Tenedor Madera 35cm</t>
  </si>
  <si>
    <t xml:space="preserve">Afila Cuchillo           </t>
  </si>
  <si>
    <t>128K</t>
  </si>
  <si>
    <t xml:space="preserve">Batidor Pera             </t>
  </si>
  <si>
    <t>692E</t>
  </si>
  <si>
    <t xml:space="preserve">Pelador "V" Horizontal   </t>
  </si>
  <si>
    <t>727E</t>
  </si>
  <si>
    <t>729E</t>
  </si>
  <si>
    <t>Sac Doble Aleta Fund Eco</t>
  </si>
  <si>
    <t>733E</t>
  </si>
  <si>
    <t xml:space="preserve">Batidor Pera Display     </t>
  </si>
  <si>
    <t>865E</t>
  </si>
  <si>
    <t>Rallador Plano A/I 3 Usos</t>
  </si>
  <si>
    <t>Filtro De Tela Gastronomi</t>
  </si>
  <si>
    <t>868E</t>
  </si>
  <si>
    <t>877E</t>
  </si>
  <si>
    <t>Corta Pizza Con Mgo Chino</t>
  </si>
  <si>
    <t xml:space="preserve">Prensa Matambre Display  </t>
  </si>
  <si>
    <t>Cuchara Madera 35 Display X 12</t>
  </si>
  <si>
    <t>Cuchara Madera 45 Display X 12</t>
  </si>
  <si>
    <t xml:space="preserve">Ñoquera Display          </t>
  </si>
  <si>
    <t>Bate Bife Display</t>
  </si>
  <si>
    <t>Cuchara Madera 30 Display X 12</t>
  </si>
  <si>
    <t>Cuchara Madera 40 Display X 12</t>
  </si>
  <si>
    <t>Cuchara Madera 25 Display X 12</t>
  </si>
  <si>
    <t>Emp</t>
  </si>
  <si>
    <t>Cod</t>
  </si>
  <si>
    <t>Vta</t>
  </si>
  <si>
    <t>Loeke</t>
  </si>
  <si>
    <t>Chef</t>
  </si>
  <si>
    <t>502T</t>
  </si>
  <si>
    <t>510T</t>
  </si>
  <si>
    <t>520T</t>
  </si>
  <si>
    <t>581T</t>
  </si>
  <si>
    <t>587T</t>
  </si>
  <si>
    <t xml:space="preserve">Colador N°16             </t>
  </si>
  <si>
    <t xml:space="preserve">Colador N°20             </t>
  </si>
  <si>
    <t>KG x Uni</t>
  </si>
  <si>
    <t>Bella Vista</t>
  </si>
  <si>
    <t>Z31A</t>
  </si>
  <si>
    <t>Z31B</t>
  </si>
  <si>
    <t>BOM10B</t>
  </si>
  <si>
    <t>M1A</t>
  </si>
  <si>
    <t>M1B</t>
  </si>
  <si>
    <t>Z32</t>
  </si>
  <si>
    <t>Descorazonador Manzana</t>
  </si>
  <si>
    <t>Cremallera D/Aleta</t>
  </si>
  <si>
    <t>Z:\AA  LOGISTICA Relevamiento y Pedidos\A3 Relevamiento Stock y Pedidos Insumos\Relevamiento\A Relevamientos INSUMOS y Pedido\A Bombillas</t>
  </si>
  <si>
    <t>Caño Alum Bombilla p/Anodizar</t>
  </si>
  <si>
    <t>Resorte p/Bombilla Autolim.</t>
  </si>
  <si>
    <t>Caño p/Sorbete Inox</t>
  </si>
  <si>
    <t>Cód ISIS</t>
  </si>
  <si>
    <t>Cod Nuevo Isis</t>
  </si>
  <si>
    <t xml:space="preserve">Cuchillo Torta Acero Inox </t>
  </si>
  <si>
    <t xml:space="preserve">Pinza Hamburguesa       </t>
  </si>
  <si>
    <t>Pinza Reforzada</t>
  </si>
  <si>
    <t>Descarozador De Aceitunas</t>
  </si>
  <si>
    <t>Bombilla Autolimpiante Ni</t>
  </si>
  <si>
    <t>Bombilla Basica Larga Rec</t>
  </si>
  <si>
    <t>Bombilla Basica Larga Cur</t>
  </si>
  <si>
    <t>030E</t>
  </si>
  <si>
    <t>Colador 20 Cm Acero Inox</t>
  </si>
  <si>
    <t>Abrelata Super Mariposa</t>
  </si>
  <si>
    <t>360E</t>
  </si>
  <si>
    <t>362E</t>
  </si>
  <si>
    <t>365E</t>
  </si>
  <si>
    <t>Rallador Gourmet Grano Gr</t>
  </si>
  <si>
    <t>367E</t>
  </si>
  <si>
    <t>Rallador Hexagonal Ac Ino</t>
  </si>
  <si>
    <t>388E</t>
  </si>
  <si>
    <t xml:space="preserve">Maquina Corta Papa       </t>
  </si>
  <si>
    <t>436E</t>
  </si>
  <si>
    <t xml:space="preserve">Colador Acero Inox 14 Cm </t>
  </si>
  <si>
    <t>437E</t>
  </si>
  <si>
    <t xml:space="preserve">Colador Acero Inox 16 Cm </t>
  </si>
  <si>
    <t>438E</t>
  </si>
  <si>
    <t xml:space="preserve">Colador Acero Inox 20 Cm </t>
  </si>
  <si>
    <t>439E</t>
  </si>
  <si>
    <t>Colapasta Metal Perforado</t>
  </si>
  <si>
    <t>440E</t>
  </si>
  <si>
    <t>Colador Extensib. A/I 34X</t>
  </si>
  <si>
    <t>Abrelata Mariposa Tira Imp.</t>
  </si>
  <si>
    <t>Abrelata Uña Crom Tira Imp</t>
  </si>
  <si>
    <t>512E</t>
  </si>
  <si>
    <t>Sac. Tipo Mozo Cromado Tira Imp.</t>
  </si>
  <si>
    <t>525E</t>
  </si>
  <si>
    <t>544E</t>
  </si>
  <si>
    <t>Sac. Cabo Nylon Tira Imp</t>
  </si>
  <si>
    <t>585E</t>
  </si>
  <si>
    <t>Sac.Doble Aleta Fundicion</t>
  </si>
  <si>
    <t>Pelador Cuchilla Laser Tira Imp</t>
  </si>
  <si>
    <t>813E</t>
  </si>
  <si>
    <t>814E</t>
  </si>
  <si>
    <t>Mariposa Manopla Magnetic</t>
  </si>
  <si>
    <t>815E</t>
  </si>
  <si>
    <t>Batidor Pera Con Mgo Ergo</t>
  </si>
  <si>
    <t>816E</t>
  </si>
  <si>
    <t>818E</t>
  </si>
  <si>
    <t>Corta Pizza Manual</t>
  </si>
  <si>
    <t>Prom Uni</t>
  </si>
  <si>
    <t>725E</t>
  </si>
  <si>
    <t>Sacafuentes Articulado</t>
  </si>
  <si>
    <t>R</t>
  </si>
  <si>
    <t>Cuchillo Untar Mgo Plast Inox</t>
  </si>
  <si>
    <t>Bombilla Bolita</t>
  </si>
  <si>
    <t>Rallador Hexagonal A/I Con Bas 25cm</t>
  </si>
  <si>
    <t>Rallador 4 Lados A/I Mgo C/Bas 25cm</t>
  </si>
  <si>
    <t>Mini Batidor Pera x1</t>
  </si>
  <si>
    <t>% Ocup</t>
  </si>
  <si>
    <t>Alambre Corta Queso</t>
  </si>
  <si>
    <t>Z19A</t>
  </si>
  <si>
    <t>Corta Queso</t>
  </si>
  <si>
    <t>Arandelas Corta Queso</t>
  </si>
  <si>
    <t>Industria Skotnica</t>
  </si>
  <si>
    <t>Tornillos Corta Queso</t>
  </si>
  <si>
    <t>T1</t>
  </si>
  <si>
    <t>A1</t>
  </si>
  <si>
    <t>Stock Bolsa / Caj / Rollo</t>
  </si>
  <si>
    <t>Eclipse</t>
  </si>
  <si>
    <t>Prec x Uni</t>
  </si>
  <si>
    <t>Alambres Rumbo</t>
  </si>
  <si>
    <t>Prec x Kg</t>
  </si>
  <si>
    <t>DISCONTINUOS</t>
  </si>
  <si>
    <t>Cons x Mes Uni</t>
  </si>
  <si>
    <t>Cons x Mes Kg</t>
  </si>
  <si>
    <t>Uni x B/C</t>
  </si>
  <si>
    <t>Min Uni Compra</t>
  </si>
  <si>
    <t>Min Kg Compra</t>
  </si>
  <si>
    <t>Pedi Uni</t>
  </si>
  <si>
    <t>Unidad de Medida Pedido</t>
  </si>
  <si>
    <t>Kilos</t>
  </si>
  <si>
    <t>Unidad</t>
  </si>
  <si>
    <t>INFORMACION</t>
  </si>
  <si>
    <t>Max 3 Mes Uni</t>
  </si>
  <si>
    <t xml:space="preserve">Stock Uni </t>
  </si>
  <si>
    <t>$               0</t>
  </si>
  <si>
    <t>% Ocup Relev</t>
  </si>
  <si>
    <t>% Ocup Total</t>
  </si>
  <si>
    <t>Stock Taller Uni</t>
  </si>
  <si>
    <t>Stock Prov Serv Uni</t>
  </si>
  <si>
    <t>Stock CD Uni</t>
  </si>
  <si>
    <t>Stock Total Uni</t>
  </si>
  <si>
    <t>Max Taller Uni</t>
  </si>
  <si>
    <t>Max CD Uni</t>
  </si>
  <si>
    <t>Max Total Uni</t>
  </si>
  <si>
    <t>Z2S</t>
  </si>
  <si>
    <t>Argolla p/Llavero Chica</t>
  </si>
  <si>
    <t>Z2SB</t>
  </si>
  <si>
    <t>Casa Landau</t>
  </si>
  <si>
    <t>Aro p/Llavero Grande</t>
  </si>
  <si>
    <t>Tela Manga Repostera</t>
  </si>
  <si>
    <t>BOM8B</t>
  </si>
  <si>
    <t xml:space="preserve">Rueda </t>
  </si>
  <si>
    <t>Llavero Pata</t>
  </si>
  <si>
    <t>Destapacorona</t>
  </si>
  <si>
    <t>Aro Para Llavero Grande</t>
  </si>
  <si>
    <t>Rollo</t>
  </si>
  <si>
    <t>Descripción Parte</t>
  </si>
  <si>
    <t>Kg x Uni</t>
  </si>
  <si>
    <t>Uni x Cajon</t>
  </si>
  <si>
    <t>KG x Cajon</t>
  </si>
  <si>
    <t>Llavero Pie</t>
  </si>
  <si>
    <t>Alambre
Corta Queso</t>
  </si>
  <si>
    <t>Z19B</t>
  </si>
  <si>
    <t>Cerda p/
Pincel</t>
  </si>
  <si>
    <t>Z22</t>
  </si>
  <si>
    <t>BOM18</t>
  </si>
  <si>
    <t>Caño p/ Sorbete Inox</t>
  </si>
  <si>
    <t>Resortes p/ 
bomb. Autoli.</t>
  </si>
  <si>
    <t>Resorte p/ Bombilla 557/558</t>
  </si>
  <si>
    <t>Sector Proceso</t>
  </si>
  <si>
    <t>Stock Cajon</t>
  </si>
  <si>
    <t>Stock Uni</t>
  </si>
  <si>
    <t>STOCK PROV SERV BOMBILLA</t>
  </si>
  <si>
    <t>Max Prov Serv Cajon</t>
  </si>
  <si>
    <t>Cañito Pincel Pastelero</t>
  </si>
  <si>
    <t>Batidor Pera</t>
  </si>
  <si>
    <t>Conteo Uni</t>
  </si>
  <si>
    <t>Conteo Cajon</t>
  </si>
  <si>
    <t>Max Taller Cajon</t>
  </si>
  <si>
    <t>STOCK TALLERISTA BOMBILLA</t>
  </si>
  <si>
    <t>Descripción de Partes</t>
  </si>
  <si>
    <t>Sector Proce</t>
  </si>
  <si>
    <t>Cod Art</t>
  </si>
  <si>
    <t>Parte x Uni</t>
  </si>
  <si>
    <t>KG            x Uni</t>
  </si>
  <si>
    <t>Uni x Caja</t>
  </si>
  <si>
    <t>Max Cajas CD</t>
  </si>
  <si>
    <t>Max Uni CD</t>
  </si>
  <si>
    <t>Max KG CD</t>
  </si>
  <si>
    <t>Stock Uni CD</t>
  </si>
  <si>
    <t>Stock Cajas CD</t>
  </si>
  <si>
    <t>Estad Madre Uni</t>
  </si>
  <si>
    <t>STOCK VIRGILIO BOMBILLA</t>
  </si>
  <si>
    <t>Ralladores Cilindrico 14cm</t>
  </si>
  <si>
    <t>Colodis Kufo</t>
  </si>
  <si>
    <t>AA6/ AE10</t>
  </si>
  <si>
    <t>FECHA:</t>
  </si>
  <si>
    <t>Pala de Torta</t>
  </si>
  <si>
    <t>Melinox</t>
  </si>
  <si>
    <t>Pedido Damian</t>
  </si>
  <si>
    <t>Este pedido anula cualquier pedido anterior</t>
  </si>
  <si>
    <t xml:space="preserve">Fecha: </t>
  </si>
  <si>
    <t>Rueda y Cia</t>
  </si>
  <si>
    <t>Rueda</t>
  </si>
  <si>
    <t>Stock Bolsa/ Caj/ Rollo</t>
  </si>
  <si>
    <t>CONTEO BOMBILLA</t>
  </si>
  <si>
    <t>Orden Prioridad</t>
  </si>
  <si>
    <t>LLF8</t>
  </si>
  <si>
    <t>Max Mes</t>
  </si>
  <si>
    <t>Uni Suelta</t>
  </si>
  <si>
    <t>Giser/Ruffo</t>
  </si>
  <si>
    <t>EP10</t>
  </si>
  <si>
    <t>Resorte Mini Batidor</t>
  </si>
  <si>
    <t>Batidor Pera Mini</t>
  </si>
  <si>
    <r>
      <t xml:space="preserve">Caño Inox 170 mm x 0.4mm x 7 </t>
    </r>
    <r>
      <rPr>
        <sz val="14"/>
        <rFont val="Calibri"/>
        <family val="2"/>
      </rPr>
      <t>Ø</t>
    </r>
  </si>
  <si>
    <t>Fecha Entrega</t>
  </si>
  <si>
    <t>Entrega:</t>
  </si>
  <si>
    <t>Cons x Mes Rollo</t>
  </si>
  <si>
    <t>Max 3 Mes Rollo</t>
  </si>
  <si>
    <t>Pedido Rollo</t>
  </si>
  <si>
    <t>Stock Prov Serv Rollo</t>
  </si>
  <si>
    <t>Stock Taller Rollo</t>
  </si>
  <si>
    <t>Stock CD Rollo</t>
  </si>
  <si>
    <t>Stock Total Rollo</t>
  </si>
  <si>
    <t>Max Taller Rollo</t>
  </si>
  <si>
    <t>Max CD Rollo</t>
  </si>
  <si>
    <t>Max Total Rollo</t>
  </si>
  <si>
    <t>USAR Sugerencia Uni x Mes</t>
  </si>
  <si>
    <t xml:space="preserve">Rallador Cilindrico  </t>
  </si>
  <si>
    <t>Tabla Pino 22*40</t>
  </si>
  <si>
    <t>Cuchara de Fideos Nylon Mgo GE</t>
  </si>
  <si>
    <t xml:space="preserve">Pinza Grande Proximamente          </t>
  </si>
  <si>
    <t xml:space="preserve">Colador N°13 Discontinuo        </t>
  </si>
  <si>
    <t xml:space="preserve">Mate Forrado             </t>
  </si>
  <si>
    <t xml:space="preserve">Mate Calabaza C/Virola   </t>
  </si>
  <si>
    <t xml:space="preserve">Mate Calabaza S/Virola   </t>
  </si>
  <si>
    <t>Palo Amasar 30cm</t>
  </si>
  <si>
    <t>Palo Amasar 50cm</t>
  </si>
  <si>
    <t>Palo Amasar 40cm</t>
  </si>
  <si>
    <t>Tenedor De Copetin X 6 Un</t>
  </si>
  <si>
    <t>Pinza Articulada Gastro Proximamente</t>
  </si>
  <si>
    <t>558D</t>
  </si>
  <si>
    <t xml:space="preserve">Pinza Grande             </t>
  </si>
  <si>
    <t>Pinche De Choclo X 4 Unid</t>
  </si>
  <si>
    <t xml:space="preserve">Sacacorcho De Espumantes </t>
  </si>
  <si>
    <t>Plato De Picada P.P 21 Cm</t>
  </si>
  <si>
    <t>Sacacorcho Doble Aleta Lu</t>
  </si>
  <si>
    <t>368E</t>
  </si>
  <si>
    <t>369E</t>
  </si>
  <si>
    <t>Colador N°7 Discontinuo</t>
  </si>
  <si>
    <t xml:space="preserve">Sacaf Alamb Proximamente    </t>
  </si>
  <si>
    <t>Sacacorchos Tipo Mozo Suelto</t>
  </si>
  <si>
    <t>Articulos  Discontinuos</t>
  </si>
  <si>
    <t xml:space="preserve">Articulos Proximamente </t>
  </si>
  <si>
    <t>Pizzera 35 cm</t>
  </si>
  <si>
    <t>Espatula Calada Nylon Mgo GE</t>
  </si>
  <si>
    <t>Cucharon Nylon Mgo GE</t>
  </si>
  <si>
    <t>Abrelata Mariposa Mgo GE</t>
  </si>
  <si>
    <t>No tocar (Solo para estadistica)</t>
  </si>
  <si>
    <t>Pela y Pica ajo</t>
  </si>
  <si>
    <t>Abr Manija Loke</t>
  </si>
  <si>
    <t>Abr Mariposa Loke</t>
  </si>
  <si>
    <t>Sac Doble Impluso Loke</t>
  </si>
  <si>
    <t>Pel Mgo Met Loke</t>
  </si>
  <si>
    <t>Colador N° 8 Loke</t>
  </si>
  <si>
    <t>Colador  N°10  Loke</t>
  </si>
  <si>
    <t>Afila  Cuch  Loke</t>
  </si>
  <si>
    <t>Batidor Pera Loke</t>
  </si>
  <si>
    <t>Pelador Plastico  Loke</t>
  </si>
  <si>
    <t>Stock Rollo</t>
  </si>
  <si>
    <t>Max 4 Mes Uni</t>
  </si>
  <si>
    <t>Max 3 Mes Uni/ KG</t>
  </si>
  <si>
    <t>Stock Uni/ KG</t>
  </si>
  <si>
    <t>Pedi Uni/ KG</t>
  </si>
  <si>
    <t>N° Ord</t>
  </si>
  <si>
    <t>Resorte p/Bombilla Autolimpiante</t>
  </si>
  <si>
    <t>Resorte Mini Batidor Pera</t>
  </si>
  <si>
    <t>Pedido Damian Uni</t>
  </si>
  <si>
    <t>Entrega Uni</t>
  </si>
  <si>
    <t>Entrega Fecha</t>
  </si>
  <si>
    <t>Loekemeyer Hnos. S.R.L</t>
  </si>
  <si>
    <t>ORDEN DE COMPRA</t>
  </si>
  <si>
    <t>CUIT:</t>
  </si>
  <si>
    <t>30-51584245-0</t>
  </si>
  <si>
    <t>DIRECCION:</t>
  </si>
  <si>
    <t>Cervantes 2868</t>
  </si>
  <si>
    <t>LOCALIDAD:</t>
  </si>
  <si>
    <t>Villa Devoto, CABA</t>
  </si>
  <si>
    <t>FECHA PEDIDO:</t>
  </si>
  <si>
    <t>TELEFONO:</t>
  </si>
  <si>
    <t>11 3118-1027</t>
  </si>
  <si>
    <t>RAZON SOCIAL:</t>
  </si>
  <si>
    <t>COD PROV:</t>
  </si>
  <si>
    <t>ENTREGA EN:</t>
  </si>
  <si>
    <t>Rueda y Cia SRL</t>
  </si>
  <si>
    <t>Fecha:</t>
  </si>
  <si>
    <t>Pedido Damian Rollo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</si>
</sst>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0.0000"/>
    <numFmt numFmtId="166" formatCode="_-&quot;$&quot;\ * #,##0_-;\-&quot;$&quot;\ * #,##0_-;_-&quot;$&quot;\ * &quot;-&quot;??_-;_-@_-"/>
    <numFmt numFmtId="167" formatCode="0.00000"/>
    <numFmt numFmtId="168" formatCode="0.000"/>
    <numFmt numFmtId="169" formatCode="0.0"/>
    <numFmt numFmtId="170" formatCode="_ * #,##0.0_ ;_ * \-#,##0.0_ ;_ * &quot;-&quot;??_ ;_ @_ "/>
    <numFmt numFmtId="171" formatCode="_ * #,##0.00_ ;_ * \-#,##0.00_ ;_ * &quot;-&quot;??_ ;_ @_ "/>
    <numFmt numFmtId="172" formatCode="_ * #,##0_ ;_ * \-#,##0_ ;_ * &quot;-&quot;??_ ;_ @_ "/>
    <numFmt numFmtId="173" formatCode="_ * #,##0.000_ ;_ * \-#,##0.000_ ;_ * &quot;-&quot;??_ ;_ @_ "/>
    <numFmt numFmtId="174" formatCode="hh\:mm\:ss\ "/>
    <numFmt numFmtId="175" formatCode="#,##0.000"/>
    <numFmt numFmtId="176" formatCode="_-* #,##0.0_-;\-* #,##0.0_-;_-* &quot;-&quot;??_-;_-@_-"/>
    <numFmt numFmtId="178" formatCode="dd/mm/yy;@"/>
  </numFmts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22"/>
      <name val="Arial"/>
      <family val="2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name val="Calibri"/>
      <family val="2"/>
      <scheme val="minor"/>
    </font>
    <font>
      <sz val="13"/>
      <name val="Calibri"/>
      <family val="2"/>
      <scheme val="minor"/>
    </font>
    <font>
      <sz val="14"/>
      <name val="Calibri"/>
      <family val="2"/>
      <scheme val="minor"/>
    </font>
    <font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14"/>
      <color theme="1"/>
      <name val="Arial"/>
      <family val="2"/>
    </font>
    <font>
      <b/>
      <sz val="36"/>
      <name val="Arial"/>
      <family val="2"/>
    </font>
    <font>
      <b/>
      <u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indexed="8"/>
      <name val="Calibri"/>
      <family val="2"/>
    </font>
    <font>
      <b/>
      <sz val="18"/>
      <color indexed="8"/>
      <name val="Calibri"/>
      <family val="2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indexed="8"/>
      <name val="Arial"/>
      <family val="2"/>
    </font>
    <font>
      <sz val="14"/>
      <color indexed="8"/>
      <name val="Calibri"/>
      <family val="2"/>
    </font>
    <font>
      <b/>
      <sz val="18"/>
      <color rgb="FFFF0000"/>
      <name val="Calibri"/>
      <family val="2"/>
      <scheme val="minor"/>
    </font>
    <font>
      <b/>
      <sz val="18"/>
      <name val="Calibri"/>
      <family val="2"/>
      <scheme val="minor"/>
    </font>
    <font>
      <sz val="1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5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name val="Calibri"/>
      <family val="2"/>
    </font>
    <font>
      <b/>
      <sz val="12"/>
      <name val="Calibri"/>
      <family val="2"/>
      <scheme val="minor"/>
    </font>
    <font>
      <b/>
      <sz val="18"/>
      <color rgb="FF00B050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8"/>
      <color rgb="FF0070C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1" fontId="1" fillId="0" borderId="0" applyFont="0" applyFill="0" applyBorder="0" applyAlignment="0" applyProtection="0"/>
  </cellStyleXfs>
  <cellXfs count="55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7" xfId="0" applyFont="1" applyBorder="1"/>
    <xf numFmtId="0" fontId="0" fillId="0" borderId="13" xfId="0" applyBorder="1"/>
    <xf numFmtId="0" fontId="4" fillId="0" borderId="13" xfId="0" applyFont="1" applyBorder="1"/>
    <xf numFmtId="0" fontId="12" fillId="0" borderId="0" xfId="0" applyFont="1"/>
    <xf numFmtId="0" fontId="13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/>
    </xf>
    <xf numFmtId="0" fontId="15" fillId="0" borderId="8" xfId="0" applyFont="1" applyBorder="1" applyAlignment="1">
      <alignment horizontal="left"/>
    </xf>
    <xf numFmtId="0" fontId="16" fillId="0" borderId="7" xfId="0" applyFont="1" applyBorder="1" applyAlignment="1">
      <alignment horizontal="left"/>
    </xf>
    <xf numFmtId="0" fontId="16" fillId="0" borderId="8" xfId="0" applyFont="1" applyBorder="1" applyAlignment="1">
      <alignment horizontal="left" vertical="center"/>
    </xf>
    <xf numFmtId="0" fontId="16" fillId="0" borderId="8" xfId="0" applyFont="1" applyBorder="1" applyAlignment="1">
      <alignment horizontal="left"/>
    </xf>
    <xf numFmtId="0" fontId="12" fillId="0" borderId="8" xfId="0" applyFont="1" applyBorder="1" applyAlignment="1">
      <alignment horizontal="left"/>
    </xf>
    <xf numFmtId="0" fontId="12" fillId="0" borderId="7" xfId="0" applyFont="1" applyBorder="1" applyAlignment="1">
      <alignment horizontal="left"/>
    </xf>
    <xf numFmtId="0" fontId="12" fillId="0" borderId="12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15" fillId="0" borderId="8" xfId="0" applyFont="1" applyBorder="1"/>
    <xf numFmtId="0" fontId="7" fillId="0" borderId="7" xfId="0" applyFont="1" applyBorder="1" applyAlignment="1">
      <alignment horizontal="left"/>
    </xf>
    <xf numFmtId="0" fontId="16" fillId="0" borderId="12" xfId="0" applyFont="1" applyBorder="1" applyAlignment="1">
      <alignment horizontal="left"/>
    </xf>
    <xf numFmtId="0" fontId="15" fillId="0" borderId="7" xfId="0" applyFont="1" applyBorder="1" applyAlignment="1">
      <alignment horizontal="left"/>
    </xf>
    <xf numFmtId="0" fontId="5" fillId="0" borderId="4" xfId="0" applyFont="1" applyBorder="1" applyAlignment="1">
      <alignment horizontal="center" wrapText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/>
    </xf>
    <xf numFmtId="0" fontId="12" fillId="0" borderId="13" xfId="0" applyFont="1" applyBorder="1"/>
    <xf numFmtId="0" fontId="7" fillId="5" borderId="7" xfId="0" applyFont="1" applyFill="1" applyBorder="1"/>
    <xf numFmtId="0" fontId="5" fillId="3" borderId="8" xfId="0" applyFont="1" applyFill="1" applyBorder="1" applyAlignment="1">
      <alignment horizontal="left" vertical="center"/>
    </xf>
    <xf numFmtId="0" fontId="8" fillId="2" borderId="7" xfId="0" applyFont="1" applyFill="1" applyBorder="1"/>
    <xf numFmtId="0" fontId="18" fillId="0" borderId="7" xfId="0" applyFont="1" applyBorder="1"/>
    <xf numFmtId="0" fontId="5" fillId="3" borderId="15" xfId="0" applyFont="1" applyFill="1" applyBorder="1" applyAlignment="1">
      <alignment horizontal="left" vertical="center"/>
    </xf>
    <xf numFmtId="0" fontId="8" fillId="2" borderId="16" xfId="0" applyFont="1" applyFill="1" applyBorder="1"/>
    <xf numFmtId="0" fontId="5" fillId="3" borderId="10" xfId="0" applyFont="1" applyFill="1" applyBorder="1" applyAlignment="1">
      <alignment horizontal="left" vertical="center"/>
    </xf>
    <xf numFmtId="0" fontId="8" fillId="2" borderId="9" xfId="0" applyFont="1" applyFill="1" applyBorder="1"/>
    <xf numFmtId="0" fontId="3" fillId="0" borderId="2" xfId="0" applyFont="1" applyBorder="1" applyAlignment="1">
      <alignment horizontal="center" vertical="center" wrapText="1"/>
    </xf>
    <xf numFmtId="0" fontId="19" fillId="0" borderId="0" xfId="0" applyFont="1"/>
    <xf numFmtId="0" fontId="11" fillId="0" borderId="0" xfId="0" applyFont="1"/>
    <xf numFmtId="0" fontId="3" fillId="4" borderId="13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left" vertical="center" wrapText="1"/>
    </xf>
    <xf numFmtId="164" fontId="3" fillId="4" borderId="13" xfId="1" applyNumberFormat="1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0" fontId="3" fillId="4" borderId="24" xfId="0" applyFont="1" applyFill="1" applyBorder="1" applyAlignment="1">
      <alignment horizontal="center" vertical="center"/>
    </xf>
    <xf numFmtId="0" fontId="3" fillId="4" borderId="24" xfId="0" applyFont="1" applyFill="1" applyBorder="1" applyAlignment="1">
      <alignment horizontal="center" vertical="center" wrapText="1"/>
    </xf>
    <xf numFmtId="0" fontId="3" fillId="4" borderId="24" xfId="0" applyFont="1" applyFill="1" applyBorder="1" applyAlignment="1">
      <alignment horizontal="left" vertical="center" wrapText="1"/>
    </xf>
    <xf numFmtId="164" fontId="3" fillId="4" borderId="24" xfId="1" applyNumberFormat="1" applyFont="1" applyFill="1" applyBorder="1" applyAlignment="1">
      <alignment horizontal="center" vertical="center"/>
    </xf>
    <xf numFmtId="164" fontId="3" fillId="4" borderId="21" xfId="1" applyNumberFormat="1" applyFont="1" applyFill="1" applyBorder="1" applyAlignment="1">
      <alignment horizontal="center" vertical="center"/>
    </xf>
    <xf numFmtId="164" fontId="3" fillId="4" borderId="23" xfId="1" applyNumberFormat="1" applyFont="1" applyFill="1" applyBorder="1" applyAlignment="1">
      <alignment horizontal="center" vertical="center"/>
    </xf>
    <xf numFmtId="164" fontId="3" fillId="4" borderId="22" xfId="1" applyNumberFormat="1" applyFont="1" applyFill="1" applyBorder="1" applyAlignment="1">
      <alignment horizontal="center" vertical="center"/>
    </xf>
    <xf numFmtId="164" fontId="3" fillId="4" borderId="25" xfId="1" applyNumberFormat="1" applyFont="1" applyFill="1" applyBorder="1" applyAlignment="1">
      <alignment horizontal="center" vertical="center"/>
    </xf>
    <xf numFmtId="164" fontId="3" fillId="4" borderId="17" xfId="1" applyNumberFormat="1" applyFont="1" applyFill="1" applyBorder="1" applyAlignment="1">
      <alignment horizontal="center" vertical="center"/>
    </xf>
    <xf numFmtId="0" fontId="0" fillId="4" borderId="26" xfId="0" applyFill="1" applyBorder="1"/>
    <xf numFmtId="164" fontId="3" fillId="4" borderId="27" xfId="1" applyNumberFormat="1" applyFont="1" applyFill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3" fillId="4" borderId="27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0" fillId="0" borderId="24" xfId="0" applyBorder="1"/>
    <xf numFmtId="164" fontId="16" fillId="0" borderId="19" xfId="1" applyNumberFormat="1" applyFont="1" applyFill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164" fontId="16" fillId="0" borderId="13" xfId="1" applyNumberFormat="1" applyFont="1" applyBorder="1" applyAlignment="1">
      <alignment horizontal="center" vertical="center"/>
    </xf>
    <xf numFmtId="164" fontId="16" fillId="0" borderId="13" xfId="1" applyNumberFormat="1" applyFont="1" applyFill="1" applyBorder="1" applyAlignment="1">
      <alignment horizontal="center" vertical="center"/>
    </xf>
    <xf numFmtId="43" fontId="16" fillId="0" borderId="13" xfId="1" applyFont="1" applyFill="1" applyBorder="1" applyAlignment="1">
      <alignment horizontal="center" vertical="center"/>
    </xf>
    <xf numFmtId="1" fontId="16" fillId="0" borderId="21" xfId="0" applyNumberFormat="1" applyFont="1" applyBorder="1" applyAlignment="1">
      <alignment horizontal="center" vertical="center"/>
    </xf>
    <xf numFmtId="1" fontId="16" fillId="0" borderId="23" xfId="0" applyNumberFormat="1" applyFont="1" applyBorder="1" applyAlignment="1">
      <alignment horizontal="center" vertical="center"/>
    </xf>
    <xf numFmtId="0" fontId="16" fillId="0" borderId="24" xfId="0" applyFont="1" applyBorder="1" applyAlignment="1">
      <alignment horizontal="left" vertical="center" wrapText="1"/>
    </xf>
    <xf numFmtId="164" fontId="16" fillId="0" borderId="24" xfId="1" applyNumberFormat="1" applyFont="1" applyBorder="1" applyAlignment="1">
      <alignment horizontal="center" vertical="center"/>
    </xf>
    <xf numFmtId="164" fontId="16" fillId="0" borderId="24" xfId="1" applyNumberFormat="1" applyFont="1" applyFill="1" applyBorder="1" applyAlignment="1">
      <alignment horizontal="center" vertical="center"/>
    </xf>
    <xf numFmtId="43" fontId="16" fillId="0" borderId="24" xfId="1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43" fontId="16" fillId="0" borderId="19" xfId="1" applyFont="1" applyFill="1" applyBorder="1" applyAlignment="1">
      <alignment horizontal="center" vertical="center"/>
    </xf>
    <xf numFmtId="44" fontId="16" fillId="0" borderId="19" xfId="3" applyFont="1" applyFill="1" applyBorder="1" applyAlignment="1">
      <alignment horizontal="center" vertical="center"/>
    </xf>
    <xf numFmtId="165" fontId="16" fillId="0" borderId="19" xfId="1" applyNumberFormat="1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/>
    </xf>
    <xf numFmtId="44" fontId="16" fillId="0" borderId="13" xfId="3" applyFont="1" applyFill="1" applyBorder="1" applyAlignment="1">
      <alignment horizontal="center" vertical="center"/>
    </xf>
    <xf numFmtId="165" fontId="16" fillId="0" borderId="13" xfId="1" applyNumberFormat="1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/>
    </xf>
    <xf numFmtId="44" fontId="16" fillId="0" borderId="13" xfId="1" applyNumberFormat="1" applyFont="1" applyFill="1" applyBorder="1" applyAlignment="1">
      <alignment horizontal="center" vertical="center"/>
    </xf>
    <xf numFmtId="44" fontId="16" fillId="0" borderId="24" xfId="3" applyFont="1" applyFill="1" applyBorder="1" applyAlignment="1">
      <alignment horizontal="center" vertical="center"/>
    </xf>
    <xf numFmtId="165" fontId="16" fillId="0" borderId="24" xfId="1" applyNumberFormat="1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164" fontId="12" fillId="0" borderId="20" xfId="0" applyNumberFormat="1" applyFont="1" applyBorder="1" applyAlignment="1">
      <alignment vertical="center"/>
    </xf>
    <xf numFmtId="166" fontId="16" fillId="0" borderId="13" xfId="3" applyNumberFormat="1" applyFont="1" applyFill="1" applyBorder="1" applyAlignment="1">
      <alignment horizontal="center" vertical="center"/>
    </xf>
    <xf numFmtId="166" fontId="16" fillId="0" borderId="24" xfId="3" applyNumberFormat="1" applyFont="1" applyFill="1" applyBorder="1" applyAlignment="1">
      <alignment horizontal="center" vertical="center"/>
    </xf>
    <xf numFmtId="0" fontId="22" fillId="0" borderId="0" xfId="0" applyFont="1"/>
    <xf numFmtId="0" fontId="25" fillId="0" borderId="0" xfId="0" applyFont="1"/>
    <xf numFmtId="167" fontId="12" fillId="0" borderId="0" xfId="0" applyNumberFormat="1" applyFont="1" applyAlignment="1">
      <alignment horizontal="center"/>
    </xf>
    <xf numFmtId="0" fontId="26" fillId="0" borderId="3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horizontal="center" wrapText="1"/>
    </xf>
    <xf numFmtId="0" fontId="5" fillId="0" borderId="24" xfId="0" applyFont="1" applyBorder="1" applyAlignment="1">
      <alignment horizontal="center"/>
    </xf>
    <xf numFmtId="0" fontId="28" fillId="0" borderId="13" xfId="0" applyFont="1" applyBorder="1" applyAlignment="1">
      <alignment horizontal="center"/>
    </xf>
    <xf numFmtId="0" fontId="28" fillId="0" borderId="24" xfId="0" applyFont="1" applyBorder="1" applyAlignment="1">
      <alignment horizontal="center"/>
    </xf>
    <xf numFmtId="0" fontId="27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5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1" fontId="12" fillId="0" borderId="21" xfId="0" applyNumberFormat="1" applyFont="1" applyBorder="1" applyAlignment="1">
      <alignment horizontal="center"/>
    </xf>
    <xf numFmtId="168" fontId="12" fillId="0" borderId="13" xfId="0" applyNumberFormat="1" applyFont="1" applyBorder="1" applyAlignment="1">
      <alignment horizontal="center"/>
    </xf>
    <xf numFmtId="1" fontId="12" fillId="0" borderId="13" xfId="0" applyNumberFormat="1" applyFont="1" applyBorder="1" applyAlignment="1">
      <alignment horizontal="center"/>
    </xf>
    <xf numFmtId="1" fontId="12" fillId="0" borderId="22" xfId="0" applyNumberFormat="1" applyFont="1" applyBorder="1" applyAlignment="1">
      <alignment horizontal="center"/>
    </xf>
    <xf numFmtId="167" fontId="12" fillId="0" borderId="13" xfId="0" applyNumberFormat="1" applyFont="1" applyBorder="1" applyAlignment="1">
      <alignment horizontal="center"/>
    </xf>
    <xf numFmtId="1" fontId="12" fillId="0" borderId="23" xfId="0" applyNumberFormat="1" applyFont="1" applyBorder="1" applyAlignment="1">
      <alignment horizontal="center"/>
    </xf>
    <xf numFmtId="1" fontId="12" fillId="0" borderId="24" xfId="0" applyNumberFormat="1" applyFont="1" applyBorder="1" applyAlignment="1">
      <alignment horizontal="center"/>
    </xf>
    <xf numFmtId="1" fontId="12" fillId="0" borderId="25" xfId="0" applyNumberFormat="1" applyFont="1" applyBorder="1" applyAlignment="1">
      <alignment horizontal="center"/>
    </xf>
    <xf numFmtId="0" fontId="26" fillId="0" borderId="11" xfId="0" applyFont="1" applyBorder="1" applyAlignment="1">
      <alignment horizontal="center" vertical="center" wrapText="1"/>
    </xf>
    <xf numFmtId="1" fontId="5" fillId="0" borderId="19" xfId="0" applyNumberFormat="1" applyFont="1" applyBorder="1" applyAlignment="1">
      <alignment horizontal="center"/>
    </xf>
    <xf numFmtId="1" fontId="5" fillId="0" borderId="13" xfId="0" applyNumberFormat="1" applyFont="1" applyBorder="1" applyAlignment="1">
      <alignment horizontal="center"/>
    </xf>
    <xf numFmtId="0" fontId="26" fillId="0" borderId="4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/>
    </xf>
    <xf numFmtId="169" fontId="12" fillId="0" borderId="18" xfId="0" applyNumberFormat="1" applyFont="1" applyBorder="1" applyAlignment="1">
      <alignment horizontal="center"/>
    </xf>
    <xf numFmtId="168" fontId="12" fillId="0" borderId="19" xfId="0" applyNumberFormat="1" applyFont="1" applyBorder="1" applyAlignment="1">
      <alignment horizontal="center"/>
    </xf>
    <xf numFmtId="1" fontId="12" fillId="0" borderId="19" xfId="0" applyNumberFormat="1" applyFont="1" applyBorder="1" applyAlignment="1">
      <alignment horizontal="center"/>
    </xf>
    <xf numFmtId="1" fontId="12" fillId="0" borderId="20" xfId="0" applyNumberFormat="1" applyFont="1" applyBorder="1" applyAlignment="1">
      <alignment horizontal="center"/>
    </xf>
    <xf numFmtId="169" fontId="12" fillId="0" borderId="21" xfId="0" applyNumberFormat="1" applyFont="1" applyBorder="1" applyAlignment="1">
      <alignment horizontal="center"/>
    </xf>
    <xf numFmtId="0" fontId="0" fillId="0" borderId="22" xfId="0" applyBorder="1"/>
    <xf numFmtId="0" fontId="0" fillId="0" borderId="25" xfId="0" applyBorder="1"/>
    <xf numFmtId="0" fontId="5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/>
    </xf>
    <xf numFmtId="1" fontId="5" fillId="0" borderId="20" xfId="0" applyNumberFormat="1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1" fontId="5" fillId="0" borderId="22" xfId="0" applyNumberFormat="1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168" fontId="12" fillId="0" borderId="24" xfId="0" applyNumberFormat="1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12" fillId="0" borderId="19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/>
    <xf numFmtId="0" fontId="30" fillId="0" borderId="0" xfId="0" applyFont="1" applyAlignment="1">
      <alignment wrapText="1"/>
    </xf>
    <xf numFmtId="168" fontId="6" fillId="3" borderId="5" xfId="1" applyNumberFormat="1" applyFont="1" applyFill="1" applyBorder="1" applyAlignment="1">
      <alignment horizontal="center" vertical="center" wrapText="1"/>
    </xf>
    <xf numFmtId="172" fontId="6" fillId="3" borderId="29" xfId="4" applyNumberFormat="1" applyFont="1" applyFill="1" applyBorder="1" applyAlignment="1">
      <alignment horizontal="center" vertical="center" wrapText="1"/>
    </xf>
    <xf numFmtId="170" fontId="6" fillId="0" borderId="5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168" fontId="6" fillId="3" borderId="29" xfId="1" applyNumberFormat="1" applyFont="1" applyFill="1" applyBorder="1" applyAlignment="1">
      <alignment horizontal="center" vertical="center" wrapText="1"/>
    </xf>
    <xf numFmtId="0" fontId="29" fillId="0" borderId="0" xfId="0" applyFont="1" applyAlignment="1">
      <alignment wrapText="1"/>
    </xf>
    <xf numFmtId="172" fontId="6" fillId="3" borderId="0" xfId="4" applyNumberFormat="1" applyFont="1" applyFill="1" applyBorder="1" applyAlignment="1">
      <alignment horizontal="center" vertical="center" wrapText="1"/>
    </xf>
    <xf numFmtId="173" fontId="5" fillId="3" borderId="0" xfId="1" applyNumberFormat="1" applyFont="1" applyFill="1" applyBorder="1" applyAlignment="1">
      <alignment horizontal="center" vertical="center"/>
    </xf>
    <xf numFmtId="0" fontId="12" fillId="3" borderId="13" xfId="0" applyFont="1" applyFill="1" applyBorder="1" applyAlignment="1">
      <alignment horizontal="center" vertical="center"/>
    </xf>
    <xf numFmtId="173" fontId="12" fillId="3" borderId="22" xfId="1" applyNumberFormat="1" applyFont="1" applyFill="1" applyBorder="1" applyAlignment="1">
      <alignment horizontal="center" vertical="center"/>
    </xf>
    <xf numFmtId="0" fontId="12" fillId="3" borderId="24" xfId="0" applyFont="1" applyFill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/>
    </xf>
    <xf numFmtId="173" fontId="12" fillId="3" borderId="20" xfId="1" applyNumberFormat="1" applyFont="1" applyFill="1" applyBorder="1" applyAlignment="1">
      <alignment horizontal="center" vertical="center"/>
    </xf>
    <xf numFmtId="168" fontId="6" fillId="3" borderId="11" xfId="1" applyNumberFormat="1" applyFont="1" applyFill="1" applyBorder="1" applyAlignment="1">
      <alignment horizontal="center" vertical="center" wrapText="1"/>
    </xf>
    <xf numFmtId="0" fontId="16" fillId="0" borderId="18" xfId="1" applyNumberFormat="1" applyFont="1" applyFill="1" applyBorder="1" applyAlignment="1">
      <alignment horizontal="center" vertical="center"/>
    </xf>
    <xf numFmtId="0" fontId="16" fillId="0" borderId="21" xfId="1" applyNumberFormat="1" applyFont="1" applyFill="1" applyBorder="1" applyAlignment="1">
      <alignment horizontal="center" vertical="center"/>
    </xf>
    <xf numFmtId="0" fontId="16" fillId="0" borderId="23" xfId="1" applyNumberFormat="1" applyFont="1" applyFill="1" applyBorder="1" applyAlignment="1">
      <alignment horizontal="center" vertical="center"/>
    </xf>
    <xf numFmtId="1" fontId="16" fillId="0" borderId="19" xfId="1" applyNumberFormat="1" applyFont="1" applyFill="1" applyBorder="1" applyAlignment="1">
      <alignment horizontal="center" vertical="center"/>
    </xf>
    <xf numFmtId="1" fontId="16" fillId="0" borderId="13" xfId="1" applyNumberFormat="1" applyFont="1" applyFill="1" applyBorder="1" applyAlignment="1">
      <alignment horizontal="center" vertical="center"/>
    </xf>
    <xf numFmtId="1" fontId="16" fillId="0" borderId="24" xfId="1" applyNumberFormat="1" applyFont="1" applyFill="1" applyBorder="1" applyAlignment="1">
      <alignment horizontal="center" vertical="center"/>
    </xf>
    <xf numFmtId="1" fontId="12" fillId="3" borderId="18" xfId="0" applyNumberFormat="1" applyFont="1" applyFill="1" applyBorder="1" applyAlignment="1">
      <alignment horizontal="center" vertical="center"/>
    </xf>
    <xf numFmtId="1" fontId="12" fillId="3" borderId="21" xfId="0" applyNumberFormat="1" applyFont="1" applyFill="1" applyBorder="1" applyAlignment="1">
      <alignment horizontal="center" vertical="center"/>
    </xf>
    <xf numFmtId="1" fontId="12" fillId="3" borderId="20" xfId="0" applyNumberFormat="1" applyFont="1" applyFill="1" applyBorder="1" applyAlignment="1">
      <alignment horizontal="center" vertical="center"/>
    </xf>
    <xf numFmtId="1" fontId="12" fillId="3" borderId="22" xfId="0" applyNumberFormat="1" applyFont="1" applyFill="1" applyBorder="1" applyAlignment="1">
      <alignment horizontal="center" vertical="center"/>
    </xf>
    <xf numFmtId="1" fontId="12" fillId="3" borderId="19" xfId="0" applyNumberFormat="1" applyFont="1" applyFill="1" applyBorder="1" applyAlignment="1">
      <alignment horizontal="center" vertical="center"/>
    </xf>
    <xf numFmtId="1" fontId="12" fillId="3" borderId="13" xfId="0" applyNumberFormat="1" applyFont="1" applyFill="1" applyBorder="1" applyAlignment="1">
      <alignment horizontal="center" vertical="center"/>
    </xf>
    <xf numFmtId="1" fontId="12" fillId="3" borderId="24" xfId="0" applyNumberFormat="1" applyFont="1" applyFill="1" applyBorder="1" applyAlignment="1">
      <alignment horizontal="center" vertical="center"/>
    </xf>
    <xf numFmtId="1" fontId="12" fillId="0" borderId="35" xfId="0" applyNumberFormat="1" applyFont="1" applyBorder="1" applyAlignment="1">
      <alignment horizontal="center"/>
    </xf>
    <xf numFmtId="1" fontId="12" fillId="0" borderId="34" xfId="0" applyNumberFormat="1" applyFont="1" applyBorder="1" applyAlignment="1">
      <alignment horizontal="center"/>
    </xf>
    <xf numFmtId="1" fontId="12" fillId="0" borderId="36" xfId="0" applyNumberFormat="1" applyFont="1" applyBorder="1" applyAlignment="1">
      <alignment horizontal="center"/>
    </xf>
    <xf numFmtId="1" fontId="12" fillId="0" borderId="21" xfId="0" applyNumberFormat="1" applyFont="1" applyBorder="1" applyAlignment="1">
      <alignment horizontal="center" vertical="center"/>
    </xf>
    <xf numFmtId="0" fontId="32" fillId="0" borderId="0" xfId="0" applyFont="1" applyAlignment="1">
      <alignment vertical="top"/>
    </xf>
    <xf numFmtId="0" fontId="0" fillId="0" borderId="0" xfId="0" applyAlignment="1">
      <alignment vertical="top"/>
    </xf>
    <xf numFmtId="4" fontId="32" fillId="0" borderId="0" xfId="0" applyNumberFormat="1" applyFont="1" applyAlignment="1">
      <alignment vertical="top"/>
    </xf>
    <xf numFmtId="14" fontId="32" fillId="0" borderId="0" xfId="0" applyNumberFormat="1" applyFont="1" applyAlignment="1">
      <alignment vertical="top"/>
    </xf>
    <xf numFmtId="174" fontId="32" fillId="0" borderId="0" xfId="0" applyNumberFormat="1" applyFont="1" applyAlignment="1">
      <alignment vertical="top"/>
    </xf>
    <xf numFmtId="3" fontId="32" fillId="0" borderId="0" xfId="0" applyNumberFormat="1" applyFont="1" applyAlignment="1">
      <alignment vertical="top"/>
    </xf>
    <xf numFmtId="1" fontId="32" fillId="0" borderId="0" xfId="0" applyNumberFormat="1" applyFont="1" applyAlignment="1">
      <alignment vertical="top"/>
    </xf>
    <xf numFmtId="175" fontId="32" fillId="0" borderId="0" xfId="0" applyNumberFormat="1" applyFont="1" applyAlignment="1">
      <alignment vertical="top"/>
    </xf>
    <xf numFmtId="0" fontId="16" fillId="0" borderId="0" xfId="0" applyFont="1" applyAlignment="1">
      <alignment horizontal="left" vertical="center" wrapText="1"/>
    </xf>
    <xf numFmtId="0" fontId="2" fillId="0" borderId="0" xfId="0" applyFont="1"/>
    <xf numFmtId="14" fontId="2" fillId="0" borderId="0" xfId="0" applyNumberFormat="1" applyFont="1" applyAlignment="1">
      <alignment vertical="center" wrapText="1"/>
    </xf>
    <xf numFmtId="0" fontId="2" fillId="0" borderId="0" xfId="0" applyFont="1" applyAlignment="1">
      <alignment wrapText="1"/>
    </xf>
    <xf numFmtId="1" fontId="16" fillId="4" borderId="21" xfId="0" applyNumberFormat="1" applyFont="1" applyFill="1" applyBorder="1" applyAlignment="1">
      <alignment horizontal="center" vertical="center"/>
    </xf>
    <xf numFmtId="0" fontId="16" fillId="4" borderId="13" xfId="0" applyFont="1" applyFill="1" applyBorder="1" applyAlignment="1">
      <alignment horizontal="center" vertical="center"/>
    </xf>
    <xf numFmtId="0" fontId="16" fillId="4" borderId="13" xfId="0" applyFont="1" applyFill="1" applyBorder="1" applyAlignment="1">
      <alignment horizontal="left" vertical="center" wrapText="1"/>
    </xf>
    <xf numFmtId="164" fontId="16" fillId="4" borderId="13" xfId="1" applyNumberFormat="1" applyFont="1" applyFill="1" applyBorder="1" applyAlignment="1">
      <alignment horizontal="center" vertical="center"/>
    </xf>
    <xf numFmtId="43" fontId="16" fillId="4" borderId="13" xfId="1" applyFont="1" applyFill="1" applyBorder="1" applyAlignment="1">
      <alignment horizontal="center" vertical="center"/>
    </xf>
    <xf numFmtId="9" fontId="16" fillId="4" borderId="13" xfId="2" applyFont="1" applyFill="1" applyBorder="1" applyAlignment="1">
      <alignment horizontal="center" vertical="center"/>
    </xf>
    <xf numFmtId="0" fontId="0" fillId="4" borderId="0" xfId="0" applyFill="1"/>
    <xf numFmtId="9" fontId="12" fillId="4" borderId="21" xfId="2" applyFont="1" applyFill="1" applyBorder="1" applyAlignment="1">
      <alignment horizontal="center" vertical="center"/>
    </xf>
    <xf numFmtId="0" fontId="12" fillId="4" borderId="13" xfId="0" applyFont="1" applyFill="1" applyBorder="1" applyAlignment="1">
      <alignment horizontal="center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1" xfId="0" applyFont="1" applyFill="1" applyBorder="1" applyAlignment="1">
      <alignment horizontal="center" vertical="center"/>
    </xf>
    <xf numFmtId="0" fontId="16" fillId="4" borderId="21" xfId="1" applyNumberFormat="1" applyFont="1" applyFill="1" applyBorder="1" applyAlignment="1">
      <alignment horizontal="center" vertical="center"/>
    </xf>
    <xf numFmtId="1" fontId="16" fillId="4" borderId="13" xfId="1" applyNumberFormat="1" applyFont="1" applyFill="1" applyBorder="1" applyAlignment="1">
      <alignment horizontal="center" vertical="center"/>
    </xf>
    <xf numFmtId="44" fontId="16" fillId="4" borderId="13" xfId="3" applyFont="1" applyFill="1" applyBorder="1" applyAlignment="1">
      <alignment horizontal="center" vertical="center"/>
    </xf>
    <xf numFmtId="166" fontId="16" fillId="4" borderId="13" xfId="3" applyNumberFormat="1" applyFont="1" applyFill="1" applyBorder="1" applyAlignment="1">
      <alignment horizontal="center" vertical="center"/>
    </xf>
    <xf numFmtId="165" fontId="16" fillId="4" borderId="13" xfId="1" applyNumberFormat="1" applyFont="1" applyFill="1" applyBorder="1" applyAlignment="1">
      <alignment horizontal="center" vertical="center"/>
    </xf>
    <xf numFmtId="0" fontId="16" fillId="4" borderId="13" xfId="0" applyFont="1" applyFill="1" applyBorder="1" applyAlignment="1">
      <alignment horizontal="center" vertical="center" wrapText="1"/>
    </xf>
    <xf numFmtId="1" fontId="12" fillId="0" borderId="18" xfId="0" applyNumberFormat="1" applyFont="1" applyBorder="1" applyAlignment="1">
      <alignment horizontal="center" vertical="center"/>
    </xf>
    <xf numFmtId="1" fontId="12" fillId="0" borderId="23" xfId="0" applyNumberFormat="1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19" xfId="0" applyFont="1" applyBorder="1" applyAlignment="1">
      <alignment horizontal="left" vertical="center" wrapText="1"/>
    </xf>
    <xf numFmtId="164" fontId="16" fillId="0" borderId="19" xfId="1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 wrapText="1"/>
    </xf>
    <xf numFmtId="1" fontId="12" fillId="3" borderId="23" xfId="0" applyNumberFormat="1" applyFont="1" applyFill="1" applyBorder="1" applyAlignment="1">
      <alignment horizontal="center" vertical="center"/>
    </xf>
    <xf numFmtId="0" fontId="12" fillId="0" borderId="24" xfId="0" applyFont="1" applyBorder="1" applyAlignment="1">
      <alignment horizontal="center" vertical="center" wrapText="1"/>
    </xf>
    <xf numFmtId="1" fontId="12" fillId="3" borderId="21" xfId="0" applyNumberFormat="1" applyFont="1" applyFill="1" applyBorder="1" applyAlignment="1">
      <alignment horizontal="center"/>
    </xf>
    <xf numFmtId="0" fontId="12" fillId="3" borderId="22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12" fillId="3" borderId="22" xfId="0" applyFont="1" applyFill="1" applyBorder="1" applyAlignment="1">
      <alignment horizontal="center" vertical="center"/>
    </xf>
    <xf numFmtId="0" fontId="12" fillId="3" borderId="25" xfId="0" applyFont="1" applyFill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3" xfId="0" applyBorder="1" applyAlignment="1">
      <alignment horizontal="left" vertical="center" wrapText="1"/>
    </xf>
    <xf numFmtId="0" fontId="26" fillId="0" borderId="28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168" fontId="12" fillId="0" borderId="17" xfId="0" applyNumberFormat="1" applyFont="1" applyBorder="1" applyAlignment="1">
      <alignment horizontal="center"/>
    </xf>
    <xf numFmtId="1" fontId="12" fillId="0" borderId="17" xfId="0" applyNumberFormat="1" applyFont="1" applyBorder="1" applyAlignment="1">
      <alignment horizontal="center"/>
    </xf>
    <xf numFmtId="1" fontId="12" fillId="0" borderId="26" xfId="0" applyNumberFormat="1" applyFont="1" applyBorder="1" applyAlignment="1">
      <alignment horizontal="center"/>
    </xf>
    <xf numFmtId="0" fontId="26" fillId="0" borderId="1" xfId="0" applyFont="1" applyBorder="1" applyAlignment="1">
      <alignment horizontal="center" vertical="center" wrapText="1"/>
    </xf>
    <xf numFmtId="0" fontId="33" fillId="0" borderId="11" xfId="0" applyFont="1" applyBorder="1" applyAlignment="1">
      <alignment horizontal="center" vertical="center" wrapText="1"/>
    </xf>
    <xf numFmtId="164" fontId="16" fillId="0" borderId="38" xfId="1" applyNumberFormat="1" applyFont="1" applyBorder="1" applyAlignment="1">
      <alignment horizontal="center" vertical="center"/>
    </xf>
    <xf numFmtId="1" fontId="16" fillId="0" borderId="38" xfId="1" applyNumberFormat="1" applyFont="1" applyFill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168" fontId="12" fillId="3" borderId="22" xfId="1" applyNumberFormat="1" applyFont="1" applyFill="1" applyBorder="1" applyAlignment="1">
      <alignment horizontal="center" vertical="center"/>
    </xf>
    <xf numFmtId="168" fontId="12" fillId="3" borderId="25" xfId="1" applyNumberFormat="1" applyFont="1" applyFill="1" applyBorder="1" applyAlignment="1">
      <alignment horizontal="center" vertical="center"/>
    </xf>
    <xf numFmtId="0" fontId="24" fillId="0" borderId="1" xfId="0" applyFont="1" applyBorder="1" applyAlignment="1">
      <alignment vertical="center"/>
    </xf>
    <xf numFmtId="0" fontId="24" fillId="0" borderId="2" xfId="0" applyFont="1" applyBorder="1" applyAlignment="1">
      <alignment vertical="center"/>
    </xf>
    <xf numFmtId="16" fontId="23" fillId="0" borderId="1" xfId="0" applyNumberFormat="1" applyFont="1" applyBorder="1"/>
    <xf numFmtId="0" fontId="35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34" fillId="0" borderId="0" xfId="0" applyFont="1"/>
    <xf numFmtId="0" fontId="24" fillId="0" borderId="0" xfId="0" applyFont="1" applyAlignment="1">
      <alignment vertical="center"/>
    </xf>
    <xf numFmtId="16" fontId="23" fillId="0" borderId="0" xfId="0" applyNumberFormat="1" applyFont="1"/>
    <xf numFmtId="1" fontId="16" fillId="0" borderId="40" xfId="0" applyNumberFormat="1" applyFont="1" applyBorder="1" applyAlignment="1">
      <alignment horizontal="center" vertical="center"/>
    </xf>
    <xf numFmtId="0" fontId="16" fillId="0" borderId="41" xfId="0" applyFont="1" applyBorder="1" applyAlignment="1">
      <alignment horizontal="left" vertical="center" wrapText="1"/>
    </xf>
    <xf numFmtId="164" fontId="16" fillId="0" borderId="41" xfId="1" applyNumberFormat="1" applyFont="1" applyBorder="1" applyAlignment="1">
      <alignment horizontal="center" vertical="center"/>
    </xf>
    <xf numFmtId="164" fontId="16" fillId="0" borderId="41" xfId="1" applyNumberFormat="1" applyFont="1" applyFill="1" applyBorder="1" applyAlignment="1">
      <alignment horizontal="center" vertical="center"/>
    </xf>
    <xf numFmtId="43" fontId="16" fillId="0" borderId="41" xfId="1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176" fontId="16" fillId="0" borderId="19" xfId="1" applyNumberFormat="1" applyFont="1" applyFill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16" fontId="23" fillId="0" borderId="0" xfId="0" applyNumberFormat="1" applyFont="1" applyAlignment="1">
      <alignment horizontal="center" vertical="center"/>
    </xf>
    <xf numFmtId="16" fontId="23" fillId="0" borderId="0" xfId="0" applyNumberFormat="1" applyFont="1" applyAlignment="1">
      <alignment horizontal="center"/>
    </xf>
    <xf numFmtId="0" fontId="23" fillId="0" borderId="0" xfId="0" applyFont="1"/>
    <xf numFmtId="0" fontId="37" fillId="0" borderId="0" xfId="0" applyFont="1"/>
    <xf numFmtId="0" fontId="36" fillId="0" borderId="0" xfId="0" applyFont="1"/>
    <xf numFmtId="0" fontId="5" fillId="0" borderId="0" xfId="0" applyFont="1"/>
    <xf numFmtId="0" fontId="16" fillId="0" borderId="20" xfId="0" applyFont="1" applyBorder="1" applyAlignment="1">
      <alignment horizontal="left" vertical="center" wrapText="1"/>
    </xf>
    <xf numFmtId="0" fontId="16" fillId="0" borderId="22" xfId="0" applyFont="1" applyBorder="1" applyAlignment="1">
      <alignment horizontal="left" vertical="center" wrapText="1"/>
    </xf>
    <xf numFmtId="0" fontId="16" fillId="0" borderId="25" xfId="0" applyFont="1" applyBorder="1" applyAlignment="1">
      <alignment horizontal="left" vertical="center" wrapText="1"/>
    </xf>
    <xf numFmtId="0" fontId="16" fillId="0" borderId="42" xfId="0" applyFont="1" applyBorder="1" applyAlignment="1">
      <alignment horizontal="left" vertical="center" wrapText="1"/>
    </xf>
    <xf numFmtId="0" fontId="12" fillId="0" borderId="0" xfId="0" applyFont="1" applyAlignment="1">
      <alignment horizontal="center"/>
    </xf>
    <xf numFmtId="0" fontId="12" fillId="4" borderId="0" xfId="0" applyFont="1" applyFill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9" fontId="16" fillId="0" borderId="18" xfId="2" applyFont="1" applyFill="1" applyBorder="1" applyAlignment="1">
      <alignment horizontal="center" vertical="center"/>
    </xf>
    <xf numFmtId="9" fontId="12" fillId="0" borderId="20" xfId="2" applyFont="1" applyBorder="1" applyAlignment="1">
      <alignment horizontal="center" vertical="center"/>
    </xf>
    <xf numFmtId="9" fontId="16" fillId="0" borderId="21" xfId="2" applyFont="1" applyFill="1" applyBorder="1" applyAlignment="1">
      <alignment horizontal="center" vertical="center"/>
    </xf>
    <xf numFmtId="9" fontId="12" fillId="0" borderId="22" xfId="2" applyFont="1" applyBorder="1" applyAlignment="1">
      <alignment horizontal="center" vertical="center"/>
    </xf>
    <xf numFmtId="9" fontId="16" fillId="0" borderId="23" xfId="2" applyFont="1" applyFill="1" applyBorder="1" applyAlignment="1">
      <alignment horizontal="center" vertical="center"/>
    </xf>
    <xf numFmtId="9" fontId="12" fillId="0" borderId="25" xfId="2" applyFont="1" applyBorder="1" applyAlignment="1">
      <alignment horizontal="center" vertical="center"/>
    </xf>
    <xf numFmtId="164" fontId="16" fillId="0" borderId="18" xfId="1" applyNumberFormat="1" applyFont="1" applyFill="1" applyBorder="1" applyAlignment="1">
      <alignment horizontal="center" vertical="center"/>
    </xf>
    <xf numFmtId="164" fontId="16" fillId="0" borderId="20" xfId="1" applyNumberFormat="1" applyFont="1" applyBorder="1" applyAlignment="1">
      <alignment horizontal="center" vertical="center"/>
    </xf>
    <xf numFmtId="164" fontId="16" fillId="0" borderId="21" xfId="1" applyNumberFormat="1" applyFont="1" applyFill="1" applyBorder="1" applyAlignment="1">
      <alignment horizontal="center" vertical="center"/>
    </xf>
    <xf numFmtId="164" fontId="16" fillId="0" borderId="22" xfId="1" applyNumberFormat="1" applyFont="1" applyBorder="1" applyAlignment="1">
      <alignment horizontal="center" vertical="center"/>
    </xf>
    <xf numFmtId="164" fontId="16" fillId="0" borderId="23" xfId="1" applyNumberFormat="1" applyFont="1" applyFill="1" applyBorder="1" applyAlignment="1">
      <alignment horizontal="center" vertical="center"/>
    </xf>
    <xf numFmtId="164" fontId="16" fillId="0" borderId="25" xfId="1" applyNumberFormat="1" applyFont="1" applyBorder="1" applyAlignment="1">
      <alignment horizontal="center" vertical="center"/>
    </xf>
    <xf numFmtId="0" fontId="12" fillId="0" borderId="20" xfId="0" applyFont="1" applyBorder="1" applyAlignment="1">
      <alignment horizontal="center"/>
    </xf>
    <xf numFmtId="166" fontId="16" fillId="0" borderId="19" xfId="3" applyNumberFormat="1" applyFont="1" applyFill="1" applyBorder="1" applyAlignment="1">
      <alignment horizontal="center" vertical="center"/>
    </xf>
    <xf numFmtId="0" fontId="16" fillId="0" borderId="40" xfId="1" applyNumberFormat="1" applyFont="1" applyFill="1" applyBorder="1" applyAlignment="1">
      <alignment horizontal="center" vertical="center"/>
    </xf>
    <xf numFmtId="1" fontId="16" fillId="0" borderId="41" xfId="1" applyNumberFormat="1" applyFont="1" applyFill="1" applyBorder="1" applyAlignment="1">
      <alignment horizontal="center" vertical="center"/>
    </xf>
    <xf numFmtId="44" fontId="16" fillId="0" borderId="41" xfId="3" applyFont="1" applyFill="1" applyBorder="1" applyAlignment="1">
      <alignment horizontal="center" vertical="center"/>
    </xf>
    <xf numFmtId="166" fontId="16" fillId="0" borderId="41" xfId="3" applyNumberFormat="1" applyFont="1" applyFill="1" applyBorder="1" applyAlignment="1">
      <alignment horizontal="center" vertical="center"/>
    </xf>
    <xf numFmtId="165" fontId="16" fillId="0" borderId="41" xfId="1" applyNumberFormat="1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/>
    </xf>
    <xf numFmtId="164" fontId="16" fillId="0" borderId="42" xfId="1" applyNumberFormat="1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44" fontId="16" fillId="0" borderId="24" xfId="1" applyNumberFormat="1" applyFont="1" applyFill="1" applyBorder="1" applyAlignment="1">
      <alignment horizontal="center" vertical="center"/>
    </xf>
    <xf numFmtId="9" fontId="16" fillId="0" borderId="40" xfId="2" applyFont="1" applyFill="1" applyBorder="1" applyAlignment="1">
      <alignment horizontal="center" vertical="center"/>
    </xf>
    <xf numFmtId="9" fontId="12" fillId="0" borderId="42" xfId="2" applyFont="1" applyBorder="1" applyAlignment="1">
      <alignment horizontal="center" vertical="center"/>
    </xf>
    <xf numFmtId="164" fontId="16" fillId="0" borderId="40" xfId="1" applyNumberFormat="1" applyFont="1" applyFill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1" fontId="12" fillId="0" borderId="40" xfId="0" applyNumberFormat="1" applyFont="1" applyBorder="1" applyAlignment="1">
      <alignment horizontal="center" vertical="center"/>
    </xf>
    <xf numFmtId="164" fontId="12" fillId="0" borderId="42" xfId="0" applyNumberFormat="1" applyFont="1" applyBorder="1" applyAlignment="1">
      <alignment horizontal="center" vertical="center"/>
    </xf>
    <xf numFmtId="176" fontId="16" fillId="0" borderId="23" xfId="1" applyNumberFormat="1" applyFont="1" applyFill="1" applyBorder="1" applyAlignment="1">
      <alignment horizontal="center" vertical="center"/>
    </xf>
    <xf numFmtId="1" fontId="12" fillId="0" borderId="20" xfId="0" applyNumberFormat="1" applyFont="1" applyBorder="1" applyAlignment="1">
      <alignment horizontal="center" vertical="center"/>
    </xf>
    <xf numFmtId="1" fontId="12" fillId="0" borderId="25" xfId="0" applyNumberFormat="1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38" xfId="0" applyFont="1" applyBorder="1" applyAlignment="1">
      <alignment horizontal="left" vertical="center" wrapText="1"/>
    </xf>
    <xf numFmtId="0" fontId="16" fillId="0" borderId="39" xfId="0" applyFont="1" applyBorder="1" applyAlignment="1">
      <alignment horizontal="left" vertical="center" wrapText="1"/>
    </xf>
    <xf numFmtId="164" fontId="16" fillId="0" borderId="39" xfId="1" applyNumberFormat="1" applyFont="1" applyBorder="1" applyAlignment="1">
      <alignment horizontal="center" vertical="center"/>
    </xf>
    <xf numFmtId="44" fontId="16" fillId="0" borderId="38" xfId="1" applyNumberFormat="1" applyFont="1" applyFill="1" applyBorder="1" applyAlignment="1">
      <alignment horizontal="center" vertical="center"/>
    </xf>
    <xf numFmtId="165" fontId="16" fillId="0" borderId="38" xfId="1" applyNumberFormat="1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 wrapText="1"/>
    </xf>
    <xf numFmtId="14" fontId="41" fillId="0" borderId="4" xfId="0" applyNumberFormat="1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top" wrapText="1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6" xfId="0" applyBorder="1"/>
    <xf numFmtId="0" fontId="0" fillId="0" borderId="10" xfId="0" applyBorder="1"/>
    <xf numFmtId="0" fontId="0" fillId="0" borderId="8" xfId="0" applyBorder="1"/>
    <xf numFmtId="0" fontId="0" fillId="0" borderId="4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2" fontId="16" fillId="0" borderId="40" xfId="1" applyNumberFormat="1" applyFont="1" applyFill="1" applyBorder="1" applyAlignment="1">
      <alignment horizontal="center" vertical="center"/>
    </xf>
    <xf numFmtId="1" fontId="12" fillId="0" borderId="41" xfId="0" applyNumberFormat="1" applyFont="1" applyBorder="1" applyAlignment="1">
      <alignment horizontal="center" vertical="center"/>
    </xf>
    <xf numFmtId="0" fontId="14" fillId="0" borderId="4" xfId="0" applyFont="1" applyBorder="1" applyAlignment="1">
      <alignment vertical="center"/>
    </xf>
    <xf numFmtId="0" fontId="14" fillId="6" borderId="14" xfId="0" applyFont="1" applyFill="1" applyBorder="1" applyAlignment="1">
      <alignment horizontal="center" vertical="center"/>
    </xf>
    <xf numFmtId="164" fontId="42" fillId="0" borderId="12" xfId="1" applyNumberFormat="1" applyFont="1" applyFill="1" applyBorder="1" applyAlignment="1">
      <alignment horizontal="center" vertical="center"/>
    </xf>
    <xf numFmtId="0" fontId="13" fillId="0" borderId="8" xfId="0" applyFont="1" applyBorder="1" applyAlignment="1">
      <alignment horizontal="left"/>
    </xf>
    <xf numFmtId="164" fontId="43" fillId="0" borderId="12" xfId="1" applyNumberFormat="1" applyFont="1" applyFill="1" applyBorder="1" applyAlignment="1">
      <alignment horizontal="center" vertical="center"/>
    </xf>
    <xf numFmtId="164" fontId="44" fillId="0" borderId="12" xfId="1" applyNumberFormat="1" applyFont="1" applyFill="1" applyBorder="1" applyAlignment="1">
      <alignment horizontal="center" vertical="center"/>
    </xf>
    <xf numFmtId="164" fontId="44" fillId="7" borderId="12" xfId="1" applyNumberFormat="1" applyFont="1" applyFill="1" applyBorder="1" applyAlignment="1">
      <alignment horizontal="center" vertical="center"/>
    </xf>
    <xf numFmtId="164" fontId="43" fillId="7" borderId="12" xfId="1" applyNumberFormat="1" applyFont="1" applyFill="1" applyBorder="1" applyAlignment="1">
      <alignment horizontal="center" vertical="center"/>
    </xf>
    <xf numFmtId="0" fontId="14" fillId="6" borderId="43" xfId="0" applyFont="1" applyFill="1" applyBorder="1" applyAlignment="1">
      <alignment horizontal="center" vertical="center"/>
    </xf>
    <xf numFmtId="0" fontId="17" fillId="0" borderId="8" xfId="0" applyFont="1" applyBorder="1" applyAlignment="1">
      <alignment horizontal="left"/>
    </xf>
    <xf numFmtId="164" fontId="35" fillId="0" borderId="12" xfId="1" applyNumberFormat="1" applyFont="1" applyFill="1" applyBorder="1" applyAlignment="1">
      <alignment horizontal="center" vertical="center"/>
    </xf>
    <xf numFmtId="0" fontId="8" fillId="0" borderId="8" xfId="0" applyFont="1" applyBorder="1" applyAlignment="1">
      <alignment horizontal="left"/>
    </xf>
    <xf numFmtId="164" fontId="35" fillId="7" borderId="12" xfId="1" applyNumberFormat="1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164" fontId="43" fillId="3" borderId="12" xfId="1" applyNumberFormat="1" applyFont="1" applyFill="1" applyBorder="1" applyAlignment="1">
      <alignment horizontal="center" vertical="center"/>
    </xf>
    <xf numFmtId="0" fontId="14" fillId="6" borderId="14" xfId="0" quotePrefix="1" applyFont="1" applyFill="1" applyBorder="1" applyAlignment="1">
      <alignment horizontal="center" vertical="center"/>
    </xf>
    <xf numFmtId="0" fontId="14" fillId="6" borderId="21" xfId="0" applyFont="1" applyFill="1" applyBorder="1" applyAlignment="1">
      <alignment horizontal="center" vertical="center"/>
    </xf>
    <xf numFmtId="164" fontId="35" fillId="3" borderId="12" xfId="1" applyNumberFormat="1" applyFont="1" applyFill="1" applyBorder="1" applyAlignment="1">
      <alignment horizontal="center" vertical="center"/>
    </xf>
    <xf numFmtId="0" fontId="14" fillId="6" borderId="44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64" fontId="35" fillId="0" borderId="0" xfId="1" applyNumberFormat="1" applyFont="1" applyFill="1" applyBorder="1" applyAlignment="1">
      <alignment horizontal="center" vertical="center"/>
    </xf>
    <xf numFmtId="0" fontId="6" fillId="6" borderId="44" xfId="0" applyFont="1" applyFill="1" applyBorder="1" applyAlignment="1">
      <alignment horizontal="center" vertical="center"/>
    </xf>
    <xf numFmtId="0" fontId="6" fillId="6" borderId="43" xfId="0" applyFont="1" applyFill="1" applyBorder="1" applyAlignment="1">
      <alignment horizontal="center" vertical="center"/>
    </xf>
    <xf numFmtId="0" fontId="6" fillId="0" borderId="14" xfId="0" quotePrefix="1" applyFont="1" applyBorder="1" applyAlignment="1">
      <alignment horizontal="center" vertical="center"/>
    </xf>
    <xf numFmtId="0" fontId="15" fillId="0" borderId="7" xfId="0" applyFont="1" applyBorder="1"/>
    <xf numFmtId="0" fontId="36" fillId="0" borderId="14" xfId="0" applyFont="1" applyBorder="1" applyAlignment="1">
      <alignment horizontal="center" vertical="center"/>
    </xf>
    <xf numFmtId="164" fontId="13" fillId="0" borderId="12" xfId="1" applyNumberFormat="1" applyFont="1" applyFill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16" fillId="8" borderId="7" xfId="0" applyFont="1" applyFill="1" applyBorder="1" applyAlignment="1">
      <alignment horizontal="left"/>
    </xf>
    <xf numFmtId="0" fontId="15" fillId="8" borderId="7" xfId="0" applyFont="1" applyFill="1" applyBorder="1"/>
    <xf numFmtId="0" fontId="6" fillId="0" borderId="0" xfId="0" applyFont="1" applyAlignment="1">
      <alignment horizontal="center" vertical="center"/>
    </xf>
    <xf numFmtId="0" fontId="7" fillId="8" borderId="0" xfId="0" applyFont="1" applyFill="1" applyAlignment="1">
      <alignment horizontal="left"/>
    </xf>
    <xf numFmtId="164" fontId="35" fillId="3" borderId="0" xfId="1" applyNumberFormat="1" applyFont="1" applyFill="1" applyBorder="1" applyAlignment="1">
      <alignment horizontal="center" vertical="center"/>
    </xf>
    <xf numFmtId="0" fontId="7" fillId="8" borderId="8" xfId="0" applyFont="1" applyFill="1" applyBorder="1" applyAlignment="1">
      <alignment horizontal="left"/>
    </xf>
    <xf numFmtId="0" fontId="0" fillId="0" borderId="13" xfId="0" applyBorder="1" applyAlignment="1">
      <alignment horizontal="center" vertical="center"/>
    </xf>
    <xf numFmtId="0" fontId="7" fillId="8" borderId="13" xfId="0" applyFont="1" applyFill="1" applyBorder="1" applyAlignment="1">
      <alignment horizontal="left"/>
    </xf>
    <xf numFmtId="164" fontId="35" fillId="3" borderId="13" xfId="1" applyNumberFormat="1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12" fillId="8" borderId="13" xfId="0" applyFont="1" applyFill="1" applyBorder="1" applyAlignment="1">
      <alignment horizontal="left"/>
    </xf>
    <xf numFmtId="0" fontId="12" fillId="8" borderId="8" xfId="0" applyFont="1" applyFill="1" applyBorder="1" applyAlignment="1">
      <alignment horizontal="left"/>
    </xf>
    <xf numFmtId="164" fontId="35" fillId="4" borderId="12" xfId="1" applyNumberFormat="1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8" fillId="8" borderId="8" xfId="0" applyFont="1" applyFill="1" applyBorder="1" applyAlignment="1">
      <alignment horizontal="left"/>
    </xf>
    <xf numFmtId="0" fontId="8" fillId="8" borderId="7" xfId="0" applyFont="1" applyFill="1" applyBorder="1" applyAlignment="1">
      <alignment horizontal="left"/>
    </xf>
    <xf numFmtId="0" fontId="0" fillId="0" borderId="7" xfId="0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12" fillId="8" borderId="12" xfId="0" applyFont="1" applyFill="1" applyBorder="1" applyAlignment="1">
      <alignment horizontal="left"/>
    </xf>
    <xf numFmtId="0" fontId="8" fillId="8" borderId="0" xfId="0" applyFont="1" applyFill="1" applyAlignment="1">
      <alignment horizontal="left"/>
    </xf>
    <xf numFmtId="0" fontId="6" fillId="0" borderId="27" xfId="0" applyFont="1" applyBorder="1" applyAlignment="1">
      <alignment horizontal="center" vertical="center"/>
    </xf>
    <xf numFmtId="0" fontId="12" fillId="8" borderId="17" xfId="0" applyFont="1" applyFill="1" applyBorder="1" applyAlignment="1">
      <alignment horizontal="left"/>
    </xf>
    <xf numFmtId="164" fontId="35" fillId="3" borderId="17" xfId="1" applyNumberFormat="1" applyFont="1" applyFill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18" fillId="8" borderId="6" xfId="0" applyFont="1" applyFill="1" applyBorder="1" applyAlignment="1">
      <alignment horizontal="left"/>
    </xf>
    <xf numFmtId="164" fontId="35" fillId="7" borderId="6" xfId="1" applyNumberFormat="1" applyFont="1" applyFill="1" applyBorder="1" applyAlignment="1">
      <alignment horizontal="center" vertical="center"/>
    </xf>
    <xf numFmtId="0" fontId="28" fillId="0" borderId="12" xfId="0" applyFont="1" applyBorder="1" applyAlignment="1">
      <alignment horizontal="center" vertical="center"/>
    </xf>
    <xf numFmtId="0" fontId="14" fillId="0" borderId="14" xfId="0" quotePrefix="1" applyFont="1" applyBorder="1" applyAlignment="1">
      <alignment horizontal="center" vertical="center"/>
    </xf>
    <xf numFmtId="0" fontId="7" fillId="8" borderId="7" xfId="0" applyFont="1" applyFill="1" applyBorder="1" applyAlignment="1">
      <alignment horizontal="left"/>
    </xf>
    <xf numFmtId="0" fontId="16" fillId="8" borderId="8" xfId="0" applyFont="1" applyFill="1" applyBorder="1" applyAlignment="1">
      <alignment horizontal="left"/>
    </xf>
    <xf numFmtId="0" fontId="14" fillId="0" borderId="21" xfId="0" quotePrefix="1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7" fillId="8" borderId="16" xfId="0" applyFont="1" applyFill="1" applyBorder="1" applyAlignment="1">
      <alignment horizontal="left"/>
    </xf>
    <xf numFmtId="164" fontId="35" fillId="3" borderId="47" xfId="1" applyNumberFormat="1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left"/>
    </xf>
    <xf numFmtId="0" fontId="12" fillId="0" borderId="14" xfId="0" applyFont="1" applyBorder="1" applyAlignment="1">
      <alignment horizontal="center" vertical="center"/>
    </xf>
    <xf numFmtId="0" fontId="12" fillId="8" borderId="7" xfId="0" applyFont="1" applyFill="1" applyBorder="1" applyAlignment="1">
      <alignment horizontal="left"/>
    </xf>
    <xf numFmtId="0" fontId="7" fillId="0" borderId="9" xfId="0" applyFont="1" applyBorder="1" applyAlignment="1">
      <alignment horizontal="left"/>
    </xf>
    <xf numFmtId="0" fontId="0" fillId="0" borderId="21" xfId="0" applyBorder="1" applyAlignment="1">
      <alignment horizontal="center" vertical="center"/>
    </xf>
    <xf numFmtId="164" fontId="35" fillId="0" borderId="8" xfId="1" applyNumberFormat="1" applyFont="1" applyFill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18" fillId="0" borderId="0" xfId="0" applyFont="1"/>
    <xf numFmtId="0" fontId="28" fillId="0" borderId="0" xfId="0" applyFont="1" applyAlignment="1">
      <alignment horizontal="center" vertical="center"/>
    </xf>
    <xf numFmtId="0" fontId="15" fillId="8" borderId="12" xfId="0" applyFont="1" applyFill="1" applyBorder="1" applyAlignment="1">
      <alignment horizontal="left"/>
    </xf>
    <xf numFmtId="0" fontId="15" fillId="8" borderId="8" xfId="0" applyFont="1" applyFill="1" applyBorder="1"/>
    <xf numFmtId="0" fontId="15" fillId="8" borderId="8" xfId="0" applyFont="1" applyFill="1" applyBorder="1" applyAlignment="1">
      <alignment horizontal="left"/>
    </xf>
    <xf numFmtId="164" fontId="14" fillId="0" borderId="12" xfId="1" applyNumberFormat="1" applyFont="1" applyFill="1" applyBorder="1" applyAlignment="1">
      <alignment horizontal="center" vertical="center"/>
    </xf>
    <xf numFmtId="164" fontId="35" fillId="9" borderId="12" xfId="1" applyNumberFormat="1" applyFont="1" applyFill="1" applyBorder="1" applyAlignment="1">
      <alignment horizontal="center" vertical="center"/>
    </xf>
    <xf numFmtId="0" fontId="37" fillId="0" borderId="14" xfId="0" applyFont="1" applyBorder="1" applyAlignment="1">
      <alignment vertical="center"/>
    </xf>
    <xf numFmtId="0" fontId="18" fillId="0" borderId="8" xfId="0" applyFont="1" applyBorder="1"/>
    <xf numFmtId="0" fontId="37" fillId="0" borderId="8" xfId="0" applyFont="1" applyBorder="1"/>
    <xf numFmtId="164" fontId="37" fillId="0" borderId="12" xfId="1" applyNumberFormat="1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 wrapText="1"/>
    </xf>
    <xf numFmtId="0" fontId="14" fillId="0" borderId="29" xfId="0" applyFont="1" applyBorder="1" applyAlignment="1">
      <alignment horizontal="center" vertical="center" wrapText="1"/>
    </xf>
    <xf numFmtId="176" fontId="16" fillId="0" borderId="13" xfId="1" applyNumberFormat="1" applyFont="1" applyFill="1" applyBorder="1" applyAlignment="1">
      <alignment horizontal="center" vertical="center"/>
    </xf>
    <xf numFmtId="176" fontId="16" fillId="0" borderId="21" xfId="1" applyNumberFormat="1" applyFont="1" applyFill="1" applyBorder="1" applyAlignment="1">
      <alignment horizontal="center" vertical="center"/>
    </xf>
    <xf numFmtId="0" fontId="6" fillId="0" borderId="29" xfId="0" applyFont="1" applyBorder="1" applyAlignment="1">
      <alignment horizontal="center" vertical="center" wrapText="1"/>
    </xf>
    <xf numFmtId="1" fontId="12" fillId="0" borderId="22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left" vertical="center" wrapText="1"/>
    </xf>
    <xf numFmtId="0" fontId="16" fillId="0" borderId="23" xfId="0" applyFont="1" applyBorder="1" applyAlignment="1">
      <alignment horizontal="left" vertical="center" wrapText="1"/>
    </xf>
    <xf numFmtId="0" fontId="16" fillId="0" borderId="18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0" fillId="0" borderId="23" xfId="0" applyBorder="1" applyAlignment="1">
      <alignment horizontal="center"/>
    </xf>
    <xf numFmtId="0" fontId="6" fillId="0" borderId="0" xfId="0" applyFont="1" applyAlignment="1">
      <alignment horizontal="center"/>
    </xf>
    <xf numFmtId="0" fontId="47" fillId="0" borderId="0" xfId="0" applyFont="1" applyAlignment="1">
      <alignment horizontal="center"/>
    </xf>
    <xf numFmtId="0" fontId="47" fillId="0" borderId="4" xfId="0" applyFont="1" applyBorder="1" applyAlignment="1">
      <alignment horizontal="center" vertical="center"/>
    </xf>
    <xf numFmtId="0" fontId="16" fillId="0" borderId="58" xfId="0" applyFont="1" applyBorder="1" applyAlignment="1">
      <alignment horizontal="left" vertical="center" wrapText="1"/>
    </xf>
    <xf numFmtId="0" fontId="0" fillId="0" borderId="59" xfId="0" applyBorder="1"/>
    <xf numFmtId="0" fontId="0" fillId="0" borderId="34" xfId="0" applyBorder="1"/>
    <xf numFmtId="0" fontId="0" fillId="0" borderId="36" xfId="0" applyBorder="1"/>
    <xf numFmtId="1" fontId="16" fillId="0" borderId="40" xfId="1" applyNumberFormat="1" applyFont="1" applyFill="1" applyBorder="1" applyAlignment="1">
      <alignment horizontal="center" vertical="center"/>
    </xf>
    <xf numFmtId="0" fontId="16" fillId="0" borderId="3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/>
    </xf>
    <xf numFmtId="16" fontId="23" fillId="0" borderId="3" xfId="0" applyNumberFormat="1" applyFont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 wrapText="1"/>
    </xf>
    <xf numFmtId="0" fontId="47" fillId="0" borderId="3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12" fillId="0" borderId="57" xfId="0" applyFont="1" applyBorder="1" applyAlignment="1">
      <alignment horizontal="center"/>
    </xf>
    <xf numFmtId="0" fontId="6" fillId="0" borderId="11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14" fontId="47" fillId="0" borderId="11" xfId="0" applyNumberFormat="1" applyFont="1" applyBorder="1" applyAlignment="1">
      <alignment horizontal="center" vertical="center"/>
    </xf>
    <xf numFmtId="14" fontId="47" fillId="0" borderId="29" xfId="0" applyNumberFormat="1" applyFont="1" applyBorder="1" applyAlignment="1">
      <alignment horizontal="center" vertical="center"/>
    </xf>
    <xf numFmtId="14" fontId="47" fillId="0" borderId="31" xfId="0" applyNumberFormat="1" applyFont="1" applyBorder="1" applyAlignment="1">
      <alignment horizontal="center" vertical="center"/>
    </xf>
    <xf numFmtId="14" fontId="47" fillId="0" borderId="33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47" fillId="0" borderId="33" xfId="0" applyFont="1" applyBorder="1" applyAlignment="1">
      <alignment horizontal="center"/>
    </xf>
    <xf numFmtId="0" fontId="45" fillId="0" borderId="11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29" xfId="0" applyFont="1" applyBorder="1" applyAlignment="1">
      <alignment horizontal="center"/>
    </xf>
    <xf numFmtId="0" fontId="46" fillId="0" borderId="11" xfId="0" applyFont="1" applyBorder="1" applyAlignment="1">
      <alignment horizontal="center" vertical="center"/>
    </xf>
    <xf numFmtId="0" fontId="46" fillId="0" borderId="30" xfId="0" applyFont="1" applyBorder="1" applyAlignment="1">
      <alignment horizontal="center" vertical="center"/>
    </xf>
    <xf numFmtId="0" fontId="46" fillId="0" borderId="29" xfId="0" applyFont="1" applyBorder="1" applyAlignment="1">
      <alignment horizontal="center" vertical="center"/>
    </xf>
    <xf numFmtId="0" fontId="46" fillId="0" borderId="28" xfId="0" applyFont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6" fillId="0" borderId="57" xfId="0" applyFont="1" applyBorder="1" applyAlignment="1">
      <alignment horizontal="center" vertical="center"/>
    </xf>
    <xf numFmtId="0" fontId="46" fillId="0" borderId="31" xfId="0" applyFont="1" applyBorder="1" applyAlignment="1">
      <alignment horizontal="center" vertical="center"/>
    </xf>
    <xf numFmtId="0" fontId="46" fillId="0" borderId="32" xfId="0" applyFont="1" applyBorder="1" applyAlignment="1">
      <alignment horizontal="center" vertical="center"/>
    </xf>
    <xf numFmtId="0" fontId="46" fillId="0" borderId="33" xfId="0" applyFont="1" applyBorder="1" applyAlignment="1">
      <alignment horizontal="center" vertical="center"/>
    </xf>
    <xf numFmtId="0" fontId="47" fillId="0" borderId="57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47" fillId="0" borderId="1" xfId="0" applyFont="1" applyBorder="1" applyAlignment="1">
      <alignment horizontal="center"/>
    </xf>
    <xf numFmtId="0" fontId="47" fillId="0" borderId="3" xfId="0" applyFont="1" applyBorder="1" applyAlignment="1">
      <alignment horizontal="center"/>
    </xf>
    <xf numFmtId="1" fontId="16" fillId="0" borderId="18" xfId="0" applyNumberFormat="1" applyFont="1" applyBorder="1" applyAlignment="1">
      <alignment horizontal="center" vertical="center"/>
    </xf>
    <xf numFmtId="1" fontId="16" fillId="0" borderId="23" xfId="0" applyNumberFormat="1" applyFont="1" applyBorder="1" applyAlignment="1">
      <alignment horizontal="center" vertical="center"/>
    </xf>
    <xf numFmtId="1" fontId="16" fillId="0" borderId="19" xfId="0" applyNumberFormat="1" applyFont="1" applyBorder="1" applyAlignment="1">
      <alignment horizontal="center" vertical="center"/>
    </xf>
    <xf numFmtId="1" fontId="16" fillId="0" borderId="24" xfId="0" applyNumberFormat="1" applyFont="1" applyBorder="1" applyAlignment="1">
      <alignment horizontal="center" vertical="center"/>
    </xf>
    <xf numFmtId="0" fontId="37" fillId="0" borderId="1" xfId="0" applyFont="1" applyBorder="1" applyAlignment="1">
      <alignment horizontal="center"/>
    </xf>
    <xf numFmtId="0" fontId="37" fillId="0" borderId="2" xfId="0" applyFont="1" applyBorder="1" applyAlignment="1">
      <alignment horizontal="center"/>
    </xf>
    <xf numFmtId="0" fontId="37" fillId="0" borderId="3" xfId="0" applyFont="1" applyBorder="1" applyAlignment="1">
      <alignment horizontal="center"/>
    </xf>
    <xf numFmtId="0" fontId="35" fillId="0" borderId="1" xfId="0" applyFont="1" applyBorder="1" applyAlignment="1">
      <alignment horizontal="center" vertical="center"/>
    </xf>
    <xf numFmtId="0" fontId="35" fillId="0" borderId="3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/>
    </xf>
    <xf numFmtId="0" fontId="39" fillId="0" borderId="2" xfId="0" applyFont="1" applyBorder="1" applyAlignment="1">
      <alignment horizontal="center"/>
    </xf>
    <xf numFmtId="0" fontId="39" fillId="0" borderId="3" xfId="0" applyFont="1" applyBorder="1" applyAlignment="1">
      <alignment horizontal="center"/>
    </xf>
    <xf numFmtId="0" fontId="16" fillId="0" borderId="37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1" fontId="16" fillId="0" borderId="37" xfId="0" applyNumberFormat="1" applyFont="1" applyBorder="1" applyAlignment="1">
      <alignment horizontal="center" vertical="center"/>
    </xf>
    <xf numFmtId="1" fontId="16" fillId="0" borderId="27" xfId="0" applyNumberFormat="1" applyFont="1" applyBorder="1" applyAlignment="1">
      <alignment horizontal="center" vertical="center"/>
    </xf>
    <xf numFmtId="0" fontId="37" fillId="0" borderId="1" xfId="0" applyFont="1" applyBorder="1" applyAlignment="1">
      <alignment horizontal="center" wrapText="1"/>
    </xf>
    <xf numFmtId="0" fontId="37" fillId="0" borderId="2" xfId="0" applyFont="1" applyBorder="1" applyAlignment="1">
      <alignment horizontal="center" wrapText="1"/>
    </xf>
    <xf numFmtId="0" fontId="37" fillId="0" borderId="3" xfId="0" applyFont="1" applyBorder="1" applyAlignment="1">
      <alignment horizontal="center" wrapText="1"/>
    </xf>
    <xf numFmtId="14" fontId="14" fillId="0" borderId="1" xfId="0" applyNumberFormat="1" applyFont="1" applyBorder="1" applyAlignment="1">
      <alignment horizontal="center" vertical="center"/>
    </xf>
    <xf numFmtId="14" fontId="14" fillId="0" borderId="3" xfId="0" applyNumberFormat="1" applyFont="1" applyBorder="1" applyAlignment="1">
      <alignment horizontal="center" vertical="center"/>
    </xf>
    <xf numFmtId="0" fontId="16" fillId="0" borderId="48" xfId="0" applyFont="1" applyBorder="1" applyAlignment="1">
      <alignment horizontal="center" vertical="center"/>
    </xf>
    <xf numFmtId="0" fontId="16" fillId="0" borderId="49" xfId="0" applyFont="1" applyBorder="1" applyAlignment="1">
      <alignment horizontal="center" vertical="center" wrapText="1"/>
    </xf>
    <xf numFmtId="0" fontId="16" fillId="0" borderId="53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/>
    </xf>
    <xf numFmtId="0" fontId="38" fillId="0" borderId="2" xfId="0" applyFont="1" applyBorder="1" applyAlignment="1">
      <alignment horizontal="center"/>
    </xf>
    <xf numFmtId="0" fontId="38" fillId="0" borderId="3" xfId="0" applyFont="1" applyBorder="1" applyAlignment="1">
      <alignment horizontal="center"/>
    </xf>
    <xf numFmtId="0" fontId="34" fillId="0" borderId="1" xfId="0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 wrapText="1"/>
    </xf>
    <xf numFmtId="0" fontId="34" fillId="0" borderId="3" xfId="0" applyFont="1" applyBorder="1" applyAlignment="1">
      <alignment horizontal="center" vertical="center" wrapText="1"/>
    </xf>
    <xf numFmtId="1" fontId="16" fillId="0" borderId="54" xfId="0" applyNumberFormat="1" applyFont="1" applyBorder="1" applyAlignment="1">
      <alignment horizontal="center" vertical="center"/>
    </xf>
    <xf numFmtId="0" fontId="16" fillId="0" borderId="55" xfId="0" applyFont="1" applyBorder="1" applyAlignment="1">
      <alignment horizontal="center" vertical="center" wrapText="1"/>
    </xf>
    <xf numFmtId="0" fontId="16" fillId="0" borderId="50" xfId="0" applyFont="1" applyBorder="1" applyAlignment="1">
      <alignment horizontal="center" vertical="center" wrapText="1"/>
    </xf>
    <xf numFmtId="0" fontId="16" fillId="0" borderId="51" xfId="0" applyFont="1" applyBorder="1" applyAlignment="1">
      <alignment horizontal="center" vertical="center" wrapText="1"/>
    </xf>
    <xf numFmtId="0" fontId="16" fillId="0" borderId="52" xfId="0" applyFont="1" applyBorder="1" applyAlignment="1">
      <alignment horizontal="center" vertical="center" wrapText="1"/>
    </xf>
    <xf numFmtId="0" fontId="16" fillId="0" borderId="56" xfId="0" applyFont="1" applyBorder="1" applyAlignment="1">
      <alignment horizontal="center" vertical="center" wrapText="1"/>
    </xf>
    <xf numFmtId="0" fontId="37" fillId="0" borderId="31" xfId="0" applyFont="1" applyBorder="1" applyAlignment="1">
      <alignment horizontal="center"/>
    </xf>
    <xf numFmtId="0" fontId="37" fillId="0" borderId="32" xfId="0" applyFont="1" applyBorder="1" applyAlignment="1">
      <alignment horizontal="center"/>
    </xf>
    <xf numFmtId="14" fontId="5" fillId="0" borderId="2" xfId="0" applyNumberFormat="1" applyFont="1" applyBorder="1" applyAlignment="1">
      <alignment horizontal="center" vertical="center"/>
    </xf>
    <xf numFmtId="14" fontId="5" fillId="0" borderId="3" xfId="0" applyNumberFormat="1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6" fillId="0" borderId="3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24" fillId="0" borderId="1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28" fillId="3" borderId="11" xfId="0" applyFont="1" applyFill="1" applyBorder="1" applyAlignment="1">
      <alignment horizontal="center" vertical="center"/>
    </xf>
    <xf numFmtId="0" fontId="28" fillId="3" borderId="30" xfId="0" applyFont="1" applyFill="1" applyBorder="1" applyAlignment="1">
      <alignment horizontal="center" vertical="center"/>
    </xf>
    <xf numFmtId="0" fontId="28" fillId="3" borderId="29" xfId="0" applyFont="1" applyFill="1" applyBorder="1" applyAlignment="1">
      <alignment horizontal="center" vertical="center"/>
    </xf>
    <xf numFmtId="0" fontId="28" fillId="3" borderId="31" xfId="0" applyFont="1" applyFill="1" applyBorder="1" applyAlignment="1">
      <alignment horizontal="center" vertical="center"/>
    </xf>
    <xf numFmtId="0" fontId="28" fillId="3" borderId="32" xfId="0" applyFont="1" applyFill="1" applyBorder="1" applyAlignment="1">
      <alignment horizontal="center" vertical="center"/>
    </xf>
    <xf numFmtId="0" fontId="28" fillId="3" borderId="33" xfId="0" applyFont="1" applyFill="1" applyBorder="1" applyAlignment="1">
      <alignment horizontal="center" vertical="center"/>
    </xf>
    <xf numFmtId="0" fontId="29" fillId="0" borderId="11" xfId="0" applyFont="1" applyBorder="1" applyAlignment="1">
      <alignment horizontal="center" vertical="center" wrapText="1"/>
    </xf>
    <xf numFmtId="0" fontId="29" fillId="0" borderId="30" xfId="0" applyFont="1" applyBorder="1" applyAlignment="1">
      <alignment horizontal="center" vertical="center" wrapText="1"/>
    </xf>
    <xf numFmtId="0" fontId="29" fillId="0" borderId="29" xfId="0" applyFont="1" applyBorder="1" applyAlignment="1">
      <alignment horizontal="center" vertical="center" wrapText="1"/>
    </xf>
    <xf numFmtId="0" fontId="29" fillId="0" borderId="31" xfId="0" applyFont="1" applyBorder="1" applyAlignment="1">
      <alignment horizontal="center" vertical="center" wrapText="1"/>
    </xf>
    <xf numFmtId="0" fontId="29" fillId="0" borderId="32" xfId="0" applyFont="1" applyBorder="1" applyAlignment="1">
      <alignment horizontal="center" vertical="center" wrapText="1"/>
    </xf>
    <xf numFmtId="0" fontId="29" fillId="0" borderId="33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1" fontId="16" fillId="0" borderId="58" xfId="0" applyNumberFormat="1" applyFont="1" applyBorder="1" applyAlignment="1">
      <alignment horizontal="center" vertical="center" wrapText="1"/>
    </xf>
    <xf numFmtId="1" fontId="16" fillId="0" borderId="59" xfId="0" applyNumberFormat="1" applyFont="1" applyBorder="1" applyAlignment="1">
      <alignment horizontal="center" vertical="center" wrapText="1"/>
    </xf>
    <xf numFmtId="178" fontId="41" fillId="0" borderId="4" xfId="0" applyNumberFormat="1" applyFont="1" applyBorder="1" applyAlignment="1">
      <alignment horizontal="center" vertical="center"/>
    </xf>
  </cellXfs>
  <cellStyles count="5">
    <cellStyle name="Millares" xfId="1" builtinId="3"/>
    <cellStyle name="Millares 2" xfId="4" xr:uid="{00000000-0005-0000-0000-000001000000}"/>
    <cellStyle name="Moneda" xfId="3" builtinId="4"/>
    <cellStyle name="Normal" xfId="0" builtinId="0"/>
    <cellStyle name="Porcentaje" xfId="2" builtinId="5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B686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AA%20COSTOS/AAA%20COSTOS%20Vigente/Costos%20Armado%20Nuevo%20Thomy/AAA%20Costos%20Loeke%20Chef%20Nuev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A%20%20LOGISTICA%20Relevamiento%20y%20Pedidos/A3%20Relevamiento%20Stock%20y%20Pedidos%20Insumos/Relevamiento/AA%20Relevamiento%20Sector%20Procesado/Orden%20Producci&#243;n/A%20Orden%20Produccion%20Vacia%20Vigente%20Thomy%20-%20copia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dido%20VACIO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 de Precios  (2)"/>
      <sheetName val="Cotizador Loekemeyer"/>
      <sheetName val="Cotizador Chef"/>
      <sheetName val="Pegar Estad Vtas Mes LK y CH"/>
      <sheetName val="IPC x Mes"/>
      <sheetName val="Calculo IPC"/>
      <sheetName val="Busqueda de Proveedores"/>
      <sheetName val="Ranking Compra Prov"/>
      <sheetName val="Eventuales para Damian"/>
      <sheetName val="Gastos Loeke y Chef"/>
      <sheetName val="Gastos Loeke y Chef."/>
      <sheetName val="Gastos Loeke y Chef Viejo"/>
      <sheetName val="Chef"/>
      <sheetName val="Loeke"/>
      <sheetName val="Seg Aporte Loeke"/>
      <sheetName val="Aportes Gastos"/>
      <sheetName val="Plasticos"/>
      <sheetName val="Costos (2)"/>
      <sheetName val="Flejes"/>
      <sheetName val="Importados"/>
      <sheetName val="Bombillas"/>
      <sheetName val="Bombillas con caño importado"/>
      <sheetName val="Remaches"/>
      <sheetName val="Cajas "/>
      <sheetName val=" Cartones"/>
      <sheetName val="Rent por Mes"/>
      <sheetName val="Tratamientos "/>
      <sheetName val="Materiales"/>
      <sheetName val="General Super (2)"/>
      <sheetName val="Listas a pedir"/>
      <sheetName val="Talleristas"/>
      <sheetName val="Lista de Precios "/>
      <sheetName val="Costos"/>
      <sheetName val="General Super"/>
      <sheetName val="Estruc Acuerdo"/>
      <sheetName val="ACUERDOS SUPER"/>
      <sheetName val="INC"/>
      <sheetName val="GM"/>
      <sheetName val="COTO"/>
      <sheetName val="Jumbo Krea T"/>
      <sheetName val="DIARCO"/>
      <sheetName val="Jumbo Loeke"/>
      <sheetName val="La Anonima"/>
      <sheetName val="Sodimac"/>
      <sheetName val="Easy"/>
      <sheetName val="DIA"/>
      <sheetName val="WMart Chef"/>
      <sheetName val="Abastecedor"/>
      <sheetName val="Alberdi"/>
      <sheetName val="Toledo Loeke"/>
      <sheetName val="Libertad"/>
      <sheetName val="Pedido Ya"/>
      <sheetName val="Dinosaurio"/>
      <sheetName val="Toledo Chef"/>
      <sheetName val="Puelche"/>
      <sheetName val="Hoja2"/>
      <sheetName val="Makro"/>
      <sheetName val="Primer Precio"/>
      <sheetName val="WMart"/>
      <sheetName val="Conversion cod Loeke Chef"/>
      <sheetName val="Materiales Loeke"/>
      <sheetName val="listas Loeke "/>
      <sheetName val="Exportaciones"/>
      <sheetName val="Talleristas-Procesos"/>
      <sheetName val="Super"/>
      <sheetName val="COD INT LOKE PROV."/>
      <sheetName val="COD INT PARA LOGISTICA"/>
      <sheetName val="Hoja1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4">
          <cell r="E4">
            <v>0</v>
          </cell>
          <cell r="F4" t="str">
            <v>Peso</v>
          </cell>
          <cell r="G4">
            <v>10170</v>
          </cell>
        </row>
        <row r="5">
          <cell r="E5">
            <v>0</v>
          </cell>
          <cell r="F5">
            <v>0</v>
          </cell>
          <cell r="G5">
            <v>0</v>
          </cell>
        </row>
        <row r="6">
          <cell r="E6" t="str">
            <v/>
          </cell>
          <cell r="G6">
            <v>0</v>
          </cell>
        </row>
        <row r="7">
          <cell r="E7">
            <v>0</v>
          </cell>
          <cell r="F7">
            <v>0</v>
          </cell>
          <cell r="G7">
            <v>0</v>
          </cell>
        </row>
        <row r="8">
          <cell r="E8">
            <v>0</v>
          </cell>
          <cell r="F8">
            <v>0</v>
          </cell>
          <cell r="G8">
            <v>0</v>
          </cell>
        </row>
        <row r="9">
          <cell r="E9" t="str">
            <v/>
          </cell>
          <cell r="F9" t="str">
            <v>Dolar</v>
          </cell>
          <cell r="G9">
            <v>0</v>
          </cell>
        </row>
        <row r="10">
          <cell r="E10" t="str">
            <v>Cod ISIS Materia Prima</v>
          </cell>
          <cell r="F10" t="str">
            <v>Moneda</v>
          </cell>
          <cell r="G10" t="str">
            <v>Ultimo $ proveedor</v>
          </cell>
        </row>
        <row r="11">
          <cell r="E11">
            <v>1100</v>
          </cell>
          <cell r="F11" t="str">
            <v>Dolar</v>
          </cell>
          <cell r="G11">
            <v>2001.65</v>
          </cell>
        </row>
        <row r="12">
          <cell r="E12">
            <v>0</v>
          </cell>
          <cell r="F12" t="str">
            <v>Dolar</v>
          </cell>
          <cell r="G12">
            <v>690.27</v>
          </cell>
        </row>
        <row r="13">
          <cell r="E13">
            <v>0</v>
          </cell>
          <cell r="F13">
            <v>0</v>
          </cell>
          <cell r="G13">
            <v>0</v>
          </cell>
        </row>
        <row r="14">
          <cell r="E14" t="str">
            <v/>
          </cell>
          <cell r="F14">
            <v>0</v>
          </cell>
          <cell r="G14">
            <v>0</v>
          </cell>
        </row>
        <row r="15">
          <cell r="E15" t="str">
            <v/>
          </cell>
          <cell r="F15" t="str">
            <v>Dolar</v>
          </cell>
          <cell r="G15">
            <v>0</v>
          </cell>
        </row>
        <row r="16">
          <cell r="E16" t="str">
            <v/>
          </cell>
          <cell r="F16">
            <v>0</v>
          </cell>
          <cell r="G16" t="str">
            <v>Ultimo $ proveedor</v>
          </cell>
        </row>
        <row r="17">
          <cell r="E17">
            <v>1044500</v>
          </cell>
          <cell r="F17" t="str">
            <v>Dolar</v>
          </cell>
          <cell r="G17">
            <v>11.9</v>
          </cell>
        </row>
        <row r="18">
          <cell r="E18" t="str">
            <v/>
          </cell>
          <cell r="G18">
            <v>0</v>
          </cell>
        </row>
        <row r="19">
          <cell r="E19" t="str">
            <v/>
          </cell>
          <cell r="F19" t="str">
            <v>Peso</v>
          </cell>
          <cell r="G19">
            <v>0</v>
          </cell>
        </row>
        <row r="20">
          <cell r="E20">
            <v>1212500</v>
          </cell>
          <cell r="F20" t="str">
            <v>Peso</v>
          </cell>
          <cell r="G20">
            <v>9.4600000000000009</v>
          </cell>
        </row>
        <row r="21">
          <cell r="E21" t="str">
            <v/>
          </cell>
          <cell r="F21">
            <v>0</v>
          </cell>
          <cell r="G21">
            <v>0</v>
          </cell>
        </row>
        <row r="22">
          <cell r="E22" t="str">
            <v/>
          </cell>
          <cell r="F22" t="str">
            <v>Dolar</v>
          </cell>
          <cell r="G22">
            <v>0</v>
          </cell>
        </row>
        <row r="23">
          <cell r="E23">
            <v>1213500</v>
          </cell>
          <cell r="F23" t="str">
            <v>Dolar</v>
          </cell>
          <cell r="G23">
            <v>1.84E-2</v>
          </cell>
        </row>
        <row r="24">
          <cell r="E24" t="str">
            <v/>
          </cell>
          <cell r="G24">
            <v>0</v>
          </cell>
        </row>
        <row r="25">
          <cell r="E25" t="str">
            <v/>
          </cell>
          <cell r="F25" t="str">
            <v>Peso</v>
          </cell>
          <cell r="G25">
            <v>0</v>
          </cell>
        </row>
        <row r="26">
          <cell r="E26" t="str">
            <v/>
          </cell>
          <cell r="F26">
            <v>0</v>
          </cell>
          <cell r="G26" t="str">
            <v>Ultimo $ proveedor</v>
          </cell>
        </row>
        <row r="27">
          <cell r="E27">
            <v>1130500</v>
          </cell>
          <cell r="F27" t="str">
            <v>Peso</v>
          </cell>
          <cell r="G27">
            <v>29.93</v>
          </cell>
        </row>
        <row r="28">
          <cell r="E28">
            <v>1168500</v>
          </cell>
          <cell r="F28" t="str">
            <v>Peso</v>
          </cell>
          <cell r="G28">
            <v>15.94</v>
          </cell>
        </row>
        <row r="29">
          <cell r="E29" t="str">
            <v/>
          </cell>
          <cell r="G29">
            <v>0</v>
          </cell>
        </row>
        <row r="30">
          <cell r="E30" t="str">
            <v/>
          </cell>
          <cell r="F30" t="str">
            <v>Dolar</v>
          </cell>
          <cell r="G30">
            <v>0</v>
          </cell>
        </row>
        <row r="31">
          <cell r="E31" t="str">
            <v/>
          </cell>
          <cell r="F31" t="str">
            <v>Moneda</v>
          </cell>
          <cell r="G31" t="str">
            <v>Ultimo $ proveedor</v>
          </cell>
        </row>
        <row r="32">
          <cell r="E32">
            <v>1157500</v>
          </cell>
          <cell r="F32" t="str">
            <v>Dolar</v>
          </cell>
          <cell r="G32">
            <v>2.1549999999999998</v>
          </cell>
        </row>
        <row r="33">
          <cell r="E33" t="str">
            <v/>
          </cell>
          <cell r="F33">
            <v>0</v>
          </cell>
          <cell r="G33">
            <v>0</v>
          </cell>
        </row>
        <row r="34">
          <cell r="E34" t="str">
            <v/>
          </cell>
          <cell r="F34">
            <v>0</v>
          </cell>
          <cell r="G34">
            <v>0</v>
          </cell>
        </row>
        <row r="35">
          <cell r="E35" t="str">
            <v/>
          </cell>
          <cell r="F35" t="str">
            <v>Dolar</v>
          </cell>
          <cell r="G35">
            <v>0</v>
          </cell>
        </row>
        <row r="36">
          <cell r="E36" t="str">
            <v/>
          </cell>
          <cell r="F36">
            <v>0</v>
          </cell>
          <cell r="G36" t="str">
            <v>Ultimo $ proveedor</v>
          </cell>
        </row>
        <row r="37">
          <cell r="E37">
            <v>1126500</v>
          </cell>
          <cell r="F37" t="str">
            <v>Dolar</v>
          </cell>
          <cell r="G37">
            <v>3.8</v>
          </cell>
        </row>
        <row r="38">
          <cell r="E38">
            <v>0</v>
          </cell>
          <cell r="F38" t="str">
            <v>Peso</v>
          </cell>
          <cell r="G38">
            <v>1500</v>
          </cell>
        </row>
        <row r="39">
          <cell r="E39" t="str">
            <v/>
          </cell>
          <cell r="F39">
            <v>0</v>
          </cell>
          <cell r="G39">
            <v>0</v>
          </cell>
        </row>
        <row r="40">
          <cell r="E40" t="str">
            <v/>
          </cell>
          <cell r="F40" t="str">
            <v>Peso</v>
          </cell>
          <cell r="G40">
            <v>0</v>
          </cell>
        </row>
        <row r="41">
          <cell r="E41" t="str">
            <v/>
          </cell>
          <cell r="F41">
            <v>0</v>
          </cell>
          <cell r="G41" t="str">
            <v>Ultimo $ proveedor</v>
          </cell>
        </row>
        <row r="42">
          <cell r="E42">
            <v>1112500</v>
          </cell>
          <cell r="F42" t="str">
            <v>Peso</v>
          </cell>
          <cell r="G42">
            <v>86.5</v>
          </cell>
        </row>
        <row r="43">
          <cell r="E43">
            <v>1114500</v>
          </cell>
          <cell r="F43" t="str">
            <v>Peso</v>
          </cell>
          <cell r="G43">
            <v>118</v>
          </cell>
        </row>
        <row r="44">
          <cell r="E44">
            <v>0</v>
          </cell>
          <cell r="F44" t="str">
            <v>Peso</v>
          </cell>
          <cell r="G44">
            <v>47</v>
          </cell>
        </row>
        <row r="45">
          <cell r="E45">
            <v>1113500</v>
          </cell>
          <cell r="F45" t="str">
            <v>Peso</v>
          </cell>
          <cell r="G45">
            <v>98</v>
          </cell>
        </row>
        <row r="46">
          <cell r="E46">
            <v>1156500</v>
          </cell>
          <cell r="F46" t="str">
            <v>Peso</v>
          </cell>
          <cell r="G46">
            <v>84</v>
          </cell>
        </row>
        <row r="47">
          <cell r="E47">
            <v>1194500</v>
          </cell>
          <cell r="F47" t="str">
            <v>Peso</v>
          </cell>
          <cell r="G47">
            <v>6600</v>
          </cell>
        </row>
        <row r="48">
          <cell r="E48">
            <v>1135500</v>
          </cell>
          <cell r="F48" t="str">
            <v>Peso</v>
          </cell>
          <cell r="G48">
            <v>90</v>
          </cell>
        </row>
        <row r="49">
          <cell r="E49">
            <v>0</v>
          </cell>
          <cell r="F49" t="str">
            <v>Dolar</v>
          </cell>
          <cell r="G49">
            <v>2.4500000000000002</v>
          </cell>
        </row>
        <row r="50">
          <cell r="E50" t="str">
            <v/>
          </cell>
          <cell r="F50">
            <v>0</v>
          </cell>
          <cell r="G50">
            <v>0</v>
          </cell>
        </row>
        <row r="51">
          <cell r="E51" t="str">
            <v/>
          </cell>
          <cell r="F51" t="str">
            <v>Dolar</v>
          </cell>
          <cell r="G51">
            <v>0</v>
          </cell>
        </row>
        <row r="52">
          <cell r="E52" t="str">
            <v/>
          </cell>
          <cell r="F52" t="str">
            <v>Moneda</v>
          </cell>
          <cell r="G52" t="str">
            <v>Ultimo $ proveedor</v>
          </cell>
        </row>
        <row r="53">
          <cell r="E53">
            <v>1111500</v>
          </cell>
          <cell r="F53" t="str">
            <v>Dolar</v>
          </cell>
          <cell r="G53">
            <v>4.3099999999999999E-2</v>
          </cell>
        </row>
        <row r="54">
          <cell r="E54">
            <v>0</v>
          </cell>
          <cell r="F54" t="str">
            <v>Dolar</v>
          </cell>
          <cell r="G54">
            <v>4.87E-2</v>
          </cell>
        </row>
        <row r="55">
          <cell r="E55">
            <v>0</v>
          </cell>
          <cell r="F55" t="str">
            <v>Dolar</v>
          </cell>
          <cell r="G55">
            <v>5.67E-2</v>
          </cell>
        </row>
        <row r="56">
          <cell r="E56" t="str">
            <v/>
          </cell>
          <cell r="F56">
            <v>0</v>
          </cell>
          <cell r="G56">
            <v>0</v>
          </cell>
        </row>
        <row r="57">
          <cell r="E57" t="str">
            <v/>
          </cell>
          <cell r="F57" t="str">
            <v>Dolar</v>
          </cell>
          <cell r="G57">
            <v>0</v>
          </cell>
        </row>
        <row r="58">
          <cell r="E58" t="str">
            <v/>
          </cell>
          <cell r="F58">
            <v>0</v>
          </cell>
          <cell r="G58" t="str">
            <v>Ultimo $ proveedor</v>
          </cell>
        </row>
        <row r="59">
          <cell r="E59">
            <v>1182500</v>
          </cell>
          <cell r="F59" t="str">
            <v>Dolar</v>
          </cell>
          <cell r="G59">
            <v>25.3</v>
          </cell>
        </row>
        <row r="60">
          <cell r="E60" t="str">
            <v/>
          </cell>
          <cell r="F60" t="str">
            <v>Dolar</v>
          </cell>
          <cell r="G60">
            <v>28.7</v>
          </cell>
        </row>
        <row r="61">
          <cell r="E61" t="str">
            <v/>
          </cell>
          <cell r="F61">
            <v>0</v>
          </cell>
          <cell r="G61">
            <v>0</v>
          </cell>
        </row>
        <row r="62">
          <cell r="E62" t="str">
            <v/>
          </cell>
          <cell r="F62" t="str">
            <v>Dolar</v>
          </cell>
          <cell r="G62">
            <v>0</v>
          </cell>
        </row>
        <row r="63">
          <cell r="E63" t="str">
            <v/>
          </cell>
          <cell r="F63" t="str">
            <v>Moneda</v>
          </cell>
          <cell r="G63" t="str">
            <v>Ultimo $ proveedor</v>
          </cell>
        </row>
        <row r="64">
          <cell r="E64">
            <v>1128500</v>
          </cell>
          <cell r="F64" t="str">
            <v>Dolar</v>
          </cell>
          <cell r="G64">
            <v>3.46</v>
          </cell>
        </row>
        <row r="65">
          <cell r="E65">
            <v>1129500</v>
          </cell>
          <cell r="F65" t="str">
            <v>Dolar</v>
          </cell>
          <cell r="G65">
            <v>3.46</v>
          </cell>
        </row>
        <row r="66">
          <cell r="E66" t="str">
            <v/>
          </cell>
          <cell r="G66">
            <v>0</v>
          </cell>
        </row>
        <row r="67">
          <cell r="E67" t="str">
            <v/>
          </cell>
          <cell r="F67" t="str">
            <v>Dolar</v>
          </cell>
          <cell r="G67">
            <v>0</v>
          </cell>
        </row>
        <row r="68">
          <cell r="E68" t="str">
            <v/>
          </cell>
          <cell r="F68" t="str">
            <v>Moneda</v>
          </cell>
          <cell r="G68" t="str">
            <v>Ultimo $ proveedor</v>
          </cell>
        </row>
        <row r="69">
          <cell r="E69" t="str">
            <v/>
          </cell>
          <cell r="F69" t="str">
            <v>Dolar</v>
          </cell>
          <cell r="G69">
            <v>6.18</v>
          </cell>
        </row>
        <row r="70">
          <cell r="E70">
            <v>1277500</v>
          </cell>
          <cell r="F70" t="str">
            <v>Dolar</v>
          </cell>
          <cell r="G70">
            <v>7.48</v>
          </cell>
        </row>
        <row r="71">
          <cell r="E71">
            <v>1235500</v>
          </cell>
          <cell r="F71" t="str">
            <v>Dolar</v>
          </cell>
          <cell r="G71">
            <v>6.18</v>
          </cell>
        </row>
        <row r="72">
          <cell r="E72" t="str">
            <v/>
          </cell>
          <cell r="F72" t="str">
            <v>Dolar</v>
          </cell>
          <cell r="G72">
            <v>5.88</v>
          </cell>
        </row>
        <row r="73">
          <cell r="E73" t="str">
            <v/>
          </cell>
          <cell r="F73" t="str">
            <v>Dolar</v>
          </cell>
          <cell r="G73">
            <v>5.71</v>
          </cell>
        </row>
        <row r="74">
          <cell r="E74">
            <v>1205500</v>
          </cell>
          <cell r="F74" t="str">
            <v>Dolar</v>
          </cell>
          <cell r="G74">
            <v>6.06</v>
          </cell>
        </row>
        <row r="75">
          <cell r="E75">
            <v>1276500</v>
          </cell>
          <cell r="F75" t="str">
            <v>Dolar</v>
          </cell>
          <cell r="G75">
            <v>7.85</v>
          </cell>
        </row>
        <row r="76">
          <cell r="E76" t="str">
            <v/>
          </cell>
          <cell r="G76">
            <v>0</v>
          </cell>
        </row>
        <row r="77">
          <cell r="E77" t="str">
            <v/>
          </cell>
          <cell r="F77" t="str">
            <v>Dolar</v>
          </cell>
          <cell r="G77">
            <v>0</v>
          </cell>
        </row>
        <row r="78">
          <cell r="E78" t="str">
            <v/>
          </cell>
          <cell r="F78" t="str">
            <v>Moneda</v>
          </cell>
          <cell r="G78" t="str">
            <v>Ultimo $ proveedor</v>
          </cell>
        </row>
        <row r="79">
          <cell r="E79">
            <v>1005500</v>
          </cell>
          <cell r="F79" t="str">
            <v>Dolar</v>
          </cell>
          <cell r="G79">
            <v>2.69</v>
          </cell>
        </row>
        <row r="80">
          <cell r="E80">
            <v>1100500</v>
          </cell>
          <cell r="F80" t="str">
            <v>Dolar</v>
          </cell>
          <cell r="G80">
            <v>2.72</v>
          </cell>
        </row>
        <row r="81">
          <cell r="E81">
            <v>1103500</v>
          </cell>
          <cell r="F81" t="str">
            <v>Dolar</v>
          </cell>
          <cell r="G81">
            <v>2.41</v>
          </cell>
        </row>
        <row r="82">
          <cell r="E82">
            <v>1190500</v>
          </cell>
          <cell r="F82" t="str">
            <v>Dolar</v>
          </cell>
          <cell r="G82">
            <v>2.41</v>
          </cell>
        </row>
        <row r="83">
          <cell r="E83">
            <v>1207500</v>
          </cell>
          <cell r="F83" t="str">
            <v>Dolar</v>
          </cell>
          <cell r="G83">
            <v>2.88</v>
          </cell>
        </row>
        <row r="84">
          <cell r="E84">
            <v>1003500</v>
          </cell>
          <cell r="F84" t="str">
            <v>Dolar</v>
          </cell>
          <cell r="G84">
            <v>2.41</v>
          </cell>
        </row>
        <row r="85">
          <cell r="E85" t="str">
            <v/>
          </cell>
          <cell r="F85" t="str">
            <v>Dolar</v>
          </cell>
          <cell r="G85">
            <v>2.41</v>
          </cell>
        </row>
        <row r="86">
          <cell r="E86">
            <v>1006500</v>
          </cell>
          <cell r="F86" t="str">
            <v>Dolar</v>
          </cell>
          <cell r="G86">
            <v>2.72</v>
          </cell>
        </row>
        <row r="87">
          <cell r="E87">
            <v>1190500</v>
          </cell>
          <cell r="F87" t="str">
            <v>Dolar</v>
          </cell>
          <cell r="G87">
            <v>2.41</v>
          </cell>
        </row>
        <row r="88">
          <cell r="E88">
            <v>1214500</v>
          </cell>
          <cell r="F88" t="str">
            <v>Dolar</v>
          </cell>
          <cell r="G88">
            <v>2.89</v>
          </cell>
        </row>
        <row r="89">
          <cell r="E89">
            <v>1215500</v>
          </cell>
          <cell r="F89" t="str">
            <v>Dolar</v>
          </cell>
          <cell r="G89">
            <v>2.89</v>
          </cell>
        </row>
        <row r="90">
          <cell r="E90">
            <v>1216500</v>
          </cell>
          <cell r="F90" t="str">
            <v>Dolar</v>
          </cell>
          <cell r="G90">
            <v>2.89</v>
          </cell>
        </row>
        <row r="91">
          <cell r="E91">
            <v>1217500</v>
          </cell>
          <cell r="F91" t="str">
            <v>Dolar</v>
          </cell>
          <cell r="G91">
            <v>2.71</v>
          </cell>
        </row>
        <row r="92">
          <cell r="E92">
            <v>1218500</v>
          </cell>
          <cell r="F92" t="str">
            <v>Dolar</v>
          </cell>
          <cell r="G92">
            <v>2.71</v>
          </cell>
        </row>
        <row r="93">
          <cell r="E93">
            <v>1001500</v>
          </cell>
          <cell r="F93" t="str">
            <v>Dolar</v>
          </cell>
          <cell r="G93">
            <v>2.41</v>
          </cell>
        </row>
        <row r="94">
          <cell r="E94" t="str">
            <v/>
          </cell>
          <cell r="F94" t="str">
            <v>Dolar</v>
          </cell>
          <cell r="G94">
            <v>0</v>
          </cell>
        </row>
        <row r="95">
          <cell r="E95" t="str">
            <v/>
          </cell>
          <cell r="F95" t="str">
            <v>Moneda</v>
          </cell>
          <cell r="G95" t="str">
            <v>Ultimo $ proveedor</v>
          </cell>
        </row>
        <row r="96">
          <cell r="E96">
            <v>0</v>
          </cell>
          <cell r="F96" t="str">
            <v>Dolar</v>
          </cell>
          <cell r="G96">
            <v>3.7650000000000001</v>
          </cell>
        </row>
        <row r="97">
          <cell r="E97" t="str">
            <v/>
          </cell>
          <cell r="G97">
            <v>0</v>
          </cell>
        </row>
        <row r="98">
          <cell r="E98" t="str">
            <v/>
          </cell>
          <cell r="F98" t="str">
            <v>Dolar</v>
          </cell>
          <cell r="G98">
            <v>0</v>
          </cell>
        </row>
        <row r="99">
          <cell r="E99" t="str">
            <v/>
          </cell>
          <cell r="F99" t="str">
            <v>Moneda</v>
          </cell>
          <cell r="G99" t="str">
            <v>Ultimo $ proveedor</v>
          </cell>
        </row>
        <row r="100">
          <cell r="E100">
            <v>0</v>
          </cell>
          <cell r="F100" t="str">
            <v>Dolar</v>
          </cell>
          <cell r="G100">
            <v>3.71</v>
          </cell>
        </row>
        <row r="101">
          <cell r="E101" t="str">
            <v/>
          </cell>
          <cell r="G101">
            <v>0</v>
          </cell>
        </row>
        <row r="102">
          <cell r="E102" t="str">
            <v/>
          </cell>
          <cell r="F102" t="str">
            <v>Dolar</v>
          </cell>
          <cell r="G102">
            <v>0</v>
          </cell>
        </row>
        <row r="103">
          <cell r="E103" t="str">
            <v/>
          </cell>
          <cell r="F103" t="str">
            <v>Moneda</v>
          </cell>
          <cell r="G103" t="str">
            <v>Ultimo $ proveedor</v>
          </cell>
        </row>
        <row r="104">
          <cell r="E104">
            <v>1014500</v>
          </cell>
          <cell r="F104" t="str">
            <v>Dolar</v>
          </cell>
          <cell r="G104">
            <v>3.86</v>
          </cell>
        </row>
        <row r="105">
          <cell r="E105">
            <v>1230500</v>
          </cell>
          <cell r="F105" t="str">
            <v>Dolar</v>
          </cell>
          <cell r="G105">
            <v>3.86</v>
          </cell>
        </row>
        <row r="106">
          <cell r="E106">
            <v>1016500</v>
          </cell>
          <cell r="F106" t="str">
            <v>Dolar</v>
          </cell>
          <cell r="G106">
            <v>3.86</v>
          </cell>
        </row>
        <row r="107">
          <cell r="E107">
            <v>1022500</v>
          </cell>
          <cell r="F107" t="str">
            <v>Dolar</v>
          </cell>
          <cell r="G107">
            <v>6.69</v>
          </cell>
        </row>
        <row r="108">
          <cell r="E108">
            <v>1229500</v>
          </cell>
          <cell r="F108" t="str">
            <v>Dolar</v>
          </cell>
          <cell r="G108">
            <v>3.86</v>
          </cell>
        </row>
        <row r="109">
          <cell r="E109">
            <v>1223500</v>
          </cell>
          <cell r="F109" t="str">
            <v>Dolar</v>
          </cell>
          <cell r="G109">
            <v>4.09</v>
          </cell>
        </row>
        <row r="110">
          <cell r="E110">
            <v>1019500</v>
          </cell>
          <cell r="F110" t="str">
            <v>Dolar</v>
          </cell>
          <cell r="G110">
            <v>3.61</v>
          </cell>
        </row>
        <row r="111">
          <cell r="E111">
            <v>1015500</v>
          </cell>
          <cell r="F111" t="str">
            <v>Dolar</v>
          </cell>
          <cell r="G111">
            <v>3.86</v>
          </cell>
        </row>
        <row r="112">
          <cell r="E112">
            <v>1021500</v>
          </cell>
          <cell r="F112" t="str">
            <v>Dolar</v>
          </cell>
          <cell r="G112">
            <v>3.86</v>
          </cell>
        </row>
        <row r="113">
          <cell r="E113">
            <v>1018500</v>
          </cell>
          <cell r="F113" t="str">
            <v>Dolar</v>
          </cell>
          <cell r="G113">
            <v>3.86</v>
          </cell>
        </row>
        <row r="114">
          <cell r="E114">
            <v>1274500</v>
          </cell>
          <cell r="F114" t="str">
            <v>Dolar</v>
          </cell>
          <cell r="G114">
            <v>3.77</v>
          </cell>
        </row>
        <row r="115">
          <cell r="E115">
            <v>1251500</v>
          </cell>
          <cell r="F115" t="str">
            <v>Dolar</v>
          </cell>
          <cell r="G115">
            <v>3.75</v>
          </cell>
        </row>
        <row r="116">
          <cell r="E116">
            <v>0</v>
          </cell>
          <cell r="F116" t="str">
            <v>Dolar</v>
          </cell>
          <cell r="G116">
            <v>0.05</v>
          </cell>
        </row>
        <row r="117">
          <cell r="E117">
            <v>1013500</v>
          </cell>
          <cell r="F117" t="str">
            <v>Dolar</v>
          </cell>
          <cell r="G117">
            <v>3.75</v>
          </cell>
        </row>
        <row r="118">
          <cell r="E118" t="str">
            <v/>
          </cell>
          <cell r="F118" t="str">
            <v>Dolar</v>
          </cell>
          <cell r="G118">
            <v>5.28</v>
          </cell>
        </row>
        <row r="119">
          <cell r="E119">
            <v>1017500</v>
          </cell>
          <cell r="F119" t="str">
            <v>Dolar</v>
          </cell>
          <cell r="G119">
            <v>3.86</v>
          </cell>
        </row>
        <row r="120">
          <cell r="E120">
            <v>1020500</v>
          </cell>
          <cell r="F120" t="str">
            <v>Dolar</v>
          </cell>
          <cell r="G120">
            <v>3.86</v>
          </cell>
        </row>
        <row r="121">
          <cell r="E121" t="str">
            <v/>
          </cell>
          <cell r="F121" t="str">
            <v>Dolar</v>
          </cell>
          <cell r="G121">
            <v>5.17</v>
          </cell>
        </row>
        <row r="122">
          <cell r="E122" t="str">
            <v/>
          </cell>
          <cell r="F122" t="str">
            <v>Dolar</v>
          </cell>
          <cell r="G122">
            <v>5.13</v>
          </cell>
        </row>
        <row r="123">
          <cell r="E123" t="str">
            <v/>
          </cell>
          <cell r="F123" t="str">
            <v>Dolar</v>
          </cell>
          <cell r="G123">
            <v>5.28</v>
          </cell>
        </row>
        <row r="124">
          <cell r="E124">
            <v>1231500</v>
          </cell>
          <cell r="F124" t="str">
            <v>Dolar</v>
          </cell>
          <cell r="G124">
            <v>3.95</v>
          </cell>
        </row>
        <row r="125">
          <cell r="E125">
            <v>1247500</v>
          </cell>
          <cell r="F125" t="str">
            <v>Dolar</v>
          </cell>
          <cell r="G125">
            <v>3.86</v>
          </cell>
        </row>
        <row r="126">
          <cell r="E126">
            <v>1185500</v>
          </cell>
          <cell r="F126" t="str">
            <v>Dolar</v>
          </cell>
          <cell r="G126">
            <v>3.75</v>
          </cell>
        </row>
        <row r="127">
          <cell r="E127">
            <v>1134500</v>
          </cell>
          <cell r="F127" t="str">
            <v>Dolar</v>
          </cell>
          <cell r="G127">
            <v>3.86</v>
          </cell>
        </row>
        <row r="128">
          <cell r="E128" t="str">
            <v/>
          </cell>
          <cell r="F128">
            <v>0</v>
          </cell>
          <cell r="G128">
            <v>0</v>
          </cell>
        </row>
        <row r="129">
          <cell r="E129" t="str">
            <v/>
          </cell>
          <cell r="F129" t="str">
            <v>Dolar</v>
          </cell>
          <cell r="G129">
            <v>0</v>
          </cell>
        </row>
        <row r="130">
          <cell r="E130" t="str">
            <v/>
          </cell>
          <cell r="F130" t="str">
            <v>Moneda</v>
          </cell>
          <cell r="G130" t="str">
            <v>Ultimo $ proveedor</v>
          </cell>
        </row>
        <row r="131">
          <cell r="E131">
            <v>1055500</v>
          </cell>
          <cell r="F131" t="str">
            <v>Dolar</v>
          </cell>
          <cell r="G131">
            <v>3.839</v>
          </cell>
        </row>
        <row r="132">
          <cell r="E132">
            <v>1056500</v>
          </cell>
          <cell r="F132" t="str">
            <v>Dolar</v>
          </cell>
          <cell r="G132">
            <v>3.839</v>
          </cell>
        </row>
        <row r="133">
          <cell r="E133">
            <v>1060500</v>
          </cell>
          <cell r="F133" t="str">
            <v>Dolar</v>
          </cell>
          <cell r="G133">
            <v>4.0140000000000002</v>
          </cell>
        </row>
        <row r="134">
          <cell r="E134">
            <v>1062500</v>
          </cell>
          <cell r="F134" t="str">
            <v>Dolar</v>
          </cell>
          <cell r="G134">
            <v>4.0140000000000002</v>
          </cell>
        </row>
        <row r="135">
          <cell r="E135">
            <v>1063500</v>
          </cell>
          <cell r="F135" t="str">
            <v>Dolar</v>
          </cell>
          <cell r="G135">
            <v>3.839</v>
          </cell>
        </row>
        <row r="136">
          <cell r="E136">
            <v>1064500</v>
          </cell>
          <cell r="F136" t="str">
            <v>Dolar</v>
          </cell>
          <cell r="G136">
            <v>3.839</v>
          </cell>
        </row>
        <row r="137">
          <cell r="E137">
            <v>1066500</v>
          </cell>
          <cell r="F137" t="str">
            <v>Dolar</v>
          </cell>
          <cell r="G137">
            <v>3.839</v>
          </cell>
        </row>
        <row r="138">
          <cell r="E138">
            <v>1254500</v>
          </cell>
          <cell r="F138" t="str">
            <v>Dolar</v>
          </cell>
          <cell r="G138">
            <v>4.1760000000000002</v>
          </cell>
        </row>
        <row r="139">
          <cell r="E139">
            <v>1051500</v>
          </cell>
          <cell r="F139" t="str">
            <v>Dolar</v>
          </cell>
          <cell r="G139">
            <v>3.839</v>
          </cell>
        </row>
        <row r="140">
          <cell r="E140">
            <v>1068500</v>
          </cell>
          <cell r="F140" t="str">
            <v>Dolar</v>
          </cell>
          <cell r="G140">
            <v>3.839</v>
          </cell>
        </row>
        <row r="141">
          <cell r="E141">
            <v>1071500</v>
          </cell>
          <cell r="F141" t="str">
            <v>Dolar</v>
          </cell>
          <cell r="G141">
            <v>3.839</v>
          </cell>
        </row>
        <row r="142">
          <cell r="E142">
            <v>1073500</v>
          </cell>
          <cell r="F142" t="str">
            <v>Dolar</v>
          </cell>
          <cell r="G142">
            <v>3.4020000000000001</v>
          </cell>
        </row>
        <row r="143">
          <cell r="E143">
            <v>1070500</v>
          </cell>
          <cell r="F143" t="str">
            <v>Dolar</v>
          </cell>
          <cell r="G143">
            <v>3.839</v>
          </cell>
        </row>
        <row r="144">
          <cell r="E144">
            <v>1046500</v>
          </cell>
          <cell r="F144" t="str">
            <v>Dolar</v>
          </cell>
          <cell r="G144">
            <v>4.0140000000000002</v>
          </cell>
        </row>
        <row r="145">
          <cell r="E145">
            <v>1074500</v>
          </cell>
          <cell r="F145" t="str">
            <v>Dolar</v>
          </cell>
          <cell r="G145">
            <v>3.839</v>
          </cell>
        </row>
        <row r="146">
          <cell r="E146">
            <v>1061500</v>
          </cell>
          <cell r="F146" t="str">
            <v>Dolar</v>
          </cell>
          <cell r="G146">
            <v>3.6589999999999998</v>
          </cell>
        </row>
        <row r="147">
          <cell r="E147">
            <v>1050500</v>
          </cell>
          <cell r="F147" t="str">
            <v>Dolar</v>
          </cell>
          <cell r="G147">
            <v>3.839</v>
          </cell>
        </row>
        <row r="148">
          <cell r="E148">
            <v>1049500</v>
          </cell>
          <cell r="F148" t="str">
            <v>Dolar</v>
          </cell>
          <cell r="G148">
            <v>3.839</v>
          </cell>
        </row>
        <row r="149">
          <cell r="E149">
            <v>1160500</v>
          </cell>
          <cell r="F149" t="str">
            <v>Dolar</v>
          </cell>
          <cell r="G149">
            <v>3.839</v>
          </cell>
        </row>
        <row r="150">
          <cell r="E150">
            <v>1075500</v>
          </cell>
          <cell r="F150" t="str">
            <v>Dolar</v>
          </cell>
          <cell r="G150">
            <v>3.839</v>
          </cell>
        </row>
        <row r="151">
          <cell r="E151">
            <v>1047500</v>
          </cell>
          <cell r="F151" t="str">
            <v>Dolar</v>
          </cell>
          <cell r="G151">
            <v>4.0389999999999997</v>
          </cell>
        </row>
        <row r="152">
          <cell r="E152">
            <v>1077500</v>
          </cell>
          <cell r="F152" t="str">
            <v>Dolar</v>
          </cell>
          <cell r="G152">
            <v>3.839</v>
          </cell>
        </row>
        <row r="153">
          <cell r="E153">
            <v>1067500</v>
          </cell>
          <cell r="F153" t="str">
            <v>Dolar</v>
          </cell>
          <cell r="G153">
            <v>3.1720000000000002</v>
          </cell>
        </row>
        <row r="154">
          <cell r="E154">
            <v>1053500</v>
          </cell>
          <cell r="F154" t="str">
            <v>Dolar</v>
          </cell>
          <cell r="G154">
            <v>3.839</v>
          </cell>
        </row>
        <row r="155">
          <cell r="E155">
            <v>1052500</v>
          </cell>
          <cell r="F155" t="str">
            <v>Dolar</v>
          </cell>
          <cell r="G155">
            <v>4.0250000000000004</v>
          </cell>
        </row>
        <row r="156">
          <cell r="E156">
            <v>1048500</v>
          </cell>
          <cell r="F156" t="str">
            <v>Dolar</v>
          </cell>
          <cell r="G156">
            <v>4.0140000000000002</v>
          </cell>
        </row>
        <row r="157">
          <cell r="E157">
            <v>1054500</v>
          </cell>
          <cell r="F157" t="str">
            <v>Dolar</v>
          </cell>
          <cell r="G157">
            <v>4.0250000000000004</v>
          </cell>
        </row>
        <row r="158">
          <cell r="E158" t="str">
            <v/>
          </cell>
          <cell r="F158" t="str">
            <v>Dolar</v>
          </cell>
          <cell r="G158">
            <v>4.63</v>
          </cell>
        </row>
        <row r="159">
          <cell r="E159" t="str">
            <v/>
          </cell>
          <cell r="F159" t="str">
            <v>Dolar</v>
          </cell>
          <cell r="G159">
            <v>4.4269999999999996</v>
          </cell>
        </row>
        <row r="160">
          <cell r="E160">
            <v>1065500</v>
          </cell>
          <cell r="F160" t="str">
            <v>Dolar</v>
          </cell>
          <cell r="G160">
            <v>3.839</v>
          </cell>
        </row>
        <row r="161">
          <cell r="E161">
            <v>1069500</v>
          </cell>
          <cell r="F161" t="str">
            <v>Dolar</v>
          </cell>
          <cell r="G161">
            <v>3.839</v>
          </cell>
        </row>
        <row r="162">
          <cell r="E162">
            <v>1072500</v>
          </cell>
          <cell r="F162" t="str">
            <v>Dolar</v>
          </cell>
          <cell r="G162">
            <v>3.839</v>
          </cell>
        </row>
        <row r="163">
          <cell r="E163">
            <v>1076500</v>
          </cell>
          <cell r="F163" t="str">
            <v>Dolar</v>
          </cell>
          <cell r="G163">
            <v>4.4269999999999996</v>
          </cell>
        </row>
        <row r="164">
          <cell r="E164" t="str">
            <v>1224500</v>
          </cell>
          <cell r="F164" t="str">
            <v>Dolar</v>
          </cell>
          <cell r="G164">
            <v>3.839</v>
          </cell>
        </row>
        <row r="165">
          <cell r="E165">
            <v>1228500</v>
          </cell>
          <cell r="F165" t="str">
            <v>Dolar</v>
          </cell>
          <cell r="G165">
            <v>3.9249999999999998</v>
          </cell>
        </row>
        <row r="166">
          <cell r="E166" t="str">
            <v/>
          </cell>
          <cell r="F166" t="str">
            <v>Dolar</v>
          </cell>
          <cell r="G166">
            <v>3.839</v>
          </cell>
        </row>
        <row r="167">
          <cell r="E167">
            <v>0</v>
          </cell>
          <cell r="F167" t="str">
            <v>Dolar</v>
          </cell>
          <cell r="G167">
            <v>4.17</v>
          </cell>
        </row>
        <row r="168">
          <cell r="E168">
            <v>1232500</v>
          </cell>
          <cell r="F168" t="str">
            <v>Dolar</v>
          </cell>
          <cell r="G168">
            <v>4.18</v>
          </cell>
        </row>
        <row r="169">
          <cell r="E169" t="str">
            <v/>
          </cell>
          <cell r="G169">
            <v>0</v>
          </cell>
        </row>
        <row r="170">
          <cell r="E170" t="str">
            <v/>
          </cell>
          <cell r="G170">
            <v>0</v>
          </cell>
        </row>
        <row r="171">
          <cell r="E171" t="str">
            <v/>
          </cell>
          <cell r="G171">
            <v>0</v>
          </cell>
        </row>
        <row r="172">
          <cell r="E172" t="str">
            <v/>
          </cell>
          <cell r="F172" t="str">
            <v>Dolar</v>
          </cell>
          <cell r="G172" t="str">
            <v>Ultimo $ proveedor</v>
          </cell>
        </row>
        <row r="173">
          <cell r="E173">
            <v>1240500</v>
          </cell>
          <cell r="F173" t="str">
            <v>Dolar</v>
          </cell>
          <cell r="G173">
            <v>3.97</v>
          </cell>
        </row>
        <row r="174">
          <cell r="E174">
            <v>1202500</v>
          </cell>
          <cell r="F174" t="str">
            <v>Dolar</v>
          </cell>
          <cell r="G174">
            <v>4.05</v>
          </cell>
        </row>
        <row r="175">
          <cell r="E175">
            <v>1201500</v>
          </cell>
          <cell r="F175" t="str">
            <v>Dolar</v>
          </cell>
          <cell r="G175">
            <v>4.05</v>
          </cell>
        </row>
        <row r="176">
          <cell r="E176" t="str">
            <v>1198500</v>
          </cell>
          <cell r="F176" t="str">
            <v>Dolar</v>
          </cell>
          <cell r="G176">
            <v>4.05</v>
          </cell>
        </row>
        <row r="177">
          <cell r="E177" t="str">
            <v/>
          </cell>
          <cell r="F177" t="str">
            <v>Dolar</v>
          </cell>
          <cell r="G177">
            <v>4.3899999999999997</v>
          </cell>
        </row>
        <row r="178">
          <cell r="E178">
            <v>1203500</v>
          </cell>
          <cell r="F178" t="str">
            <v>Dolar</v>
          </cell>
          <cell r="G178">
            <v>4.05</v>
          </cell>
        </row>
        <row r="179">
          <cell r="E179">
            <v>1204500</v>
          </cell>
          <cell r="F179" t="str">
            <v>Dolar</v>
          </cell>
          <cell r="G179">
            <v>4.05</v>
          </cell>
        </row>
        <row r="180">
          <cell r="E180" t="str">
            <v/>
          </cell>
          <cell r="F180" t="str">
            <v>Dolar</v>
          </cell>
          <cell r="G180">
            <v>4.3899999999999997</v>
          </cell>
        </row>
        <row r="181">
          <cell r="E181">
            <v>1200500</v>
          </cell>
          <cell r="F181" t="str">
            <v>Dolar</v>
          </cell>
          <cell r="G181">
            <v>4.05</v>
          </cell>
        </row>
        <row r="182">
          <cell r="E182">
            <v>1199500</v>
          </cell>
          <cell r="F182" t="str">
            <v>Dolar</v>
          </cell>
          <cell r="G182">
            <v>3.46</v>
          </cell>
        </row>
        <row r="183">
          <cell r="E183">
            <v>1206500</v>
          </cell>
          <cell r="F183" t="str">
            <v>Dolar</v>
          </cell>
          <cell r="G183">
            <v>3.99</v>
          </cell>
        </row>
        <row r="184">
          <cell r="E184">
            <v>1209500</v>
          </cell>
          <cell r="F184" t="str">
            <v>Dolar</v>
          </cell>
          <cell r="G184">
            <v>4.05</v>
          </cell>
        </row>
        <row r="185">
          <cell r="E185">
            <v>1210500</v>
          </cell>
          <cell r="F185" t="str">
            <v>Dolar</v>
          </cell>
          <cell r="G185">
            <v>4.05</v>
          </cell>
        </row>
        <row r="186">
          <cell r="E186">
            <v>1240500</v>
          </cell>
          <cell r="F186" t="str">
            <v>Dolar</v>
          </cell>
          <cell r="G186">
            <v>4.3099999999999996</v>
          </cell>
        </row>
        <row r="187">
          <cell r="E187">
            <v>1239500</v>
          </cell>
          <cell r="F187" t="str">
            <v>Dolar</v>
          </cell>
          <cell r="G187">
            <v>3.97</v>
          </cell>
        </row>
        <row r="188">
          <cell r="E188">
            <v>1238500</v>
          </cell>
          <cell r="F188" t="str">
            <v>Dolar</v>
          </cell>
          <cell r="G188">
            <v>4.76</v>
          </cell>
        </row>
        <row r="189">
          <cell r="E189">
            <v>1244500</v>
          </cell>
          <cell r="F189" t="str">
            <v>Dolar</v>
          </cell>
          <cell r="G189">
            <v>3.97</v>
          </cell>
        </row>
        <row r="190">
          <cell r="E190">
            <v>1246500</v>
          </cell>
          <cell r="F190" t="str">
            <v>Dolar</v>
          </cell>
          <cell r="G190">
            <v>3.97</v>
          </cell>
        </row>
        <row r="191">
          <cell r="E191">
            <v>1248500</v>
          </cell>
          <cell r="F191" t="str">
            <v>Dolar</v>
          </cell>
          <cell r="G191">
            <v>4.75</v>
          </cell>
        </row>
        <row r="192">
          <cell r="E192">
            <v>1252500</v>
          </cell>
          <cell r="F192" t="str">
            <v>Dolar</v>
          </cell>
          <cell r="G192">
            <v>3.97</v>
          </cell>
        </row>
        <row r="193">
          <cell r="E193">
            <v>1261500</v>
          </cell>
          <cell r="F193" t="str">
            <v>Dolar</v>
          </cell>
          <cell r="G193">
            <v>3.97</v>
          </cell>
        </row>
        <row r="194">
          <cell r="E194">
            <v>1065500</v>
          </cell>
          <cell r="F194" t="str">
            <v>Dolar</v>
          </cell>
          <cell r="G194">
            <v>3.99</v>
          </cell>
        </row>
        <row r="195">
          <cell r="E195">
            <v>0</v>
          </cell>
          <cell r="F195" t="str">
            <v>Dolar</v>
          </cell>
          <cell r="G195">
            <v>3.99</v>
          </cell>
        </row>
        <row r="196">
          <cell r="E196" t="str">
            <v/>
          </cell>
          <cell r="F196">
            <v>0</v>
          </cell>
          <cell r="G196">
            <v>0</v>
          </cell>
        </row>
        <row r="197">
          <cell r="E197" t="str">
            <v/>
          </cell>
          <cell r="F197" t="str">
            <v>Dolar</v>
          </cell>
          <cell r="G197">
            <v>0</v>
          </cell>
        </row>
        <row r="198">
          <cell r="E198" t="str">
            <v/>
          </cell>
          <cell r="F198" t="str">
            <v>Moneda</v>
          </cell>
          <cell r="G198" t="str">
            <v>Ultimo $ proveedor</v>
          </cell>
        </row>
        <row r="199">
          <cell r="E199">
            <v>1033500</v>
          </cell>
          <cell r="F199" t="str">
            <v>Dolar</v>
          </cell>
          <cell r="G199">
            <v>5.5</v>
          </cell>
        </row>
        <row r="200">
          <cell r="E200">
            <v>1034500</v>
          </cell>
          <cell r="F200" t="str">
            <v>Dolar</v>
          </cell>
          <cell r="G200">
            <v>5.5</v>
          </cell>
        </row>
        <row r="201">
          <cell r="E201">
            <v>1035500</v>
          </cell>
          <cell r="F201" t="str">
            <v>Dolar</v>
          </cell>
          <cell r="G201">
            <v>4.99</v>
          </cell>
        </row>
        <row r="202">
          <cell r="E202" t="str">
            <v/>
          </cell>
          <cell r="F202">
            <v>0</v>
          </cell>
          <cell r="G202">
            <v>0</v>
          </cell>
        </row>
        <row r="203">
          <cell r="E203" t="str">
            <v/>
          </cell>
          <cell r="F203" t="str">
            <v>Dolar</v>
          </cell>
          <cell r="G203">
            <v>0</v>
          </cell>
        </row>
        <row r="204">
          <cell r="E204" t="str">
            <v/>
          </cell>
          <cell r="F204" t="str">
            <v>Moneda</v>
          </cell>
          <cell r="G204" t="str">
            <v>Ultimo $ proveedor</v>
          </cell>
        </row>
        <row r="205">
          <cell r="E205">
            <v>1031500</v>
          </cell>
          <cell r="F205" t="str">
            <v>Dolar</v>
          </cell>
          <cell r="G205">
            <v>12.15</v>
          </cell>
        </row>
        <row r="206">
          <cell r="E206" t="str">
            <v/>
          </cell>
          <cell r="F206">
            <v>0</v>
          </cell>
          <cell r="G206">
            <v>0</v>
          </cell>
        </row>
        <row r="207">
          <cell r="E207" t="str">
            <v/>
          </cell>
          <cell r="F207" t="str">
            <v>Dolar</v>
          </cell>
          <cell r="G207">
            <v>0</v>
          </cell>
        </row>
        <row r="208">
          <cell r="E208" t="str">
            <v/>
          </cell>
          <cell r="F208" t="str">
            <v>Moneda</v>
          </cell>
          <cell r="G208" t="str">
            <v>Ultimo $ proveedor</v>
          </cell>
        </row>
        <row r="209">
          <cell r="E209">
            <v>1093500</v>
          </cell>
          <cell r="F209" t="str">
            <v>Dolar</v>
          </cell>
          <cell r="G209">
            <v>13.44</v>
          </cell>
        </row>
        <row r="210">
          <cell r="E210">
            <v>1175500</v>
          </cell>
          <cell r="F210" t="str">
            <v>Dolar</v>
          </cell>
          <cell r="G210">
            <v>18.600000000000001</v>
          </cell>
        </row>
        <row r="211">
          <cell r="E211">
            <v>1095500</v>
          </cell>
          <cell r="F211" t="str">
            <v>Peso</v>
          </cell>
          <cell r="G211">
            <v>147</v>
          </cell>
        </row>
        <row r="212">
          <cell r="E212">
            <v>1096500</v>
          </cell>
          <cell r="F212" t="str">
            <v>Peso</v>
          </cell>
          <cell r="G212">
            <v>190</v>
          </cell>
        </row>
        <row r="213">
          <cell r="E213" t="str">
            <v/>
          </cell>
          <cell r="F213" t="str">
            <v>Dolar</v>
          </cell>
          <cell r="G213">
            <v>34</v>
          </cell>
        </row>
        <row r="214">
          <cell r="E214" t="str">
            <v/>
          </cell>
          <cell r="F214" t="str">
            <v>Dolar</v>
          </cell>
          <cell r="G214">
            <v>26</v>
          </cell>
        </row>
        <row r="215">
          <cell r="E215">
            <v>0</v>
          </cell>
          <cell r="F215" t="str">
            <v>Dolar</v>
          </cell>
          <cell r="G215">
            <v>15.84</v>
          </cell>
        </row>
        <row r="216">
          <cell r="E216" t="str">
            <v/>
          </cell>
          <cell r="F216">
            <v>0</v>
          </cell>
          <cell r="G216">
            <v>0</v>
          </cell>
        </row>
        <row r="217">
          <cell r="E217" t="str">
            <v/>
          </cell>
          <cell r="F217" t="str">
            <v>Peso</v>
          </cell>
          <cell r="G217" t="str">
            <v>Remaches</v>
          </cell>
        </row>
        <row r="218">
          <cell r="E218" t="str">
            <v/>
          </cell>
          <cell r="F218" t="str">
            <v>Moneda</v>
          </cell>
          <cell r="G218" t="str">
            <v>Ultimo $ proveedor</v>
          </cell>
        </row>
        <row r="219">
          <cell r="E219">
            <v>1097500</v>
          </cell>
          <cell r="F219" t="str">
            <v>Peso</v>
          </cell>
          <cell r="G219">
            <v>3.2021000000000002</v>
          </cell>
        </row>
        <row r="220">
          <cell r="E220">
            <v>1278500</v>
          </cell>
          <cell r="F220" t="str">
            <v>Peso</v>
          </cell>
          <cell r="G220">
            <v>16.406382000000001</v>
          </cell>
        </row>
        <row r="221">
          <cell r="E221">
            <v>1084500</v>
          </cell>
          <cell r="F221" t="str">
            <v>Peso</v>
          </cell>
          <cell r="G221">
            <v>0</v>
          </cell>
        </row>
        <row r="222">
          <cell r="E222">
            <v>1102500</v>
          </cell>
          <cell r="F222" t="str">
            <v>Peso</v>
          </cell>
          <cell r="G222">
            <v>20.265004999999999</v>
          </cell>
        </row>
        <row r="223">
          <cell r="E223">
            <v>1088500</v>
          </cell>
          <cell r="F223" t="str">
            <v>Peso</v>
          </cell>
          <cell r="G223">
            <v>19.279363</v>
          </cell>
        </row>
        <row r="224">
          <cell r="E224">
            <v>1092500</v>
          </cell>
          <cell r="F224" t="str">
            <v>Peso</v>
          </cell>
          <cell r="G224">
            <v>18.439865999999999</v>
          </cell>
        </row>
        <row r="225">
          <cell r="E225">
            <v>1250500</v>
          </cell>
          <cell r="F225" t="str">
            <v>Peso</v>
          </cell>
          <cell r="G225">
            <v>22.446110000000001</v>
          </cell>
        </row>
        <row r="226">
          <cell r="E226">
            <v>1098500</v>
          </cell>
          <cell r="F226" t="str">
            <v>Peso</v>
          </cell>
          <cell r="G226">
            <v>3.2021000000000002</v>
          </cell>
        </row>
        <row r="227">
          <cell r="E227">
            <v>1271500</v>
          </cell>
          <cell r="F227" t="str">
            <v>Peso</v>
          </cell>
          <cell r="G227">
            <v>3.2021000000000002</v>
          </cell>
        </row>
        <row r="228">
          <cell r="E228">
            <v>1272500</v>
          </cell>
          <cell r="F228" t="str">
            <v>Peso</v>
          </cell>
          <cell r="G228">
            <v>3.2021000000000002</v>
          </cell>
        </row>
        <row r="229">
          <cell r="E229">
            <v>6148600</v>
          </cell>
          <cell r="F229" t="str">
            <v>Peso</v>
          </cell>
          <cell r="G229">
            <v>20.631550000000001</v>
          </cell>
        </row>
        <row r="230">
          <cell r="E230">
            <v>1089500</v>
          </cell>
          <cell r="F230" t="str">
            <v>Peso</v>
          </cell>
          <cell r="G230">
            <v>34.467081</v>
          </cell>
        </row>
        <row r="231">
          <cell r="E231">
            <v>1085500</v>
          </cell>
          <cell r="F231" t="str">
            <v>Peso</v>
          </cell>
          <cell r="G231">
            <v>8.8753600000000006</v>
          </cell>
        </row>
        <row r="232">
          <cell r="E232">
            <v>1078500</v>
          </cell>
          <cell r="F232" t="str">
            <v>Peso</v>
          </cell>
          <cell r="G232">
            <v>132.20677000000001</v>
          </cell>
        </row>
        <row r="233">
          <cell r="E233">
            <v>1188500</v>
          </cell>
          <cell r="F233" t="str">
            <v>Peso</v>
          </cell>
          <cell r="G233">
            <v>534.39701000000002</v>
          </cell>
        </row>
        <row r="234">
          <cell r="E234">
            <v>1090500</v>
          </cell>
          <cell r="F234" t="str">
            <v>Peso</v>
          </cell>
          <cell r="G234">
            <v>342.22</v>
          </cell>
        </row>
        <row r="235">
          <cell r="E235">
            <v>1079500</v>
          </cell>
          <cell r="F235" t="str">
            <v>Peso</v>
          </cell>
          <cell r="G235">
            <v>81.967877999999999</v>
          </cell>
        </row>
        <row r="236">
          <cell r="E236">
            <v>1083500</v>
          </cell>
          <cell r="F236" t="str">
            <v>Peso</v>
          </cell>
          <cell r="G236">
            <v>17.276622</v>
          </cell>
        </row>
        <row r="237">
          <cell r="E237">
            <v>1086500</v>
          </cell>
          <cell r="F237" t="str">
            <v>Peso</v>
          </cell>
          <cell r="G237">
            <v>72.450264000000004</v>
          </cell>
        </row>
        <row r="238">
          <cell r="E238">
            <v>1087500</v>
          </cell>
          <cell r="F238" t="str">
            <v>Peso</v>
          </cell>
          <cell r="G238">
            <v>0</v>
          </cell>
        </row>
        <row r="239">
          <cell r="E239">
            <v>1091500</v>
          </cell>
          <cell r="F239" t="str">
            <v>Peso</v>
          </cell>
          <cell r="G239">
            <v>28.965586999999999</v>
          </cell>
        </row>
        <row r="240">
          <cell r="E240">
            <v>1092500</v>
          </cell>
          <cell r="F240" t="str">
            <v>Peso</v>
          </cell>
          <cell r="G240">
            <v>0</v>
          </cell>
        </row>
        <row r="241">
          <cell r="E241" t="str">
            <v/>
          </cell>
          <cell r="F241" t="str">
            <v>Peso</v>
          </cell>
          <cell r="G241">
            <v>3.2899829999999999</v>
          </cell>
        </row>
        <row r="242">
          <cell r="E242" t="str">
            <v/>
          </cell>
          <cell r="F242" t="str">
            <v>Peso</v>
          </cell>
          <cell r="G242">
            <v>27.776999</v>
          </cell>
        </row>
        <row r="243">
          <cell r="E243" t="str">
            <v/>
          </cell>
          <cell r="F243" t="str">
            <v>Peso</v>
          </cell>
          <cell r="G243">
            <v>27.572616</v>
          </cell>
        </row>
        <row r="244">
          <cell r="E244">
            <v>1084500</v>
          </cell>
          <cell r="F244" t="str">
            <v>Peso</v>
          </cell>
          <cell r="G244">
            <v>14.450782999999999</v>
          </cell>
        </row>
        <row r="245">
          <cell r="E245">
            <v>1189500</v>
          </cell>
          <cell r="F245" t="str">
            <v>Peso</v>
          </cell>
          <cell r="G245">
            <v>427.01898999999997</v>
          </cell>
        </row>
        <row r="246">
          <cell r="E246">
            <v>1193500</v>
          </cell>
          <cell r="F246" t="str">
            <v>Peso</v>
          </cell>
          <cell r="G246">
            <v>15.866246</v>
          </cell>
        </row>
        <row r="247">
          <cell r="E247">
            <v>1194500</v>
          </cell>
          <cell r="F247" t="str">
            <v>Peso</v>
          </cell>
          <cell r="G247">
            <v>2.9875759999999998</v>
          </cell>
        </row>
        <row r="248">
          <cell r="E248">
            <v>1195500</v>
          </cell>
          <cell r="F248" t="str">
            <v>Peso</v>
          </cell>
          <cell r="G248">
            <v>6.335191</v>
          </cell>
        </row>
        <row r="249">
          <cell r="E249">
            <v>0</v>
          </cell>
          <cell r="F249" t="str">
            <v>Peso</v>
          </cell>
          <cell r="G249">
            <v>4.3253079999999997</v>
          </cell>
        </row>
        <row r="250">
          <cell r="E250">
            <v>0</v>
          </cell>
          <cell r="F250" t="str">
            <v>Peso</v>
          </cell>
          <cell r="G250">
            <v>12.542501</v>
          </cell>
        </row>
        <row r="251">
          <cell r="E251">
            <v>0</v>
          </cell>
          <cell r="F251" t="str">
            <v>Peso</v>
          </cell>
          <cell r="G251">
            <v>18.176197999999999</v>
          </cell>
        </row>
        <row r="252">
          <cell r="E252">
            <v>0</v>
          </cell>
          <cell r="F252" t="str">
            <v>Peso</v>
          </cell>
          <cell r="G252">
            <v>20.863073</v>
          </cell>
        </row>
        <row r="253">
          <cell r="E253">
            <v>1080500</v>
          </cell>
          <cell r="F253" t="str">
            <v>Peso</v>
          </cell>
          <cell r="G253">
            <v>103.737897</v>
          </cell>
        </row>
        <row r="254">
          <cell r="E254">
            <v>1081500</v>
          </cell>
          <cell r="F254" t="str">
            <v>Peso</v>
          </cell>
          <cell r="G254">
            <v>110.153588</v>
          </cell>
        </row>
        <row r="255">
          <cell r="E255">
            <v>1082500</v>
          </cell>
          <cell r="F255" t="str">
            <v>Peso</v>
          </cell>
          <cell r="G255">
            <v>17.276622</v>
          </cell>
        </row>
        <row r="256">
          <cell r="E256">
            <v>1288500</v>
          </cell>
          <cell r="F256" t="str">
            <v>Peso</v>
          </cell>
          <cell r="G256">
            <v>218.11</v>
          </cell>
        </row>
        <row r="257">
          <cell r="E257">
            <v>0</v>
          </cell>
          <cell r="F257">
            <v>0</v>
          </cell>
          <cell r="G257">
            <v>0</v>
          </cell>
        </row>
        <row r="258">
          <cell r="E258">
            <v>0</v>
          </cell>
          <cell r="F258">
            <v>0</v>
          </cell>
          <cell r="G258">
            <v>0</v>
          </cell>
        </row>
        <row r="259">
          <cell r="E259" t="str">
            <v/>
          </cell>
          <cell r="F259">
            <v>0</v>
          </cell>
          <cell r="G259" t="str">
            <v>Ultimo $ proveedor</v>
          </cell>
        </row>
        <row r="260">
          <cell r="E260">
            <v>0</v>
          </cell>
          <cell r="F260" t="str">
            <v>Peso</v>
          </cell>
          <cell r="G260">
            <v>8.32</v>
          </cell>
        </row>
        <row r="261">
          <cell r="E261">
            <v>0</v>
          </cell>
          <cell r="F261" t="str">
            <v>Peso</v>
          </cell>
          <cell r="G261">
            <v>7.4749999999999996</v>
          </cell>
        </row>
        <row r="262">
          <cell r="E262">
            <v>0</v>
          </cell>
          <cell r="F262" t="str">
            <v>Peso</v>
          </cell>
          <cell r="G262">
            <v>5.4340000000000002</v>
          </cell>
        </row>
        <row r="263">
          <cell r="E263">
            <v>0</v>
          </cell>
          <cell r="F263" t="str">
            <v>Peso</v>
          </cell>
          <cell r="G263">
            <v>3.8740000000000001</v>
          </cell>
        </row>
        <row r="264">
          <cell r="E264">
            <v>0</v>
          </cell>
          <cell r="F264" t="str">
            <v>Peso</v>
          </cell>
          <cell r="G264">
            <v>3.0550000000000002</v>
          </cell>
        </row>
        <row r="265">
          <cell r="E265">
            <v>0</v>
          </cell>
          <cell r="F265" t="str">
            <v>Peso</v>
          </cell>
          <cell r="G265">
            <v>2.4569999999999999</v>
          </cell>
        </row>
        <row r="266">
          <cell r="E266">
            <v>0</v>
          </cell>
          <cell r="F266" t="str">
            <v>Peso</v>
          </cell>
          <cell r="G266">
            <v>2.5089999999999999</v>
          </cell>
        </row>
        <row r="267">
          <cell r="E267">
            <v>0</v>
          </cell>
          <cell r="F267" t="str">
            <v>Peso</v>
          </cell>
          <cell r="G267">
            <v>1.3320000000000001</v>
          </cell>
        </row>
        <row r="268">
          <cell r="E268">
            <v>0</v>
          </cell>
          <cell r="F268" t="str">
            <v>Peso</v>
          </cell>
          <cell r="G268">
            <v>0.98599999999999999</v>
          </cell>
        </row>
        <row r="269">
          <cell r="E269">
            <v>0</v>
          </cell>
          <cell r="F269" t="str">
            <v>Peso</v>
          </cell>
          <cell r="G269">
            <v>1.9970000000000001</v>
          </cell>
        </row>
        <row r="270">
          <cell r="E270">
            <v>0</v>
          </cell>
          <cell r="F270" t="str">
            <v>Peso</v>
          </cell>
          <cell r="G270">
            <v>1.9610000000000001</v>
          </cell>
        </row>
        <row r="271">
          <cell r="E271">
            <v>0</v>
          </cell>
          <cell r="F271">
            <v>0</v>
          </cell>
          <cell r="G271">
            <v>0</v>
          </cell>
        </row>
        <row r="272">
          <cell r="E272" t="str">
            <v/>
          </cell>
          <cell r="F272">
            <v>0</v>
          </cell>
          <cell r="G272">
            <v>0</v>
          </cell>
        </row>
        <row r="273">
          <cell r="E273" t="str">
            <v/>
          </cell>
          <cell r="F273" t="str">
            <v>Peso</v>
          </cell>
          <cell r="G273">
            <v>0</v>
          </cell>
        </row>
        <row r="274">
          <cell r="E274" t="str">
            <v/>
          </cell>
          <cell r="F274">
            <v>0</v>
          </cell>
          <cell r="G274" t="str">
            <v>Ultimo $ proveedor</v>
          </cell>
        </row>
        <row r="275">
          <cell r="E275" t="str">
            <v/>
          </cell>
          <cell r="F275" t="str">
            <v>Peso</v>
          </cell>
          <cell r="G275">
            <v>0.59802999999999995</v>
          </cell>
        </row>
        <row r="276">
          <cell r="E276">
            <v>1098500</v>
          </cell>
          <cell r="F276" t="str">
            <v>Peso</v>
          </cell>
          <cell r="G276">
            <v>0.59802999999999995</v>
          </cell>
        </row>
        <row r="277">
          <cell r="E277">
            <v>1099500</v>
          </cell>
          <cell r="F277" t="str">
            <v>Peso</v>
          </cell>
          <cell r="G277">
            <v>0.59802999999999995</v>
          </cell>
        </row>
        <row r="278">
          <cell r="E278">
            <v>1100500</v>
          </cell>
          <cell r="F278" t="str">
            <v>Peso</v>
          </cell>
          <cell r="G278">
            <v>0.59802999999999995</v>
          </cell>
        </row>
        <row r="279">
          <cell r="E279">
            <v>1101500</v>
          </cell>
          <cell r="F279" t="str">
            <v>Peso</v>
          </cell>
          <cell r="G279">
            <v>3.5192600000000001</v>
          </cell>
        </row>
        <row r="280">
          <cell r="E280" t="str">
            <v/>
          </cell>
          <cell r="F280" t="str">
            <v>Peso</v>
          </cell>
          <cell r="G280">
            <v>2.9639099999999998</v>
          </cell>
        </row>
        <row r="281">
          <cell r="E281" t="str">
            <v/>
          </cell>
          <cell r="F281" t="str">
            <v>Peso</v>
          </cell>
          <cell r="G281">
            <v>3.5703100000000001</v>
          </cell>
        </row>
        <row r="282">
          <cell r="E282" t="str">
            <v/>
          </cell>
          <cell r="F282" t="str">
            <v>Peso</v>
          </cell>
          <cell r="G282">
            <v>0.80780999999999992</v>
          </cell>
        </row>
        <row r="283">
          <cell r="E283">
            <v>1106500</v>
          </cell>
          <cell r="F283" t="str">
            <v>Peso</v>
          </cell>
          <cell r="G283">
            <v>3.5155700000000003</v>
          </cell>
        </row>
        <row r="284">
          <cell r="E284" t="str">
            <v/>
          </cell>
          <cell r="F284" t="str">
            <v>Peso</v>
          </cell>
          <cell r="G284">
            <v>2.4284699999999999</v>
          </cell>
        </row>
        <row r="285">
          <cell r="E285" t="str">
            <v/>
          </cell>
          <cell r="F285">
            <v>0</v>
          </cell>
          <cell r="G285">
            <v>0</v>
          </cell>
        </row>
        <row r="286">
          <cell r="E286">
            <v>0</v>
          </cell>
          <cell r="F286">
            <v>0</v>
          </cell>
          <cell r="G286">
            <v>0</v>
          </cell>
        </row>
        <row r="287">
          <cell r="E287" t="str">
            <v/>
          </cell>
          <cell r="F287" t="str">
            <v>Peso</v>
          </cell>
          <cell r="G287">
            <v>0</v>
          </cell>
        </row>
        <row r="288">
          <cell r="E288">
            <v>0</v>
          </cell>
          <cell r="F288">
            <v>0</v>
          </cell>
          <cell r="G288" t="str">
            <v>Ultimo $ proveedor</v>
          </cell>
        </row>
        <row r="289">
          <cell r="E289">
            <v>1256500</v>
          </cell>
          <cell r="F289" t="str">
            <v>Peso</v>
          </cell>
          <cell r="G289">
            <v>10745.22</v>
          </cell>
        </row>
        <row r="290">
          <cell r="E290" t="str">
            <v/>
          </cell>
          <cell r="F290">
            <v>0</v>
          </cell>
          <cell r="G290">
            <v>0</v>
          </cell>
        </row>
        <row r="291">
          <cell r="E291" t="str">
            <v/>
          </cell>
          <cell r="F291" t="str">
            <v>Dolar</v>
          </cell>
          <cell r="G291">
            <v>0</v>
          </cell>
        </row>
        <row r="292">
          <cell r="E292" t="str">
            <v/>
          </cell>
          <cell r="F292" t="str">
            <v>Moneda</v>
          </cell>
          <cell r="G292" t="str">
            <v>Ultimo $ proveedor</v>
          </cell>
        </row>
        <row r="293">
          <cell r="E293">
            <v>1202700</v>
          </cell>
          <cell r="F293" t="str">
            <v>Dolar</v>
          </cell>
          <cell r="G293">
            <v>9.93</v>
          </cell>
        </row>
        <row r="294">
          <cell r="E294">
            <v>2302700</v>
          </cell>
          <cell r="F294" t="str">
            <v>Dolar</v>
          </cell>
          <cell r="G294">
            <v>9.93</v>
          </cell>
        </row>
        <row r="295">
          <cell r="E295">
            <v>0</v>
          </cell>
          <cell r="F295" t="str">
            <v>Dolar</v>
          </cell>
          <cell r="G295">
            <v>14.71</v>
          </cell>
        </row>
        <row r="296">
          <cell r="E296">
            <v>1291700</v>
          </cell>
          <cell r="F296" t="str">
            <v>Dolar</v>
          </cell>
          <cell r="G296">
            <v>9.92</v>
          </cell>
        </row>
        <row r="297">
          <cell r="E297">
            <v>2402700</v>
          </cell>
          <cell r="F297" t="str">
            <v>Dolar</v>
          </cell>
          <cell r="G297">
            <v>9.92</v>
          </cell>
        </row>
        <row r="298">
          <cell r="E298">
            <v>0</v>
          </cell>
          <cell r="F298" t="str">
            <v>Dolar</v>
          </cell>
          <cell r="G298">
            <v>30</v>
          </cell>
        </row>
        <row r="299">
          <cell r="E299" t="str">
            <v/>
          </cell>
          <cell r="F299">
            <v>0</v>
          </cell>
          <cell r="G299">
            <v>0</v>
          </cell>
        </row>
        <row r="300">
          <cell r="E300" t="str">
            <v/>
          </cell>
          <cell r="F300" t="str">
            <v>Peso</v>
          </cell>
          <cell r="G300">
            <v>0</v>
          </cell>
        </row>
        <row r="301">
          <cell r="E301" t="str">
            <v/>
          </cell>
          <cell r="F301">
            <v>0</v>
          </cell>
          <cell r="G301" t="str">
            <v>Ultimo $ proveedor</v>
          </cell>
        </row>
        <row r="302">
          <cell r="E302">
            <v>1100700</v>
          </cell>
          <cell r="F302" t="str">
            <v>Peso</v>
          </cell>
          <cell r="G302">
            <v>172.64</v>
          </cell>
        </row>
        <row r="303">
          <cell r="E303">
            <v>1101700</v>
          </cell>
          <cell r="F303" t="str">
            <v>Peso</v>
          </cell>
          <cell r="G303">
            <v>183.97</v>
          </cell>
        </row>
        <row r="304">
          <cell r="E304">
            <v>0</v>
          </cell>
          <cell r="F304" t="str">
            <v>Peso</v>
          </cell>
          <cell r="G304">
            <v>90.81</v>
          </cell>
        </row>
        <row r="305">
          <cell r="E305">
            <v>0</v>
          </cell>
          <cell r="F305" t="str">
            <v>Peso</v>
          </cell>
          <cell r="G305">
            <v>95.06</v>
          </cell>
        </row>
        <row r="306">
          <cell r="E306">
            <v>1102700</v>
          </cell>
          <cell r="F306" t="str">
            <v>Peso</v>
          </cell>
          <cell r="G306">
            <v>182.52</v>
          </cell>
        </row>
        <row r="307">
          <cell r="E307">
            <v>1103700</v>
          </cell>
          <cell r="F307" t="str">
            <v>Peso</v>
          </cell>
          <cell r="G307">
            <v>349.95</v>
          </cell>
        </row>
        <row r="308">
          <cell r="E308">
            <v>1104700</v>
          </cell>
          <cell r="F308" t="str">
            <v>Peso</v>
          </cell>
          <cell r="G308">
            <v>323.06</v>
          </cell>
        </row>
        <row r="309">
          <cell r="E309">
            <v>1105700</v>
          </cell>
          <cell r="F309" t="str">
            <v>Peso</v>
          </cell>
          <cell r="G309">
            <v>317.37</v>
          </cell>
        </row>
        <row r="310">
          <cell r="E310">
            <v>0</v>
          </cell>
          <cell r="F310" t="str">
            <v>Peso</v>
          </cell>
          <cell r="G310">
            <v>133.79</v>
          </cell>
        </row>
        <row r="311">
          <cell r="E311">
            <v>1106700</v>
          </cell>
          <cell r="F311" t="str">
            <v>Peso</v>
          </cell>
          <cell r="G311">
            <v>397.39</v>
          </cell>
        </row>
        <row r="312">
          <cell r="E312">
            <v>1107700</v>
          </cell>
          <cell r="F312" t="str">
            <v>Peso</v>
          </cell>
          <cell r="G312">
            <v>252.45</v>
          </cell>
        </row>
        <row r="313">
          <cell r="E313">
            <v>1108700</v>
          </cell>
          <cell r="F313" t="str">
            <v>Peso</v>
          </cell>
          <cell r="G313">
            <v>212.63</v>
          </cell>
        </row>
        <row r="314">
          <cell r="E314">
            <v>1277700</v>
          </cell>
          <cell r="F314" t="str">
            <v>Peso</v>
          </cell>
          <cell r="G314">
            <v>379.96</v>
          </cell>
        </row>
        <row r="315">
          <cell r="E315">
            <v>1110700</v>
          </cell>
          <cell r="F315" t="str">
            <v>Peso</v>
          </cell>
          <cell r="G315">
            <v>146.41999999999999</v>
          </cell>
        </row>
        <row r="316">
          <cell r="E316">
            <v>1111700</v>
          </cell>
          <cell r="F316" t="str">
            <v>Peso</v>
          </cell>
          <cell r="G316">
            <v>336.92</v>
          </cell>
        </row>
        <row r="317">
          <cell r="E317">
            <v>1112700</v>
          </cell>
          <cell r="F317" t="str">
            <v>Peso</v>
          </cell>
          <cell r="G317">
            <v>333.4</v>
          </cell>
        </row>
        <row r="318">
          <cell r="E318">
            <v>1113700</v>
          </cell>
          <cell r="F318" t="str">
            <v>Peso</v>
          </cell>
          <cell r="G318">
            <v>122.1</v>
          </cell>
        </row>
        <row r="319">
          <cell r="E319">
            <v>1289700</v>
          </cell>
          <cell r="F319" t="str">
            <v>Peso</v>
          </cell>
          <cell r="G319">
            <v>298.81</v>
          </cell>
        </row>
        <row r="320">
          <cell r="E320">
            <v>1110700</v>
          </cell>
          <cell r="F320" t="str">
            <v>Peso</v>
          </cell>
          <cell r="G320">
            <v>144.54</v>
          </cell>
        </row>
        <row r="321">
          <cell r="E321">
            <v>1114700</v>
          </cell>
          <cell r="F321" t="str">
            <v>Peso</v>
          </cell>
          <cell r="G321">
            <v>239.25</v>
          </cell>
        </row>
        <row r="322">
          <cell r="E322">
            <v>1115700</v>
          </cell>
          <cell r="F322" t="str">
            <v>Peso</v>
          </cell>
          <cell r="G322">
            <v>199.05</v>
          </cell>
        </row>
        <row r="323">
          <cell r="E323">
            <v>0</v>
          </cell>
          <cell r="F323">
            <v>0</v>
          </cell>
          <cell r="G323">
            <v>0</v>
          </cell>
        </row>
        <row r="324">
          <cell r="E324" t="str">
            <v/>
          </cell>
          <cell r="F324">
            <v>0</v>
          </cell>
          <cell r="G324">
            <v>0</v>
          </cell>
        </row>
        <row r="325">
          <cell r="E325" t="str">
            <v/>
          </cell>
          <cell r="F325" t="str">
            <v>Peso</v>
          </cell>
          <cell r="G325" t="str">
            <v>abel kappaventas@hotmail.com</v>
          </cell>
        </row>
        <row r="326">
          <cell r="E326" t="str">
            <v/>
          </cell>
          <cell r="F326">
            <v>0</v>
          </cell>
          <cell r="G326" t="str">
            <v>Ultimo $ proveedor</v>
          </cell>
        </row>
        <row r="327">
          <cell r="E327">
            <v>1101700</v>
          </cell>
          <cell r="F327" t="str">
            <v>Peso</v>
          </cell>
          <cell r="G327">
            <v>52</v>
          </cell>
        </row>
        <row r="328">
          <cell r="E328">
            <v>1107700</v>
          </cell>
          <cell r="F328" t="str">
            <v>Peso</v>
          </cell>
          <cell r="G328">
            <v>71.2</v>
          </cell>
        </row>
        <row r="329">
          <cell r="E329" t="str">
            <v/>
          </cell>
          <cell r="G329">
            <v>0</v>
          </cell>
        </row>
        <row r="330">
          <cell r="E330" t="str">
            <v/>
          </cell>
          <cell r="F330" t="str">
            <v>Peso</v>
          </cell>
          <cell r="G330">
            <v>0</v>
          </cell>
        </row>
        <row r="331">
          <cell r="E331" t="str">
            <v/>
          </cell>
          <cell r="F331">
            <v>0</v>
          </cell>
          <cell r="G331" t="str">
            <v>Ultimo $ proveedor</v>
          </cell>
        </row>
        <row r="332">
          <cell r="E332">
            <v>2301700</v>
          </cell>
          <cell r="F332" t="str">
            <v>Peso</v>
          </cell>
          <cell r="G332">
            <v>94.68</v>
          </cell>
        </row>
        <row r="333">
          <cell r="E333" t="str">
            <v/>
          </cell>
          <cell r="F333">
            <v>0</v>
          </cell>
          <cell r="G333">
            <v>0</v>
          </cell>
        </row>
        <row r="334">
          <cell r="E334" t="str">
            <v/>
          </cell>
          <cell r="F334">
            <v>0</v>
          </cell>
          <cell r="G334">
            <v>0</v>
          </cell>
        </row>
        <row r="335">
          <cell r="E335">
            <v>1260700</v>
          </cell>
          <cell r="F335" t="str">
            <v>Peso</v>
          </cell>
          <cell r="G335">
            <v>90.66</v>
          </cell>
        </row>
        <row r="336">
          <cell r="E336" t="str">
            <v/>
          </cell>
          <cell r="F336">
            <v>0</v>
          </cell>
          <cell r="G336">
            <v>0</v>
          </cell>
        </row>
        <row r="337">
          <cell r="E337">
            <v>1201700</v>
          </cell>
          <cell r="F337" t="str">
            <v>Peso</v>
          </cell>
          <cell r="G337">
            <v>86.53</v>
          </cell>
        </row>
        <row r="338">
          <cell r="E338" t="str">
            <v/>
          </cell>
          <cell r="G338">
            <v>0</v>
          </cell>
        </row>
        <row r="339">
          <cell r="E339" t="str">
            <v/>
          </cell>
          <cell r="F339" t="str">
            <v>Peso</v>
          </cell>
          <cell r="G339" t="str">
            <v>Saavedra 3421</v>
          </cell>
        </row>
        <row r="340">
          <cell r="E340" t="str">
            <v/>
          </cell>
          <cell r="F340">
            <v>0</v>
          </cell>
          <cell r="G340" t="str">
            <v>Ultimo $ proveedor</v>
          </cell>
        </row>
        <row r="341">
          <cell r="E341" t="str">
            <v>506 - 510</v>
          </cell>
          <cell r="F341" t="str">
            <v>Peso</v>
          </cell>
          <cell r="G341">
            <v>40</v>
          </cell>
        </row>
        <row r="342">
          <cell r="E342" t="str">
            <v>557/558/654</v>
          </cell>
          <cell r="F342" t="str">
            <v>Peso</v>
          </cell>
          <cell r="G342">
            <v>40</v>
          </cell>
        </row>
        <row r="343">
          <cell r="E343" t="str">
            <v/>
          </cell>
          <cell r="F343" t="str">
            <v>Peso</v>
          </cell>
          <cell r="G343">
            <v>0</v>
          </cell>
        </row>
        <row r="344">
          <cell r="E344" t="str">
            <v/>
          </cell>
          <cell r="F344" t="str">
            <v>Peso</v>
          </cell>
          <cell r="G344">
            <v>0</v>
          </cell>
        </row>
        <row r="345">
          <cell r="E345" t="str">
            <v/>
          </cell>
          <cell r="F345" t="str">
            <v>Peso</v>
          </cell>
          <cell r="G345">
            <v>0</v>
          </cell>
        </row>
        <row r="346">
          <cell r="E346" t="str">
            <v/>
          </cell>
          <cell r="F346" t="str">
            <v>Peso</v>
          </cell>
          <cell r="G346">
            <v>0</v>
          </cell>
        </row>
        <row r="347">
          <cell r="E347" t="str">
            <v/>
          </cell>
          <cell r="F347">
            <v>0</v>
          </cell>
          <cell r="G347">
            <v>0</v>
          </cell>
        </row>
        <row r="348">
          <cell r="E348">
            <v>280</v>
          </cell>
          <cell r="F348" t="str">
            <v>Peso</v>
          </cell>
          <cell r="G348">
            <v>125</v>
          </cell>
        </row>
        <row r="349">
          <cell r="E349">
            <v>555</v>
          </cell>
          <cell r="F349" t="str">
            <v>Peso</v>
          </cell>
          <cell r="G349">
            <v>41</v>
          </cell>
        </row>
        <row r="350">
          <cell r="E350">
            <v>706</v>
          </cell>
          <cell r="F350" t="str">
            <v>Peso</v>
          </cell>
          <cell r="G350">
            <v>40</v>
          </cell>
        </row>
        <row r="351">
          <cell r="E351" t="str">
            <v/>
          </cell>
          <cell r="F351">
            <v>0</v>
          </cell>
          <cell r="G351">
            <v>0</v>
          </cell>
        </row>
        <row r="352">
          <cell r="E352" t="str">
            <v/>
          </cell>
          <cell r="F352" t="str">
            <v>Dolar</v>
          </cell>
          <cell r="G352">
            <v>0</v>
          </cell>
        </row>
        <row r="353">
          <cell r="E353" t="str">
            <v/>
          </cell>
          <cell r="F353" t="str">
            <v>Moneda</v>
          </cell>
          <cell r="G353" t="str">
            <v>Ultimo $ proveedor</v>
          </cell>
        </row>
        <row r="354">
          <cell r="E354">
            <v>1246700</v>
          </cell>
          <cell r="F354" t="str">
            <v>Dolar</v>
          </cell>
          <cell r="G354">
            <v>4.78</v>
          </cell>
        </row>
        <row r="355">
          <cell r="E355">
            <v>1247700</v>
          </cell>
          <cell r="F355" t="str">
            <v>Dolar</v>
          </cell>
          <cell r="G355">
            <v>3.82</v>
          </cell>
        </row>
        <row r="356">
          <cell r="E356">
            <v>1248700</v>
          </cell>
          <cell r="F356" t="str">
            <v>Dolar</v>
          </cell>
          <cell r="G356">
            <v>3.2</v>
          </cell>
        </row>
        <row r="357">
          <cell r="E357">
            <v>1249700</v>
          </cell>
          <cell r="F357" t="str">
            <v>Dolar</v>
          </cell>
          <cell r="G357">
            <v>2.54</v>
          </cell>
        </row>
        <row r="358">
          <cell r="E358">
            <v>1250700</v>
          </cell>
          <cell r="F358" t="str">
            <v>Dolar</v>
          </cell>
          <cell r="G358">
            <v>1.1499999999999999</v>
          </cell>
        </row>
        <row r="359">
          <cell r="E359">
            <v>1251700</v>
          </cell>
          <cell r="F359" t="str">
            <v>Dolar</v>
          </cell>
          <cell r="G359">
            <v>2.15</v>
          </cell>
        </row>
        <row r="360">
          <cell r="E360">
            <v>1252700</v>
          </cell>
          <cell r="F360" t="str">
            <v>Dolar</v>
          </cell>
          <cell r="G360">
            <v>4.5999999999999996</v>
          </cell>
        </row>
        <row r="361">
          <cell r="E361" t="str">
            <v/>
          </cell>
          <cell r="F361">
            <v>0</v>
          </cell>
          <cell r="G361">
            <v>0</v>
          </cell>
        </row>
        <row r="362">
          <cell r="E362">
            <v>1284700</v>
          </cell>
          <cell r="F362" t="str">
            <v>Dolar</v>
          </cell>
          <cell r="G362">
            <v>5.59</v>
          </cell>
        </row>
        <row r="363">
          <cell r="E363">
            <v>0</v>
          </cell>
          <cell r="F363">
            <v>0</v>
          </cell>
          <cell r="G363">
            <v>0</v>
          </cell>
        </row>
        <row r="364">
          <cell r="E364" t="str">
            <v/>
          </cell>
          <cell r="G364">
            <v>0</v>
          </cell>
        </row>
        <row r="365">
          <cell r="E365" t="str">
            <v/>
          </cell>
          <cell r="F365" t="str">
            <v>Dolar</v>
          </cell>
          <cell r="G365">
            <v>0</v>
          </cell>
        </row>
        <row r="366">
          <cell r="E366" t="str">
            <v/>
          </cell>
          <cell r="F366" t="str">
            <v>Moneda</v>
          </cell>
          <cell r="G366" t="str">
            <v>Ultimo $ proveedor</v>
          </cell>
        </row>
        <row r="367">
          <cell r="E367">
            <v>2100</v>
          </cell>
          <cell r="F367" t="str">
            <v>Dolar</v>
          </cell>
          <cell r="G367">
            <v>7.85</v>
          </cell>
        </row>
        <row r="368">
          <cell r="E368">
            <v>3100</v>
          </cell>
          <cell r="F368" t="str">
            <v>Dolar</v>
          </cell>
          <cell r="G368">
            <v>4.2</v>
          </cell>
        </row>
        <row r="369">
          <cell r="E369">
            <v>4100</v>
          </cell>
          <cell r="F369" t="str">
            <v>Dolar</v>
          </cell>
          <cell r="G369">
            <v>15.55</v>
          </cell>
        </row>
        <row r="370">
          <cell r="E370" t="str">
            <v/>
          </cell>
          <cell r="G370">
            <v>0</v>
          </cell>
        </row>
        <row r="371">
          <cell r="E371" t="str">
            <v/>
          </cell>
          <cell r="F371" t="str">
            <v>Peso</v>
          </cell>
          <cell r="G371">
            <v>0</v>
          </cell>
        </row>
        <row r="372">
          <cell r="E372" t="str">
            <v/>
          </cell>
          <cell r="F372">
            <v>0</v>
          </cell>
          <cell r="G372" t="str">
            <v>Ultimo $ proveedor</v>
          </cell>
        </row>
        <row r="373">
          <cell r="E373">
            <v>1203700</v>
          </cell>
          <cell r="F373" t="str">
            <v>Peso</v>
          </cell>
          <cell r="G373">
            <v>37</v>
          </cell>
        </row>
        <row r="374">
          <cell r="E374">
            <v>1204700</v>
          </cell>
          <cell r="F374" t="str">
            <v>Peso</v>
          </cell>
          <cell r="G374">
            <v>38</v>
          </cell>
        </row>
        <row r="375">
          <cell r="E375">
            <v>0</v>
          </cell>
          <cell r="F375">
            <v>0</v>
          </cell>
          <cell r="G375">
            <v>0</v>
          </cell>
        </row>
        <row r="376">
          <cell r="E376">
            <v>0</v>
          </cell>
          <cell r="F376">
            <v>0</v>
          </cell>
          <cell r="G376">
            <v>0</v>
          </cell>
        </row>
        <row r="377">
          <cell r="E377" t="str">
            <v/>
          </cell>
          <cell r="F377">
            <v>0</v>
          </cell>
          <cell r="G377">
            <v>0</v>
          </cell>
        </row>
        <row r="378">
          <cell r="E378" t="str">
            <v/>
          </cell>
          <cell r="F378" t="str">
            <v>Peso</v>
          </cell>
          <cell r="G378">
            <v>0</v>
          </cell>
        </row>
        <row r="379">
          <cell r="E379" t="str">
            <v/>
          </cell>
          <cell r="F379">
            <v>0</v>
          </cell>
          <cell r="G379" t="str">
            <v>Ultimo $ proveedor</v>
          </cell>
        </row>
        <row r="380">
          <cell r="E380">
            <v>1045500</v>
          </cell>
          <cell r="F380" t="str">
            <v>Peso</v>
          </cell>
          <cell r="G380">
            <v>1960</v>
          </cell>
        </row>
        <row r="381">
          <cell r="E381">
            <v>0</v>
          </cell>
          <cell r="F381">
            <v>0</v>
          </cell>
          <cell r="G381">
            <v>0</v>
          </cell>
        </row>
        <row r="382">
          <cell r="E382">
            <v>0</v>
          </cell>
          <cell r="F382">
            <v>0</v>
          </cell>
          <cell r="G382">
            <v>0</v>
          </cell>
        </row>
        <row r="383">
          <cell r="E383" t="str">
            <v/>
          </cell>
          <cell r="F383" t="str">
            <v>Peso</v>
          </cell>
          <cell r="G383">
            <v>0</v>
          </cell>
        </row>
        <row r="384">
          <cell r="E384">
            <v>0</v>
          </cell>
          <cell r="F384">
            <v>0</v>
          </cell>
          <cell r="G384" t="str">
            <v>Ultimo $ proveedor</v>
          </cell>
        </row>
        <row r="385">
          <cell r="E385">
            <v>0</v>
          </cell>
          <cell r="F385" t="str">
            <v>Peso</v>
          </cell>
          <cell r="G385">
            <v>219.78</v>
          </cell>
        </row>
        <row r="386">
          <cell r="E386">
            <v>0</v>
          </cell>
          <cell r="F386">
            <v>0</v>
          </cell>
          <cell r="G386">
            <v>0</v>
          </cell>
        </row>
        <row r="387">
          <cell r="E387" t="str">
            <v/>
          </cell>
          <cell r="G387">
            <v>0</v>
          </cell>
        </row>
        <row r="388">
          <cell r="E388" t="str">
            <v/>
          </cell>
          <cell r="F388" t="str">
            <v>Dolar</v>
          </cell>
          <cell r="G388">
            <v>0</v>
          </cell>
        </row>
        <row r="389">
          <cell r="E389" t="str">
            <v/>
          </cell>
          <cell r="F389" t="str">
            <v>Moneda</v>
          </cell>
          <cell r="G389" t="str">
            <v>Ultimo $ proveedor</v>
          </cell>
        </row>
        <row r="390">
          <cell r="E390" t="str">
            <v/>
          </cell>
          <cell r="F390" t="str">
            <v>Dolar</v>
          </cell>
          <cell r="G390">
            <v>12.59</v>
          </cell>
        </row>
        <row r="391">
          <cell r="E391">
            <v>1181500</v>
          </cell>
          <cell r="F391" t="str">
            <v>Dolar</v>
          </cell>
          <cell r="G391">
            <v>12.23</v>
          </cell>
        </row>
        <row r="392">
          <cell r="E392">
            <v>1192500</v>
          </cell>
          <cell r="F392" t="str">
            <v>Dolar</v>
          </cell>
          <cell r="G392">
            <v>12.23</v>
          </cell>
        </row>
        <row r="393">
          <cell r="E393">
            <v>0</v>
          </cell>
          <cell r="F393">
            <v>0</v>
          </cell>
          <cell r="G393">
            <v>0</v>
          </cell>
        </row>
        <row r="394">
          <cell r="E394" t="str">
            <v/>
          </cell>
          <cell r="F394">
            <v>0</v>
          </cell>
          <cell r="G394">
            <v>0</v>
          </cell>
        </row>
        <row r="395">
          <cell r="E395" t="str">
            <v/>
          </cell>
          <cell r="F395" t="str">
            <v>Peso</v>
          </cell>
          <cell r="G395">
            <v>0</v>
          </cell>
        </row>
        <row r="396">
          <cell r="E396" t="str">
            <v/>
          </cell>
          <cell r="F396" t="str">
            <v>Moneda</v>
          </cell>
          <cell r="G396" t="str">
            <v>Ultimo $ proveedor</v>
          </cell>
        </row>
        <row r="397">
          <cell r="E397">
            <v>1262500</v>
          </cell>
          <cell r="F397" t="str">
            <v>Peso</v>
          </cell>
          <cell r="G397">
            <v>2210.38</v>
          </cell>
        </row>
        <row r="398">
          <cell r="E398">
            <v>1270500</v>
          </cell>
          <cell r="F398" t="str">
            <v>Dolar</v>
          </cell>
          <cell r="G398">
            <v>6.25</v>
          </cell>
        </row>
        <row r="399">
          <cell r="E399">
            <v>1269500</v>
          </cell>
          <cell r="F399" t="str">
            <v>Dolar</v>
          </cell>
          <cell r="G399">
            <v>6.75</v>
          </cell>
        </row>
        <row r="400">
          <cell r="E400">
            <v>0</v>
          </cell>
          <cell r="F400" t="str">
            <v>Dolar</v>
          </cell>
          <cell r="G400">
            <v>7.45</v>
          </cell>
        </row>
        <row r="401">
          <cell r="E401">
            <v>1264500</v>
          </cell>
          <cell r="F401" t="str">
            <v>Dolar</v>
          </cell>
          <cell r="G401">
            <v>3.78</v>
          </cell>
        </row>
        <row r="402">
          <cell r="E402">
            <v>1266500</v>
          </cell>
          <cell r="F402" t="str">
            <v>Dolar</v>
          </cell>
          <cell r="G402">
            <v>4.3499999999999996</v>
          </cell>
        </row>
        <row r="403">
          <cell r="E403">
            <v>1036500</v>
          </cell>
          <cell r="F403" t="str">
            <v>Dolar</v>
          </cell>
          <cell r="G403">
            <v>3.63</v>
          </cell>
        </row>
        <row r="404">
          <cell r="E404">
            <v>1263500</v>
          </cell>
          <cell r="F404" t="str">
            <v>Dolar</v>
          </cell>
          <cell r="G404">
            <v>3.32</v>
          </cell>
        </row>
        <row r="405">
          <cell r="E405" t="str">
            <v/>
          </cell>
          <cell r="F405" t="str">
            <v>Dolar</v>
          </cell>
          <cell r="G405">
            <v>8.91</v>
          </cell>
        </row>
        <row r="407">
          <cell r="E407" t="str">
            <v/>
          </cell>
          <cell r="F407">
            <v>0</v>
          </cell>
          <cell r="G407">
            <v>0</v>
          </cell>
        </row>
        <row r="408">
          <cell r="E408" t="str">
            <v/>
          </cell>
          <cell r="F408" t="str">
            <v>Dolar</v>
          </cell>
          <cell r="G408">
            <v>0</v>
          </cell>
        </row>
        <row r="409">
          <cell r="E409" t="str">
            <v/>
          </cell>
          <cell r="F409" t="str">
            <v>Moneda</v>
          </cell>
          <cell r="G409" t="str">
            <v>Ultimo $ proveedor</v>
          </cell>
        </row>
        <row r="410">
          <cell r="E410">
            <v>1028500</v>
          </cell>
          <cell r="F410" t="str">
            <v>Dolar</v>
          </cell>
          <cell r="G410">
            <v>7.03</v>
          </cell>
        </row>
        <row r="411">
          <cell r="E411">
            <v>1142500</v>
          </cell>
          <cell r="F411" t="str">
            <v>Dolar</v>
          </cell>
          <cell r="G411">
            <v>7.03</v>
          </cell>
        </row>
        <row r="412">
          <cell r="E412">
            <v>1267500</v>
          </cell>
          <cell r="F412" t="str">
            <v>Dolar</v>
          </cell>
          <cell r="G412">
            <v>2.97</v>
          </cell>
        </row>
        <row r="413">
          <cell r="E413">
            <v>1262501</v>
          </cell>
          <cell r="F413" t="str">
            <v>Dolar</v>
          </cell>
          <cell r="G413">
            <v>3.18</v>
          </cell>
        </row>
        <row r="414">
          <cell r="E414">
            <v>1183500</v>
          </cell>
          <cell r="F414" t="str">
            <v>Dolar</v>
          </cell>
          <cell r="G414">
            <v>6</v>
          </cell>
        </row>
        <row r="415">
          <cell r="E415">
            <v>1268500</v>
          </cell>
          <cell r="F415" t="str">
            <v>Dolar</v>
          </cell>
          <cell r="G415">
            <v>5.36</v>
          </cell>
        </row>
        <row r="416">
          <cell r="E416">
            <v>1270500</v>
          </cell>
          <cell r="F416" t="str">
            <v>Dolar</v>
          </cell>
          <cell r="G416">
            <v>7.49</v>
          </cell>
        </row>
        <row r="417">
          <cell r="E417">
            <v>1263500</v>
          </cell>
          <cell r="F417" t="str">
            <v>Dolar</v>
          </cell>
          <cell r="G417">
            <v>2.87</v>
          </cell>
        </row>
        <row r="418">
          <cell r="E418">
            <v>0</v>
          </cell>
          <cell r="F418" t="str">
            <v>Dolar</v>
          </cell>
          <cell r="G418">
            <v>3.68</v>
          </cell>
        </row>
        <row r="419">
          <cell r="E419">
            <v>1264500</v>
          </cell>
          <cell r="F419" t="str">
            <v>Dolar</v>
          </cell>
          <cell r="G419">
            <v>3.3</v>
          </cell>
        </row>
        <row r="420">
          <cell r="E420">
            <v>1262500</v>
          </cell>
          <cell r="F420" t="str">
            <v>Dolar</v>
          </cell>
          <cell r="G420">
            <v>3.18</v>
          </cell>
        </row>
        <row r="421">
          <cell r="E421">
            <v>1266500</v>
          </cell>
          <cell r="F421" t="str">
            <v>Dolar</v>
          </cell>
          <cell r="G421">
            <v>3.44</v>
          </cell>
        </row>
        <row r="422">
          <cell r="E422">
            <v>1269501</v>
          </cell>
          <cell r="F422" t="str">
            <v>Dolar</v>
          </cell>
          <cell r="G422">
            <v>5.28</v>
          </cell>
        </row>
        <row r="423">
          <cell r="E423" t="str">
            <v/>
          </cell>
          <cell r="F423">
            <v>0</v>
          </cell>
          <cell r="G423">
            <v>0</v>
          </cell>
        </row>
        <row r="424">
          <cell r="E424" t="str">
            <v/>
          </cell>
          <cell r="F424" t="str">
            <v>Dolar</v>
          </cell>
          <cell r="G424">
            <v>0</v>
          </cell>
        </row>
        <row r="425">
          <cell r="E425" t="str">
            <v/>
          </cell>
          <cell r="F425">
            <v>0</v>
          </cell>
          <cell r="G425" t="str">
            <v>Ultimo $ proveedor</v>
          </cell>
        </row>
        <row r="426">
          <cell r="E426">
            <v>1115500</v>
          </cell>
          <cell r="F426" t="str">
            <v>Dolar</v>
          </cell>
          <cell r="G426">
            <v>9.26</v>
          </cell>
        </row>
        <row r="427">
          <cell r="E427">
            <v>1116500</v>
          </cell>
          <cell r="F427" t="str">
            <v>Dolar</v>
          </cell>
          <cell r="G427">
            <v>2.95</v>
          </cell>
        </row>
        <row r="428">
          <cell r="E428">
            <v>1117500</v>
          </cell>
          <cell r="F428" t="str">
            <v>Peso</v>
          </cell>
          <cell r="G428">
            <v>2370</v>
          </cell>
        </row>
        <row r="429">
          <cell r="E429">
            <v>1267500</v>
          </cell>
          <cell r="F429" t="str">
            <v>Peso</v>
          </cell>
          <cell r="G429">
            <v>2555</v>
          </cell>
        </row>
        <row r="430">
          <cell r="E430">
            <v>1265500</v>
          </cell>
          <cell r="F430" t="str">
            <v>Dolar</v>
          </cell>
          <cell r="G430">
            <v>7.85</v>
          </cell>
        </row>
        <row r="431">
          <cell r="E431">
            <v>1120500</v>
          </cell>
          <cell r="F431" t="str">
            <v>Peso</v>
          </cell>
          <cell r="G431">
            <v>2.2149999999999999</v>
          </cell>
        </row>
        <row r="432">
          <cell r="E432">
            <v>1265500</v>
          </cell>
          <cell r="F432" t="str">
            <v>Dolar</v>
          </cell>
          <cell r="G432">
            <v>50.05</v>
          </cell>
        </row>
        <row r="433">
          <cell r="E433">
            <v>1122500</v>
          </cell>
          <cell r="F433" t="str">
            <v>Dolar</v>
          </cell>
          <cell r="G433">
            <v>0</v>
          </cell>
        </row>
        <row r="434">
          <cell r="E434">
            <v>0</v>
          </cell>
          <cell r="F434" t="str">
            <v>Peso</v>
          </cell>
          <cell r="G434">
            <v>2385</v>
          </cell>
        </row>
        <row r="435">
          <cell r="E435">
            <v>1269500</v>
          </cell>
          <cell r="F435" t="str">
            <v>Dolar</v>
          </cell>
          <cell r="G435">
            <v>10.43</v>
          </cell>
        </row>
        <row r="436">
          <cell r="E436" t="str">
            <v/>
          </cell>
          <cell r="G436">
            <v>0</v>
          </cell>
        </row>
        <row r="437">
          <cell r="E437" t="str">
            <v/>
          </cell>
          <cell r="F437" t="str">
            <v>Dolar</v>
          </cell>
          <cell r="G437">
            <v>0</v>
          </cell>
        </row>
        <row r="438">
          <cell r="E438" t="str">
            <v/>
          </cell>
          <cell r="F438" t="str">
            <v>Moneda</v>
          </cell>
          <cell r="G438" t="str">
            <v>Ultimo $ proveedor</v>
          </cell>
        </row>
        <row r="439">
          <cell r="E439">
            <v>1024500</v>
          </cell>
          <cell r="F439" t="str">
            <v>Dolar</v>
          </cell>
          <cell r="G439">
            <v>7.54</v>
          </cell>
        </row>
        <row r="440">
          <cell r="E440">
            <v>1025500</v>
          </cell>
          <cell r="F440" t="str">
            <v>Dolar</v>
          </cell>
          <cell r="G440">
            <v>8.9600000000000009</v>
          </cell>
        </row>
        <row r="441">
          <cell r="E441">
            <v>1026500</v>
          </cell>
          <cell r="F441" t="str">
            <v>Dolar</v>
          </cell>
          <cell r="G441">
            <v>6.9</v>
          </cell>
        </row>
        <row r="442">
          <cell r="E442">
            <v>1027500</v>
          </cell>
          <cell r="F442" t="str">
            <v>Dolar</v>
          </cell>
          <cell r="G442">
            <v>12.19</v>
          </cell>
        </row>
        <row r="443">
          <cell r="E443">
            <v>0</v>
          </cell>
          <cell r="F443">
            <v>0</v>
          </cell>
          <cell r="G443">
            <v>0</v>
          </cell>
        </row>
        <row r="444">
          <cell r="E444" t="str">
            <v/>
          </cell>
          <cell r="F444" t="str">
            <v>Dolar</v>
          </cell>
          <cell r="G444">
            <v>0</v>
          </cell>
        </row>
        <row r="445">
          <cell r="E445">
            <v>0</v>
          </cell>
          <cell r="F445" t="str">
            <v>Moneda</v>
          </cell>
          <cell r="G445" t="str">
            <v>Ultimo $ proveedor</v>
          </cell>
        </row>
        <row r="446">
          <cell r="E446">
            <v>1186500</v>
          </cell>
          <cell r="F446" t="str">
            <v>Dolar</v>
          </cell>
          <cell r="G446">
            <v>20.71</v>
          </cell>
        </row>
        <row r="447">
          <cell r="E447">
            <v>1280500</v>
          </cell>
          <cell r="F447" t="str">
            <v>Dolar</v>
          </cell>
          <cell r="G447">
            <v>26.48</v>
          </cell>
        </row>
        <row r="448">
          <cell r="E448" t="str">
            <v/>
          </cell>
          <cell r="F448">
            <v>0</v>
          </cell>
          <cell r="G448">
            <v>0</v>
          </cell>
        </row>
        <row r="449">
          <cell r="E449" t="str">
            <v/>
          </cell>
          <cell r="F449" t="str">
            <v>Peso</v>
          </cell>
          <cell r="G449">
            <v>0</v>
          </cell>
        </row>
        <row r="450">
          <cell r="E450">
            <v>0</v>
          </cell>
          <cell r="F450">
            <v>0</v>
          </cell>
          <cell r="G450" t="str">
            <v>Ultimo $ proveedor</v>
          </cell>
        </row>
        <row r="451">
          <cell r="E451">
            <v>5064600</v>
          </cell>
          <cell r="F451" t="str">
            <v>Peso</v>
          </cell>
          <cell r="G451">
            <v>73.150000000000006</v>
          </cell>
        </row>
        <row r="452">
          <cell r="E452">
            <v>5062600</v>
          </cell>
          <cell r="F452" t="str">
            <v>Peso</v>
          </cell>
          <cell r="G452">
            <v>27.11</v>
          </cell>
        </row>
        <row r="453">
          <cell r="E453">
            <v>5107600</v>
          </cell>
          <cell r="F453" t="str">
            <v>Peso</v>
          </cell>
          <cell r="G453">
            <v>73.150000000000006</v>
          </cell>
        </row>
        <row r="454">
          <cell r="E454">
            <v>5110600</v>
          </cell>
          <cell r="F454" t="str">
            <v>Peso</v>
          </cell>
          <cell r="G454">
            <v>111.83</v>
          </cell>
        </row>
        <row r="455">
          <cell r="E455">
            <v>5065600</v>
          </cell>
          <cell r="F455" t="str">
            <v>Peso</v>
          </cell>
          <cell r="G455">
            <v>111.83</v>
          </cell>
        </row>
        <row r="456">
          <cell r="E456">
            <v>5079600</v>
          </cell>
          <cell r="F456" t="str">
            <v>Peso</v>
          </cell>
          <cell r="G456">
            <v>136.83000000000001</v>
          </cell>
        </row>
        <row r="457">
          <cell r="E457">
            <v>5077600</v>
          </cell>
          <cell r="F457" t="str">
            <v>Peso</v>
          </cell>
          <cell r="G457">
            <v>136.83000000000001</v>
          </cell>
        </row>
        <row r="458">
          <cell r="E458">
            <v>5080600</v>
          </cell>
          <cell r="F458" t="str">
            <v>Peso</v>
          </cell>
          <cell r="G458">
            <v>136.83000000000001</v>
          </cell>
        </row>
        <row r="459">
          <cell r="E459">
            <v>5074600</v>
          </cell>
          <cell r="F459" t="str">
            <v>Peso</v>
          </cell>
          <cell r="G459">
            <v>136.83000000000001</v>
          </cell>
        </row>
        <row r="460">
          <cell r="E460">
            <v>5075600</v>
          </cell>
          <cell r="F460" t="str">
            <v>Peso</v>
          </cell>
          <cell r="G460">
            <v>204.19</v>
          </cell>
        </row>
        <row r="461">
          <cell r="E461">
            <v>5063600</v>
          </cell>
          <cell r="F461" t="str">
            <v>Peso</v>
          </cell>
          <cell r="G461">
            <v>30</v>
          </cell>
        </row>
        <row r="462">
          <cell r="E462">
            <v>5058600</v>
          </cell>
          <cell r="F462" t="str">
            <v>Peso</v>
          </cell>
          <cell r="G462">
            <v>10.26</v>
          </cell>
        </row>
        <row r="463">
          <cell r="E463">
            <v>5071600</v>
          </cell>
          <cell r="F463" t="str">
            <v>Peso</v>
          </cell>
          <cell r="G463">
            <v>10.26</v>
          </cell>
        </row>
        <row r="464">
          <cell r="E464">
            <v>5060600</v>
          </cell>
          <cell r="F464" t="str">
            <v>Peso</v>
          </cell>
          <cell r="G464">
            <v>33.03</v>
          </cell>
        </row>
        <row r="465">
          <cell r="E465">
            <v>1180500</v>
          </cell>
          <cell r="F465" t="str">
            <v>Peso</v>
          </cell>
          <cell r="G465">
            <v>51.84</v>
          </cell>
        </row>
        <row r="466">
          <cell r="E466">
            <v>5066600</v>
          </cell>
          <cell r="F466" t="str">
            <v>Peso</v>
          </cell>
          <cell r="G466">
            <v>27.11</v>
          </cell>
        </row>
        <row r="467">
          <cell r="E467">
            <v>5068600</v>
          </cell>
          <cell r="F467" t="str">
            <v>Peso</v>
          </cell>
          <cell r="G467">
            <v>625.72</v>
          </cell>
        </row>
        <row r="468">
          <cell r="E468">
            <v>5069600</v>
          </cell>
          <cell r="F468" t="str">
            <v>Peso</v>
          </cell>
          <cell r="G468">
            <v>30</v>
          </cell>
        </row>
        <row r="469">
          <cell r="E469">
            <v>5067600</v>
          </cell>
          <cell r="F469" t="str">
            <v>Peso</v>
          </cell>
          <cell r="G469">
            <v>69.47</v>
          </cell>
        </row>
        <row r="470">
          <cell r="E470">
            <v>5073600</v>
          </cell>
          <cell r="F470" t="str">
            <v>Peso</v>
          </cell>
          <cell r="G470">
            <v>31.97</v>
          </cell>
        </row>
        <row r="471">
          <cell r="E471">
            <v>6039600</v>
          </cell>
          <cell r="F471" t="str">
            <v>Peso</v>
          </cell>
          <cell r="G471">
            <v>241.02</v>
          </cell>
        </row>
        <row r="472">
          <cell r="E472">
            <v>6087600</v>
          </cell>
          <cell r="F472" t="str">
            <v>Peso</v>
          </cell>
          <cell r="G472">
            <v>74.989999999999995</v>
          </cell>
        </row>
        <row r="473">
          <cell r="E473">
            <v>5072600</v>
          </cell>
          <cell r="F473" t="str">
            <v>Peso</v>
          </cell>
          <cell r="G473">
            <v>100.52</v>
          </cell>
        </row>
        <row r="474">
          <cell r="E474" t="str">
            <v/>
          </cell>
          <cell r="F474" t="str">
            <v>Peso</v>
          </cell>
          <cell r="G474">
            <v>0</v>
          </cell>
        </row>
        <row r="475">
          <cell r="E475" t="str">
            <v/>
          </cell>
          <cell r="F475" t="str">
            <v>Peso</v>
          </cell>
          <cell r="G475">
            <v>0</v>
          </cell>
        </row>
        <row r="476">
          <cell r="E476">
            <v>5681600</v>
          </cell>
          <cell r="F476" t="str">
            <v>Peso</v>
          </cell>
          <cell r="G476">
            <v>489</v>
          </cell>
        </row>
        <row r="478">
          <cell r="E478" t="str">
            <v/>
          </cell>
          <cell r="F478">
            <v>0</v>
          </cell>
          <cell r="G478">
            <v>0</v>
          </cell>
        </row>
        <row r="479">
          <cell r="E479" t="str">
            <v/>
          </cell>
          <cell r="F479" t="str">
            <v>Peso</v>
          </cell>
          <cell r="G479">
            <v>0</v>
          </cell>
        </row>
        <row r="480">
          <cell r="E480" t="str">
            <v/>
          </cell>
          <cell r="F480">
            <v>0</v>
          </cell>
          <cell r="G480" t="str">
            <v>Ultimo $ proveedor</v>
          </cell>
        </row>
        <row r="481">
          <cell r="E481">
            <v>5183600</v>
          </cell>
          <cell r="F481" t="str">
            <v>Peso</v>
          </cell>
          <cell r="G481">
            <v>43</v>
          </cell>
        </row>
        <row r="482">
          <cell r="E482">
            <v>5184601</v>
          </cell>
          <cell r="F482" t="str">
            <v>Peso</v>
          </cell>
          <cell r="G482">
            <v>155</v>
          </cell>
        </row>
        <row r="483">
          <cell r="E483">
            <v>6077600</v>
          </cell>
          <cell r="F483" t="str">
            <v>Peso</v>
          </cell>
          <cell r="G483">
            <v>25</v>
          </cell>
        </row>
        <row r="484">
          <cell r="E484" t="str">
            <v/>
          </cell>
          <cell r="F484">
            <v>0</v>
          </cell>
          <cell r="G484">
            <v>0</v>
          </cell>
        </row>
        <row r="485">
          <cell r="E485" t="str">
            <v/>
          </cell>
          <cell r="F485" t="str">
            <v>Peso</v>
          </cell>
          <cell r="G485">
            <v>0</v>
          </cell>
        </row>
        <row r="486">
          <cell r="E486" t="str">
            <v/>
          </cell>
          <cell r="F486">
            <v>0</v>
          </cell>
          <cell r="G486" t="str">
            <v>Ultimo $ proveedor</v>
          </cell>
        </row>
        <row r="487">
          <cell r="E487" t="str">
            <v>579 / 816</v>
          </cell>
          <cell r="F487" t="str">
            <v>Peso</v>
          </cell>
          <cell r="G487">
            <v>348</v>
          </cell>
        </row>
        <row r="488">
          <cell r="E488">
            <v>5693600</v>
          </cell>
          <cell r="F488" t="str">
            <v>Peso</v>
          </cell>
          <cell r="G488">
            <v>550</v>
          </cell>
        </row>
        <row r="489">
          <cell r="E489">
            <v>532</v>
          </cell>
          <cell r="F489" t="str">
            <v>Peso</v>
          </cell>
          <cell r="G489">
            <v>410</v>
          </cell>
        </row>
        <row r="490">
          <cell r="E490" t="str">
            <v/>
          </cell>
          <cell r="F490">
            <v>0</v>
          </cell>
          <cell r="G490">
            <v>0</v>
          </cell>
        </row>
        <row r="491">
          <cell r="E491">
            <v>575</v>
          </cell>
          <cell r="F491" t="str">
            <v>Peso</v>
          </cell>
          <cell r="G491">
            <v>387</v>
          </cell>
        </row>
        <row r="492">
          <cell r="E492" t="str">
            <v/>
          </cell>
          <cell r="F492">
            <v>0</v>
          </cell>
          <cell r="G492">
            <v>0</v>
          </cell>
        </row>
        <row r="493">
          <cell r="E493">
            <v>577</v>
          </cell>
          <cell r="F493" t="str">
            <v>Peso</v>
          </cell>
          <cell r="G493">
            <v>387</v>
          </cell>
        </row>
        <row r="494">
          <cell r="E494" t="str">
            <v/>
          </cell>
          <cell r="F494" t="str">
            <v>Peso</v>
          </cell>
          <cell r="G494">
            <v>0</v>
          </cell>
        </row>
        <row r="495">
          <cell r="E495" t="str">
            <v/>
          </cell>
          <cell r="F495">
            <v>0</v>
          </cell>
          <cell r="G495">
            <v>0</v>
          </cell>
        </row>
        <row r="496">
          <cell r="E496" t="str">
            <v/>
          </cell>
          <cell r="F496">
            <v>0</v>
          </cell>
          <cell r="G496">
            <v>0</v>
          </cell>
        </row>
        <row r="497">
          <cell r="E497">
            <v>5185600</v>
          </cell>
          <cell r="F497" t="str">
            <v>Peso</v>
          </cell>
          <cell r="G497">
            <v>81</v>
          </cell>
        </row>
        <row r="498">
          <cell r="E498">
            <v>6077600</v>
          </cell>
          <cell r="F498" t="str">
            <v>Peso</v>
          </cell>
          <cell r="G498">
            <v>26</v>
          </cell>
        </row>
        <row r="499">
          <cell r="E499" t="str">
            <v/>
          </cell>
          <cell r="F499">
            <v>0</v>
          </cell>
          <cell r="G499">
            <v>0</v>
          </cell>
        </row>
        <row r="500">
          <cell r="E500" t="str">
            <v/>
          </cell>
          <cell r="F500">
            <v>0</v>
          </cell>
          <cell r="G500">
            <v>0</v>
          </cell>
        </row>
        <row r="501">
          <cell r="E501" t="str">
            <v/>
          </cell>
          <cell r="F501" t="str">
            <v>Peso</v>
          </cell>
          <cell r="G501">
            <v>0</v>
          </cell>
        </row>
        <row r="502">
          <cell r="E502" t="str">
            <v/>
          </cell>
          <cell r="F502">
            <v>0</v>
          </cell>
          <cell r="G502" t="str">
            <v>Ultimo $ proveedor</v>
          </cell>
        </row>
        <row r="503">
          <cell r="E503">
            <v>1136500</v>
          </cell>
          <cell r="F503" t="str">
            <v>Peso</v>
          </cell>
          <cell r="G503">
            <v>7300</v>
          </cell>
        </row>
        <row r="504">
          <cell r="E504" t="str">
            <v/>
          </cell>
          <cell r="F504">
            <v>0</v>
          </cell>
          <cell r="G504">
            <v>0</v>
          </cell>
        </row>
        <row r="505">
          <cell r="E505" t="str">
            <v/>
          </cell>
          <cell r="F505" t="str">
            <v>Dolar</v>
          </cell>
          <cell r="G505">
            <v>0</v>
          </cell>
        </row>
        <row r="506">
          <cell r="E506" t="str">
            <v/>
          </cell>
          <cell r="F506" t="str">
            <v>Moneda</v>
          </cell>
          <cell r="G506" t="str">
            <v>Ultimo $ proveedor</v>
          </cell>
        </row>
        <row r="507">
          <cell r="E507">
            <v>1254700</v>
          </cell>
          <cell r="F507" t="str">
            <v>Dolar</v>
          </cell>
          <cell r="G507">
            <v>15</v>
          </cell>
        </row>
        <row r="508">
          <cell r="E508">
            <v>1255700</v>
          </cell>
          <cell r="F508" t="str">
            <v>Dolar</v>
          </cell>
          <cell r="G508">
            <v>15</v>
          </cell>
        </row>
        <row r="509">
          <cell r="E509">
            <v>1256700</v>
          </cell>
          <cell r="F509" t="str">
            <v>Dolar</v>
          </cell>
          <cell r="G509">
            <v>23.82</v>
          </cell>
        </row>
        <row r="510">
          <cell r="E510">
            <v>1257700</v>
          </cell>
          <cell r="F510" t="str">
            <v>Dolar</v>
          </cell>
          <cell r="G510">
            <v>8.8000000000000007</v>
          </cell>
        </row>
        <row r="511">
          <cell r="E511">
            <v>1258700</v>
          </cell>
          <cell r="F511" t="str">
            <v>Dolar</v>
          </cell>
          <cell r="G511">
            <v>7.15</v>
          </cell>
        </row>
        <row r="512">
          <cell r="E512" t="str">
            <v/>
          </cell>
          <cell r="F512">
            <v>0</v>
          </cell>
          <cell r="G512">
            <v>0</v>
          </cell>
        </row>
        <row r="513">
          <cell r="E513" t="str">
            <v/>
          </cell>
          <cell r="F513" t="str">
            <v>Peso</v>
          </cell>
          <cell r="G513">
            <v>0</v>
          </cell>
        </row>
        <row r="514">
          <cell r="E514" t="str">
            <v/>
          </cell>
          <cell r="F514">
            <v>0</v>
          </cell>
          <cell r="G514" t="str">
            <v>Ultimo $ proveedor</v>
          </cell>
        </row>
        <row r="515">
          <cell r="E515">
            <v>1206700</v>
          </cell>
          <cell r="F515" t="str">
            <v>Peso</v>
          </cell>
          <cell r="G515">
            <v>68.570279999999997</v>
          </cell>
        </row>
        <row r="516">
          <cell r="E516">
            <v>1207700</v>
          </cell>
          <cell r="F516" t="str">
            <v>Peso</v>
          </cell>
          <cell r="G516">
            <v>61.336709999999997</v>
          </cell>
        </row>
        <row r="517">
          <cell r="E517">
            <v>1208700</v>
          </cell>
          <cell r="F517" t="str">
            <v>Peso</v>
          </cell>
          <cell r="G517">
            <v>102.82239</v>
          </cell>
        </row>
        <row r="518">
          <cell r="E518">
            <v>1209700</v>
          </cell>
          <cell r="F518" t="str">
            <v>Peso</v>
          </cell>
          <cell r="G518">
            <v>32.204250000000002</v>
          </cell>
        </row>
        <row r="519">
          <cell r="E519">
            <v>1210700</v>
          </cell>
          <cell r="F519" t="str">
            <v>Peso</v>
          </cell>
          <cell r="G519">
            <v>183.64680000000001</v>
          </cell>
        </row>
        <row r="520">
          <cell r="E520">
            <v>1211700</v>
          </cell>
          <cell r="F520" t="str">
            <v>Peso</v>
          </cell>
          <cell r="G520">
            <v>68.570279999999997</v>
          </cell>
        </row>
        <row r="521">
          <cell r="E521">
            <v>1212700</v>
          </cell>
          <cell r="F521" t="str">
            <v>Peso</v>
          </cell>
          <cell r="G521">
            <v>27.745200000000001</v>
          </cell>
        </row>
        <row r="522">
          <cell r="E522" t="str">
            <v/>
          </cell>
          <cell r="F522" t="str">
            <v>Peso</v>
          </cell>
          <cell r="G522">
            <v>0</v>
          </cell>
        </row>
        <row r="523">
          <cell r="E523">
            <v>1213700</v>
          </cell>
          <cell r="F523" t="str">
            <v>Peso</v>
          </cell>
          <cell r="G523">
            <v>68.570279999999997</v>
          </cell>
        </row>
        <row r="524">
          <cell r="E524">
            <v>1214700</v>
          </cell>
          <cell r="F524" t="str">
            <v>Peso</v>
          </cell>
          <cell r="G524">
            <v>75.746549999999999</v>
          </cell>
        </row>
        <row r="525">
          <cell r="E525">
            <v>1215700</v>
          </cell>
          <cell r="F525" t="str">
            <v>Peso</v>
          </cell>
          <cell r="G525">
            <v>68.570279999999997</v>
          </cell>
        </row>
        <row r="526">
          <cell r="E526">
            <v>1216700</v>
          </cell>
          <cell r="F526" t="str">
            <v>Peso</v>
          </cell>
          <cell r="G526">
            <v>14.8635</v>
          </cell>
        </row>
        <row r="527">
          <cell r="E527">
            <v>1217700</v>
          </cell>
          <cell r="F527" t="str">
            <v>Peso</v>
          </cell>
          <cell r="G527">
            <v>31.048200000000001</v>
          </cell>
        </row>
        <row r="528">
          <cell r="E528">
            <v>1218700</v>
          </cell>
          <cell r="F528" t="str">
            <v>Peso</v>
          </cell>
          <cell r="G528">
            <v>94.135499999999993</v>
          </cell>
        </row>
        <row r="529">
          <cell r="E529">
            <v>1219700</v>
          </cell>
          <cell r="F529" t="str">
            <v>Peso</v>
          </cell>
          <cell r="G529">
            <v>132.4503</v>
          </cell>
        </row>
        <row r="530">
          <cell r="E530">
            <v>1220700</v>
          </cell>
          <cell r="F530" t="str">
            <v>Peso</v>
          </cell>
          <cell r="G530">
            <v>74.528000000000006</v>
          </cell>
        </row>
        <row r="531">
          <cell r="E531">
            <v>1281700</v>
          </cell>
          <cell r="F531" t="str">
            <v>Peso</v>
          </cell>
          <cell r="G531">
            <v>68.570279999999997</v>
          </cell>
        </row>
        <row r="532">
          <cell r="E532">
            <v>1207700</v>
          </cell>
          <cell r="F532" t="str">
            <v>Peso</v>
          </cell>
          <cell r="G532">
            <v>61.336709999999997</v>
          </cell>
        </row>
        <row r="533">
          <cell r="E533">
            <v>1283700</v>
          </cell>
          <cell r="F533" t="str">
            <v>Peso</v>
          </cell>
          <cell r="G533">
            <v>56.481299999999997</v>
          </cell>
        </row>
        <row r="534">
          <cell r="E534">
            <v>1221700</v>
          </cell>
          <cell r="F534" t="str">
            <v>Peso</v>
          </cell>
          <cell r="G534">
            <v>14.8635</v>
          </cell>
        </row>
        <row r="535">
          <cell r="E535">
            <v>6164600</v>
          </cell>
          <cell r="F535" t="str">
            <v>Peso</v>
          </cell>
          <cell r="G535">
            <v>69.032700000000006</v>
          </cell>
        </row>
        <row r="536">
          <cell r="E536" t="str">
            <v/>
          </cell>
          <cell r="F536" t="str">
            <v>Peso</v>
          </cell>
          <cell r="G536">
            <v>0</v>
          </cell>
        </row>
        <row r="537">
          <cell r="E537" t="str">
            <v/>
          </cell>
          <cell r="F537" t="str">
            <v>Peso</v>
          </cell>
          <cell r="G537">
            <v>0</v>
          </cell>
        </row>
        <row r="538">
          <cell r="E538" t="str">
            <v/>
          </cell>
          <cell r="F538" t="str">
            <v>Peso</v>
          </cell>
          <cell r="G538">
            <v>0</v>
          </cell>
        </row>
        <row r="539">
          <cell r="E539">
            <v>1274700</v>
          </cell>
          <cell r="F539" t="str">
            <v>Peso</v>
          </cell>
          <cell r="G539">
            <v>607</v>
          </cell>
        </row>
        <row r="540">
          <cell r="E540">
            <v>1316700</v>
          </cell>
          <cell r="F540" t="str">
            <v>Peso</v>
          </cell>
          <cell r="G540">
            <v>22.215</v>
          </cell>
        </row>
        <row r="541">
          <cell r="E541" t="str">
            <v/>
          </cell>
          <cell r="F541">
            <v>0</v>
          </cell>
          <cell r="G541">
            <v>0</v>
          </cell>
        </row>
        <row r="542">
          <cell r="E542" t="str">
            <v/>
          </cell>
          <cell r="F542" t="str">
            <v>Peso</v>
          </cell>
          <cell r="G542">
            <v>0</v>
          </cell>
        </row>
        <row r="543">
          <cell r="E543">
            <v>2315700</v>
          </cell>
          <cell r="F543" t="str">
            <v>Peso</v>
          </cell>
          <cell r="G543">
            <v>68.570279999999997</v>
          </cell>
        </row>
        <row r="544">
          <cell r="E544">
            <v>2319700</v>
          </cell>
          <cell r="F544" t="str">
            <v>Peso</v>
          </cell>
          <cell r="G544">
            <v>115.9353</v>
          </cell>
        </row>
        <row r="545">
          <cell r="E545">
            <v>2320700</v>
          </cell>
          <cell r="F545" t="str">
            <v>Peso</v>
          </cell>
          <cell r="G545">
            <v>86.485752000000005</v>
          </cell>
        </row>
        <row r="546">
          <cell r="E546" t="str">
            <v/>
          </cell>
          <cell r="F546" t="str">
            <v>Peso</v>
          </cell>
          <cell r="G546">
            <v>0</v>
          </cell>
        </row>
        <row r="547">
          <cell r="E547" t="str">
            <v/>
          </cell>
          <cell r="F547" t="str">
            <v>Peso</v>
          </cell>
          <cell r="G547">
            <v>0</v>
          </cell>
        </row>
        <row r="548">
          <cell r="E548">
            <v>2321700</v>
          </cell>
          <cell r="F548" t="str">
            <v>Peso</v>
          </cell>
          <cell r="G548">
            <v>31.048200000000001</v>
          </cell>
        </row>
        <row r="549">
          <cell r="E549">
            <v>2325700</v>
          </cell>
          <cell r="F549" t="str">
            <v>Peso</v>
          </cell>
          <cell r="G549">
            <v>653.99400000000003</v>
          </cell>
        </row>
        <row r="550">
          <cell r="E550">
            <v>2326700</v>
          </cell>
          <cell r="F550" t="str">
            <v>Peso</v>
          </cell>
          <cell r="G550">
            <v>717.08130000000006</v>
          </cell>
        </row>
        <row r="551">
          <cell r="E551">
            <v>2327700</v>
          </cell>
          <cell r="F551" t="str">
            <v>Peso</v>
          </cell>
          <cell r="G551">
            <v>14.8635</v>
          </cell>
        </row>
        <row r="552">
          <cell r="E552">
            <v>2395700</v>
          </cell>
          <cell r="F552" t="str">
            <v>Peso</v>
          </cell>
          <cell r="G552">
            <v>24.144929999999999</v>
          </cell>
        </row>
        <row r="553">
          <cell r="E553" t="str">
            <v/>
          </cell>
          <cell r="F553" t="str">
            <v>Peso</v>
          </cell>
          <cell r="G553">
            <v>0</v>
          </cell>
        </row>
        <row r="554">
          <cell r="E554">
            <v>2374700</v>
          </cell>
          <cell r="F554" t="str">
            <v>Peso</v>
          </cell>
          <cell r="G554">
            <v>43.269300000000001</v>
          </cell>
        </row>
        <row r="555">
          <cell r="E555" t="str">
            <v/>
          </cell>
          <cell r="F555" t="str">
            <v>Peso</v>
          </cell>
          <cell r="G555">
            <v>0</v>
          </cell>
        </row>
        <row r="556">
          <cell r="E556">
            <v>0</v>
          </cell>
          <cell r="F556" t="str">
            <v>Peso</v>
          </cell>
          <cell r="G556">
            <v>614.0299</v>
          </cell>
        </row>
        <row r="557">
          <cell r="E557" t="str">
            <v/>
          </cell>
          <cell r="F557">
            <v>0</v>
          </cell>
          <cell r="G557">
            <v>0</v>
          </cell>
        </row>
        <row r="558">
          <cell r="G558">
            <v>0</v>
          </cell>
        </row>
        <row r="559">
          <cell r="E559" t="str">
            <v/>
          </cell>
          <cell r="F559" t="str">
            <v>Peso</v>
          </cell>
          <cell r="G559">
            <v>0</v>
          </cell>
        </row>
        <row r="560">
          <cell r="F560">
            <v>0</v>
          </cell>
          <cell r="G560" t="str">
            <v>Ultimo $ proveedor</v>
          </cell>
        </row>
        <row r="561">
          <cell r="E561">
            <v>1257500</v>
          </cell>
          <cell r="F561" t="str">
            <v>Peso</v>
          </cell>
          <cell r="G561">
            <v>2296</v>
          </cell>
        </row>
        <row r="562">
          <cell r="E562">
            <v>1258500</v>
          </cell>
          <cell r="F562" t="str">
            <v>Peso</v>
          </cell>
          <cell r="G562">
            <v>5404</v>
          </cell>
        </row>
        <row r="563">
          <cell r="E563" t="str">
            <v/>
          </cell>
          <cell r="F563">
            <v>0</v>
          </cell>
          <cell r="G563">
            <v>0</v>
          </cell>
        </row>
        <row r="564">
          <cell r="E564" t="str">
            <v/>
          </cell>
          <cell r="F564">
            <v>0</v>
          </cell>
          <cell r="G564">
            <v>0</v>
          </cell>
        </row>
        <row r="565">
          <cell r="E565">
            <v>0</v>
          </cell>
          <cell r="F565">
            <v>0</v>
          </cell>
          <cell r="G565">
            <v>0</v>
          </cell>
        </row>
        <row r="566">
          <cell r="E566" t="str">
            <v/>
          </cell>
          <cell r="F566">
            <v>0</v>
          </cell>
          <cell r="G566">
            <v>0</v>
          </cell>
        </row>
        <row r="567">
          <cell r="E567" t="str">
            <v/>
          </cell>
          <cell r="F567" t="str">
            <v>Peso</v>
          </cell>
          <cell r="G567">
            <v>0</v>
          </cell>
        </row>
        <row r="568">
          <cell r="E568" t="str">
            <v/>
          </cell>
          <cell r="F568">
            <v>0</v>
          </cell>
          <cell r="G568" t="str">
            <v>Ultimo $ proveedor</v>
          </cell>
        </row>
        <row r="569">
          <cell r="E569" t="str">
            <v>321 / 840</v>
          </cell>
          <cell r="F569" t="str">
            <v>Peso</v>
          </cell>
          <cell r="G569">
            <v>428</v>
          </cell>
        </row>
        <row r="570">
          <cell r="E570">
            <v>7036801</v>
          </cell>
          <cell r="F570" t="str">
            <v>Peso</v>
          </cell>
          <cell r="G570">
            <v>92.5</v>
          </cell>
        </row>
        <row r="571">
          <cell r="E571" t="str">
            <v/>
          </cell>
          <cell r="F571">
            <v>0</v>
          </cell>
          <cell r="G571">
            <v>0</v>
          </cell>
        </row>
        <row r="572">
          <cell r="E572" t="str">
            <v/>
          </cell>
          <cell r="F572">
            <v>0</v>
          </cell>
          <cell r="G572">
            <v>0</v>
          </cell>
        </row>
        <row r="573">
          <cell r="E573" t="str">
            <v/>
          </cell>
          <cell r="F573" t="str">
            <v>Peso</v>
          </cell>
          <cell r="G573">
            <v>0</v>
          </cell>
        </row>
        <row r="574">
          <cell r="E574" t="str">
            <v/>
          </cell>
          <cell r="F574">
            <v>0</v>
          </cell>
          <cell r="G574" t="str">
            <v>Ultimo $ proveedor</v>
          </cell>
        </row>
        <row r="575">
          <cell r="E575">
            <v>5323600</v>
          </cell>
          <cell r="F575" t="str">
            <v>Peso</v>
          </cell>
          <cell r="G575">
            <v>102.48</v>
          </cell>
        </row>
        <row r="576">
          <cell r="E576">
            <v>5592600</v>
          </cell>
          <cell r="F576" t="str">
            <v>Peso</v>
          </cell>
          <cell r="G576">
            <v>139.9</v>
          </cell>
        </row>
        <row r="577">
          <cell r="E577">
            <v>5593600</v>
          </cell>
          <cell r="F577" t="str">
            <v>Peso</v>
          </cell>
          <cell r="G577">
            <v>223.3</v>
          </cell>
        </row>
        <row r="578">
          <cell r="E578" t="str">
            <v/>
          </cell>
          <cell r="F578">
            <v>0</v>
          </cell>
          <cell r="G578">
            <v>0</v>
          </cell>
        </row>
        <row r="579">
          <cell r="E579" t="str">
            <v/>
          </cell>
          <cell r="F579" t="str">
            <v>Peso</v>
          </cell>
          <cell r="G579">
            <v>0</v>
          </cell>
        </row>
        <row r="580">
          <cell r="E580" t="str">
            <v/>
          </cell>
          <cell r="F580">
            <v>0</v>
          </cell>
          <cell r="G580" t="str">
            <v>Ultimo $ proveedor</v>
          </cell>
        </row>
        <row r="581">
          <cell r="E581">
            <v>5555600</v>
          </cell>
          <cell r="F581" t="str">
            <v>Peso</v>
          </cell>
          <cell r="G581">
            <v>212</v>
          </cell>
        </row>
        <row r="582">
          <cell r="E582">
            <v>5535600</v>
          </cell>
          <cell r="F582" t="str">
            <v>Peso</v>
          </cell>
          <cell r="G582">
            <v>550.6</v>
          </cell>
        </row>
        <row r="583">
          <cell r="E583">
            <v>5534600</v>
          </cell>
          <cell r="F583" t="str">
            <v>Peso</v>
          </cell>
          <cell r="G583">
            <v>271.5</v>
          </cell>
        </row>
        <row r="584">
          <cell r="E584" t="str">
            <v/>
          </cell>
          <cell r="F584" t="str">
            <v>Peso</v>
          </cell>
          <cell r="G584">
            <v>208.9</v>
          </cell>
        </row>
        <row r="585">
          <cell r="E585" t="str">
            <v/>
          </cell>
          <cell r="F585">
            <v>0</v>
          </cell>
          <cell r="G585">
            <v>0</v>
          </cell>
        </row>
        <row r="586">
          <cell r="E586" t="str">
            <v/>
          </cell>
          <cell r="F586" t="str">
            <v>Peso</v>
          </cell>
          <cell r="G586">
            <v>0</v>
          </cell>
        </row>
        <row r="587">
          <cell r="E587" t="str">
            <v/>
          </cell>
          <cell r="F587">
            <v>0</v>
          </cell>
          <cell r="G587" t="str">
            <v>Ultimo $ proveedor</v>
          </cell>
        </row>
        <row r="588">
          <cell r="E588">
            <v>5167600</v>
          </cell>
          <cell r="F588" t="str">
            <v>Peso</v>
          </cell>
          <cell r="G588">
            <v>75</v>
          </cell>
        </row>
        <row r="589">
          <cell r="E589">
            <v>5168600</v>
          </cell>
          <cell r="F589" t="str">
            <v>Peso</v>
          </cell>
          <cell r="G589">
            <v>75</v>
          </cell>
        </row>
        <row r="590">
          <cell r="E590" t="str">
            <v/>
          </cell>
          <cell r="F590">
            <v>0</v>
          </cell>
          <cell r="G590">
            <v>0</v>
          </cell>
        </row>
        <row r="591">
          <cell r="E591" t="str">
            <v/>
          </cell>
          <cell r="F591" t="str">
            <v>Peso</v>
          </cell>
          <cell r="G591">
            <v>0</v>
          </cell>
        </row>
        <row r="592">
          <cell r="E592" t="str">
            <v/>
          </cell>
          <cell r="F592">
            <v>0</v>
          </cell>
          <cell r="G592" t="str">
            <v>Ultimo $ proveedor</v>
          </cell>
        </row>
        <row r="593">
          <cell r="E593">
            <v>5311600</v>
          </cell>
          <cell r="F593" t="str">
            <v>Peso</v>
          </cell>
          <cell r="G593">
            <v>810</v>
          </cell>
        </row>
        <row r="594">
          <cell r="E594">
            <v>5312600</v>
          </cell>
          <cell r="F594" t="str">
            <v>Peso</v>
          </cell>
          <cell r="G594">
            <v>1100</v>
          </cell>
        </row>
        <row r="595">
          <cell r="E595">
            <v>322</v>
          </cell>
          <cell r="F595" t="str">
            <v>Peso</v>
          </cell>
          <cell r="G595">
            <v>480</v>
          </cell>
        </row>
        <row r="596">
          <cell r="E596">
            <v>324</v>
          </cell>
          <cell r="F596" t="str">
            <v>Peso</v>
          </cell>
          <cell r="G596">
            <v>620</v>
          </cell>
        </row>
        <row r="597">
          <cell r="E597">
            <v>554</v>
          </cell>
          <cell r="F597" t="str">
            <v>Peso</v>
          </cell>
          <cell r="G597">
            <v>390</v>
          </cell>
        </row>
        <row r="598">
          <cell r="E598" t="str">
            <v/>
          </cell>
          <cell r="F598">
            <v>0</v>
          </cell>
          <cell r="G598">
            <v>0</v>
          </cell>
        </row>
        <row r="599">
          <cell r="E599" t="str">
            <v/>
          </cell>
          <cell r="F599" t="str">
            <v>Peso</v>
          </cell>
          <cell r="G599">
            <v>0</v>
          </cell>
        </row>
        <row r="600">
          <cell r="E600" t="str">
            <v/>
          </cell>
          <cell r="F600">
            <v>0</v>
          </cell>
          <cell r="G600" t="str">
            <v>Ultimo $ proveedor</v>
          </cell>
        </row>
        <row r="601">
          <cell r="E601">
            <v>246</v>
          </cell>
          <cell r="F601" t="str">
            <v>Peso</v>
          </cell>
          <cell r="G601">
            <v>1821.96</v>
          </cell>
        </row>
        <row r="602">
          <cell r="E602">
            <v>1155500</v>
          </cell>
          <cell r="F602" t="str">
            <v>Peso</v>
          </cell>
          <cell r="G602">
            <v>21.01</v>
          </cell>
        </row>
        <row r="603">
          <cell r="E603">
            <v>1255500</v>
          </cell>
          <cell r="F603" t="str">
            <v>Peso</v>
          </cell>
          <cell r="G603">
            <v>431.74</v>
          </cell>
        </row>
        <row r="604">
          <cell r="E604">
            <v>1132500</v>
          </cell>
          <cell r="F604" t="str">
            <v>Peso</v>
          </cell>
          <cell r="G604">
            <v>431.74</v>
          </cell>
        </row>
        <row r="605">
          <cell r="E605" t="str">
            <v/>
          </cell>
          <cell r="F605" t="str">
            <v>Peso</v>
          </cell>
          <cell r="G605">
            <v>61.03</v>
          </cell>
        </row>
        <row r="606">
          <cell r="E606">
            <v>0</v>
          </cell>
          <cell r="F606" t="str">
            <v>Peso</v>
          </cell>
          <cell r="G606">
            <v>68.2</v>
          </cell>
        </row>
        <row r="607">
          <cell r="E607">
            <v>0</v>
          </cell>
          <cell r="F607" t="str">
            <v>Peso</v>
          </cell>
          <cell r="G607">
            <v>131.4</v>
          </cell>
        </row>
        <row r="608">
          <cell r="E608">
            <v>0</v>
          </cell>
          <cell r="F608" t="str">
            <v>Peso</v>
          </cell>
          <cell r="G608">
            <v>467.79</v>
          </cell>
        </row>
        <row r="609">
          <cell r="E609">
            <v>0</v>
          </cell>
          <cell r="F609" t="str">
            <v>Peso</v>
          </cell>
          <cell r="G609">
            <v>168.45</v>
          </cell>
        </row>
        <row r="610">
          <cell r="E610">
            <v>0</v>
          </cell>
          <cell r="F610" t="str">
            <v>Peso</v>
          </cell>
          <cell r="G610">
            <v>181.14</v>
          </cell>
        </row>
        <row r="611">
          <cell r="E611">
            <v>0</v>
          </cell>
          <cell r="F611" t="str">
            <v>Peso</v>
          </cell>
          <cell r="G611">
            <v>197.24</v>
          </cell>
        </row>
        <row r="612">
          <cell r="E612">
            <v>0</v>
          </cell>
          <cell r="F612" t="str">
            <v>Peso</v>
          </cell>
          <cell r="G612">
            <v>1568</v>
          </cell>
        </row>
        <row r="613">
          <cell r="E613">
            <v>0</v>
          </cell>
          <cell r="F613" t="str">
            <v>Peso</v>
          </cell>
          <cell r="G613">
            <v>550.91</v>
          </cell>
        </row>
        <row r="614">
          <cell r="E614">
            <v>0</v>
          </cell>
          <cell r="F614" t="str">
            <v>Peso</v>
          </cell>
          <cell r="G614">
            <v>2464</v>
          </cell>
        </row>
        <row r="615">
          <cell r="E615" t="str">
            <v/>
          </cell>
          <cell r="F615">
            <v>0</v>
          </cell>
          <cell r="G615">
            <v>0</v>
          </cell>
        </row>
        <row r="616">
          <cell r="E616" t="str">
            <v/>
          </cell>
          <cell r="F616" t="str">
            <v>Peso</v>
          </cell>
          <cell r="G616">
            <v>0</v>
          </cell>
        </row>
        <row r="617">
          <cell r="E617" t="str">
            <v/>
          </cell>
          <cell r="F617">
            <v>0</v>
          </cell>
          <cell r="G617" t="str">
            <v>Ultimo $ proveedor</v>
          </cell>
        </row>
        <row r="618">
          <cell r="E618">
            <v>5059600</v>
          </cell>
          <cell r="F618" t="str">
            <v>Peso</v>
          </cell>
          <cell r="G618">
            <v>110</v>
          </cell>
        </row>
        <row r="619">
          <cell r="E619">
            <v>1133500</v>
          </cell>
          <cell r="F619" t="str">
            <v>Peso</v>
          </cell>
          <cell r="G619">
            <v>72</v>
          </cell>
        </row>
        <row r="620">
          <cell r="E620" t="str">
            <v/>
          </cell>
          <cell r="F620">
            <v>0</v>
          </cell>
          <cell r="G620">
            <v>0</v>
          </cell>
        </row>
        <row r="621">
          <cell r="E621" t="str">
            <v/>
          </cell>
          <cell r="F621" t="str">
            <v>Peso</v>
          </cell>
          <cell r="G621">
            <v>0</v>
          </cell>
        </row>
        <row r="622">
          <cell r="E622" t="str">
            <v/>
          </cell>
          <cell r="F622">
            <v>0</v>
          </cell>
          <cell r="G622" t="str">
            <v>Ultimo $ proveedor</v>
          </cell>
        </row>
        <row r="623">
          <cell r="E623">
            <v>565</v>
          </cell>
          <cell r="F623" t="str">
            <v>Peso</v>
          </cell>
          <cell r="G623">
            <v>992.47</v>
          </cell>
        </row>
        <row r="624">
          <cell r="E624">
            <v>7617800</v>
          </cell>
          <cell r="F624" t="str">
            <v>Peso</v>
          </cell>
          <cell r="G624">
            <v>4709.13</v>
          </cell>
        </row>
        <row r="625">
          <cell r="E625" t="str">
            <v/>
          </cell>
          <cell r="F625">
            <v>0</v>
          </cell>
          <cell r="G625">
            <v>0</v>
          </cell>
        </row>
        <row r="626">
          <cell r="E626" t="str">
            <v/>
          </cell>
          <cell r="F626" t="str">
            <v>Peso</v>
          </cell>
          <cell r="G626">
            <v>0</v>
          </cell>
        </row>
        <row r="627">
          <cell r="E627" t="str">
            <v/>
          </cell>
          <cell r="F627">
            <v>0</v>
          </cell>
          <cell r="G627" t="str">
            <v>Ultimo $ proveedor</v>
          </cell>
        </row>
        <row r="628">
          <cell r="E628">
            <v>5254600</v>
          </cell>
          <cell r="F628" t="str">
            <v>Peso</v>
          </cell>
          <cell r="G628">
            <v>350</v>
          </cell>
        </row>
        <row r="629">
          <cell r="E629">
            <v>5253600</v>
          </cell>
          <cell r="F629" t="str">
            <v>Peso</v>
          </cell>
          <cell r="G629">
            <v>900</v>
          </cell>
        </row>
        <row r="630">
          <cell r="E630" t="str">
            <v/>
          </cell>
          <cell r="F630">
            <v>0</v>
          </cell>
          <cell r="G630">
            <v>0</v>
          </cell>
        </row>
        <row r="631">
          <cell r="E631" t="str">
            <v/>
          </cell>
          <cell r="F631" t="str">
            <v>Peso</v>
          </cell>
          <cell r="G631">
            <v>0</v>
          </cell>
        </row>
        <row r="632">
          <cell r="E632" t="str">
            <v>chef</v>
          </cell>
          <cell r="F632">
            <v>0</v>
          </cell>
          <cell r="G632" t="str">
            <v>Ultimo $ proveedor</v>
          </cell>
        </row>
        <row r="633">
          <cell r="E633">
            <v>619</v>
          </cell>
          <cell r="F633" t="str">
            <v>Peso</v>
          </cell>
          <cell r="G633">
            <v>1300</v>
          </cell>
        </row>
        <row r="634">
          <cell r="E634">
            <v>618</v>
          </cell>
          <cell r="F634" t="str">
            <v>Peso</v>
          </cell>
          <cell r="G634">
            <v>2100</v>
          </cell>
        </row>
        <row r="635">
          <cell r="E635">
            <v>879</v>
          </cell>
          <cell r="F635" t="str">
            <v>Peso</v>
          </cell>
          <cell r="G635">
            <v>1995</v>
          </cell>
        </row>
        <row r="636">
          <cell r="E636">
            <v>7016600</v>
          </cell>
          <cell r="F636" t="str">
            <v>Peso</v>
          </cell>
          <cell r="G636">
            <v>150</v>
          </cell>
        </row>
        <row r="637">
          <cell r="E637" t="str">
            <v/>
          </cell>
          <cell r="F637" t="str">
            <v>Peso</v>
          </cell>
          <cell r="G637">
            <v>290</v>
          </cell>
        </row>
        <row r="638">
          <cell r="E638" t="str">
            <v/>
          </cell>
          <cell r="F638" t="str">
            <v>Peso</v>
          </cell>
          <cell r="G638">
            <v>360</v>
          </cell>
        </row>
        <row r="639">
          <cell r="E639" t="str">
            <v/>
          </cell>
          <cell r="F639" t="str">
            <v>Peso</v>
          </cell>
          <cell r="G639">
            <v>550</v>
          </cell>
        </row>
        <row r="640">
          <cell r="E640" t="str">
            <v/>
          </cell>
          <cell r="F640" t="str">
            <v>Peso</v>
          </cell>
          <cell r="G640">
            <v>660</v>
          </cell>
        </row>
        <row r="641">
          <cell r="E641" t="str">
            <v/>
          </cell>
          <cell r="F641" t="str">
            <v>Peso</v>
          </cell>
          <cell r="G641">
            <v>1000</v>
          </cell>
        </row>
        <row r="642">
          <cell r="E642">
            <v>0</v>
          </cell>
          <cell r="F642" t="str">
            <v>Peso</v>
          </cell>
          <cell r="G642">
            <v>0.5</v>
          </cell>
        </row>
        <row r="643">
          <cell r="E643">
            <v>0</v>
          </cell>
          <cell r="F643">
            <v>0</v>
          </cell>
          <cell r="G643">
            <v>0</v>
          </cell>
        </row>
        <row r="644">
          <cell r="E644" t="str">
            <v/>
          </cell>
          <cell r="F644">
            <v>0</v>
          </cell>
          <cell r="G644">
            <v>0</v>
          </cell>
        </row>
        <row r="645">
          <cell r="E645" t="str">
            <v/>
          </cell>
          <cell r="F645" t="str">
            <v>Peso</v>
          </cell>
          <cell r="G645">
            <v>0</v>
          </cell>
        </row>
        <row r="646">
          <cell r="E646" t="str">
            <v/>
          </cell>
          <cell r="F646">
            <v>0</v>
          </cell>
          <cell r="G646" t="str">
            <v>Ultimo $ proveedor</v>
          </cell>
        </row>
        <row r="647">
          <cell r="E647">
            <v>222</v>
          </cell>
          <cell r="F647" t="str">
            <v>Peso</v>
          </cell>
          <cell r="G647">
            <v>532.66</v>
          </cell>
        </row>
        <row r="648">
          <cell r="E648">
            <v>223</v>
          </cell>
          <cell r="F648" t="str">
            <v>Peso</v>
          </cell>
          <cell r="G648">
            <v>278.77</v>
          </cell>
        </row>
        <row r="649">
          <cell r="E649">
            <v>224</v>
          </cell>
          <cell r="F649" t="str">
            <v>Peso</v>
          </cell>
          <cell r="G649">
            <v>310.73</v>
          </cell>
        </row>
        <row r="650">
          <cell r="E650">
            <v>225</v>
          </cell>
          <cell r="F650" t="str">
            <v>Peso</v>
          </cell>
          <cell r="G650">
            <v>334.34</v>
          </cell>
        </row>
        <row r="651">
          <cell r="E651">
            <v>220</v>
          </cell>
          <cell r="F651" t="str">
            <v>Peso</v>
          </cell>
          <cell r="G651">
            <v>365.25</v>
          </cell>
        </row>
        <row r="652">
          <cell r="E652">
            <v>221</v>
          </cell>
          <cell r="F652" t="str">
            <v>Peso</v>
          </cell>
          <cell r="G652">
            <v>394.21</v>
          </cell>
        </row>
        <row r="653">
          <cell r="E653">
            <v>5175600</v>
          </cell>
          <cell r="F653" t="str">
            <v>Peso</v>
          </cell>
          <cell r="G653">
            <v>120.3</v>
          </cell>
        </row>
        <row r="654">
          <cell r="E654">
            <v>229</v>
          </cell>
          <cell r="F654" t="str">
            <v>Peso</v>
          </cell>
          <cell r="G654">
            <v>267.44</v>
          </cell>
        </row>
        <row r="655">
          <cell r="E655">
            <v>6002600</v>
          </cell>
          <cell r="F655" t="str">
            <v>Peso</v>
          </cell>
          <cell r="G655">
            <v>198.57</v>
          </cell>
        </row>
        <row r="656">
          <cell r="E656">
            <v>5714600</v>
          </cell>
          <cell r="F656" t="str">
            <v>Peso</v>
          </cell>
          <cell r="G656">
            <v>193.06</v>
          </cell>
        </row>
        <row r="657">
          <cell r="E657" t="str">
            <v/>
          </cell>
          <cell r="F657" t="str">
            <v>Peso</v>
          </cell>
          <cell r="G657">
            <v>4.12</v>
          </cell>
        </row>
        <row r="658">
          <cell r="E658" t="str">
            <v/>
          </cell>
          <cell r="F658" t="str">
            <v>Peso</v>
          </cell>
          <cell r="G658">
            <v>341.62</v>
          </cell>
        </row>
        <row r="659">
          <cell r="E659" t="str">
            <v/>
          </cell>
          <cell r="F659" t="str">
            <v>Peso</v>
          </cell>
          <cell r="G659">
            <v>250.52</v>
          </cell>
        </row>
        <row r="660">
          <cell r="E660">
            <v>208</v>
          </cell>
          <cell r="F660" t="str">
            <v>Peso</v>
          </cell>
          <cell r="G660">
            <v>152.44999999999999</v>
          </cell>
        </row>
        <row r="661">
          <cell r="E661">
            <v>563</v>
          </cell>
          <cell r="F661" t="str">
            <v>Peso</v>
          </cell>
          <cell r="G661">
            <v>344.76</v>
          </cell>
        </row>
        <row r="662">
          <cell r="E662" t="str">
            <v/>
          </cell>
          <cell r="F662">
            <v>0</v>
          </cell>
          <cell r="G662">
            <v>0</v>
          </cell>
        </row>
        <row r="663">
          <cell r="E663" t="str">
            <v/>
          </cell>
          <cell r="F663" t="str">
            <v>Peso</v>
          </cell>
          <cell r="G663">
            <v>0</v>
          </cell>
        </row>
        <row r="664">
          <cell r="E664" t="str">
            <v/>
          </cell>
          <cell r="F664">
            <v>0</v>
          </cell>
          <cell r="G664" t="str">
            <v>Ultimo $ proveedor</v>
          </cell>
        </row>
        <row r="665">
          <cell r="E665">
            <v>847</v>
          </cell>
          <cell r="F665" t="str">
            <v>Peso</v>
          </cell>
          <cell r="G665">
            <v>140</v>
          </cell>
        </row>
        <row r="666">
          <cell r="E666">
            <v>848</v>
          </cell>
          <cell r="F666" t="str">
            <v>Peso</v>
          </cell>
          <cell r="G666">
            <v>140</v>
          </cell>
        </row>
        <row r="667">
          <cell r="E667">
            <v>7016600</v>
          </cell>
          <cell r="F667" t="str">
            <v>Peso</v>
          </cell>
          <cell r="G667">
            <v>5</v>
          </cell>
        </row>
        <row r="668">
          <cell r="E668" t="str">
            <v/>
          </cell>
          <cell r="F668" t="str">
            <v>Peso</v>
          </cell>
          <cell r="G668">
            <v>330</v>
          </cell>
        </row>
        <row r="669">
          <cell r="E669" t="str">
            <v/>
          </cell>
          <cell r="F669" t="str">
            <v>Peso</v>
          </cell>
          <cell r="G669">
            <v>112.4</v>
          </cell>
        </row>
        <row r="670">
          <cell r="E670" t="str">
            <v/>
          </cell>
          <cell r="F670" t="str">
            <v>Peso</v>
          </cell>
          <cell r="G670">
            <v>5</v>
          </cell>
        </row>
        <row r="671">
          <cell r="E671" t="str">
            <v/>
          </cell>
          <cell r="F671">
            <v>0</v>
          </cell>
          <cell r="G671">
            <v>0</v>
          </cell>
        </row>
        <row r="672">
          <cell r="E672" t="str">
            <v/>
          </cell>
          <cell r="G672">
            <v>0</v>
          </cell>
        </row>
        <row r="673">
          <cell r="E673" t="str">
            <v/>
          </cell>
          <cell r="F673" t="str">
            <v>Dolar</v>
          </cell>
          <cell r="G673">
            <v>0</v>
          </cell>
        </row>
        <row r="674">
          <cell r="E674" t="str">
            <v/>
          </cell>
          <cell r="F674">
            <v>0</v>
          </cell>
          <cell r="G674" t="str">
            <v>Ultimo $ proveedor</v>
          </cell>
        </row>
        <row r="675">
          <cell r="E675">
            <v>1253500</v>
          </cell>
          <cell r="F675" t="str">
            <v>Dolar</v>
          </cell>
          <cell r="G675">
            <v>12</v>
          </cell>
        </row>
        <row r="676">
          <cell r="E676" t="str">
            <v/>
          </cell>
          <cell r="F676">
            <v>0</v>
          </cell>
          <cell r="G676">
            <v>0</v>
          </cell>
        </row>
        <row r="677">
          <cell r="E677" t="str">
            <v/>
          </cell>
          <cell r="F677">
            <v>0</v>
          </cell>
          <cell r="G677">
            <v>0</v>
          </cell>
        </row>
        <row r="678">
          <cell r="E678" t="str">
            <v/>
          </cell>
          <cell r="F678" t="str">
            <v>Peso</v>
          </cell>
          <cell r="G678">
            <v>0</v>
          </cell>
        </row>
        <row r="679">
          <cell r="E679" t="str">
            <v/>
          </cell>
          <cell r="F679">
            <v>0</v>
          </cell>
          <cell r="G679" t="str">
            <v>Ultimo $ proveedor</v>
          </cell>
        </row>
        <row r="680">
          <cell r="E680">
            <v>0</v>
          </cell>
          <cell r="F680" t="str">
            <v>Peso</v>
          </cell>
          <cell r="G680">
            <v>264</v>
          </cell>
        </row>
        <row r="681">
          <cell r="E681">
            <v>7026600</v>
          </cell>
          <cell r="F681" t="str">
            <v>Peso</v>
          </cell>
          <cell r="G681">
            <v>301</v>
          </cell>
        </row>
        <row r="682">
          <cell r="E682">
            <v>6171600</v>
          </cell>
          <cell r="F682" t="str">
            <v>Peso</v>
          </cell>
          <cell r="G682">
            <v>410</v>
          </cell>
        </row>
        <row r="683">
          <cell r="E683">
            <v>0</v>
          </cell>
          <cell r="F683" t="str">
            <v>Peso</v>
          </cell>
          <cell r="G683">
            <v>680</v>
          </cell>
        </row>
        <row r="684">
          <cell r="E684">
            <v>6166600</v>
          </cell>
          <cell r="F684" t="str">
            <v>Peso</v>
          </cell>
          <cell r="G684">
            <v>1276</v>
          </cell>
        </row>
        <row r="685">
          <cell r="E685">
            <v>6167600</v>
          </cell>
          <cell r="F685" t="str">
            <v>Peso</v>
          </cell>
          <cell r="G685">
            <v>1809</v>
          </cell>
        </row>
        <row r="686">
          <cell r="E686" t="str">
            <v/>
          </cell>
          <cell r="F686">
            <v>0</v>
          </cell>
          <cell r="G686">
            <v>0</v>
          </cell>
        </row>
        <row r="687">
          <cell r="G687">
            <v>0</v>
          </cell>
        </row>
        <row r="688">
          <cell r="E688" t="str">
            <v/>
          </cell>
          <cell r="F688" t="str">
            <v>Peso</v>
          </cell>
          <cell r="G688">
            <v>0</v>
          </cell>
        </row>
        <row r="689">
          <cell r="F689">
            <v>0</v>
          </cell>
          <cell r="G689" t="str">
            <v>Ultimo $ proveedor</v>
          </cell>
        </row>
        <row r="690">
          <cell r="E690">
            <v>7026600</v>
          </cell>
          <cell r="F690" t="str">
            <v>Peso</v>
          </cell>
          <cell r="G690">
            <v>262</v>
          </cell>
        </row>
        <row r="691">
          <cell r="E691">
            <v>7027600</v>
          </cell>
          <cell r="F691" t="str">
            <v>Peso</v>
          </cell>
          <cell r="G691">
            <v>323</v>
          </cell>
        </row>
        <row r="692">
          <cell r="G692">
            <v>0</v>
          </cell>
        </row>
        <row r="693">
          <cell r="E693" t="str">
            <v/>
          </cell>
          <cell r="F693" t="str">
            <v>Peso</v>
          </cell>
          <cell r="G693">
            <v>0</v>
          </cell>
        </row>
        <row r="694">
          <cell r="F694">
            <v>0</v>
          </cell>
          <cell r="G694" t="str">
            <v>Ultimo $ proveedor</v>
          </cell>
        </row>
        <row r="695">
          <cell r="E695">
            <v>130070</v>
          </cell>
          <cell r="F695" t="str">
            <v>Peso</v>
          </cell>
          <cell r="G695">
            <v>1.39</v>
          </cell>
        </row>
        <row r="696">
          <cell r="E696">
            <v>1301700</v>
          </cell>
          <cell r="F696" t="str">
            <v>Peso</v>
          </cell>
          <cell r="G696">
            <v>1.75</v>
          </cell>
        </row>
        <row r="697">
          <cell r="F697">
            <v>0</v>
          </cell>
          <cell r="G697">
            <v>0</v>
          </cell>
        </row>
        <row r="698">
          <cell r="E698">
            <v>0</v>
          </cell>
          <cell r="F698">
            <v>0</v>
          </cell>
          <cell r="G698">
            <v>0</v>
          </cell>
        </row>
        <row r="699">
          <cell r="E699" t="str">
            <v/>
          </cell>
          <cell r="F699">
            <v>0</v>
          </cell>
          <cell r="G699">
            <v>0</v>
          </cell>
        </row>
        <row r="700">
          <cell r="E700" t="str">
            <v/>
          </cell>
          <cell r="F700">
            <v>0</v>
          </cell>
          <cell r="G700">
            <v>0</v>
          </cell>
        </row>
        <row r="701">
          <cell r="E701">
            <v>0</v>
          </cell>
          <cell r="F701">
            <v>0</v>
          </cell>
          <cell r="G701" t="str">
            <v>Asunción 3311 Ciudadela (Lucho)</v>
          </cell>
        </row>
        <row r="702">
          <cell r="E702" t="str">
            <v/>
          </cell>
          <cell r="F702" t="str">
            <v>Peso</v>
          </cell>
          <cell r="G702" t="str">
            <v>Ing Brian 975 - Haedo</v>
          </cell>
        </row>
        <row r="703">
          <cell r="E703" t="str">
            <v>Codigo ISIS</v>
          </cell>
          <cell r="F703">
            <v>0</v>
          </cell>
          <cell r="G703" t="str">
            <v>Ultimo $ proveedor</v>
          </cell>
        </row>
        <row r="704">
          <cell r="E704">
            <v>5166600</v>
          </cell>
          <cell r="F704" t="str">
            <v>Peso</v>
          </cell>
          <cell r="G704">
            <v>4.6254128919338191</v>
          </cell>
        </row>
        <row r="705">
          <cell r="E705">
            <v>505</v>
          </cell>
          <cell r="F705" t="str">
            <v>Peso</v>
          </cell>
          <cell r="G705">
            <v>30.671795324380813</v>
          </cell>
        </row>
        <row r="707">
          <cell r="E707" t="str">
            <v/>
          </cell>
          <cell r="F707">
            <v>0</v>
          </cell>
          <cell r="G707">
            <v>0</v>
          </cell>
        </row>
        <row r="708">
          <cell r="E708" t="str">
            <v/>
          </cell>
          <cell r="F708" t="str">
            <v>Peso</v>
          </cell>
          <cell r="G708" t="str">
            <v>Cocchiararo 5673 - Caseros</v>
          </cell>
        </row>
        <row r="709">
          <cell r="E709" t="str">
            <v>Codigo ISIS</v>
          </cell>
          <cell r="F709">
            <v>0</v>
          </cell>
          <cell r="G709" t="str">
            <v>Ultimo $ proveedor</v>
          </cell>
        </row>
        <row r="710">
          <cell r="E710" t="str">
            <v>513/713</v>
          </cell>
          <cell r="F710" t="str">
            <v>Peso</v>
          </cell>
          <cell r="G710">
            <v>74.58</v>
          </cell>
        </row>
        <row r="711">
          <cell r="E711" t="str">
            <v>502/702</v>
          </cell>
          <cell r="F711" t="str">
            <v>Peso</v>
          </cell>
          <cell r="G711">
            <v>105.20918668128155</v>
          </cell>
        </row>
        <row r="712">
          <cell r="E712">
            <v>512</v>
          </cell>
          <cell r="F712" t="str">
            <v>Peso</v>
          </cell>
          <cell r="G712">
            <v>105.20918668128155</v>
          </cell>
        </row>
        <row r="713">
          <cell r="E713">
            <v>66</v>
          </cell>
          <cell r="F713" t="str">
            <v>Peso</v>
          </cell>
          <cell r="G713">
            <v>105.20918668128155</v>
          </cell>
        </row>
        <row r="714">
          <cell r="E714" t="str">
            <v>031/836</v>
          </cell>
          <cell r="F714" t="str">
            <v>Peso</v>
          </cell>
          <cell r="G714">
            <v>182.16840058195965</v>
          </cell>
        </row>
        <row r="715">
          <cell r="E715" t="str">
            <v>034/867</v>
          </cell>
          <cell r="F715" t="str">
            <v>Peso</v>
          </cell>
          <cell r="G715">
            <v>204.36150522138621</v>
          </cell>
        </row>
        <row r="716">
          <cell r="E716" t="str">
            <v>550/760</v>
          </cell>
          <cell r="F716" t="str">
            <v>Peso</v>
          </cell>
          <cell r="G716">
            <v>129.96651961925517</v>
          </cell>
        </row>
        <row r="717">
          <cell r="E717" t="str">
            <v>6176600/5221600</v>
          </cell>
          <cell r="F717" t="str">
            <v>Peso</v>
          </cell>
          <cell r="G717">
            <v>74.58</v>
          </cell>
        </row>
        <row r="718">
          <cell r="E718" t="str">
            <v/>
          </cell>
          <cell r="G718">
            <v>0</v>
          </cell>
        </row>
        <row r="719">
          <cell r="E719">
            <v>0</v>
          </cell>
          <cell r="F719">
            <v>0</v>
          </cell>
          <cell r="G719">
            <v>0</v>
          </cell>
        </row>
        <row r="720">
          <cell r="E720" t="str">
            <v/>
          </cell>
          <cell r="F720" t="str">
            <v>Peso</v>
          </cell>
          <cell r="G720" t="str">
            <v>Asunción Ciudadela 3311</v>
          </cell>
        </row>
        <row r="721">
          <cell r="E721" t="str">
            <v/>
          </cell>
          <cell r="F721">
            <v>0</v>
          </cell>
          <cell r="G721" t="str">
            <v>Ultimo $ proveedor</v>
          </cell>
        </row>
        <row r="722">
          <cell r="E722">
            <v>546</v>
          </cell>
          <cell r="F722" t="str">
            <v>Peso</v>
          </cell>
          <cell r="G722">
            <v>99.64</v>
          </cell>
        </row>
        <row r="723">
          <cell r="E723">
            <v>809</v>
          </cell>
          <cell r="F723" t="str">
            <v>Peso</v>
          </cell>
          <cell r="G723">
            <v>110.42</v>
          </cell>
        </row>
        <row r="724">
          <cell r="E724" t="str">
            <v>586/099</v>
          </cell>
          <cell r="F724" t="str">
            <v>Peso</v>
          </cell>
          <cell r="G724">
            <v>32.86</v>
          </cell>
        </row>
        <row r="725">
          <cell r="E725">
            <v>587</v>
          </cell>
          <cell r="F725" t="str">
            <v>Peso</v>
          </cell>
          <cell r="G725">
            <v>65.72</v>
          </cell>
        </row>
        <row r="726">
          <cell r="E726" t="str">
            <v>587T</v>
          </cell>
          <cell r="F726" t="str">
            <v>Peso</v>
          </cell>
          <cell r="G726">
            <v>87.6</v>
          </cell>
        </row>
        <row r="727">
          <cell r="E727">
            <v>6103600</v>
          </cell>
          <cell r="F727" t="str">
            <v>Peso</v>
          </cell>
          <cell r="G727">
            <v>157.66</v>
          </cell>
        </row>
        <row r="728">
          <cell r="E728" t="str">
            <v>594/055</v>
          </cell>
          <cell r="F728" t="str">
            <v>Peso</v>
          </cell>
          <cell r="G728">
            <v>197.15</v>
          </cell>
        </row>
        <row r="729">
          <cell r="E729" t="str">
            <v>595/053</v>
          </cell>
          <cell r="F729" t="str">
            <v>Peso</v>
          </cell>
          <cell r="G729">
            <v>197.15</v>
          </cell>
        </row>
        <row r="730">
          <cell r="E730" t="str">
            <v>596/054</v>
          </cell>
          <cell r="F730" t="str">
            <v>Peso</v>
          </cell>
          <cell r="G730">
            <v>197.15</v>
          </cell>
        </row>
        <row r="731">
          <cell r="E731">
            <v>518</v>
          </cell>
          <cell r="F731" t="str">
            <v>Peso</v>
          </cell>
          <cell r="G731">
            <v>57.7</v>
          </cell>
        </row>
        <row r="732">
          <cell r="E732">
            <v>519</v>
          </cell>
          <cell r="F732" t="str">
            <v>Peso</v>
          </cell>
          <cell r="G732">
            <v>65.56</v>
          </cell>
        </row>
        <row r="733">
          <cell r="E733">
            <v>719</v>
          </cell>
          <cell r="F733" t="str">
            <v>Peso</v>
          </cell>
          <cell r="G733">
            <v>69.94</v>
          </cell>
        </row>
        <row r="734">
          <cell r="E734" t="str">
            <v>519/719</v>
          </cell>
          <cell r="F734" t="str">
            <v>Peso</v>
          </cell>
          <cell r="G734">
            <v>69.94</v>
          </cell>
        </row>
        <row r="735">
          <cell r="E735" t="str">
            <v>525/725</v>
          </cell>
          <cell r="F735" t="str">
            <v>Peso</v>
          </cell>
          <cell r="G735">
            <v>64.05</v>
          </cell>
        </row>
        <row r="736">
          <cell r="E736" t="str">
            <v>059/718</v>
          </cell>
          <cell r="F736" t="str">
            <v>Peso</v>
          </cell>
          <cell r="G736">
            <v>55.06</v>
          </cell>
        </row>
        <row r="737">
          <cell r="E737">
            <v>542</v>
          </cell>
          <cell r="F737" t="str">
            <v>Peso</v>
          </cell>
          <cell r="G737">
            <v>61.61</v>
          </cell>
        </row>
        <row r="738">
          <cell r="E738">
            <v>543</v>
          </cell>
          <cell r="F738" t="str">
            <v>Peso</v>
          </cell>
          <cell r="G738">
            <v>61.62</v>
          </cell>
        </row>
        <row r="739">
          <cell r="E739">
            <v>505</v>
          </cell>
          <cell r="F739" t="str">
            <v>Peso</v>
          </cell>
          <cell r="G739">
            <v>23.24</v>
          </cell>
        </row>
        <row r="740">
          <cell r="E740">
            <v>535</v>
          </cell>
          <cell r="F740" t="str">
            <v>Peso</v>
          </cell>
          <cell r="G740">
            <v>0</v>
          </cell>
        </row>
        <row r="741">
          <cell r="E741">
            <v>534</v>
          </cell>
          <cell r="F741" t="str">
            <v>Peso</v>
          </cell>
          <cell r="G741">
            <v>0</v>
          </cell>
        </row>
        <row r="742">
          <cell r="E742">
            <v>0</v>
          </cell>
          <cell r="F742" t="str">
            <v>Peso</v>
          </cell>
          <cell r="G742">
            <v>27.86</v>
          </cell>
        </row>
        <row r="743">
          <cell r="E743" t="str">
            <v>574/809</v>
          </cell>
          <cell r="F743" t="str">
            <v>Peso</v>
          </cell>
          <cell r="G743">
            <v>83.02</v>
          </cell>
        </row>
        <row r="744">
          <cell r="E744">
            <v>569</v>
          </cell>
          <cell r="F744" t="str">
            <v>Peso</v>
          </cell>
          <cell r="G744">
            <v>36.65</v>
          </cell>
        </row>
        <row r="745">
          <cell r="E745">
            <v>809</v>
          </cell>
          <cell r="F745" t="str">
            <v>Peso</v>
          </cell>
          <cell r="G745">
            <v>69.94</v>
          </cell>
        </row>
        <row r="746">
          <cell r="E746">
            <v>6186600</v>
          </cell>
          <cell r="F746" t="str">
            <v>Peso</v>
          </cell>
          <cell r="G746">
            <v>3.25</v>
          </cell>
        </row>
        <row r="747">
          <cell r="E747">
            <v>6187600</v>
          </cell>
          <cell r="F747" t="str">
            <v>Peso</v>
          </cell>
          <cell r="G747">
            <v>2.74</v>
          </cell>
        </row>
        <row r="748">
          <cell r="E748">
            <v>6188600</v>
          </cell>
          <cell r="F748" t="str">
            <v>Peso</v>
          </cell>
          <cell r="G748">
            <v>4.0599999999999996</v>
          </cell>
        </row>
        <row r="749">
          <cell r="E749">
            <v>516</v>
          </cell>
          <cell r="F749" t="str">
            <v>Peso</v>
          </cell>
          <cell r="G749">
            <v>25.4</v>
          </cell>
        </row>
        <row r="750">
          <cell r="E750" t="str">
            <v/>
          </cell>
          <cell r="G750">
            <v>0</v>
          </cell>
        </row>
        <row r="751">
          <cell r="E751" t="str">
            <v/>
          </cell>
          <cell r="F751">
            <v>0</v>
          </cell>
          <cell r="G751">
            <v>0</v>
          </cell>
        </row>
        <row r="752">
          <cell r="E752" t="str">
            <v/>
          </cell>
          <cell r="F752" t="str">
            <v>Peso</v>
          </cell>
          <cell r="G752">
            <v>0</v>
          </cell>
        </row>
        <row r="753">
          <cell r="E753" t="str">
            <v/>
          </cell>
          <cell r="F753">
            <v>0</v>
          </cell>
          <cell r="G753" t="str">
            <v>Ultimo $ proveedor</v>
          </cell>
        </row>
        <row r="754">
          <cell r="E754">
            <v>501</v>
          </cell>
          <cell r="F754" t="str">
            <v>Peso</v>
          </cell>
          <cell r="G754">
            <v>158.21186883639197</v>
          </cell>
        </row>
        <row r="755">
          <cell r="E755">
            <v>520</v>
          </cell>
          <cell r="F755" t="str">
            <v>Peso</v>
          </cell>
          <cell r="G755">
            <v>128.52581724307905</v>
          </cell>
        </row>
        <row r="756">
          <cell r="E756">
            <v>530</v>
          </cell>
          <cell r="F756" t="str">
            <v>Peso</v>
          </cell>
          <cell r="G756">
            <v>148.31651830528767</v>
          </cell>
        </row>
        <row r="757">
          <cell r="E757">
            <v>521</v>
          </cell>
          <cell r="F757" t="str">
            <v>Peso</v>
          </cell>
          <cell r="G757">
            <v>128.52581724307905</v>
          </cell>
        </row>
        <row r="758">
          <cell r="E758">
            <v>531</v>
          </cell>
          <cell r="F758" t="str">
            <v>Peso</v>
          </cell>
          <cell r="G758">
            <v>148.31651830528767</v>
          </cell>
        </row>
        <row r="759">
          <cell r="E759">
            <v>548</v>
          </cell>
          <cell r="F759" t="str">
            <v>Peso</v>
          </cell>
          <cell r="G759">
            <v>108.81094262172184</v>
          </cell>
        </row>
        <row r="760">
          <cell r="E760">
            <v>5558600</v>
          </cell>
          <cell r="F760" t="str">
            <v>Peso</v>
          </cell>
          <cell r="G760">
            <v>59.334189966200235</v>
          </cell>
        </row>
        <row r="761">
          <cell r="E761" t="str">
            <v/>
          </cell>
          <cell r="F761" t="str">
            <v>Peso</v>
          </cell>
          <cell r="G761">
            <v>59.334189966200235</v>
          </cell>
        </row>
        <row r="762">
          <cell r="E762" t="str">
            <v/>
          </cell>
          <cell r="F762" t="str">
            <v>Peso</v>
          </cell>
          <cell r="G762">
            <v>158.21186883639197</v>
          </cell>
        </row>
        <row r="763">
          <cell r="E763" t="str">
            <v/>
          </cell>
          <cell r="F763" t="str">
            <v>Peso</v>
          </cell>
          <cell r="G763">
            <v>524.11235916469764</v>
          </cell>
        </row>
        <row r="764">
          <cell r="E764" t="str">
            <v/>
          </cell>
          <cell r="F764" t="str">
            <v>Peso</v>
          </cell>
          <cell r="G764">
            <v>494.388394350959</v>
          </cell>
        </row>
        <row r="765">
          <cell r="E765" t="str">
            <v/>
          </cell>
          <cell r="F765" t="str">
            <v>Peso</v>
          </cell>
          <cell r="G765">
            <v>3757.6551028306931</v>
          </cell>
        </row>
        <row r="766">
          <cell r="E766" t="str">
            <v/>
          </cell>
          <cell r="F766" t="str">
            <v>Peso</v>
          </cell>
          <cell r="G766">
            <v>3222.6237361833983</v>
          </cell>
        </row>
        <row r="767">
          <cell r="E767" t="str">
            <v/>
          </cell>
          <cell r="F767" t="str">
            <v>Peso</v>
          </cell>
          <cell r="G767">
            <v>3127.8406851191808</v>
          </cell>
        </row>
        <row r="768">
          <cell r="E768" t="str">
            <v/>
          </cell>
          <cell r="F768" t="str">
            <v>Peso</v>
          </cell>
          <cell r="G768">
            <v>158.21186883639197</v>
          </cell>
        </row>
        <row r="769">
          <cell r="E769" t="str">
            <v/>
          </cell>
          <cell r="G769">
            <v>0</v>
          </cell>
        </row>
        <row r="770">
          <cell r="E770" t="str">
            <v/>
          </cell>
          <cell r="F770">
            <v>0</v>
          </cell>
          <cell r="G770">
            <v>0</v>
          </cell>
        </row>
        <row r="771">
          <cell r="E771" t="str">
            <v/>
          </cell>
          <cell r="F771" t="str">
            <v>Peso</v>
          </cell>
          <cell r="G771" t="str">
            <v>Pericles 9785</v>
          </cell>
        </row>
        <row r="772">
          <cell r="E772" t="str">
            <v/>
          </cell>
          <cell r="F772">
            <v>0</v>
          </cell>
          <cell r="G772" t="str">
            <v>Ultimo $ proveedor</v>
          </cell>
        </row>
        <row r="773">
          <cell r="E773" t="str">
            <v>504-097</v>
          </cell>
          <cell r="F773" t="str">
            <v>Peso</v>
          </cell>
          <cell r="G773">
            <v>119.23707823878571</v>
          </cell>
        </row>
        <row r="774">
          <cell r="E774" t="str">
            <v>581-735-</v>
          </cell>
          <cell r="F774" t="str">
            <v>Peso</v>
          </cell>
          <cell r="G774">
            <v>54.746690294692087</v>
          </cell>
        </row>
        <row r="775">
          <cell r="E775" t="str">
            <v>disc</v>
          </cell>
          <cell r="F775" t="str">
            <v>Peso</v>
          </cell>
          <cell r="G775">
            <v>40.642972296336509</v>
          </cell>
        </row>
        <row r="776">
          <cell r="E776">
            <v>508</v>
          </cell>
          <cell r="F776" t="str">
            <v>Peso</v>
          </cell>
          <cell r="G776">
            <v>96.830364967204702</v>
          </cell>
        </row>
        <row r="777">
          <cell r="E777" t="str">
            <v>863-564</v>
          </cell>
          <cell r="F777" t="str">
            <v>Peso</v>
          </cell>
          <cell r="G777">
            <v>60.092454374713967</v>
          </cell>
        </row>
        <row r="778">
          <cell r="E778" t="str">
            <v>562-862</v>
          </cell>
          <cell r="F778" t="str">
            <v>Peso</v>
          </cell>
          <cell r="G778">
            <v>60.092454374713967</v>
          </cell>
        </row>
        <row r="779">
          <cell r="E779" t="str">
            <v>859-559</v>
          </cell>
          <cell r="F779" t="str">
            <v>Peso</v>
          </cell>
          <cell r="G779">
            <v>52.244417746596731</v>
          </cell>
        </row>
        <row r="780">
          <cell r="E780" t="str">
            <v>570-858</v>
          </cell>
          <cell r="F780" t="str">
            <v>Peso</v>
          </cell>
          <cell r="G780">
            <v>76.88801102329333</v>
          </cell>
        </row>
        <row r="781">
          <cell r="E781" t="str">
            <v>511-043</v>
          </cell>
          <cell r="F781" t="str">
            <v>Peso</v>
          </cell>
          <cell r="G781">
            <v>53.912599445326983</v>
          </cell>
        </row>
        <row r="782">
          <cell r="E782" t="str">
            <v>507-707</v>
          </cell>
          <cell r="F782" t="str">
            <v>Peso</v>
          </cell>
          <cell r="G782">
            <v>41.21167060272181</v>
          </cell>
        </row>
        <row r="783">
          <cell r="E783" t="str">
            <v>856-312</v>
          </cell>
          <cell r="F783" t="str">
            <v>Peso</v>
          </cell>
          <cell r="G783">
            <v>50.424583166163771</v>
          </cell>
        </row>
        <row r="784">
          <cell r="E784" t="str">
            <v>857-311</v>
          </cell>
          <cell r="F784" t="str">
            <v>Peso</v>
          </cell>
          <cell r="G784">
            <v>50.424583166163771</v>
          </cell>
        </row>
        <row r="785">
          <cell r="E785" t="str">
            <v>551-878</v>
          </cell>
          <cell r="F785" t="str">
            <v>Peso</v>
          </cell>
          <cell r="G785">
            <v>55.482761598566398</v>
          </cell>
        </row>
        <row r="786">
          <cell r="E786">
            <v>6095600</v>
          </cell>
          <cell r="F786" t="str">
            <v>Peso</v>
          </cell>
          <cell r="G786">
            <v>702.94901991266329</v>
          </cell>
        </row>
        <row r="787">
          <cell r="E787" t="str">
            <v>6096600/6098600</v>
          </cell>
          <cell r="F787" t="str">
            <v>Peso</v>
          </cell>
          <cell r="G787">
            <v>8.1513423915227143</v>
          </cell>
        </row>
        <row r="788">
          <cell r="E788">
            <v>0</v>
          </cell>
          <cell r="F788" t="str">
            <v>Peso</v>
          </cell>
          <cell r="G788">
            <v>3.0330576340549631</v>
          </cell>
        </row>
        <row r="789">
          <cell r="E789" t="str">
            <v>581T</v>
          </cell>
          <cell r="F789" t="str">
            <v>Peso</v>
          </cell>
          <cell r="G789">
            <v>68.926234733899051</v>
          </cell>
        </row>
        <row r="790">
          <cell r="E790">
            <v>520</v>
          </cell>
          <cell r="F790" t="str">
            <v>Peso</v>
          </cell>
          <cell r="G790">
            <v>128.52581724307905</v>
          </cell>
        </row>
        <row r="791">
          <cell r="E791">
            <v>521</v>
          </cell>
          <cell r="F791" t="str">
            <v>Peso</v>
          </cell>
          <cell r="G791">
            <v>128.52581724307905</v>
          </cell>
        </row>
        <row r="792">
          <cell r="E792" t="str">
            <v>530/730</v>
          </cell>
          <cell r="F792" t="str">
            <v>Peso</v>
          </cell>
          <cell r="G792">
            <v>148.31651830528767</v>
          </cell>
        </row>
        <row r="793">
          <cell r="E793" t="str">
            <v>531/731</v>
          </cell>
          <cell r="F793" t="str">
            <v>Peso</v>
          </cell>
          <cell r="G793">
            <v>148.31651830528767</v>
          </cell>
        </row>
        <row r="794">
          <cell r="E794">
            <v>5170600</v>
          </cell>
          <cell r="F794" t="str">
            <v>Peso</v>
          </cell>
          <cell r="G794">
            <v>12.752773199999996</v>
          </cell>
        </row>
        <row r="795">
          <cell r="E795">
            <v>5171600</v>
          </cell>
          <cell r="F795" t="str">
            <v>Peso</v>
          </cell>
          <cell r="G795">
            <v>12.752773199999996</v>
          </cell>
        </row>
        <row r="796">
          <cell r="E796" t="str">
            <v>501BL</v>
          </cell>
          <cell r="F796" t="str">
            <v>Peso</v>
          </cell>
          <cell r="G796">
            <v>17.329999999999998</v>
          </cell>
        </row>
        <row r="797">
          <cell r="E797">
            <v>5184600</v>
          </cell>
          <cell r="F797" t="str">
            <v>Peso</v>
          </cell>
          <cell r="G797">
            <v>12.7</v>
          </cell>
        </row>
        <row r="798">
          <cell r="E798">
            <v>6185600</v>
          </cell>
          <cell r="F798" t="str">
            <v>Peso</v>
          </cell>
          <cell r="G798">
            <v>169.33</v>
          </cell>
        </row>
        <row r="800">
          <cell r="E800" t="str">
            <v/>
          </cell>
          <cell r="F800">
            <v>0</v>
          </cell>
          <cell r="G800">
            <v>0</v>
          </cell>
        </row>
        <row r="801">
          <cell r="E801" t="str">
            <v/>
          </cell>
          <cell r="F801" t="str">
            <v>Peso</v>
          </cell>
          <cell r="G801" t="str">
            <v>Calle 3 alt 374 - Lomas de Zamora (Barrio Esperanza)</v>
          </cell>
        </row>
        <row r="802">
          <cell r="E802" t="str">
            <v/>
          </cell>
          <cell r="F802">
            <v>0</v>
          </cell>
          <cell r="G802" t="str">
            <v>Ultimo $ proveedor</v>
          </cell>
        </row>
        <row r="803">
          <cell r="E803" t="str">
            <v/>
          </cell>
          <cell r="F803" t="str">
            <v>Peso</v>
          </cell>
          <cell r="G803">
            <v>58.234706573855284</v>
          </cell>
        </row>
        <row r="804">
          <cell r="E804">
            <v>0</v>
          </cell>
          <cell r="F804" t="str">
            <v>Peso</v>
          </cell>
          <cell r="G804">
            <v>15.279027831551877</v>
          </cell>
        </row>
        <row r="805">
          <cell r="E805">
            <v>0</v>
          </cell>
          <cell r="F805" t="str">
            <v>Peso</v>
          </cell>
          <cell r="G805">
            <v>46.986801839308804</v>
          </cell>
        </row>
        <row r="806">
          <cell r="E806">
            <v>0</v>
          </cell>
          <cell r="F806" t="str">
            <v>Peso</v>
          </cell>
          <cell r="G806">
            <v>15.276560399999999</v>
          </cell>
        </row>
        <row r="807">
          <cell r="E807" t="str">
            <v/>
          </cell>
          <cell r="F807" t="str">
            <v>Peso</v>
          </cell>
          <cell r="G807">
            <v>56.907743858956245</v>
          </cell>
        </row>
        <row r="808">
          <cell r="E808">
            <v>515</v>
          </cell>
          <cell r="F808" t="str">
            <v>Peso</v>
          </cell>
          <cell r="G808">
            <v>50.803715370420633</v>
          </cell>
        </row>
        <row r="809">
          <cell r="E809">
            <v>509</v>
          </cell>
          <cell r="F809" t="str">
            <v>Peso</v>
          </cell>
          <cell r="G809">
            <v>50.809319999999992</v>
          </cell>
        </row>
        <row r="810">
          <cell r="E810" t="str">
            <v/>
          </cell>
          <cell r="F810" t="str">
            <v>Peso</v>
          </cell>
          <cell r="G810">
            <v>8.1513423915227143</v>
          </cell>
        </row>
        <row r="811">
          <cell r="E811" t="str">
            <v/>
          </cell>
          <cell r="F811" t="str">
            <v>Peso</v>
          </cell>
          <cell r="G811">
            <v>8.1513423915227143</v>
          </cell>
        </row>
        <row r="812">
          <cell r="E812" t="str">
            <v/>
          </cell>
          <cell r="F812" t="str">
            <v>Peso</v>
          </cell>
          <cell r="G812">
            <v>95.38966259102861</v>
          </cell>
        </row>
        <row r="813">
          <cell r="E813" t="str">
            <v/>
          </cell>
          <cell r="F813" t="str">
            <v>Peso</v>
          </cell>
          <cell r="G813">
            <v>95.38966259102861</v>
          </cell>
        </row>
        <row r="814">
          <cell r="E814" t="str">
            <v/>
          </cell>
          <cell r="F814" t="str">
            <v>Peso</v>
          </cell>
          <cell r="G814">
            <v>95.38966259102861</v>
          </cell>
        </row>
        <row r="815">
          <cell r="E815" t="str">
            <v/>
          </cell>
          <cell r="F815" t="str">
            <v>Peso</v>
          </cell>
          <cell r="G815">
            <v>95.38966259102861</v>
          </cell>
        </row>
        <row r="816">
          <cell r="E816" t="str">
            <v/>
          </cell>
          <cell r="F816" t="str">
            <v>Peso</v>
          </cell>
          <cell r="G816">
            <v>95.38966259102861</v>
          </cell>
        </row>
        <row r="817">
          <cell r="E817" t="str">
            <v/>
          </cell>
          <cell r="F817" t="str">
            <v>Peso</v>
          </cell>
          <cell r="G817">
            <v>95.38966259102861</v>
          </cell>
        </row>
        <row r="818">
          <cell r="E818" t="str">
            <v/>
          </cell>
          <cell r="F818" t="str">
            <v>Peso</v>
          </cell>
          <cell r="G818">
            <v>95.39952619309058</v>
          </cell>
        </row>
        <row r="819">
          <cell r="E819">
            <v>6009600</v>
          </cell>
          <cell r="F819" t="str">
            <v>Peso</v>
          </cell>
          <cell r="G819">
            <v>26.69090717968367</v>
          </cell>
        </row>
        <row r="820">
          <cell r="E820">
            <v>0</v>
          </cell>
          <cell r="F820" t="str">
            <v>Peso</v>
          </cell>
          <cell r="G820">
            <v>35.600513979720127</v>
          </cell>
        </row>
        <row r="821">
          <cell r="E821">
            <v>0</v>
          </cell>
          <cell r="F821" t="str">
            <v>Peso</v>
          </cell>
          <cell r="G821">
            <v>35.600513979720127</v>
          </cell>
        </row>
        <row r="822">
          <cell r="E822">
            <v>0</v>
          </cell>
          <cell r="F822" t="str">
            <v>Peso</v>
          </cell>
          <cell r="G822">
            <v>21.345143099661804</v>
          </cell>
        </row>
        <row r="823">
          <cell r="E823" t="str">
            <v/>
          </cell>
          <cell r="F823">
            <v>0</v>
          </cell>
          <cell r="G823">
            <v>0</v>
          </cell>
        </row>
        <row r="824">
          <cell r="E824" t="str">
            <v/>
          </cell>
          <cell r="F824" t="str">
            <v>Peso</v>
          </cell>
          <cell r="G824" t="str">
            <v>Francisco Madero 1068 - Ciudadela</v>
          </cell>
        </row>
        <row r="825">
          <cell r="E825" t="str">
            <v/>
          </cell>
          <cell r="F825">
            <v>0</v>
          </cell>
          <cell r="G825" t="str">
            <v>Ultimo $ proveedor</v>
          </cell>
        </row>
        <row r="826">
          <cell r="E826">
            <v>315</v>
          </cell>
          <cell r="F826" t="str">
            <v>Peso</v>
          </cell>
          <cell r="G826">
            <v>58.731801850822336</v>
          </cell>
        </row>
        <row r="827">
          <cell r="E827">
            <v>355</v>
          </cell>
          <cell r="F827" t="str">
            <v>Peso</v>
          </cell>
          <cell r="G827">
            <v>46.620809451428826</v>
          </cell>
        </row>
        <row r="828">
          <cell r="E828" t="str">
            <v/>
          </cell>
          <cell r="F828" t="str">
            <v>Peso</v>
          </cell>
          <cell r="G828">
            <v>26.425514636703863</v>
          </cell>
        </row>
        <row r="829">
          <cell r="E829">
            <v>505</v>
          </cell>
          <cell r="F829" t="str">
            <v>Peso</v>
          </cell>
          <cell r="G829">
            <v>22.659276102091102</v>
          </cell>
        </row>
        <row r="830">
          <cell r="E830">
            <v>586</v>
          </cell>
          <cell r="F830" t="str">
            <v>Peso</v>
          </cell>
          <cell r="G830">
            <v>22.659276102091102</v>
          </cell>
        </row>
        <row r="831">
          <cell r="E831">
            <v>5202600</v>
          </cell>
          <cell r="F831" t="str">
            <v>Peso</v>
          </cell>
          <cell r="G831">
            <v>17.553821057093099</v>
          </cell>
        </row>
        <row r="832">
          <cell r="E832">
            <v>0</v>
          </cell>
          <cell r="F832">
            <v>0</v>
          </cell>
          <cell r="G832">
            <v>0</v>
          </cell>
        </row>
        <row r="833">
          <cell r="E833" t="str">
            <v/>
          </cell>
          <cell r="F833">
            <v>0</v>
          </cell>
          <cell r="G833" t="str">
            <v>.</v>
          </cell>
        </row>
        <row r="834">
          <cell r="E834" t="str">
            <v/>
          </cell>
          <cell r="F834" t="str">
            <v>Peso</v>
          </cell>
          <cell r="G834" t="str">
            <v>Cervantes 3195 4°A</v>
          </cell>
        </row>
        <row r="835">
          <cell r="E835" t="str">
            <v/>
          </cell>
          <cell r="F835">
            <v>0</v>
          </cell>
          <cell r="G835" t="str">
            <v>Ultimo $ proveedor</v>
          </cell>
        </row>
        <row r="836">
          <cell r="E836">
            <v>0</v>
          </cell>
          <cell r="F836" t="str">
            <v>Peso</v>
          </cell>
          <cell r="G836">
            <v>41.351197870079986</v>
          </cell>
        </row>
        <row r="837">
          <cell r="E837">
            <v>0</v>
          </cell>
          <cell r="F837" t="str">
            <v>Peso</v>
          </cell>
          <cell r="G837">
            <v>45.495864510824447</v>
          </cell>
        </row>
        <row r="838">
          <cell r="E838" t="str">
            <v/>
          </cell>
          <cell r="F838" t="str">
            <v>Peso</v>
          </cell>
          <cell r="G838">
            <v>27.487084808623109</v>
          </cell>
        </row>
        <row r="839">
          <cell r="E839" t="str">
            <v/>
          </cell>
          <cell r="F839" t="str">
            <v>Peso</v>
          </cell>
          <cell r="G839">
            <v>27.487084808623109</v>
          </cell>
        </row>
        <row r="840">
          <cell r="E840" t="str">
            <v/>
          </cell>
          <cell r="F840" t="str">
            <v>Peso</v>
          </cell>
          <cell r="G840">
            <v>27.487084808623109</v>
          </cell>
        </row>
        <row r="841">
          <cell r="E841" t="str">
            <v/>
          </cell>
          <cell r="F841" t="str">
            <v>Peso</v>
          </cell>
          <cell r="G841">
            <v>100.47003412807067</v>
          </cell>
        </row>
        <row r="842">
          <cell r="E842">
            <v>0</v>
          </cell>
          <cell r="F842" t="str">
            <v>Peso</v>
          </cell>
          <cell r="G842">
            <v>33.906132088012797</v>
          </cell>
        </row>
        <row r="843">
          <cell r="E843">
            <v>0</v>
          </cell>
          <cell r="F843" t="str">
            <v>Peso</v>
          </cell>
          <cell r="G843">
            <v>56.869830638530551</v>
          </cell>
        </row>
        <row r="844">
          <cell r="F844" t="str">
            <v>Peso</v>
          </cell>
          <cell r="G844">
            <v>27.487084808623109</v>
          </cell>
        </row>
        <row r="845">
          <cell r="F845" t="str">
            <v>Peso</v>
          </cell>
          <cell r="G845">
            <v>19.426737254399999</v>
          </cell>
        </row>
        <row r="846">
          <cell r="F846" t="str">
            <v>Peso</v>
          </cell>
          <cell r="G846">
            <v>41.351197870079986</v>
          </cell>
        </row>
        <row r="847">
          <cell r="F847" t="str">
            <v>Peso</v>
          </cell>
          <cell r="G847">
            <v>6.6143414937599996</v>
          </cell>
        </row>
        <row r="848">
          <cell r="F848">
            <v>0</v>
          </cell>
          <cell r="G848">
            <v>0</v>
          </cell>
        </row>
        <row r="849">
          <cell r="E849" t="str">
            <v/>
          </cell>
          <cell r="F849">
            <v>0</v>
          </cell>
          <cell r="G849">
            <v>0</v>
          </cell>
        </row>
        <row r="850">
          <cell r="E850" t="str">
            <v/>
          </cell>
          <cell r="F850" t="str">
            <v>Peso</v>
          </cell>
          <cell r="G850" t="str">
            <v>Ricardo gutierrez y Tupungato</v>
          </cell>
        </row>
        <row r="851">
          <cell r="E851" t="str">
            <v/>
          </cell>
          <cell r="F851">
            <v>0</v>
          </cell>
          <cell r="G851" t="str">
            <v>Ultimo $ proveedor</v>
          </cell>
        </row>
        <row r="852">
          <cell r="E852" t="str">
            <v/>
          </cell>
          <cell r="F852" t="str">
            <v>Peso</v>
          </cell>
          <cell r="G852">
            <v>14.558676643463821</v>
          </cell>
        </row>
        <row r="853">
          <cell r="E853" t="str">
            <v/>
          </cell>
          <cell r="F853" t="str">
            <v>Peso</v>
          </cell>
          <cell r="G853">
            <v>16.15103190134268</v>
          </cell>
        </row>
        <row r="854">
          <cell r="E854" t="str">
            <v/>
          </cell>
          <cell r="F854" t="str">
            <v>Peso</v>
          </cell>
          <cell r="G854">
            <v>22.937498357540658</v>
          </cell>
        </row>
        <row r="855">
          <cell r="E855" t="str">
            <v/>
          </cell>
          <cell r="F855" t="str">
            <v>Peso</v>
          </cell>
          <cell r="G855">
            <v>27.904130233305658</v>
          </cell>
        </row>
        <row r="856">
          <cell r="E856" t="str">
            <v/>
          </cell>
          <cell r="F856" t="str">
            <v>Peso</v>
          </cell>
          <cell r="G856">
            <v>16.605990546450922</v>
          </cell>
        </row>
        <row r="857">
          <cell r="E857">
            <v>0</v>
          </cell>
          <cell r="F857" t="str">
            <v>Peso</v>
          </cell>
          <cell r="G857">
            <v>28.434915319265276</v>
          </cell>
        </row>
        <row r="858">
          <cell r="E858">
            <v>0</v>
          </cell>
          <cell r="F858" t="str">
            <v>Peso</v>
          </cell>
          <cell r="G858">
            <v>35.562600759294448</v>
          </cell>
        </row>
        <row r="859">
          <cell r="E859">
            <v>0</v>
          </cell>
          <cell r="F859" t="str">
            <v>peso</v>
          </cell>
          <cell r="G859">
            <v>0</v>
          </cell>
        </row>
        <row r="860">
          <cell r="E860" t="str">
            <v/>
          </cell>
          <cell r="F860" t="str">
            <v>Peso</v>
          </cell>
          <cell r="G860">
            <v>16.871383089430733</v>
          </cell>
        </row>
        <row r="862">
          <cell r="E862" t="str">
            <v/>
          </cell>
          <cell r="F862">
            <v>0</v>
          </cell>
          <cell r="G862">
            <v>0</v>
          </cell>
        </row>
        <row r="863">
          <cell r="E863" t="str">
            <v/>
          </cell>
          <cell r="F863" t="str">
            <v>Peso</v>
          </cell>
          <cell r="G863" t="str">
            <v>Yerbal 2662 1° Dpto 4</v>
          </cell>
        </row>
        <row r="864">
          <cell r="E864" t="str">
            <v/>
          </cell>
          <cell r="F864">
            <v>0</v>
          </cell>
          <cell r="G864" t="str">
            <v>Ultimo $ proveedor</v>
          </cell>
        </row>
        <row r="865">
          <cell r="E865">
            <v>6041600</v>
          </cell>
          <cell r="F865" t="str">
            <v>Peso</v>
          </cell>
          <cell r="G865">
            <v>49.628405537224346</v>
          </cell>
        </row>
        <row r="866">
          <cell r="E866">
            <v>6104600</v>
          </cell>
          <cell r="F866" t="str">
            <v>Peso</v>
          </cell>
          <cell r="G866">
            <v>49.628405537224346</v>
          </cell>
        </row>
        <row r="867">
          <cell r="E867">
            <v>6001600</v>
          </cell>
          <cell r="F867" t="str">
            <v>Peso</v>
          </cell>
          <cell r="G867">
            <v>49.628405537224346</v>
          </cell>
        </row>
        <row r="868">
          <cell r="E868" t="str">
            <v/>
          </cell>
          <cell r="F868">
            <v>0</v>
          </cell>
          <cell r="G868">
            <v>0</v>
          </cell>
        </row>
        <row r="869">
          <cell r="E869" t="str">
            <v/>
          </cell>
          <cell r="F869" t="str">
            <v>Peso</v>
          </cell>
          <cell r="G869" t="str">
            <v>Nápoles 402</v>
          </cell>
        </row>
        <row r="870">
          <cell r="E870" t="str">
            <v/>
          </cell>
          <cell r="F870">
            <v>0</v>
          </cell>
          <cell r="G870" t="str">
            <v>Ultimo $ proveedor</v>
          </cell>
        </row>
        <row r="871">
          <cell r="E871">
            <v>6011600</v>
          </cell>
          <cell r="F871" t="str">
            <v>Peso</v>
          </cell>
          <cell r="G871">
            <v>292.69617463295998</v>
          </cell>
        </row>
        <row r="872">
          <cell r="E872">
            <v>0</v>
          </cell>
          <cell r="F872">
            <v>0</v>
          </cell>
          <cell r="G872">
            <v>0</v>
          </cell>
        </row>
        <row r="873">
          <cell r="E873">
            <v>0</v>
          </cell>
          <cell r="F873">
            <v>0</v>
          </cell>
          <cell r="G873">
            <v>0</v>
          </cell>
        </row>
        <row r="874">
          <cell r="E874" t="str">
            <v/>
          </cell>
          <cell r="F874" t="str">
            <v>Peso</v>
          </cell>
          <cell r="G874">
            <v>0</v>
          </cell>
        </row>
        <row r="875">
          <cell r="E875">
            <v>0</v>
          </cell>
          <cell r="F875">
            <v>0</v>
          </cell>
          <cell r="G875" t="str">
            <v>Ultimo $ proveedor</v>
          </cell>
        </row>
        <row r="876">
          <cell r="E876">
            <v>0</v>
          </cell>
          <cell r="F876" t="str">
            <v>Peso</v>
          </cell>
          <cell r="G876">
            <v>21.576629510553595</v>
          </cell>
        </row>
        <row r="877">
          <cell r="E877">
            <v>0</v>
          </cell>
          <cell r="F877" t="str">
            <v>Peso</v>
          </cell>
          <cell r="G877">
            <v>29.282568621465604</v>
          </cell>
        </row>
        <row r="878">
          <cell r="E878">
            <v>0</v>
          </cell>
          <cell r="F878">
            <v>0</v>
          </cell>
          <cell r="G878">
            <v>0</v>
          </cell>
        </row>
        <row r="879">
          <cell r="E879" t="str">
            <v/>
          </cell>
          <cell r="F879">
            <v>0</v>
          </cell>
          <cell r="G879">
            <v>0</v>
          </cell>
        </row>
        <row r="880">
          <cell r="E880" t="str">
            <v/>
          </cell>
          <cell r="F880">
            <v>0</v>
          </cell>
          <cell r="G880">
            <v>0</v>
          </cell>
        </row>
        <row r="881">
          <cell r="E881" t="str">
            <v/>
          </cell>
          <cell r="F881">
            <v>0</v>
          </cell>
          <cell r="G881">
            <v>0</v>
          </cell>
        </row>
        <row r="882">
          <cell r="E882" t="str">
            <v/>
          </cell>
          <cell r="F882" t="str">
            <v>Peso</v>
          </cell>
          <cell r="G882">
            <v>0</v>
          </cell>
        </row>
        <row r="883">
          <cell r="E883" t="str">
            <v/>
          </cell>
          <cell r="F883">
            <v>0</v>
          </cell>
          <cell r="G883" t="str">
            <v>Ultimo $ proveedor</v>
          </cell>
        </row>
        <row r="884">
          <cell r="E884" t="str">
            <v/>
          </cell>
          <cell r="F884" t="str">
            <v>Peso</v>
          </cell>
          <cell r="G884">
            <v>175</v>
          </cell>
        </row>
        <row r="885">
          <cell r="E885">
            <v>0</v>
          </cell>
          <cell r="F885">
            <v>0</v>
          </cell>
          <cell r="G885">
            <v>0</v>
          </cell>
        </row>
        <row r="886">
          <cell r="E886" t="str">
            <v/>
          </cell>
          <cell r="F886">
            <v>0</v>
          </cell>
          <cell r="G886">
            <v>0</v>
          </cell>
        </row>
        <row r="887">
          <cell r="E887" t="str">
            <v/>
          </cell>
          <cell r="F887" t="str">
            <v>Peso</v>
          </cell>
          <cell r="G887">
            <v>0</v>
          </cell>
        </row>
        <row r="888">
          <cell r="E888" t="str">
            <v/>
          </cell>
          <cell r="F888">
            <v>0</v>
          </cell>
          <cell r="G888" t="str">
            <v>Ultimo $ proveedor</v>
          </cell>
        </row>
        <row r="889">
          <cell r="E889">
            <v>5000600</v>
          </cell>
          <cell r="F889" t="str">
            <v>Peso</v>
          </cell>
          <cell r="G889">
            <v>164.5</v>
          </cell>
        </row>
        <row r="890">
          <cell r="E890">
            <v>5001600</v>
          </cell>
          <cell r="F890" t="str">
            <v>Peso</v>
          </cell>
          <cell r="G890">
            <v>184</v>
          </cell>
        </row>
        <row r="891">
          <cell r="E891">
            <v>5002600</v>
          </cell>
          <cell r="F891" t="str">
            <v>Peso</v>
          </cell>
          <cell r="G891">
            <v>145</v>
          </cell>
        </row>
        <row r="892">
          <cell r="E892">
            <v>5003600</v>
          </cell>
          <cell r="F892" t="str">
            <v>Peso</v>
          </cell>
          <cell r="G892">
            <v>156.5</v>
          </cell>
        </row>
        <row r="893">
          <cell r="E893">
            <v>5004600</v>
          </cell>
          <cell r="F893" t="str">
            <v>Peso</v>
          </cell>
          <cell r="G893">
            <v>158.5</v>
          </cell>
        </row>
        <row r="894">
          <cell r="E894">
            <v>5153600</v>
          </cell>
          <cell r="F894" t="str">
            <v>Peso</v>
          </cell>
          <cell r="G894">
            <v>184</v>
          </cell>
        </row>
        <row r="895">
          <cell r="E895">
            <v>5159600</v>
          </cell>
          <cell r="F895" t="str">
            <v>Peso</v>
          </cell>
          <cell r="G895">
            <v>168.5</v>
          </cell>
        </row>
        <row r="896">
          <cell r="E896">
            <v>0</v>
          </cell>
          <cell r="F896" t="str">
            <v>Peso</v>
          </cell>
          <cell r="G896">
            <v>270</v>
          </cell>
        </row>
        <row r="897">
          <cell r="E897">
            <v>6189600</v>
          </cell>
          <cell r="F897" t="str">
            <v>Peso</v>
          </cell>
          <cell r="G897">
            <v>184</v>
          </cell>
        </row>
        <row r="898">
          <cell r="E898">
            <v>6190600</v>
          </cell>
          <cell r="F898" t="str">
            <v>Peso</v>
          </cell>
          <cell r="G898">
            <v>184</v>
          </cell>
        </row>
        <row r="899">
          <cell r="E899" t="str">
            <v/>
          </cell>
          <cell r="F899">
            <v>0</v>
          </cell>
          <cell r="G899">
            <v>0</v>
          </cell>
        </row>
        <row r="900">
          <cell r="E900" t="str">
            <v/>
          </cell>
          <cell r="F900" t="str">
            <v>Peso</v>
          </cell>
          <cell r="G900">
            <v>0</v>
          </cell>
        </row>
        <row r="901">
          <cell r="E901" t="str">
            <v/>
          </cell>
          <cell r="F901">
            <v>0</v>
          </cell>
          <cell r="G901" t="str">
            <v>Ultimo $ proveedor</v>
          </cell>
        </row>
        <row r="902">
          <cell r="E902">
            <v>5001600</v>
          </cell>
          <cell r="F902" t="str">
            <v>Peso</v>
          </cell>
          <cell r="G902">
            <v>143.63999999999999</v>
          </cell>
        </row>
        <row r="903">
          <cell r="E903">
            <v>5002600</v>
          </cell>
          <cell r="F903" t="str">
            <v>Peso</v>
          </cell>
          <cell r="G903">
            <v>130.27000000000001</v>
          </cell>
        </row>
        <row r="904">
          <cell r="E904">
            <v>5003600</v>
          </cell>
          <cell r="F904" t="str">
            <v>Peso</v>
          </cell>
          <cell r="G904">
            <v>130.21</v>
          </cell>
        </row>
        <row r="905">
          <cell r="E905">
            <v>5004600</v>
          </cell>
          <cell r="F905" t="str">
            <v>Peso</v>
          </cell>
          <cell r="G905">
            <v>129.66999999999999</v>
          </cell>
        </row>
        <row r="906">
          <cell r="E906" t="str">
            <v/>
          </cell>
          <cell r="F906" t="str">
            <v>Peso</v>
          </cell>
          <cell r="G906">
            <v>25.8</v>
          </cell>
        </row>
        <row r="907">
          <cell r="E907" t="str">
            <v/>
          </cell>
          <cell r="F907" t="str">
            <v>Peso</v>
          </cell>
          <cell r="G907">
            <v>31.6</v>
          </cell>
        </row>
        <row r="908">
          <cell r="E908" t="str">
            <v/>
          </cell>
          <cell r="F908" t="str">
            <v>Peso</v>
          </cell>
          <cell r="G908">
            <v>25.68</v>
          </cell>
        </row>
        <row r="909">
          <cell r="E909" t="str">
            <v/>
          </cell>
          <cell r="F909" t="str">
            <v>Peso</v>
          </cell>
          <cell r="G909">
            <v>25.69</v>
          </cell>
        </row>
        <row r="910">
          <cell r="E910">
            <v>6036600</v>
          </cell>
          <cell r="F910" t="str">
            <v>Peso</v>
          </cell>
          <cell r="G910">
            <v>96.63</v>
          </cell>
        </row>
        <row r="911">
          <cell r="E911">
            <v>6088600</v>
          </cell>
          <cell r="F911" t="str">
            <v>Peso</v>
          </cell>
          <cell r="G911">
            <v>144.51</v>
          </cell>
        </row>
        <row r="912">
          <cell r="E912" t="str">
            <v/>
          </cell>
          <cell r="F912">
            <v>0</v>
          </cell>
          <cell r="G912">
            <v>0</v>
          </cell>
        </row>
        <row r="913">
          <cell r="E913" t="str">
            <v/>
          </cell>
          <cell r="F913">
            <v>0</v>
          </cell>
          <cell r="G913">
            <v>0</v>
          </cell>
        </row>
        <row r="914">
          <cell r="E914" t="str">
            <v/>
          </cell>
          <cell r="F914" t="str">
            <v>Peso</v>
          </cell>
          <cell r="G914">
            <v>0</v>
          </cell>
        </row>
        <row r="915">
          <cell r="E915" t="str">
            <v/>
          </cell>
          <cell r="F915">
            <v>0</v>
          </cell>
          <cell r="G915" t="str">
            <v>Ultimo $ proveedor</v>
          </cell>
        </row>
        <row r="916">
          <cell r="E916">
            <v>5033600</v>
          </cell>
          <cell r="F916" t="str">
            <v>Peso</v>
          </cell>
          <cell r="G916">
            <v>2010</v>
          </cell>
        </row>
        <row r="917">
          <cell r="E917">
            <v>5034600</v>
          </cell>
          <cell r="F917" t="str">
            <v>Peso</v>
          </cell>
          <cell r="G917">
            <v>904</v>
          </cell>
        </row>
        <row r="918">
          <cell r="E918">
            <v>5035600</v>
          </cell>
          <cell r="F918" t="str">
            <v>Peso</v>
          </cell>
          <cell r="G918">
            <v>2463</v>
          </cell>
        </row>
        <row r="919">
          <cell r="E919" t="str">
            <v/>
          </cell>
          <cell r="F919" t="str">
            <v>Peso</v>
          </cell>
          <cell r="G919">
            <v>120</v>
          </cell>
        </row>
        <row r="920">
          <cell r="E920" t="str">
            <v/>
          </cell>
          <cell r="F920" t="str">
            <v>Peso</v>
          </cell>
          <cell r="G920">
            <v>795</v>
          </cell>
        </row>
        <row r="921">
          <cell r="E921" t="str">
            <v/>
          </cell>
          <cell r="F921" t="str">
            <v>Peso</v>
          </cell>
          <cell r="G921">
            <v>120</v>
          </cell>
        </row>
        <row r="922">
          <cell r="E922" t="str">
            <v/>
          </cell>
          <cell r="F922" t="str">
            <v>Peso</v>
          </cell>
          <cell r="G922">
            <v>103</v>
          </cell>
        </row>
        <row r="923">
          <cell r="E923" t="str">
            <v/>
          </cell>
          <cell r="F923" t="str">
            <v>Peso</v>
          </cell>
          <cell r="G923">
            <v>200</v>
          </cell>
        </row>
        <row r="924">
          <cell r="E924" t="str">
            <v/>
          </cell>
          <cell r="F924" t="str">
            <v>Peso</v>
          </cell>
          <cell r="G924">
            <v>200</v>
          </cell>
        </row>
        <row r="925">
          <cell r="E925">
            <v>5042600</v>
          </cell>
          <cell r="F925" t="str">
            <v>Peso</v>
          </cell>
          <cell r="G925">
            <v>904</v>
          </cell>
        </row>
        <row r="926">
          <cell r="E926">
            <v>5987600</v>
          </cell>
          <cell r="F926" t="str">
            <v>Peso</v>
          </cell>
          <cell r="G926">
            <v>2182.4</v>
          </cell>
        </row>
        <row r="927">
          <cell r="E927">
            <v>5678600</v>
          </cell>
          <cell r="F927" t="str">
            <v>Peso</v>
          </cell>
          <cell r="G927">
            <v>1969</v>
          </cell>
        </row>
        <row r="928">
          <cell r="E928">
            <v>6079600</v>
          </cell>
          <cell r="F928" t="str">
            <v>Peso</v>
          </cell>
          <cell r="G928">
            <v>650</v>
          </cell>
        </row>
        <row r="929">
          <cell r="E929">
            <v>6107600</v>
          </cell>
          <cell r="F929" t="str">
            <v>Peso</v>
          </cell>
          <cell r="G929">
            <v>250</v>
          </cell>
        </row>
        <row r="930">
          <cell r="E930">
            <v>0</v>
          </cell>
          <cell r="F930" t="str">
            <v>Peso</v>
          </cell>
          <cell r="G930">
            <v>167.5</v>
          </cell>
        </row>
        <row r="931">
          <cell r="E931" t="str">
            <v/>
          </cell>
          <cell r="F931">
            <v>0</v>
          </cell>
          <cell r="G931">
            <v>0</v>
          </cell>
        </row>
        <row r="932">
          <cell r="E932" t="str">
            <v/>
          </cell>
          <cell r="F932" t="str">
            <v>Peso</v>
          </cell>
          <cell r="G932">
            <v>0</v>
          </cell>
        </row>
        <row r="933">
          <cell r="E933" t="str">
            <v/>
          </cell>
          <cell r="F933">
            <v>0</v>
          </cell>
          <cell r="G933" t="str">
            <v>Ultimo $ proveedor</v>
          </cell>
        </row>
        <row r="934">
          <cell r="E934" t="str">
            <v/>
          </cell>
          <cell r="F934" t="str">
            <v>Peso</v>
          </cell>
          <cell r="G934">
            <v>2020.51</v>
          </cell>
        </row>
        <row r="935">
          <cell r="E935">
            <v>5043600</v>
          </cell>
          <cell r="F935" t="str">
            <v>Peso</v>
          </cell>
          <cell r="G935">
            <v>2020.51</v>
          </cell>
        </row>
        <row r="936">
          <cell r="E936">
            <v>5044600</v>
          </cell>
          <cell r="F936" t="str">
            <v>Peso</v>
          </cell>
          <cell r="G936">
            <v>1867.85</v>
          </cell>
        </row>
        <row r="937">
          <cell r="E937">
            <v>5045600</v>
          </cell>
          <cell r="F937" t="str">
            <v>Peso</v>
          </cell>
          <cell r="G937">
            <v>1867.85</v>
          </cell>
        </row>
        <row r="938">
          <cell r="E938" t="str">
            <v/>
          </cell>
          <cell r="F938" t="str">
            <v>Peso</v>
          </cell>
          <cell r="G938">
            <v>2020.51</v>
          </cell>
        </row>
        <row r="939">
          <cell r="E939" t="str">
            <v/>
          </cell>
          <cell r="F939" t="str">
            <v>Peso</v>
          </cell>
          <cell r="G939">
            <v>1867.85</v>
          </cell>
        </row>
        <row r="940">
          <cell r="E940">
            <v>5048600</v>
          </cell>
          <cell r="F940" t="str">
            <v>Peso</v>
          </cell>
          <cell r="G940">
            <v>1867.85</v>
          </cell>
        </row>
        <row r="941">
          <cell r="E941">
            <v>5049600</v>
          </cell>
          <cell r="F941" t="str">
            <v>Peso</v>
          </cell>
          <cell r="G941">
            <v>1867.85</v>
          </cell>
        </row>
        <row r="942">
          <cell r="E942">
            <v>5658600</v>
          </cell>
          <cell r="F942" t="str">
            <v>Peso</v>
          </cell>
          <cell r="G942">
            <v>1867.85</v>
          </cell>
        </row>
        <row r="943">
          <cell r="E943" t="str">
            <v>5703600</v>
          </cell>
          <cell r="F943" t="str">
            <v>Peso</v>
          </cell>
          <cell r="G943">
            <v>1867.85</v>
          </cell>
        </row>
        <row r="944">
          <cell r="E944" t="str">
            <v/>
          </cell>
          <cell r="F944" t="str">
            <v>Peso</v>
          </cell>
          <cell r="G944">
            <v>2020.51</v>
          </cell>
        </row>
        <row r="945">
          <cell r="E945" t="str">
            <v/>
          </cell>
          <cell r="F945" t="str">
            <v>Peso</v>
          </cell>
          <cell r="G945">
            <v>2020.51</v>
          </cell>
        </row>
        <row r="946">
          <cell r="E946">
            <v>6165600</v>
          </cell>
          <cell r="F946" t="str">
            <v>Peso</v>
          </cell>
          <cell r="G946">
            <v>2020.51</v>
          </cell>
        </row>
        <row r="947">
          <cell r="E947">
            <v>5054600</v>
          </cell>
          <cell r="F947" t="str">
            <v>Peso</v>
          </cell>
          <cell r="G947">
            <v>2020.51</v>
          </cell>
        </row>
        <row r="948">
          <cell r="E948" t="str">
            <v/>
          </cell>
          <cell r="F948" t="str">
            <v>Peso</v>
          </cell>
          <cell r="G948">
            <v>19000</v>
          </cell>
        </row>
        <row r="949">
          <cell r="E949" t="str">
            <v/>
          </cell>
          <cell r="F949" t="str">
            <v>Peso</v>
          </cell>
          <cell r="G949">
            <v>1867.85</v>
          </cell>
        </row>
        <row r="950">
          <cell r="E950">
            <v>6034600</v>
          </cell>
          <cell r="F950" t="str">
            <v>Peso</v>
          </cell>
          <cell r="G950">
            <v>2020.51</v>
          </cell>
        </row>
        <row r="951">
          <cell r="E951">
            <v>6035600</v>
          </cell>
          <cell r="F951" t="str">
            <v>Peso</v>
          </cell>
          <cell r="G951">
            <v>2534.73</v>
          </cell>
        </row>
        <row r="952">
          <cell r="E952" t="str">
            <v/>
          </cell>
          <cell r="F952" t="str">
            <v>Peso</v>
          </cell>
          <cell r="G952">
            <v>1867.85</v>
          </cell>
        </row>
        <row r="953">
          <cell r="E953" t="str">
            <v/>
          </cell>
          <cell r="F953" t="str">
            <v>Peso</v>
          </cell>
          <cell r="G953">
            <v>2020.51</v>
          </cell>
        </row>
        <row r="954">
          <cell r="E954" t="str">
            <v/>
          </cell>
          <cell r="G954">
            <v>0</v>
          </cell>
        </row>
        <row r="955">
          <cell r="E955" t="str">
            <v/>
          </cell>
          <cell r="F955" t="str">
            <v>Dolar</v>
          </cell>
          <cell r="G955">
            <v>0</v>
          </cell>
        </row>
        <row r="956">
          <cell r="E956" t="str">
            <v/>
          </cell>
          <cell r="F956" t="str">
            <v>Moneda</v>
          </cell>
          <cell r="G956" t="str">
            <v>Ultimo $ proveedor</v>
          </cell>
        </row>
        <row r="957">
          <cell r="E957">
            <v>6038600</v>
          </cell>
          <cell r="F957" t="str">
            <v>Dolar</v>
          </cell>
          <cell r="G957">
            <v>1</v>
          </cell>
        </row>
        <row r="958">
          <cell r="E958">
            <v>5716600</v>
          </cell>
          <cell r="F958" t="str">
            <v>Dolar</v>
          </cell>
          <cell r="G958">
            <v>1.532</v>
          </cell>
        </row>
        <row r="959">
          <cell r="E959">
            <v>5054600</v>
          </cell>
          <cell r="F959" t="str">
            <v>Dolar</v>
          </cell>
          <cell r="G959">
            <v>2.54</v>
          </cell>
        </row>
        <row r="960">
          <cell r="E960">
            <v>5047600</v>
          </cell>
          <cell r="F960" t="str">
            <v>Dolar</v>
          </cell>
          <cell r="G960">
            <v>1.78</v>
          </cell>
        </row>
        <row r="961">
          <cell r="E961" t="str">
            <v/>
          </cell>
          <cell r="F961" t="str">
            <v>Dolar</v>
          </cell>
          <cell r="G961">
            <v>50</v>
          </cell>
        </row>
        <row r="962">
          <cell r="E962" t="str">
            <v/>
          </cell>
          <cell r="F962" t="str">
            <v>Dolar</v>
          </cell>
          <cell r="G962">
            <v>0.65700000000000003</v>
          </cell>
        </row>
        <row r="963">
          <cell r="E963">
            <v>0</v>
          </cell>
          <cell r="F963" t="str">
            <v>Dolar</v>
          </cell>
          <cell r="G963">
            <v>0.70599999999999996</v>
          </cell>
        </row>
        <row r="964">
          <cell r="E964" t="str">
            <v/>
          </cell>
          <cell r="F964">
            <v>0</v>
          </cell>
          <cell r="G964">
            <v>0</v>
          </cell>
        </row>
        <row r="965">
          <cell r="E965" t="str">
            <v/>
          </cell>
          <cell r="F965" t="str">
            <v>Peso</v>
          </cell>
          <cell r="G965">
            <v>0</v>
          </cell>
        </row>
        <row r="966">
          <cell r="E966" t="str">
            <v/>
          </cell>
          <cell r="F966">
            <v>0</v>
          </cell>
          <cell r="G966" t="str">
            <v>Ultimo $ proveedor</v>
          </cell>
        </row>
        <row r="967">
          <cell r="E967">
            <v>5051600</v>
          </cell>
          <cell r="F967" t="str">
            <v>Peso</v>
          </cell>
          <cell r="G967">
            <v>3000</v>
          </cell>
        </row>
        <row r="968">
          <cell r="E968" t="str">
            <v/>
          </cell>
          <cell r="F968" t="str">
            <v>Peso</v>
          </cell>
          <cell r="G968">
            <v>30000</v>
          </cell>
        </row>
        <row r="969">
          <cell r="E969">
            <v>5056600</v>
          </cell>
          <cell r="F969" t="str">
            <v>Peso</v>
          </cell>
          <cell r="G969">
            <v>3000</v>
          </cell>
        </row>
        <row r="970">
          <cell r="E970">
            <v>5055600</v>
          </cell>
          <cell r="F970" t="str">
            <v>Peso</v>
          </cell>
          <cell r="G970">
            <v>3000</v>
          </cell>
        </row>
        <row r="971">
          <cell r="E971">
            <v>5053600</v>
          </cell>
          <cell r="F971" t="str">
            <v>Peso</v>
          </cell>
          <cell r="G971">
            <v>3000</v>
          </cell>
        </row>
        <row r="972">
          <cell r="E972">
            <v>5054600</v>
          </cell>
          <cell r="F972" t="str">
            <v>Peso</v>
          </cell>
          <cell r="G972">
            <v>3000</v>
          </cell>
        </row>
        <row r="973">
          <cell r="E973" t="str">
            <v/>
          </cell>
          <cell r="F973" t="str">
            <v>Peso</v>
          </cell>
          <cell r="G973">
            <v>3000</v>
          </cell>
        </row>
        <row r="974">
          <cell r="E974" t="str">
            <v/>
          </cell>
          <cell r="F974" t="str">
            <v>Peso</v>
          </cell>
          <cell r="G974">
            <v>2700</v>
          </cell>
        </row>
        <row r="975">
          <cell r="E975" t="str">
            <v/>
          </cell>
          <cell r="F975" t="str">
            <v>Peso</v>
          </cell>
          <cell r="G975">
            <v>2700</v>
          </cell>
        </row>
        <row r="976">
          <cell r="E976" t="str">
            <v/>
          </cell>
          <cell r="F976" t="str">
            <v>Peso</v>
          </cell>
          <cell r="G976">
            <v>2700</v>
          </cell>
        </row>
        <row r="977">
          <cell r="E977">
            <v>6170600</v>
          </cell>
          <cell r="F977" t="str">
            <v>Peso</v>
          </cell>
          <cell r="G977">
            <v>2700</v>
          </cell>
        </row>
        <row r="978">
          <cell r="E978" t="str">
            <v/>
          </cell>
          <cell r="F978" t="str">
            <v>Peso</v>
          </cell>
          <cell r="G978">
            <v>2700</v>
          </cell>
        </row>
        <row r="979">
          <cell r="E979">
            <v>5658600</v>
          </cell>
          <cell r="F979" t="str">
            <v>Peso</v>
          </cell>
          <cell r="G979">
            <v>2700</v>
          </cell>
        </row>
        <row r="980">
          <cell r="E980" t="str">
            <v/>
          </cell>
          <cell r="F980" t="str">
            <v>Peso</v>
          </cell>
          <cell r="G980">
            <v>2700</v>
          </cell>
        </row>
        <row r="981">
          <cell r="E981">
            <v>6178600</v>
          </cell>
          <cell r="F981" t="str">
            <v>Peso</v>
          </cell>
          <cell r="G981">
            <v>2500</v>
          </cell>
        </row>
        <row r="982">
          <cell r="E982">
            <v>6179600</v>
          </cell>
          <cell r="F982" t="str">
            <v>Peso</v>
          </cell>
          <cell r="G982">
            <v>3000</v>
          </cell>
        </row>
        <row r="983">
          <cell r="E983">
            <v>5703600</v>
          </cell>
          <cell r="F983" t="str">
            <v>Peso</v>
          </cell>
          <cell r="G983">
            <v>2700</v>
          </cell>
        </row>
        <row r="984">
          <cell r="E984">
            <v>0</v>
          </cell>
          <cell r="F984" t="str">
            <v>Peso</v>
          </cell>
          <cell r="G984">
            <v>2500</v>
          </cell>
        </row>
        <row r="985">
          <cell r="E985" t="str">
            <v/>
          </cell>
          <cell r="F985">
            <v>0</v>
          </cell>
          <cell r="G985">
            <v>0</v>
          </cell>
        </row>
        <row r="986">
          <cell r="E986" t="str">
            <v/>
          </cell>
          <cell r="F986" t="str">
            <v>Peso</v>
          </cell>
          <cell r="G986">
            <v>0</v>
          </cell>
        </row>
        <row r="987">
          <cell r="E987" t="str">
            <v>COD Loeke/Chef</v>
          </cell>
          <cell r="F987">
            <v>0</v>
          </cell>
          <cell r="G987" t="str">
            <v>Ultimo $ proveedor</v>
          </cell>
        </row>
        <row r="988">
          <cell r="E988" t="str">
            <v>5095600/5204600</v>
          </cell>
          <cell r="F988" t="str">
            <v>Peso</v>
          </cell>
          <cell r="G988">
            <v>3521.3772114155186</v>
          </cell>
        </row>
        <row r="989">
          <cell r="E989">
            <v>6083600</v>
          </cell>
          <cell r="F989" t="str">
            <v>Peso</v>
          </cell>
          <cell r="G989">
            <v>3306.9082921389363</v>
          </cell>
        </row>
        <row r="990">
          <cell r="E990" t="str">
            <v>5086600/5174600</v>
          </cell>
          <cell r="F990" t="str">
            <v>Peso</v>
          </cell>
          <cell r="G990">
            <v>1675.876468074714</v>
          </cell>
        </row>
        <row r="991">
          <cell r="E991">
            <v>6161600</v>
          </cell>
          <cell r="F991" t="str">
            <v>Peso</v>
          </cell>
          <cell r="G991">
            <v>1675.876468074714</v>
          </cell>
        </row>
        <row r="992">
          <cell r="E992" t="str">
            <v>5022600/5207600</v>
          </cell>
          <cell r="F992" t="str">
            <v>Peso</v>
          </cell>
          <cell r="G992">
            <v>3280.2360661509451</v>
          </cell>
        </row>
        <row r="993">
          <cell r="E993">
            <v>6160600</v>
          </cell>
          <cell r="F993" t="str">
            <v>Peso</v>
          </cell>
          <cell r="G993">
            <v>2364.4782120102091</v>
          </cell>
        </row>
        <row r="994">
          <cell r="E994">
            <v>5091600</v>
          </cell>
          <cell r="F994" t="str">
            <v>Peso</v>
          </cell>
          <cell r="G994">
            <v>2002.1791311376771</v>
          </cell>
        </row>
        <row r="995">
          <cell r="E995" t="str">
            <v>5093600/5196600</v>
          </cell>
          <cell r="F995" t="str">
            <v>Peso</v>
          </cell>
          <cell r="G995">
            <v>15707.485318670753</v>
          </cell>
        </row>
        <row r="996">
          <cell r="E996" t="str">
            <v>5087600/5182600</v>
          </cell>
          <cell r="F996" t="str">
            <v>Peso</v>
          </cell>
          <cell r="G996">
            <v>13925.360161055514</v>
          </cell>
        </row>
        <row r="997">
          <cell r="E997" t="str">
            <v>5020600/5176600</v>
          </cell>
          <cell r="F997" t="str">
            <v>Peso</v>
          </cell>
          <cell r="G997">
            <v>1381.2435772212132</v>
          </cell>
        </row>
        <row r="998">
          <cell r="E998" t="str">
            <v>5097600/5181600</v>
          </cell>
          <cell r="F998" t="str">
            <v>Peso</v>
          </cell>
          <cell r="G998">
            <v>3093.3088134922632</v>
          </cell>
        </row>
        <row r="999">
          <cell r="E999" t="str">
            <v>5098600/5180600</v>
          </cell>
          <cell r="F999" t="str">
            <v>Peso</v>
          </cell>
          <cell r="G999">
            <v>5737.0568032817355</v>
          </cell>
        </row>
        <row r="1000">
          <cell r="E1000" t="str">
            <v>5661600/5219600</v>
          </cell>
          <cell r="F1000" t="str">
            <v>Peso</v>
          </cell>
          <cell r="G1000">
            <v>5698.1878547500155</v>
          </cell>
        </row>
        <row r="1001">
          <cell r="E1001">
            <v>5659600</v>
          </cell>
          <cell r="F1001" t="str">
            <v>Peso</v>
          </cell>
          <cell r="G1001">
            <v>2016.8072081100797</v>
          </cell>
        </row>
        <row r="1002">
          <cell r="E1002">
            <v>5096600</v>
          </cell>
          <cell r="F1002" t="str">
            <v>Peso</v>
          </cell>
          <cell r="G1002">
            <v>2265.2241860791096</v>
          </cell>
        </row>
        <row r="1003">
          <cell r="E1003" t="str">
            <v>5660600/5177600</v>
          </cell>
          <cell r="F1003" t="str">
            <v>Peso</v>
          </cell>
          <cell r="G1003">
            <v>2999.4740633420197</v>
          </cell>
        </row>
        <row r="1004">
          <cell r="E1004" t="str">
            <v>5107600/5210600</v>
          </cell>
          <cell r="F1004" t="str">
            <v>Peso</v>
          </cell>
          <cell r="G1004">
            <v>1909.1769453793099</v>
          </cell>
        </row>
        <row r="1005">
          <cell r="E1005" t="str">
            <v>6173600/5209600</v>
          </cell>
          <cell r="F1005" t="str">
            <v>Peso</v>
          </cell>
          <cell r="G1005">
            <v>1712.2551601330276</v>
          </cell>
        </row>
        <row r="1006">
          <cell r="E1006">
            <v>0</v>
          </cell>
          <cell r="F1006">
            <v>0</v>
          </cell>
          <cell r="G1006">
            <v>0</v>
          </cell>
        </row>
        <row r="1007">
          <cell r="E1007" t="str">
            <v>5108600/5215600</v>
          </cell>
          <cell r="F1007" t="str">
            <v>Peso</v>
          </cell>
          <cell r="G1007">
            <v>1782.9752004443505</v>
          </cell>
        </row>
        <row r="1008">
          <cell r="E1008" t="str">
            <v>5113600/5193600</v>
          </cell>
          <cell r="F1008" t="str">
            <v>Peso</v>
          </cell>
          <cell r="G1008">
            <v>2959.4971400996214</v>
          </cell>
        </row>
        <row r="1009">
          <cell r="E1009" t="str">
            <v>5114600/5133600</v>
          </cell>
          <cell r="F1009" t="str">
            <v>Peso</v>
          </cell>
          <cell r="G1009">
            <v>3701.0076935086981</v>
          </cell>
        </row>
        <row r="1010">
          <cell r="E1010" t="str">
            <v>5031600/5132600</v>
          </cell>
          <cell r="F1010" t="str">
            <v>Peso</v>
          </cell>
          <cell r="G1010">
            <v>1324.8803382235428</v>
          </cell>
        </row>
        <row r="1011">
          <cell r="E1011" t="str">
            <v>5121600/5213600</v>
          </cell>
          <cell r="F1011" t="str">
            <v>Peso</v>
          </cell>
          <cell r="G1011">
            <v>4842.1782629213922</v>
          </cell>
        </row>
        <row r="1012">
          <cell r="E1012" t="str">
            <v>5122600/5190600</v>
          </cell>
          <cell r="F1012" t="str">
            <v>Peso</v>
          </cell>
          <cell r="G1012">
            <v>4136.210349210528</v>
          </cell>
        </row>
        <row r="1013">
          <cell r="E1013" t="str">
            <v>5123600/5214600</v>
          </cell>
          <cell r="F1013" t="str">
            <v>Peso</v>
          </cell>
          <cell r="G1013">
            <v>1320.5042564535152</v>
          </cell>
        </row>
        <row r="1014">
          <cell r="E1014">
            <v>5117600</v>
          </cell>
          <cell r="F1014" t="str">
            <v>Peso</v>
          </cell>
          <cell r="G1014">
            <v>2278.5055836407114</v>
          </cell>
        </row>
        <row r="1015">
          <cell r="E1015">
            <v>6094600</v>
          </cell>
          <cell r="F1015" t="str">
            <v>Peso</v>
          </cell>
          <cell r="G1015">
            <v>2699.5673678260814</v>
          </cell>
        </row>
        <row r="1016">
          <cell r="E1016">
            <v>5124600</v>
          </cell>
          <cell r="F1016" t="str">
            <v>Peso</v>
          </cell>
          <cell r="G1016">
            <v>1770.2015898471159</v>
          </cell>
        </row>
        <row r="1017">
          <cell r="E1017" t="str">
            <v>5126600/5211600</v>
          </cell>
          <cell r="F1017" t="str">
            <v>Peso</v>
          </cell>
          <cell r="G1017">
            <v>1704.2562038818066</v>
          </cell>
        </row>
        <row r="1018">
          <cell r="E1018" t="str">
            <v>5690600/5212600</v>
          </cell>
          <cell r="F1018" t="str">
            <v>Peso</v>
          </cell>
          <cell r="G1018">
            <v>1653.1707060213632</v>
          </cell>
        </row>
        <row r="1019">
          <cell r="E1019" t="str">
            <v>5128600/5178600</v>
          </cell>
          <cell r="F1019" t="str">
            <v>Peso</v>
          </cell>
          <cell r="G1019">
            <v>4325.0450815905788</v>
          </cell>
        </row>
        <row r="1020">
          <cell r="E1020" t="str">
            <v>5115600/5160600</v>
          </cell>
          <cell r="F1020" t="str">
            <v>Peso</v>
          </cell>
          <cell r="G1020">
            <v>2101.0681713220606</v>
          </cell>
        </row>
        <row r="1021">
          <cell r="E1021" t="str">
            <v>5116600/5156600</v>
          </cell>
          <cell r="F1021" t="str">
            <v>Peso</v>
          </cell>
          <cell r="G1021">
            <v>2747.3179688661739</v>
          </cell>
        </row>
        <row r="1022">
          <cell r="E1022" t="str">
            <v>5120600/5179600</v>
          </cell>
          <cell r="F1022" t="str">
            <v>Peso</v>
          </cell>
          <cell r="G1022">
            <v>3922.2160069986526</v>
          </cell>
        </row>
        <row r="1023">
          <cell r="E1023" t="str">
            <v>5118600/5175600</v>
          </cell>
          <cell r="F1023" t="str">
            <v>Peso</v>
          </cell>
          <cell r="G1023">
            <v>1760.0751451310812</v>
          </cell>
        </row>
        <row r="1024">
          <cell r="E1024" t="str">
            <v>6037600/5162600</v>
          </cell>
          <cell r="F1024" t="str">
            <v>Peso</v>
          </cell>
          <cell r="G1024">
            <v>3055.0235633359239</v>
          </cell>
        </row>
        <row r="1025">
          <cell r="E1025" t="str">
            <v>6084600/5183600</v>
          </cell>
          <cell r="F1025" t="str">
            <v>Peso</v>
          </cell>
          <cell r="G1025">
            <v>2230.7111741011468</v>
          </cell>
        </row>
        <row r="1026">
          <cell r="E1026" t="str">
            <v>6078600/5185600</v>
          </cell>
          <cell r="F1026" t="str">
            <v>Peso</v>
          </cell>
          <cell r="G1026">
            <v>2212.1219143169706</v>
          </cell>
        </row>
        <row r="1027">
          <cell r="E1027" t="str">
            <v>5129600/5187600</v>
          </cell>
          <cell r="F1027" t="str">
            <v>Peso</v>
          </cell>
          <cell r="G1027">
            <v>3797.6341876686183</v>
          </cell>
        </row>
        <row r="1028">
          <cell r="E1028" t="str">
            <v>5135600/5186600</v>
          </cell>
          <cell r="F1028" t="str">
            <v>Peso</v>
          </cell>
          <cell r="G1028">
            <v>2213.9668867225723</v>
          </cell>
        </row>
        <row r="1029">
          <cell r="E1029" t="str">
            <v>6106600/5218600</v>
          </cell>
          <cell r="F1029" t="str">
            <v>Peso</v>
          </cell>
          <cell r="G1029">
            <v>2286.384558453713</v>
          </cell>
        </row>
        <row r="1030">
          <cell r="E1030" t="str">
            <v>6147600/5208600</v>
          </cell>
          <cell r="F1030" t="str">
            <v>Peso</v>
          </cell>
          <cell r="G1030">
            <v>1476.2611105162594</v>
          </cell>
        </row>
        <row r="1031">
          <cell r="E1031" t="str">
            <v>5119600/5216600</v>
          </cell>
          <cell r="F1031" t="str">
            <v>Peso</v>
          </cell>
          <cell r="G1031">
            <v>4578.9877014413059</v>
          </cell>
        </row>
        <row r="1032">
          <cell r="E1032" t="str">
            <v/>
          </cell>
          <cell r="F1032" t="str">
            <v>Peso</v>
          </cell>
          <cell r="G1032">
            <v>1783.8429419641363</v>
          </cell>
        </row>
        <row r="1033">
          <cell r="E1033" t="str">
            <v>6137600/5184600</v>
          </cell>
          <cell r="F1033" t="str">
            <v>Peso</v>
          </cell>
          <cell r="G1033">
            <v>2050.1077435432899</v>
          </cell>
        </row>
        <row r="1034">
          <cell r="E1034">
            <v>5206600</v>
          </cell>
          <cell r="F1034" t="str">
            <v>Peso</v>
          </cell>
          <cell r="G1034">
            <v>2002.1791311376771</v>
          </cell>
        </row>
        <row r="1035">
          <cell r="E1035">
            <v>5205600</v>
          </cell>
          <cell r="F1035" t="str">
            <v>Peso</v>
          </cell>
          <cell r="G1035">
            <v>2002.1791311376771</v>
          </cell>
        </row>
        <row r="1036">
          <cell r="E1036">
            <v>6175600</v>
          </cell>
          <cell r="F1036" t="str">
            <v>Peso</v>
          </cell>
          <cell r="G1036">
            <v>2175.1999999999998</v>
          </cell>
        </row>
        <row r="1037">
          <cell r="E1037">
            <v>6159600</v>
          </cell>
          <cell r="F1037" t="str">
            <v>Peso</v>
          </cell>
          <cell r="G1037">
            <v>843.27047999999991</v>
          </cell>
        </row>
        <row r="1038">
          <cell r="E1038">
            <v>0</v>
          </cell>
          <cell r="F1038">
            <v>0</v>
          </cell>
          <cell r="G1038">
            <v>0</v>
          </cell>
        </row>
        <row r="1039">
          <cell r="E1039">
            <v>0</v>
          </cell>
          <cell r="F1039">
            <v>0</v>
          </cell>
          <cell r="G1039">
            <v>0</v>
          </cell>
        </row>
        <row r="1040">
          <cell r="E1040" t="str">
            <v/>
          </cell>
          <cell r="F1040">
            <v>0</v>
          </cell>
          <cell r="G1040">
            <v>0</v>
          </cell>
        </row>
        <row r="1041">
          <cell r="E1041" t="str">
            <v/>
          </cell>
          <cell r="F1041" t="str">
            <v>Peso</v>
          </cell>
          <cell r="G1041">
            <v>0</v>
          </cell>
        </row>
        <row r="1042">
          <cell r="E1042" t="str">
            <v/>
          </cell>
          <cell r="F1042">
            <v>0</v>
          </cell>
          <cell r="G1042" t="str">
            <v>Ultimo $ proveedor</v>
          </cell>
        </row>
        <row r="1043">
          <cell r="E1043" t="str">
            <v/>
          </cell>
          <cell r="F1043" t="str">
            <v>Peso</v>
          </cell>
          <cell r="G1043">
            <v>43</v>
          </cell>
        </row>
        <row r="1044">
          <cell r="E1044" t="str">
            <v>5663600</v>
          </cell>
          <cell r="F1044" t="str">
            <v>Peso</v>
          </cell>
          <cell r="G1044">
            <v>16</v>
          </cell>
        </row>
        <row r="1045">
          <cell r="E1045" t="str">
            <v/>
          </cell>
          <cell r="F1045">
            <v>0</v>
          </cell>
          <cell r="G1045">
            <v>0</v>
          </cell>
        </row>
        <row r="1046">
          <cell r="E1046" t="str">
            <v/>
          </cell>
          <cell r="F1046" t="str">
            <v>Peso</v>
          </cell>
          <cell r="G1046">
            <v>0</v>
          </cell>
        </row>
        <row r="1047">
          <cell r="E1047" t="str">
            <v/>
          </cell>
          <cell r="F1047">
            <v>0</v>
          </cell>
          <cell r="G1047" t="str">
            <v>Ultimo $ proveedor</v>
          </cell>
        </row>
        <row r="1048">
          <cell r="E1048">
            <v>1288700</v>
          </cell>
          <cell r="F1048" t="str">
            <v>Peso</v>
          </cell>
          <cell r="G1048">
            <v>32.08</v>
          </cell>
        </row>
        <row r="1049">
          <cell r="E1049">
            <v>5695600</v>
          </cell>
          <cell r="F1049" t="str">
            <v>Peso</v>
          </cell>
          <cell r="G1049">
            <v>32.08</v>
          </cell>
        </row>
        <row r="1050">
          <cell r="E1050">
            <v>5720600</v>
          </cell>
          <cell r="F1050" t="str">
            <v>Peso</v>
          </cell>
          <cell r="G1050">
            <v>16.04</v>
          </cell>
        </row>
        <row r="1051">
          <cell r="E1051">
            <v>5719600</v>
          </cell>
          <cell r="F1051" t="str">
            <v>Peso</v>
          </cell>
          <cell r="G1051">
            <v>16.04</v>
          </cell>
        </row>
        <row r="1052">
          <cell r="E1052" t="str">
            <v/>
          </cell>
          <cell r="F1052" t="str">
            <v>Peso</v>
          </cell>
          <cell r="G1052">
            <v>4.5599999999999996</v>
          </cell>
        </row>
        <row r="1053">
          <cell r="E1053" t="str">
            <v/>
          </cell>
          <cell r="F1053" t="str">
            <v>Peso</v>
          </cell>
          <cell r="G1053">
            <v>10.02</v>
          </cell>
        </row>
        <row r="1054">
          <cell r="E1054">
            <v>5985600</v>
          </cell>
          <cell r="F1054" t="str">
            <v>Peso</v>
          </cell>
          <cell r="G1054">
            <v>16.04</v>
          </cell>
        </row>
        <row r="1055">
          <cell r="E1055">
            <v>1243500</v>
          </cell>
          <cell r="F1055" t="str">
            <v>Peso</v>
          </cell>
          <cell r="G1055">
            <v>76.98</v>
          </cell>
        </row>
        <row r="1056">
          <cell r="E1056">
            <v>5985600</v>
          </cell>
          <cell r="F1056" t="str">
            <v>Peso</v>
          </cell>
          <cell r="G1056">
            <v>90</v>
          </cell>
        </row>
        <row r="1057">
          <cell r="E1057">
            <v>5664600</v>
          </cell>
          <cell r="F1057" t="str">
            <v>Peso</v>
          </cell>
          <cell r="G1057">
            <v>32.08</v>
          </cell>
        </row>
        <row r="1058">
          <cell r="E1058">
            <v>5706600</v>
          </cell>
          <cell r="F1058" t="str">
            <v>Peso</v>
          </cell>
          <cell r="G1058">
            <v>44.91</v>
          </cell>
        </row>
        <row r="1059">
          <cell r="E1059">
            <v>6019600</v>
          </cell>
          <cell r="F1059" t="str">
            <v>Peso</v>
          </cell>
          <cell r="G1059">
            <v>22.45</v>
          </cell>
        </row>
        <row r="1060">
          <cell r="E1060">
            <v>1090500</v>
          </cell>
          <cell r="F1060" t="str">
            <v>Peso</v>
          </cell>
          <cell r="G1060">
            <v>200.48</v>
          </cell>
        </row>
        <row r="1061">
          <cell r="E1061">
            <v>1188500</v>
          </cell>
          <cell r="F1061" t="str">
            <v>Peso</v>
          </cell>
          <cell r="G1061">
            <v>510</v>
          </cell>
        </row>
        <row r="1062">
          <cell r="E1062">
            <v>6085600</v>
          </cell>
          <cell r="F1062" t="str">
            <v>Peso</v>
          </cell>
          <cell r="G1062">
            <v>16.2</v>
          </cell>
        </row>
        <row r="1063">
          <cell r="E1063">
            <v>6153600</v>
          </cell>
          <cell r="F1063" t="str">
            <v>Peso</v>
          </cell>
          <cell r="G1063">
            <v>8.1</v>
          </cell>
        </row>
        <row r="1064">
          <cell r="E1064">
            <v>0</v>
          </cell>
          <cell r="F1064">
            <v>0</v>
          </cell>
          <cell r="G1064">
            <v>0</v>
          </cell>
        </row>
        <row r="1065">
          <cell r="E1065" t="str">
            <v/>
          </cell>
          <cell r="F1065">
            <v>0</v>
          </cell>
          <cell r="G1065">
            <v>0</v>
          </cell>
        </row>
        <row r="1066">
          <cell r="E1066" t="str">
            <v/>
          </cell>
          <cell r="F1066" t="str">
            <v>Peso</v>
          </cell>
          <cell r="G1066" t="str">
            <v>Serigrafia (una pasada)</v>
          </cell>
        </row>
        <row r="1067">
          <cell r="E1067" t="str">
            <v/>
          </cell>
          <cell r="F1067">
            <v>0</v>
          </cell>
          <cell r="G1067" t="str">
            <v>Ultimo $ proveedor</v>
          </cell>
        </row>
        <row r="1068">
          <cell r="E1068">
            <v>5140600</v>
          </cell>
          <cell r="F1068" t="str">
            <v>Peso</v>
          </cell>
          <cell r="G1068">
            <v>11.9</v>
          </cell>
        </row>
        <row r="1069">
          <cell r="E1069">
            <v>5141600</v>
          </cell>
          <cell r="F1069" t="str">
            <v>Peso</v>
          </cell>
          <cell r="G1069">
            <v>11.9</v>
          </cell>
        </row>
        <row r="1070">
          <cell r="E1070">
            <v>5142600</v>
          </cell>
          <cell r="F1070" t="str">
            <v>Peso</v>
          </cell>
          <cell r="G1070">
            <v>11.9</v>
          </cell>
        </row>
        <row r="1071">
          <cell r="E1071">
            <v>5143600</v>
          </cell>
          <cell r="F1071" t="str">
            <v>Peso</v>
          </cell>
          <cell r="G1071">
            <v>11.9</v>
          </cell>
        </row>
        <row r="1072">
          <cell r="E1072">
            <v>5144600</v>
          </cell>
          <cell r="F1072" t="str">
            <v>Peso</v>
          </cell>
          <cell r="G1072">
            <v>11.9</v>
          </cell>
        </row>
        <row r="1073">
          <cell r="E1073">
            <v>5145600</v>
          </cell>
          <cell r="F1073" t="str">
            <v>Peso</v>
          </cell>
          <cell r="G1073">
            <v>11.9</v>
          </cell>
        </row>
        <row r="1074">
          <cell r="E1074">
            <v>5146600</v>
          </cell>
          <cell r="F1074" t="str">
            <v>Peso</v>
          </cell>
          <cell r="G1074">
            <v>11.9</v>
          </cell>
        </row>
        <row r="1075">
          <cell r="E1075">
            <v>5147600</v>
          </cell>
          <cell r="F1075" t="str">
            <v>Peso</v>
          </cell>
          <cell r="G1075">
            <v>11.9</v>
          </cell>
        </row>
        <row r="1076">
          <cell r="E1076">
            <v>5148600</v>
          </cell>
          <cell r="F1076" t="str">
            <v>Peso</v>
          </cell>
          <cell r="G1076">
            <v>11.9</v>
          </cell>
        </row>
        <row r="1077">
          <cell r="E1077">
            <v>5149600</v>
          </cell>
          <cell r="F1077" t="str">
            <v>Peso</v>
          </cell>
          <cell r="G1077">
            <v>14</v>
          </cell>
        </row>
        <row r="1078">
          <cell r="E1078">
            <v>5150600</v>
          </cell>
          <cell r="F1078" t="str">
            <v>Peso</v>
          </cell>
          <cell r="G1078">
            <v>14</v>
          </cell>
        </row>
        <row r="1079">
          <cell r="E1079">
            <v>5151600</v>
          </cell>
          <cell r="F1079" t="str">
            <v>Peso</v>
          </cell>
          <cell r="G1079">
            <v>14</v>
          </cell>
        </row>
        <row r="1080">
          <cell r="E1080">
            <v>5152600</v>
          </cell>
          <cell r="F1080" t="str">
            <v>Peso</v>
          </cell>
          <cell r="G1080">
            <v>14</v>
          </cell>
        </row>
        <row r="1081">
          <cell r="E1081">
            <v>5153600</v>
          </cell>
          <cell r="F1081" t="str">
            <v>Peso</v>
          </cell>
          <cell r="G1081">
            <v>14</v>
          </cell>
        </row>
        <row r="1082">
          <cell r="E1082">
            <v>5154600</v>
          </cell>
          <cell r="F1082" t="str">
            <v>Peso</v>
          </cell>
          <cell r="G1082">
            <v>11.9</v>
          </cell>
        </row>
        <row r="1083">
          <cell r="E1083">
            <v>5155600</v>
          </cell>
          <cell r="F1083" t="str">
            <v>Peso</v>
          </cell>
          <cell r="G1083">
            <v>14</v>
          </cell>
        </row>
        <row r="1084">
          <cell r="E1084">
            <v>5156600</v>
          </cell>
          <cell r="F1084" t="str">
            <v>Peso</v>
          </cell>
          <cell r="G1084">
            <v>14</v>
          </cell>
        </row>
        <row r="1085">
          <cell r="E1085">
            <v>5157600</v>
          </cell>
          <cell r="F1085" t="str">
            <v>Peso</v>
          </cell>
          <cell r="G1085">
            <v>17</v>
          </cell>
        </row>
        <row r="1086">
          <cell r="E1086">
            <v>5981600</v>
          </cell>
          <cell r="F1086" t="str">
            <v>Peso</v>
          </cell>
          <cell r="G1086">
            <v>14</v>
          </cell>
        </row>
        <row r="1087">
          <cell r="E1087">
            <v>5982600</v>
          </cell>
          <cell r="F1087" t="str">
            <v>Peso</v>
          </cell>
          <cell r="G1087">
            <v>23.8</v>
          </cell>
        </row>
        <row r="1088">
          <cell r="E1088">
            <v>5983600</v>
          </cell>
          <cell r="F1088" t="str">
            <v>Peso</v>
          </cell>
          <cell r="G1088">
            <v>35.700000000000003</v>
          </cell>
        </row>
        <row r="1089">
          <cell r="E1089">
            <v>505</v>
          </cell>
          <cell r="F1089" t="str">
            <v>Peso</v>
          </cell>
          <cell r="G1089">
            <v>39</v>
          </cell>
        </row>
        <row r="1090">
          <cell r="E1090">
            <v>586</v>
          </cell>
          <cell r="F1090" t="str">
            <v>Peso</v>
          </cell>
          <cell r="G1090">
            <v>39</v>
          </cell>
        </row>
        <row r="1091">
          <cell r="E1091" t="str">
            <v/>
          </cell>
          <cell r="F1091">
            <v>0</v>
          </cell>
          <cell r="G1091">
            <v>0</v>
          </cell>
        </row>
        <row r="1092">
          <cell r="E1092" t="str">
            <v/>
          </cell>
          <cell r="F1092" t="str">
            <v>Peso</v>
          </cell>
          <cell r="G1092">
            <v>0</v>
          </cell>
        </row>
        <row r="1093">
          <cell r="E1093" t="str">
            <v/>
          </cell>
          <cell r="F1093">
            <v>0</v>
          </cell>
          <cell r="G1093" t="str">
            <v>Ultimo $ proveedor</v>
          </cell>
        </row>
        <row r="1094">
          <cell r="E1094">
            <v>5139600</v>
          </cell>
          <cell r="F1094" t="str">
            <v>Peso</v>
          </cell>
          <cell r="G1094">
            <v>844</v>
          </cell>
        </row>
        <row r="1095">
          <cell r="E1095" t="str">
            <v/>
          </cell>
          <cell r="F1095" t="str">
            <v>Peso</v>
          </cell>
          <cell r="G1095">
            <v>47431</v>
          </cell>
        </row>
        <row r="1096">
          <cell r="E1096">
            <v>6180600</v>
          </cell>
          <cell r="F1096" t="str">
            <v>Peso</v>
          </cell>
          <cell r="G1096">
            <v>1000</v>
          </cell>
        </row>
        <row r="1097">
          <cell r="E1097" t="str">
            <v/>
          </cell>
          <cell r="F1097">
            <v>0</v>
          </cell>
          <cell r="G1097">
            <v>0</v>
          </cell>
        </row>
        <row r="1098">
          <cell r="E1098" t="str">
            <v/>
          </cell>
          <cell r="F1098" t="str">
            <v>Peso</v>
          </cell>
          <cell r="G1098">
            <v>0</v>
          </cell>
        </row>
        <row r="1099">
          <cell r="E1099" t="str">
            <v/>
          </cell>
          <cell r="F1099">
            <v>0</v>
          </cell>
          <cell r="G1099" t="str">
            <v>Ultimo $ proveedor</v>
          </cell>
        </row>
        <row r="1100">
          <cell r="E1100" t="str">
            <v/>
          </cell>
          <cell r="F1100" t="str">
            <v>Peso</v>
          </cell>
          <cell r="G1100">
            <v>1598.63</v>
          </cell>
        </row>
        <row r="1101">
          <cell r="E1101">
            <v>0</v>
          </cell>
          <cell r="F1101">
            <v>0</v>
          </cell>
          <cell r="G1101">
            <v>0</v>
          </cell>
        </row>
        <row r="1102">
          <cell r="E1102">
            <v>0</v>
          </cell>
          <cell r="F1102">
            <v>0</v>
          </cell>
          <cell r="G1102">
            <v>0</v>
          </cell>
        </row>
        <row r="1103">
          <cell r="E1103" t="str">
            <v/>
          </cell>
          <cell r="F1103" t="str">
            <v>Peso</v>
          </cell>
          <cell r="G1103">
            <v>0</v>
          </cell>
        </row>
        <row r="1104">
          <cell r="E1104">
            <v>0</v>
          </cell>
          <cell r="F1104">
            <v>0</v>
          </cell>
          <cell r="G1104" t="str">
            <v>Ultimo $ proveedor</v>
          </cell>
        </row>
        <row r="1105">
          <cell r="E1105">
            <v>5158600</v>
          </cell>
          <cell r="F1105" t="str">
            <v>Peso</v>
          </cell>
          <cell r="G1105">
            <v>1597.4</v>
          </cell>
        </row>
        <row r="1107">
          <cell r="E1107" t="str">
            <v/>
          </cell>
          <cell r="F1107">
            <v>0</v>
          </cell>
          <cell r="G1107">
            <v>0</v>
          </cell>
        </row>
        <row r="1108">
          <cell r="E1108" t="str">
            <v/>
          </cell>
          <cell r="F1108" t="str">
            <v>Dolar</v>
          </cell>
          <cell r="G1108">
            <v>0</v>
          </cell>
        </row>
        <row r="1109">
          <cell r="E1109" t="str">
            <v/>
          </cell>
          <cell r="F1109" t="str">
            <v>Moneda</v>
          </cell>
          <cell r="G1109" t="str">
            <v>Ultimo $ proveedor</v>
          </cell>
        </row>
        <row r="1110">
          <cell r="E1110">
            <v>1165500</v>
          </cell>
          <cell r="F1110" t="str">
            <v>Dolar</v>
          </cell>
          <cell r="G1110">
            <v>1.2</v>
          </cell>
        </row>
        <row r="1111">
          <cell r="E1111">
            <v>1245500</v>
          </cell>
          <cell r="F1111" t="str">
            <v>Dolar</v>
          </cell>
          <cell r="G1111">
            <v>1.2</v>
          </cell>
        </row>
        <row r="1112">
          <cell r="E1112" t="str">
            <v/>
          </cell>
          <cell r="G1112">
            <v>0</v>
          </cell>
        </row>
        <row r="1113">
          <cell r="E1113" t="str">
            <v/>
          </cell>
          <cell r="F1113">
            <v>0</v>
          </cell>
          <cell r="G1113">
            <v>0</v>
          </cell>
        </row>
        <row r="1114">
          <cell r="E1114" t="str">
            <v/>
          </cell>
          <cell r="F1114" t="str">
            <v>Peso</v>
          </cell>
          <cell r="G1114">
            <v>0</v>
          </cell>
        </row>
        <row r="1115">
          <cell r="E1115" t="str">
            <v/>
          </cell>
          <cell r="F1115">
            <v>0</v>
          </cell>
          <cell r="G1115" t="str">
            <v>Ultimo $ proveedor</v>
          </cell>
        </row>
        <row r="1116">
          <cell r="E1116">
            <v>5535600</v>
          </cell>
          <cell r="F1116" t="str">
            <v>Peso</v>
          </cell>
          <cell r="G1116">
            <v>150</v>
          </cell>
        </row>
        <row r="1117">
          <cell r="E1117">
            <v>5555600</v>
          </cell>
          <cell r="F1117" t="str">
            <v>Peso</v>
          </cell>
          <cell r="G1117">
            <v>68</v>
          </cell>
        </row>
        <row r="1118">
          <cell r="E1118" t="str">
            <v/>
          </cell>
          <cell r="G1118">
            <v>0</v>
          </cell>
        </row>
        <row r="1119">
          <cell r="E1119" t="str">
            <v/>
          </cell>
          <cell r="F1119">
            <v>0</v>
          </cell>
          <cell r="G1119">
            <v>0</v>
          </cell>
        </row>
        <row r="1120">
          <cell r="E1120">
            <v>0</v>
          </cell>
          <cell r="F1120">
            <v>0</v>
          </cell>
          <cell r="G1120">
            <v>0</v>
          </cell>
        </row>
        <row r="1121">
          <cell r="E1121" t="str">
            <v/>
          </cell>
          <cell r="F1121" t="str">
            <v>Peso</v>
          </cell>
          <cell r="G1121" t="str">
            <v>Ultimo $ proveedor</v>
          </cell>
        </row>
        <row r="1122">
          <cell r="E1122" t="str">
            <v>6010600/5154600</v>
          </cell>
          <cell r="F1122" t="str">
            <v>Peso</v>
          </cell>
          <cell r="G1122">
            <v>480</v>
          </cell>
        </row>
        <row r="1123">
          <cell r="E1123" t="str">
            <v>6005600 / 5150600</v>
          </cell>
          <cell r="F1123" t="str">
            <v>Peso</v>
          </cell>
          <cell r="G1123">
            <v>280</v>
          </cell>
        </row>
        <row r="1124">
          <cell r="E1124">
            <v>6015600</v>
          </cell>
          <cell r="F1124" t="str">
            <v>Peso</v>
          </cell>
          <cell r="G1124">
            <v>510</v>
          </cell>
        </row>
        <row r="1125">
          <cell r="E1125">
            <v>5157600</v>
          </cell>
          <cell r="F1125" t="str">
            <v>Peso</v>
          </cell>
          <cell r="G1125">
            <v>490</v>
          </cell>
        </row>
        <row r="1126">
          <cell r="E1126" t="str">
            <v/>
          </cell>
          <cell r="G1126">
            <v>0</v>
          </cell>
        </row>
        <row r="1127">
          <cell r="E1127" t="str">
            <v/>
          </cell>
          <cell r="G1127">
            <v>0</v>
          </cell>
        </row>
        <row r="1128">
          <cell r="E1128" t="str">
            <v/>
          </cell>
          <cell r="G1128">
            <v>0</v>
          </cell>
        </row>
        <row r="1129">
          <cell r="E1129" t="str">
            <v/>
          </cell>
          <cell r="F1129" t="str">
            <v>Peso</v>
          </cell>
          <cell r="G1129" t="str">
            <v>Ultimo $ proveedor</v>
          </cell>
        </row>
        <row r="1130">
          <cell r="E1130">
            <v>5241600</v>
          </cell>
          <cell r="F1130" t="str">
            <v>Peso</v>
          </cell>
          <cell r="G1130">
            <v>76.08</v>
          </cell>
        </row>
        <row r="1131">
          <cell r="E1131">
            <v>5240600</v>
          </cell>
          <cell r="F1131" t="str">
            <v>Peso</v>
          </cell>
          <cell r="G1131">
            <v>133</v>
          </cell>
        </row>
        <row r="1132">
          <cell r="E1132">
            <v>5995600</v>
          </cell>
          <cell r="F1132" t="str">
            <v>Peso</v>
          </cell>
          <cell r="G1132">
            <v>138</v>
          </cell>
        </row>
        <row r="1133">
          <cell r="E1133">
            <v>5139600</v>
          </cell>
          <cell r="F1133" t="str">
            <v>Peso</v>
          </cell>
          <cell r="G1133">
            <v>74</v>
          </cell>
        </row>
        <row r="1134">
          <cell r="E1134" t="str">
            <v/>
          </cell>
          <cell r="G1134">
            <v>0</v>
          </cell>
        </row>
        <row r="1135">
          <cell r="E1135" t="str">
            <v/>
          </cell>
          <cell r="G1135">
            <v>0</v>
          </cell>
        </row>
        <row r="1136">
          <cell r="E1136" t="str">
            <v/>
          </cell>
          <cell r="G1136">
            <v>0</v>
          </cell>
        </row>
        <row r="1137">
          <cell r="E1137" t="str">
            <v/>
          </cell>
          <cell r="F1137" t="str">
            <v>Dolar</v>
          </cell>
          <cell r="G1137">
            <v>0</v>
          </cell>
        </row>
        <row r="1138">
          <cell r="E1138" t="str">
            <v/>
          </cell>
          <cell r="F1138" t="str">
            <v>Moneda</v>
          </cell>
          <cell r="G1138" t="str">
            <v>Ultimo $ proveedor</v>
          </cell>
        </row>
        <row r="1139">
          <cell r="E1139">
            <v>1182500</v>
          </cell>
          <cell r="F1139" t="str">
            <v>Dolar</v>
          </cell>
          <cell r="G1139">
            <v>2.883</v>
          </cell>
        </row>
        <row r="1140">
          <cell r="E1140">
            <v>1242500</v>
          </cell>
          <cell r="F1140" t="str">
            <v>Dolar</v>
          </cell>
          <cell r="G1140">
            <v>2.6539999999999999</v>
          </cell>
        </row>
        <row r="1141">
          <cell r="E1141" t="str">
            <v/>
          </cell>
          <cell r="G1141">
            <v>0</v>
          </cell>
        </row>
        <row r="1142">
          <cell r="E1142" t="str">
            <v/>
          </cell>
          <cell r="G1142">
            <v>0</v>
          </cell>
        </row>
        <row r="1143">
          <cell r="E1143" t="str">
            <v/>
          </cell>
          <cell r="F1143" t="str">
            <v>Dolar</v>
          </cell>
          <cell r="G1143">
            <v>0</v>
          </cell>
        </row>
        <row r="1144">
          <cell r="E1144" t="str">
            <v/>
          </cell>
          <cell r="F1144" t="str">
            <v>Moneda</v>
          </cell>
          <cell r="G1144" t="str">
            <v>Ultimo $ proveedor</v>
          </cell>
        </row>
        <row r="1145">
          <cell r="E1145">
            <v>1225500</v>
          </cell>
          <cell r="F1145" t="str">
            <v>Dolar</v>
          </cell>
          <cell r="G1145">
            <v>4.2670000000000003</v>
          </cell>
        </row>
        <row r="1146">
          <cell r="E1146">
            <v>1226500</v>
          </cell>
          <cell r="F1146" t="str">
            <v>Dolar</v>
          </cell>
          <cell r="G1146">
            <v>4.2670000000000003</v>
          </cell>
        </row>
        <row r="1147">
          <cell r="E1147">
            <v>1227500</v>
          </cell>
          <cell r="F1147" t="str">
            <v>Dolar</v>
          </cell>
          <cell r="G1147">
            <v>4.2670000000000003</v>
          </cell>
        </row>
        <row r="1148">
          <cell r="E1148">
            <v>1233500</v>
          </cell>
          <cell r="F1148" t="str">
            <v>Dolar</v>
          </cell>
          <cell r="G1148">
            <v>4.2670000000000003</v>
          </cell>
        </row>
        <row r="1149">
          <cell r="E1149">
            <v>1234500</v>
          </cell>
          <cell r="F1149" t="str">
            <v>Dolar</v>
          </cell>
          <cell r="G1149">
            <v>4.2670000000000003</v>
          </cell>
        </row>
        <row r="1150">
          <cell r="E1150" t="str">
            <v/>
          </cell>
          <cell r="G1150">
            <v>0</v>
          </cell>
        </row>
        <row r="1151">
          <cell r="E1151" t="str">
            <v/>
          </cell>
          <cell r="G1151">
            <v>0</v>
          </cell>
        </row>
        <row r="1152">
          <cell r="E1152" t="str">
            <v/>
          </cell>
          <cell r="F1152" t="str">
            <v>Dolar</v>
          </cell>
          <cell r="G1152">
            <v>0</v>
          </cell>
        </row>
        <row r="1153">
          <cell r="E1153" t="str">
            <v/>
          </cell>
          <cell r="F1153" t="str">
            <v>Moneda</v>
          </cell>
          <cell r="G1153" t="str">
            <v>Ultimo $ proveedor</v>
          </cell>
        </row>
        <row r="1154">
          <cell r="E1154">
            <v>1236500</v>
          </cell>
          <cell r="F1154" t="str">
            <v>Dolar</v>
          </cell>
          <cell r="G1154">
            <v>10.994</v>
          </cell>
        </row>
        <row r="1155">
          <cell r="E1155">
            <v>1237500</v>
          </cell>
          <cell r="F1155" t="str">
            <v>Dolar</v>
          </cell>
          <cell r="G1155">
            <v>9.8390000000000004</v>
          </cell>
        </row>
        <row r="1156">
          <cell r="E1156" t="str">
            <v/>
          </cell>
          <cell r="G1156">
            <v>0</v>
          </cell>
        </row>
        <row r="1157">
          <cell r="E1157" t="str">
            <v/>
          </cell>
          <cell r="G1157">
            <v>0</v>
          </cell>
        </row>
        <row r="1158">
          <cell r="E1158" t="str">
            <v/>
          </cell>
          <cell r="F1158" t="str">
            <v>Peso</v>
          </cell>
          <cell r="G1158">
            <v>0</v>
          </cell>
        </row>
        <row r="1159">
          <cell r="E1159" t="str">
            <v/>
          </cell>
          <cell r="F1159">
            <v>0</v>
          </cell>
          <cell r="G1159" t="str">
            <v>Ultimo $ proveedor</v>
          </cell>
        </row>
        <row r="1160">
          <cell r="E1160" t="str">
            <v/>
          </cell>
          <cell r="F1160" t="str">
            <v>Peso</v>
          </cell>
          <cell r="G1160">
            <v>1061</v>
          </cell>
        </row>
        <row r="1161">
          <cell r="E1161" t="str">
            <v/>
          </cell>
          <cell r="G1161">
            <v>0</v>
          </cell>
        </row>
        <row r="1162">
          <cell r="E1162" t="str">
            <v/>
          </cell>
          <cell r="G1162">
            <v>0</v>
          </cell>
        </row>
        <row r="1163">
          <cell r="E1163" t="str">
            <v/>
          </cell>
          <cell r="F1163" t="str">
            <v>Peso</v>
          </cell>
          <cell r="G1163">
            <v>0</v>
          </cell>
        </row>
        <row r="1164">
          <cell r="E1164" t="str">
            <v/>
          </cell>
          <cell r="F1164">
            <v>0</v>
          </cell>
          <cell r="G1164" t="str">
            <v>Ultimo $ proveedor</v>
          </cell>
        </row>
        <row r="1165">
          <cell r="E1165">
            <v>1249500</v>
          </cell>
          <cell r="F1165" t="str">
            <v>Peso</v>
          </cell>
          <cell r="G1165">
            <v>40000</v>
          </cell>
        </row>
        <row r="1166">
          <cell r="E1166">
            <v>1297700</v>
          </cell>
          <cell r="F1166" t="str">
            <v>Peso</v>
          </cell>
          <cell r="G1166">
            <v>15864.75</v>
          </cell>
        </row>
        <row r="1167">
          <cell r="E1167">
            <v>1298700</v>
          </cell>
          <cell r="F1167" t="str">
            <v>Peso</v>
          </cell>
          <cell r="G1167">
            <v>18749.25</v>
          </cell>
        </row>
        <row r="1168">
          <cell r="E1168">
            <v>1299700</v>
          </cell>
          <cell r="F1168" t="str">
            <v>Peso</v>
          </cell>
          <cell r="G1168">
            <v>2865.27</v>
          </cell>
        </row>
        <row r="1169">
          <cell r="E1169">
            <v>1313700</v>
          </cell>
          <cell r="F1169" t="str">
            <v>Peso</v>
          </cell>
          <cell r="G1169">
            <v>10191.5</v>
          </cell>
        </row>
        <row r="1170">
          <cell r="E1170" t="str">
            <v/>
          </cell>
          <cell r="G1170">
            <v>0</v>
          </cell>
        </row>
        <row r="1171">
          <cell r="E1171" t="str">
            <v/>
          </cell>
          <cell r="G1171">
            <v>0</v>
          </cell>
        </row>
        <row r="1172">
          <cell r="E1172" t="str">
            <v/>
          </cell>
          <cell r="F1172" t="str">
            <v>Peso</v>
          </cell>
          <cell r="G1172" t="str">
            <v>Saavedra 3421</v>
          </cell>
        </row>
        <row r="1173">
          <cell r="E1173" t="str">
            <v/>
          </cell>
          <cell r="F1173">
            <v>0</v>
          </cell>
          <cell r="G1173" t="str">
            <v>Ultimo $ proveedor</v>
          </cell>
        </row>
        <row r="1174">
          <cell r="E1174" t="str">
            <v/>
          </cell>
          <cell r="F1174" t="str">
            <v>Peso</v>
          </cell>
          <cell r="G1174">
            <v>4</v>
          </cell>
        </row>
        <row r="1175">
          <cell r="E1175" t="str">
            <v/>
          </cell>
          <cell r="G1175">
            <v>0</v>
          </cell>
        </row>
        <row r="1176">
          <cell r="E1176" t="str">
            <v/>
          </cell>
          <cell r="G1176">
            <v>0</v>
          </cell>
        </row>
        <row r="1177">
          <cell r="E1177" t="str">
            <v/>
          </cell>
          <cell r="F1177" t="str">
            <v>Peso</v>
          </cell>
          <cell r="G1177">
            <v>0</v>
          </cell>
        </row>
        <row r="1178">
          <cell r="E1178" t="str">
            <v/>
          </cell>
          <cell r="F1178">
            <v>0</v>
          </cell>
          <cell r="G1178" t="str">
            <v>Ultimo $ proveedor</v>
          </cell>
        </row>
        <row r="1179">
          <cell r="E1179" t="str">
            <v/>
          </cell>
          <cell r="F1179" t="str">
            <v>Peso</v>
          </cell>
          <cell r="G1179">
            <v>15000</v>
          </cell>
        </row>
        <row r="1180">
          <cell r="E1180" t="str">
            <v/>
          </cell>
          <cell r="F1180" t="str">
            <v>Peso</v>
          </cell>
          <cell r="G1180">
            <v>18000</v>
          </cell>
        </row>
        <row r="1181">
          <cell r="E1181" t="str">
            <v/>
          </cell>
          <cell r="F1181" t="str">
            <v>Peso</v>
          </cell>
          <cell r="G1181">
            <v>20400</v>
          </cell>
        </row>
        <row r="1182">
          <cell r="E1182" t="str">
            <v/>
          </cell>
          <cell r="F1182" t="str">
            <v>Peso</v>
          </cell>
          <cell r="G1182">
            <v>23500</v>
          </cell>
        </row>
        <row r="1183">
          <cell r="E1183" t="str">
            <v/>
          </cell>
          <cell r="F1183" t="str">
            <v>Peso</v>
          </cell>
          <cell r="G1183">
            <v>27200</v>
          </cell>
        </row>
        <row r="1184">
          <cell r="E1184" t="str">
            <v/>
          </cell>
          <cell r="F1184" t="str">
            <v>Peso</v>
          </cell>
          <cell r="G1184">
            <v>30400</v>
          </cell>
        </row>
        <row r="1185">
          <cell r="E1185" t="str">
            <v/>
          </cell>
          <cell r="F1185" t="str">
            <v>Peso</v>
          </cell>
          <cell r="G1185">
            <v>33100</v>
          </cell>
        </row>
        <row r="1186">
          <cell r="E1186" t="str">
            <v/>
          </cell>
          <cell r="F1186" t="str">
            <v>Peso</v>
          </cell>
          <cell r="G1186">
            <v>37000</v>
          </cell>
        </row>
        <row r="1187">
          <cell r="E1187" t="str">
            <v/>
          </cell>
          <cell r="G1187">
            <v>0</v>
          </cell>
        </row>
        <row r="1188">
          <cell r="G1188">
            <v>0</v>
          </cell>
        </row>
        <row r="1189">
          <cell r="G1189">
            <v>0</v>
          </cell>
        </row>
        <row r="1190">
          <cell r="G1190">
            <v>0</v>
          </cell>
        </row>
        <row r="1191">
          <cell r="G1191">
            <v>0</v>
          </cell>
        </row>
        <row r="1192">
          <cell r="F1192">
            <v>0</v>
          </cell>
          <cell r="G1192" t="str">
            <v>Ultimo $ proveedor</v>
          </cell>
        </row>
        <row r="1193">
          <cell r="F1193" t="str">
            <v>Peso</v>
          </cell>
          <cell r="G1193">
            <v>4200</v>
          </cell>
        </row>
        <row r="1194">
          <cell r="F1194">
            <v>0</v>
          </cell>
          <cell r="G1194">
            <v>0</v>
          </cell>
        </row>
        <row r="1195">
          <cell r="G1195">
            <v>0</v>
          </cell>
        </row>
        <row r="1196">
          <cell r="E1196" t="str">
            <v/>
          </cell>
          <cell r="F1196" t="str">
            <v>Peso</v>
          </cell>
          <cell r="G1196">
            <v>0</v>
          </cell>
        </row>
        <row r="1197">
          <cell r="F1197">
            <v>0</v>
          </cell>
          <cell r="G1197" t="str">
            <v>Ultimo $ proveedor</v>
          </cell>
        </row>
        <row r="1198">
          <cell r="F1198" t="str">
            <v>Peso</v>
          </cell>
          <cell r="G1198">
            <v>45000</v>
          </cell>
        </row>
        <row r="1199">
          <cell r="F1199" t="str">
            <v>Peso</v>
          </cell>
          <cell r="G1199">
            <v>45000</v>
          </cell>
        </row>
        <row r="1200">
          <cell r="F1200">
            <v>0</v>
          </cell>
          <cell r="G1200">
            <v>0</v>
          </cell>
        </row>
        <row r="1201">
          <cell r="G1201">
            <v>0</v>
          </cell>
        </row>
        <row r="1202">
          <cell r="E1202" t="str">
            <v/>
          </cell>
          <cell r="F1202" t="str">
            <v>Peso</v>
          </cell>
          <cell r="G1202">
            <v>0</v>
          </cell>
        </row>
        <row r="1203">
          <cell r="F1203">
            <v>0</v>
          </cell>
          <cell r="G1203" t="str">
            <v>Ultimo $ proveedor</v>
          </cell>
        </row>
        <row r="1204">
          <cell r="F1204" t="str">
            <v>Peso</v>
          </cell>
          <cell r="G1204">
            <v>314</v>
          </cell>
        </row>
        <row r="1205">
          <cell r="F1205">
            <v>0</v>
          </cell>
          <cell r="G1205">
            <v>0</v>
          </cell>
        </row>
        <row r="1206">
          <cell r="F1206">
            <v>0</v>
          </cell>
          <cell r="G1206">
            <v>0</v>
          </cell>
        </row>
        <row r="1207">
          <cell r="F1207">
            <v>0</v>
          </cell>
          <cell r="G1207">
            <v>0</v>
          </cell>
        </row>
        <row r="1208">
          <cell r="F1208">
            <v>0</v>
          </cell>
          <cell r="G1208">
            <v>0</v>
          </cell>
        </row>
        <row r="1209">
          <cell r="F1209">
            <v>0</v>
          </cell>
          <cell r="G1209">
            <v>0</v>
          </cell>
        </row>
        <row r="1210">
          <cell r="F1210">
            <v>0</v>
          </cell>
          <cell r="G1210">
            <v>0</v>
          </cell>
        </row>
        <row r="1211">
          <cell r="F1211">
            <v>0</v>
          </cell>
          <cell r="G1211">
            <v>0</v>
          </cell>
        </row>
        <row r="1212">
          <cell r="F1212">
            <v>0</v>
          </cell>
          <cell r="G1212">
            <v>0</v>
          </cell>
        </row>
        <row r="1213">
          <cell r="F1213">
            <v>0</v>
          </cell>
          <cell r="G1213">
            <v>0</v>
          </cell>
        </row>
        <row r="1214">
          <cell r="F1214">
            <v>0</v>
          </cell>
          <cell r="G1214">
            <v>0</v>
          </cell>
        </row>
        <row r="1215">
          <cell r="F1215">
            <v>0</v>
          </cell>
          <cell r="G1215">
            <v>0</v>
          </cell>
        </row>
        <row r="1216">
          <cell r="F1216">
            <v>0</v>
          </cell>
          <cell r="G1216">
            <v>0</v>
          </cell>
        </row>
        <row r="1217">
          <cell r="F1217">
            <v>0</v>
          </cell>
          <cell r="G1217">
            <v>0</v>
          </cell>
        </row>
        <row r="1218">
          <cell r="F1218">
            <v>0</v>
          </cell>
          <cell r="G1218">
            <v>0</v>
          </cell>
        </row>
        <row r="1219">
          <cell r="F1219">
            <v>0</v>
          </cell>
          <cell r="G1219">
            <v>0</v>
          </cell>
        </row>
        <row r="1220">
          <cell r="F1220">
            <v>0</v>
          </cell>
          <cell r="G1220">
            <v>0</v>
          </cell>
        </row>
        <row r="1221">
          <cell r="E1221">
            <v>0</v>
          </cell>
          <cell r="F1221">
            <v>0</v>
          </cell>
          <cell r="G1221">
            <v>0</v>
          </cell>
        </row>
        <row r="1222">
          <cell r="E1222" t="str">
            <v/>
          </cell>
          <cell r="G1222">
            <v>0</v>
          </cell>
        </row>
        <row r="1223">
          <cell r="E1223" t="str">
            <v/>
          </cell>
          <cell r="F1223" t="str">
            <v>Peso</v>
          </cell>
          <cell r="G1223">
            <v>2.8262544803280436</v>
          </cell>
        </row>
        <row r="1224">
          <cell r="E1224" t="str">
            <v/>
          </cell>
          <cell r="F1224" t="str">
            <v>Peso</v>
          </cell>
          <cell r="G1224">
            <v>6.145395481131934</v>
          </cell>
        </row>
        <row r="1225">
          <cell r="E1225" t="str">
            <v/>
          </cell>
          <cell r="F1225" t="str">
            <v>Peso</v>
          </cell>
          <cell r="G1225">
            <v>4.2867880673261789</v>
          </cell>
        </row>
        <row r="1226">
          <cell r="E1226" t="str">
            <v/>
          </cell>
          <cell r="F1226" t="str">
            <v>Peso</v>
          </cell>
          <cell r="G1226">
            <v>3.5467252852061248</v>
          </cell>
        </row>
        <row r="1227">
          <cell r="E1227" t="str">
            <v/>
          </cell>
          <cell r="F1227" t="str">
            <v>Peso</v>
          </cell>
          <cell r="G1227">
            <v>3.5467252852061248</v>
          </cell>
        </row>
        <row r="1228">
          <cell r="E1228" t="str">
            <v/>
          </cell>
          <cell r="F1228" t="str">
            <v>Peso</v>
          </cell>
          <cell r="G1228">
            <v>3.2383143908403755</v>
          </cell>
        </row>
        <row r="1229">
          <cell r="E1229" t="str">
            <v/>
          </cell>
          <cell r="F1229" t="str">
            <v>Peso</v>
          </cell>
          <cell r="G1229">
            <v>0.54553177789175733</v>
          </cell>
        </row>
        <row r="1230">
          <cell r="E1230" t="str">
            <v/>
          </cell>
          <cell r="F1230" t="str">
            <v>Peso</v>
          </cell>
          <cell r="G1230">
            <v>0.75934500506718761</v>
          </cell>
        </row>
        <row r="1231">
          <cell r="E1231" t="str">
            <v/>
          </cell>
          <cell r="F1231" t="str">
            <v>Peso</v>
          </cell>
          <cell r="G1231">
            <v>7.0093385083125002</v>
          </cell>
        </row>
        <row r="1232">
          <cell r="E1232" t="str">
            <v/>
          </cell>
          <cell r="F1232" t="str">
            <v>Peso</v>
          </cell>
          <cell r="G1232">
            <v>7.0093385083125002</v>
          </cell>
        </row>
        <row r="1233">
          <cell r="E1233" t="str">
            <v/>
          </cell>
          <cell r="F1233" t="str">
            <v>Peso</v>
          </cell>
          <cell r="G1233">
            <v>8.6131999999999991</v>
          </cell>
        </row>
        <row r="1234">
          <cell r="E1234" t="str">
            <v/>
          </cell>
          <cell r="F1234">
            <v>0</v>
          </cell>
          <cell r="G1234">
            <v>0</v>
          </cell>
        </row>
        <row r="1235">
          <cell r="E1235" t="str">
            <v/>
          </cell>
          <cell r="F1235" t="str">
            <v>Peso</v>
          </cell>
          <cell r="G1235">
            <v>13.100397597327996</v>
          </cell>
        </row>
        <row r="1236">
          <cell r="E1236" t="str">
            <v/>
          </cell>
          <cell r="F1236" t="str">
            <v>Peso</v>
          </cell>
          <cell r="G1236">
            <v>18.107457813140623</v>
          </cell>
        </row>
        <row r="1237">
          <cell r="E1237" t="str">
            <v/>
          </cell>
          <cell r="F1237" t="str">
            <v>Peso</v>
          </cell>
          <cell r="G1237">
            <v>18.107457813140623</v>
          </cell>
        </row>
        <row r="1238">
          <cell r="E1238" t="str">
            <v/>
          </cell>
          <cell r="F1238" t="str">
            <v>Peso</v>
          </cell>
          <cell r="G1238">
            <v>18.107457813140623</v>
          </cell>
        </row>
        <row r="1239">
          <cell r="E1239" t="str">
            <v/>
          </cell>
          <cell r="F1239" t="str">
            <v>Peso</v>
          </cell>
          <cell r="G1239">
            <v>20.03175020539701</v>
          </cell>
        </row>
        <row r="1240">
          <cell r="E1240" t="str">
            <v/>
          </cell>
          <cell r="F1240" t="str">
            <v>Peso</v>
          </cell>
          <cell r="G1240">
            <v>117.08480352611896</v>
          </cell>
        </row>
        <row r="1241">
          <cell r="E1241" t="str">
            <v/>
          </cell>
          <cell r="F1241" t="str">
            <v>Peso</v>
          </cell>
          <cell r="G1241">
            <v>0.94023803169752262</v>
          </cell>
        </row>
        <row r="1242">
          <cell r="E1242" t="str">
            <v/>
          </cell>
          <cell r="F1242" t="str">
            <v>Peso</v>
          </cell>
          <cell r="G1242">
            <v>1.0342014375033246</v>
          </cell>
        </row>
        <row r="1243">
          <cell r="E1243" t="str">
            <v/>
          </cell>
          <cell r="F1243">
            <v>0</v>
          </cell>
          <cell r="G1243">
            <v>0</v>
          </cell>
        </row>
        <row r="1244">
          <cell r="E1244" t="str">
            <v/>
          </cell>
          <cell r="F1244" t="str">
            <v>Peso</v>
          </cell>
          <cell r="G1244">
            <v>2.38963210938268</v>
          </cell>
        </row>
        <row r="1245">
          <cell r="E1245" t="str">
            <v/>
          </cell>
          <cell r="F1245" t="str">
            <v>Peso</v>
          </cell>
          <cell r="G1245">
            <v>3.5112580323540636</v>
          </cell>
        </row>
        <row r="1246">
          <cell r="E1246" t="str">
            <v/>
          </cell>
          <cell r="F1246" t="str">
            <v>Peso</v>
          </cell>
          <cell r="G1246">
            <v>10.533774097062189</v>
          </cell>
        </row>
        <row r="1247">
          <cell r="E1247" t="str">
            <v/>
          </cell>
          <cell r="F1247" t="str">
            <v>Peso</v>
          </cell>
          <cell r="G1247">
            <v>12.331440000000001</v>
          </cell>
        </row>
        <row r="1248">
          <cell r="E1248" t="str">
            <v/>
          </cell>
          <cell r="F1248" t="str">
            <v>Peso</v>
          </cell>
          <cell r="G1248">
            <v>0.52800000000000002</v>
          </cell>
        </row>
        <row r="1249">
          <cell r="E1249" t="str">
            <v/>
          </cell>
          <cell r="F1249" t="str">
            <v>Peso</v>
          </cell>
          <cell r="G1249">
            <v>4.0381999999999998</v>
          </cell>
        </row>
        <row r="1250">
          <cell r="E1250" t="str">
            <v/>
          </cell>
          <cell r="F1250" t="str">
            <v>Peso</v>
          </cell>
          <cell r="G1250">
            <v>4.0381999999999998</v>
          </cell>
        </row>
        <row r="1251">
          <cell r="E1251" t="str">
            <v/>
          </cell>
          <cell r="F1251" t="str">
            <v>Peso</v>
          </cell>
          <cell r="G1251">
            <v>1.3300219819522969</v>
          </cell>
        </row>
        <row r="1252">
          <cell r="E1252" t="str">
            <v/>
          </cell>
          <cell r="F1252" t="str">
            <v>Peso</v>
          </cell>
          <cell r="G1252">
            <v>1.3300219819522969</v>
          </cell>
        </row>
        <row r="1253">
          <cell r="E1253" t="str">
            <v/>
          </cell>
          <cell r="F1253" t="str">
            <v>Peso</v>
          </cell>
          <cell r="G1253">
            <v>7.9625021029297391</v>
          </cell>
        </row>
        <row r="1254">
          <cell r="E1254" t="str">
            <v/>
          </cell>
          <cell r="F1254" t="str">
            <v>Peso</v>
          </cell>
          <cell r="G1254">
            <v>4.0719169663817194</v>
          </cell>
        </row>
        <row r="1255">
          <cell r="E1255" t="str">
            <v/>
          </cell>
          <cell r="F1255" t="str">
            <v>Peso</v>
          </cell>
          <cell r="G1255">
            <v>4.0910339474445445</v>
          </cell>
        </row>
        <row r="1256">
          <cell r="E1256" t="str">
            <v/>
          </cell>
          <cell r="F1256" t="str">
            <v>Peso</v>
          </cell>
          <cell r="G1256">
            <v>1.2426037690836229</v>
          </cell>
        </row>
        <row r="1257">
          <cell r="E1257" t="str">
            <v/>
          </cell>
          <cell r="F1257" t="str">
            <v>Peso</v>
          </cell>
          <cell r="G1257">
            <v>4.0719169663817194</v>
          </cell>
        </row>
        <row r="1258">
          <cell r="E1258" t="str">
            <v/>
          </cell>
          <cell r="F1258" t="str">
            <v>Peso</v>
          </cell>
          <cell r="G1258">
            <v>5.5821584703448917</v>
          </cell>
        </row>
        <row r="1259">
          <cell r="E1259" t="str">
            <v/>
          </cell>
          <cell r="F1259" t="str">
            <v>Peso</v>
          </cell>
          <cell r="G1259">
            <v>4.0910339474445445</v>
          </cell>
        </row>
        <row r="1260">
          <cell r="E1260" t="str">
            <v/>
          </cell>
          <cell r="F1260" t="str">
            <v>Peso</v>
          </cell>
          <cell r="G1260">
            <v>2.6763773487954956</v>
          </cell>
        </row>
        <row r="1261">
          <cell r="E1261" t="str">
            <v/>
          </cell>
          <cell r="F1261" t="str">
            <v>Peso</v>
          </cell>
          <cell r="G1261">
            <v>1.7205282956542474</v>
          </cell>
        </row>
        <row r="1262">
          <cell r="E1262" t="str">
            <v/>
          </cell>
          <cell r="F1262" t="str">
            <v>Peso</v>
          </cell>
          <cell r="G1262">
            <v>1.0514339584553736</v>
          </cell>
        </row>
        <row r="1263">
          <cell r="E1263" t="str">
            <v/>
          </cell>
          <cell r="F1263" t="str">
            <v>Peso</v>
          </cell>
          <cell r="G1263">
            <v>1.0514339584553736</v>
          </cell>
        </row>
        <row r="1264">
          <cell r="E1264" t="str">
            <v/>
          </cell>
          <cell r="F1264" t="str">
            <v>Peso</v>
          </cell>
          <cell r="G1264">
            <v>1.0514339584553736</v>
          </cell>
        </row>
        <row r="1265">
          <cell r="E1265" t="str">
            <v/>
          </cell>
          <cell r="F1265" t="str">
            <v>Peso</v>
          </cell>
          <cell r="G1265">
            <v>9.9925129774502999</v>
          </cell>
        </row>
        <row r="1266">
          <cell r="E1266" t="str">
            <v/>
          </cell>
          <cell r="F1266" t="str">
            <v>Peso</v>
          </cell>
          <cell r="G1266">
            <v>3.1226603054532194</v>
          </cell>
        </row>
        <row r="1267">
          <cell r="E1267" t="str">
            <v/>
          </cell>
          <cell r="F1267" t="str">
            <v>Peso</v>
          </cell>
          <cell r="G1267">
            <v>10.384152</v>
          </cell>
        </row>
        <row r="1268">
          <cell r="E1268" t="str">
            <v/>
          </cell>
          <cell r="F1268" t="str">
            <v>Peso</v>
          </cell>
          <cell r="G1268">
            <v>10.990603500000001</v>
          </cell>
        </row>
        <row r="1269">
          <cell r="E1269" t="str">
            <v/>
          </cell>
          <cell r="F1269" t="str">
            <v>Peso</v>
          </cell>
          <cell r="G1269">
            <v>0</v>
          </cell>
        </row>
        <row r="1270">
          <cell r="E1270" t="str">
            <v/>
          </cell>
          <cell r="F1270" t="str">
            <v>Peso</v>
          </cell>
          <cell r="G1270">
            <v>4.5442004165731484</v>
          </cell>
        </row>
        <row r="1271">
          <cell r="E1271" t="str">
            <v/>
          </cell>
          <cell r="F1271" t="str">
            <v>Peso</v>
          </cell>
          <cell r="G1271">
            <v>1.6453139439316573</v>
          </cell>
        </row>
        <row r="1272">
          <cell r="E1272" t="str">
            <v/>
          </cell>
          <cell r="F1272" t="str">
            <v>Peso</v>
          </cell>
          <cell r="G1272">
            <v>3.7607175861295028</v>
          </cell>
        </row>
        <row r="1273">
          <cell r="E1273" t="str">
            <v/>
          </cell>
          <cell r="F1273" t="str">
            <v>Peso</v>
          </cell>
          <cell r="G1273">
            <v>0.86183111348801111</v>
          </cell>
        </row>
        <row r="1274">
          <cell r="E1274" t="str">
            <v/>
          </cell>
          <cell r="F1274" t="str">
            <v>Peso</v>
          </cell>
          <cell r="G1274">
            <v>4.0741107183069616</v>
          </cell>
        </row>
        <row r="1275">
          <cell r="E1275" t="str">
            <v/>
          </cell>
          <cell r="F1275" t="str">
            <v>Peso</v>
          </cell>
          <cell r="G1275">
            <v>4.0741107183069616</v>
          </cell>
        </row>
        <row r="1276">
          <cell r="E1276" t="str">
            <v/>
          </cell>
          <cell r="F1276" t="str">
            <v>Peso</v>
          </cell>
          <cell r="G1276">
            <v>4.1054500315247076</v>
          </cell>
        </row>
        <row r="1277">
          <cell r="E1277" t="str">
            <v/>
          </cell>
          <cell r="F1277" t="str">
            <v>Peso</v>
          </cell>
          <cell r="G1277">
            <v>3.8390658691738673</v>
          </cell>
        </row>
        <row r="1278">
          <cell r="E1278" t="str">
            <v/>
          </cell>
          <cell r="F1278" t="str">
            <v>Peso</v>
          </cell>
          <cell r="G1278">
            <v>5.2493349639724318</v>
          </cell>
        </row>
        <row r="1279">
          <cell r="E1279" t="str">
            <v/>
          </cell>
          <cell r="F1279" t="str">
            <v>Peso</v>
          </cell>
          <cell r="G1279">
            <v>5.0299597714482092</v>
          </cell>
        </row>
        <row r="1280">
          <cell r="E1280" t="str">
            <v/>
          </cell>
          <cell r="F1280" t="str">
            <v>Peso</v>
          </cell>
          <cell r="G1280">
            <v>1.4729477212340549</v>
          </cell>
        </row>
        <row r="1281">
          <cell r="E1281" t="str">
            <v/>
          </cell>
          <cell r="F1281" t="str">
            <v>Peso</v>
          </cell>
          <cell r="G1281">
            <v>1.4729477212340549</v>
          </cell>
        </row>
        <row r="1282">
          <cell r="E1282" t="str">
            <v/>
          </cell>
          <cell r="F1282" t="str">
            <v>Peso</v>
          </cell>
          <cell r="G1282">
            <v>4.5755397297908953</v>
          </cell>
        </row>
        <row r="1283">
          <cell r="E1283" t="str">
            <v/>
          </cell>
          <cell r="F1283" t="str">
            <v>Peso</v>
          </cell>
          <cell r="G1283">
            <v>3.9330838088271034</v>
          </cell>
        </row>
        <row r="1284">
          <cell r="E1284" t="str">
            <v/>
          </cell>
          <cell r="F1284" t="str">
            <v>Peso</v>
          </cell>
          <cell r="G1284">
            <v>4.8889328619683541</v>
          </cell>
        </row>
        <row r="1285">
          <cell r="E1285" t="str">
            <v/>
          </cell>
          <cell r="F1285" t="str">
            <v>Peso</v>
          </cell>
          <cell r="G1285">
            <v>3.2749582312544416</v>
          </cell>
        </row>
        <row r="1286">
          <cell r="E1286" t="str">
            <v/>
          </cell>
          <cell r="F1286" t="str">
            <v>Peso</v>
          </cell>
          <cell r="G1286">
            <v>4.998620458230465</v>
          </cell>
        </row>
        <row r="1287">
          <cell r="E1287" t="str">
            <v/>
          </cell>
          <cell r="F1287" t="str">
            <v>Peso</v>
          </cell>
          <cell r="G1287">
            <v>5.1709866809280651</v>
          </cell>
        </row>
        <row r="1288">
          <cell r="E1288" t="str">
            <v/>
          </cell>
          <cell r="F1288" t="str">
            <v>Peso</v>
          </cell>
          <cell r="G1288">
            <v>4.9046025185772262</v>
          </cell>
        </row>
        <row r="1289">
          <cell r="E1289" t="str">
            <v/>
          </cell>
          <cell r="F1289" t="str">
            <v>Peso</v>
          </cell>
          <cell r="G1289">
            <v>4.8889328619683541</v>
          </cell>
        </row>
        <row r="1290">
          <cell r="E1290" t="str">
            <v/>
          </cell>
          <cell r="F1290" t="str">
            <v>Peso</v>
          </cell>
          <cell r="G1290">
            <v>2.7421899065527615</v>
          </cell>
        </row>
        <row r="1291">
          <cell r="E1291" t="str">
            <v/>
          </cell>
          <cell r="F1291" t="str">
            <v>Peso</v>
          </cell>
          <cell r="G1291">
            <v>4.0741107183069616</v>
          </cell>
        </row>
        <row r="1292">
          <cell r="E1292" t="str">
            <v/>
          </cell>
          <cell r="F1292" t="str">
            <v>Peso</v>
          </cell>
          <cell r="G1292">
            <v>4.1607433385343002</v>
          </cell>
        </row>
        <row r="1293">
          <cell r="E1293" t="str">
            <v/>
          </cell>
          <cell r="F1293" t="str">
            <v>Peso</v>
          </cell>
          <cell r="G1293">
            <v>4.1607433385343002</v>
          </cell>
        </row>
        <row r="1294">
          <cell r="E1294" t="str">
            <v/>
          </cell>
          <cell r="F1294" t="str">
            <v>Peso</v>
          </cell>
          <cell r="G1294">
            <v>1.3522415850236473</v>
          </cell>
        </row>
        <row r="1295">
          <cell r="E1295" t="str">
            <v/>
          </cell>
          <cell r="F1295" t="str">
            <v>Peso</v>
          </cell>
          <cell r="G1295">
            <v>3.7524703984406225</v>
          </cell>
        </row>
        <row r="1296">
          <cell r="E1296" t="str">
            <v/>
          </cell>
          <cell r="F1296" t="str">
            <v>Peso</v>
          </cell>
          <cell r="G1296">
            <v>3.3714918224983137</v>
          </cell>
        </row>
        <row r="1297">
          <cell r="E1297" t="str">
            <v/>
          </cell>
          <cell r="F1297" t="str">
            <v>Peso</v>
          </cell>
          <cell r="G1297">
            <v>4.3440375405266733</v>
          </cell>
        </row>
        <row r="1298">
          <cell r="E1298" t="str">
            <v/>
          </cell>
          <cell r="F1298" t="str">
            <v>Peso</v>
          </cell>
          <cell r="G1298">
            <v>17.523346270781254</v>
          </cell>
        </row>
        <row r="1299">
          <cell r="E1299" t="str">
            <v/>
          </cell>
          <cell r="F1299" t="str">
            <v>Peso</v>
          </cell>
          <cell r="G1299">
            <v>0.85479737906249986</v>
          </cell>
        </row>
        <row r="1300">
          <cell r="E1300" t="str">
            <v/>
          </cell>
          <cell r="F1300">
            <v>0</v>
          </cell>
          <cell r="G1300">
            <v>0</v>
          </cell>
        </row>
        <row r="1301">
          <cell r="E1301" t="str">
            <v/>
          </cell>
          <cell r="F1301">
            <v>0</v>
          </cell>
          <cell r="G1301">
            <v>0</v>
          </cell>
        </row>
        <row r="1302">
          <cell r="E1302" t="str">
            <v/>
          </cell>
          <cell r="F1302">
            <v>0</v>
          </cell>
          <cell r="G1302">
            <v>0</v>
          </cell>
        </row>
        <row r="1303">
          <cell r="E1303" t="str">
            <v/>
          </cell>
          <cell r="F1303">
            <v>0</v>
          </cell>
          <cell r="G1303">
            <v>0</v>
          </cell>
        </row>
        <row r="1304">
          <cell r="E1304">
            <v>0</v>
          </cell>
          <cell r="F1304">
            <v>0</v>
          </cell>
          <cell r="G1304" t="str">
            <v>SEBASTIAN FULVIO PARISSENTI</v>
          </cell>
        </row>
        <row r="1305">
          <cell r="E1305" t="str">
            <v/>
          </cell>
          <cell r="F1305" t="str">
            <v>Peso</v>
          </cell>
          <cell r="G1305">
            <v>0</v>
          </cell>
        </row>
        <row r="1306">
          <cell r="E1306" t="str">
            <v>Cod ISIS Materia Prima</v>
          </cell>
          <cell r="F1306" t="str">
            <v>Moneda</v>
          </cell>
          <cell r="G1306" t="str">
            <v>Ultimo $ proveedor</v>
          </cell>
        </row>
        <row r="1307">
          <cell r="E1307" t="str">
            <v/>
          </cell>
          <cell r="F1307" t="str">
            <v>Peso</v>
          </cell>
          <cell r="G1307">
            <v>444463</v>
          </cell>
        </row>
        <row r="1308">
          <cell r="E1308">
            <v>0</v>
          </cell>
          <cell r="F1308" t="str">
            <v>Peso</v>
          </cell>
          <cell r="G1308">
            <v>177273</v>
          </cell>
        </row>
        <row r="1309">
          <cell r="E1309">
            <v>0</v>
          </cell>
          <cell r="F1309" t="str">
            <v>Peso</v>
          </cell>
          <cell r="G1309">
            <v>1983.47</v>
          </cell>
        </row>
        <row r="1310">
          <cell r="E1310" t="str">
            <v/>
          </cell>
          <cell r="F1310" t="str">
            <v>Peso</v>
          </cell>
          <cell r="G1310">
            <v>1611.47</v>
          </cell>
        </row>
        <row r="1311">
          <cell r="E1311">
            <v>0</v>
          </cell>
          <cell r="F1311" t="str">
            <v>Peso</v>
          </cell>
          <cell r="G1311">
            <v>1859.51</v>
          </cell>
        </row>
        <row r="1313">
          <cell r="E1313" t="str">
            <v/>
          </cell>
          <cell r="G1313">
            <v>0</v>
          </cell>
        </row>
        <row r="1314">
          <cell r="E1314" t="str">
            <v/>
          </cell>
          <cell r="F1314" t="str">
            <v>Peso</v>
          </cell>
          <cell r="G1314">
            <v>0</v>
          </cell>
        </row>
        <row r="1315">
          <cell r="E1315">
            <v>1187500</v>
          </cell>
          <cell r="F1315" t="str">
            <v>Peso</v>
          </cell>
          <cell r="G1315">
            <v>4</v>
          </cell>
        </row>
        <row r="1316">
          <cell r="E1316">
            <v>1241500</v>
          </cell>
          <cell r="F1316" t="str">
            <v>Peso</v>
          </cell>
          <cell r="G1316">
            <v>9.5</v>
          </cell>
        </row>
        <row r="1318">
          <cell r="E1318" t="str">
            <v/>
          </cell>
          <cell r="F1318" t="str">
            <v>Peso</v>
          </cell>
          <cell r="G1318">
            <v>30</v>
          </cell>
        </row>
        <row r="1319">
          <cell r="E1319" t="str">
            <v/>
          </cell>
          <cell r="F1319" t="str">
            <v>Peso</v>
          </cell>
          <cell r="G1319">
            <v>1.44</v>
          </cell>
        </row>
        <row r="1320">
          <cell r="E1320" t="str">
            <v/>
          </cell>
          <cell r="F1320" t="str">
            <v>Peso</v>
          </cell>
          <cell r="G1320">
            <v>2.64</v>
          </cell>
        </row>
        <row r="1321">
          <cell r="E1321" t="str">
            <v/>
          </cell>
          <cell r="F1321" t="str">
            <v>Peso</v>
          </cell>
          <cell r="G1321">
            <v>0</v>
          </cell>
        </row>
        <row r="1322">
          <cell r="E1322" t="str">
            <v/>
          </cell>
          <cell r="F1322" t="str">
            <v>Peso</v>
          </cell>
          <cell r="G1322">
            <v>3</v>
          </cell>
        </row>
        <row r="1323">
          <cell r="E1323" t="str">
            <v/>
          </cell>
          <cell r="F1323" t="str">
            <v>Peso</v>
          </cell>
          <cell r="G1323">
            <v>4</v>
          </cell>
        </row>
        <row r="1324">
          <cell r="E1324">
            <v>0</v>
          </cell>
          <cell r="F1324">
            <v>0</v>
          </cell>
          <cell r="G1324">
            <v>0</v>
          </cell>
        </row>
        <row r="1325">
          <cell r="G1325">
            <v>0</v>
          </cell>
        </row>
        <row r="1327">
          <cell r="F1327">
            <v>0</v>
          </cell>
          <cell r="G1327" t="str">
            <v>Ultimo $ proveedor</v>
          </cell>
        </row>
        <row r="1328">
          <cell r="E1328">
            <v>5094600</v>
          </cell>
          <cell r="F1328" t="str">
            <v>Peso</v>
          </cell>
          <cell r="G1328">
            <v>12.42</v>
          </cell>
        </row>
        <row r="1329">
          <cell r="E1329">
            <v>5106600</v>
          </cell>
          <cell r="F1329" t="str">
            <v>Peso</v>
          </cell>
          <cell r="G1329">
            <v>31.271999999999998</v>
          </cell>
        </row>
        <row r="1330">
          <cell r="E1330">
            <v>5109600</v>
          </cell>
          <cell r="F1330" t="str">
            <v>Peso</v>
          </cell>
          <cell r="G1330">
            <v>37.26</v>
          </cell>
        </row>
        <row r="1331">
          <cell r="E1331">
            <v>5110600</v>
          </cell>
          <cell r="F1331" t="str">
            <v>Peso</v>
          </cell>
          <cell r="G1331">
            <v>19.920000000000002</v>
          </cell>
        </row>
        <row r="1332">
          <cell r="E1332">
            <v>5111600</v>
          </cell>
          <cell r="F1332" t="str">
            <v>Peso</v>
          </cell>
          <cell r="G1332">
            <v>13.643999999999998</v>
          </cell>
        </row>
        <row r="1333">
          <cell r="E1333">
            <v>5112600</v>
          </cell>
          <cell r="F1333" t="str">
            <v>Peso</v>
          </cell>
          <cell r="G1333">
            <v>19.920000000000002</v>
          </cell>
        </row>
        <row r="1334">
          <cell r="E1334">
            <v>5125600</v>
          </cell>
          <cell r="F1334" t="str">
            <v>Peso</v>
          </cell>
          <cell r="G1334">
            <v>25.139999999999997</v>
          </cell>
        </row>
        <row r="1335">
          <cell r="E1335">
            <v>5127600</v>
          </cell>
          <cell r="F1335" t="str">
            <v>Peso</v>
          </cell>
          <cell r="G1335">
            <v>42.911999999999999</v>
          </cell>
        </row>
        <row r="1336">
          <cell r="E1336">
            <v>5130600</v>
          </cell>
          <cell r="F1336" t="str">
            <v>Peso</v>
          </cell>
          <cell r="G1336">
            <v>12.252000000000001</v>
          </cell>
        </row>
        <row r="1337">
          <cell r="E1337">
            <v>5131600</v>
          </cell>
          <cell r="F1337" t="str">
            <v>Peso</v>
          </cell>
          <cell r="G1337">
            <v>12.168000000000001</v>
          </cell>
        </row>
        <row r="1338">
          <cell r="E1338">
            <v>5132600</v>
          </cell>
          <cell r="F1338" t="str">
            <v>Peso</v>
          </cell>
          <cell r="G1338">
            <v>12.168000000000001</v>
          </cell>
        </row>
        <row r="1339">
          <cell r="E1339">
            <v>5133600</v>
          </cell>
          <cell r="F1339" t="str">
            <v>Peso</v>
          </cell>
          <cell r="G1339">
            <v>19.920000000000002</v>
          </cell>
        </row>
        <row r="1340">
          <cell r="E1340">
            <v>6028600</v>
          </cell>
          <cell r="F1340" t="str">
            <v>Peso</v>
          </cell>
          <cell r="G1340">
            <v>0</v>
          </cell>
        </row>
        <row r="1341">
          <cell r="E1341">
            <v>5136600</v>
          </cell>
          <cell r="F1341" t="str">
            <v>Peso</v>
          </cell>
          <cell r="G1341">
            <v>49.235999999999997</v>
          </cell>
        </row>
        <row r="1342">
          <cell r="E1342" t="str">
            <v/>
          </cell>
          <cell r="F1342" t="str">
            <v>Peso</v>
          </cell>
          <cell r="G1342">
            <v>22.884</v>
          </cell>
        </row>
        <row r="1343">
          <cell r="E1343" t="str">
            <v/>
          </cell>
          <cell r="F1343" t="str">
            <v>Peso</v>
          </cell>
          <cell r="G1343">
            <v>3.84</v>
          </cell>
        </row>
        <row r="1344">
          <cell r="E1344">
            <v>5989600</v>
          </cell>
          <cell r="F1344" t="str">
            <v>Peso</v>
          </cell>
          <cell r="G1344">
            <v>224.85599999999999</v>
          </cell>
        </row>
        <row r="1345">
          <cell r="E1345">
            <v>6017600</v>
          </cell>
          <cell r="F1345" t="str">
            <v>Peso</v>
          </cell>
          <cell r="G1345">
            <v>224.85599999999999</v>
          </cell>
        </row>
        <row r="1346">
          <cell r="E1346">
            <v>6027600</v>
          </cell>
          <cell r="F1346" t="str">
            <v>Peso</v>
          </cell>
          <cell r="G1346">
            <v>202.01999999999998</v>
          </cell>
        </row>
        <row r="1347">
          <cell r="E1347" t="str">
            <v/>
          </cell>
          <cell r="F1347" t="str">
            <v>Peso</v>
          </cell>
          <cell r="G1347">
            <v>24.876000000000001</v>
          </cell>
        </row>
        <row r="1348">
          <cell r="E1348" t="str">
            <v/>
          </cell>
          <cell r="F1348" t="str">
            <v>Peso</v>
          </cell>
          <cell r="G1348">
            <v>18.648</v>
          </cell>
        </row>
        <row r="1349">
          <cell r="E1349" t="str">
            <v/>
          </cell>
          <cell r="F1349" t="str">
            <v>Peso</v>
          </cell>
          <cell r="G1349">
            <v>18.648</v>
          </cell>
        </row>
        <row r="1350">
          <cell r="E1350">
            <v>6030600</v>
          </cell>
          <cell r="F1350" t="str">
            <v>Peso</v>
          </cell>
          <cell r="G1350">
            <v>15.347999999999999</v>
          </cell>
        </row>
        <row r="1351">
          <cell r="E1351">
            <v>6040600</v>
          </cell>
          <cell r="F1351" t="str">
            <v>Peso</v>
          </cell>
          <cell r="G1351">
            <v>10.835999999999999</v>
          </cell>
        </row>
        <row r="1352">
          <cell r="E1352">
            <v>6108600</v>
          </cell>
          <cell r="F1352" t="str">
            <v>Peso</v>
          </cell>
          <cell r="G1352">
            <v>224.85599999999999</v>
          </cell>
        </row>
        <row r="1354">
          <cell r="E1354" t="str">
            <v/>
          </cell>
          <cell r="F1354">
            <v>0</v>
          </cell>
          <cell r="G1354">
            <v>0</v>
          </cell>
        </row>
        <row r="1355">
          <cell r="E1355" t="str">
            <v/>
          </cell>
          <cell r="F1355">
            <v>0</v>
          </cell>
          <cell r="G1355">
            <v>0</v>
          </cell>
        </row>
        <row r="1356">
          <cell r="E1356" t="str">
            <v/>
          </cell>
          <cell r="F1356">
            <v>0</v>
          </cell>
          <cell r="G1356" t="str">
            <v>Ultimo $ proveedor</v>
          </cell>
        </row>
        <row r="1357">
          <cell r="E1357" t="str">
            <v/>
          </cell>
          <cell r="F1357" t="str">
            <v>Peso</v>
          </cell>
          <cell r="G1357">
            <v>5.66</v>
          </cell>
        </row>
        <row r="1358">
          <cell r="E1358" t="str">
            <v/>
          </cell>
          <cell r="F1358" t="str">
            <v>Peso</v>
          </cell>
          <cell r="G1358">
            <v>5.66</v>
          </cell>
        </row>
        <row r="1359">
          <cell r="E1359" t="str">
            <v/>
          </cell>
          <cell r="F1359" t="str">
            <v>Peso</v>
          </cell>
          <cell r="G1359">
            <v>1.66</v>
          </cell>
        </row>
        <row r="1360">
          <cell r="E1360" t="str">
            <v/>
          </cell>
          <cell r="F1360" t="str">
            <v>Peso</v>
          </cell>
          <cell r="G1360">
            <v>29.06</v>
          </cell>
        </row>
        <row r="1361">
          <cell r="E1361" t="str">
            <v/>
          </cell>
          <cell r="F1361" t="str">
            <v>Peso</v>
          </cell>
          <cell r="G1361">
            <v>26.85</v>
          </cell>
        </row>
        <row r="1362">
          <cell r="E1362" t="str">
            <v/>
          </cell>
          <cell r="F1362" t="str">
            <v>Peso</v>
          </cell>
          <cell r="G1362">
            <v>15.78</v>
          </cell>
        </row>
        <row r="1363">
          <cell r="E1363" t="str">
            <v/>
          </cell>
          <cell r="F1363" t="str">
            <v>Peso</v>
          </cell>
          <cell r="G1363">
            <v>16.05</v>
          </cell>
        </row>
        <row r="1364">
          <cell r="E1364" t="str">
            <v/>
          </cell>
          <cell r="F1364" t="str">
            <v>Peso</v>
          </cell>
          <cell r="G1364">
            <v>45.05</v>
          </cell>
        </row>
        <row r="1365">
          <cell r="E1365" t="str">
            <v/>
          </cell>
          <cell r="F1365" t="str">
            <v>Peso</v>
          </cell>
          <cell r="G1365">
            <v>41.45</v>
          </cell>
        </row>
        <row r="1366">
          <cell r="E1366" t="str">
            <v/>
          </cell>
          <cell r="F1366" t="str">
            <v>Peso</v>
          </cell>
          <cell r="G1366">
            <v>66.349999999999994</v>
          </cell>
        </row>
        <row r="1367">
          <cell r="E1367" t="str">
            <v/>
          </cell>
          <cell r="F1367" t="str">
            <v>Peso</v>
          </cell>
          <cell r="G1367">
            <v>54.63</v>
          </cell>
        </row>
        <row r="1368">
          <cell r="E1368" t="str">
            <v/>
          </cell>
          <cell r="F1368" t="str">
            <v>Peso</v>
          </cell>
          <cell r="G1368">
            <v>55.01</v>
          </cell>
        </row>
        <row r="1369">
          <cell r="E1369" t="str">
            <v/>
          </cell>
          <cell r="F1369" t="str">
            <v>Peso</v>
          </cell>
          <cell r="G1369">
            <v>52.44</v>
          </cell>
        </row>
        <row r="1370">
          <cell r="E1370" t="str">
            <v/>
          </cell>
          <cell r="F1370" t="str">
            <v>Peso</v>
          </cell>
          <cell r="G1370">
            <v>36.78</v>
          </cell>
        </row>
        <row r="1371">
          <cell r="E1371" t="str">
            <v/>
          </cell>
          <cell r="F1371" t="str">
            <v>Peso</v>
          </cell>
          <cell r="G1371">
            <v>42.09</v>
          </cell>
        </row>
        <row r="1372">
          <cell r="E1372" t="str">
            <v/>
          </cell>
          <cell r="F1372" t="str">
            <v>Peso</v>
          </cell>
          <cell r="G1372">
            <v>30.91</v>
          </cell>
        </row>
        <row r="1373">
          <cell r="E1373" t="str">
            <v/>
          </cell>
          <cell r="F1373" t="str">
            <v>Peso</v>
          </cell>
          <cell r="G1373">
            <v>93.03</v>
          </cell>
        </row>
        <row r="1374">
          <cell r="E1374" t="str">
            <v/>
          </cell>
          <cell r="F1374" t="str">
            <v>Peso</v>
          </cell>
          <cell r="G1374">
            <v>148.32</v>
          </cell>
        </row>
        <row r="1375">
          <cell r="E1375" t="str">
            <v/>
          </cell>
          <cell r="F1375" t="str">
            <v>Peso</v>
          </cell>
          <cell r="G1375">
            <v>163.01</v>
          </cell>
        </row>
        <row r="1376">
          <cell r="E1376" t="str">
            <v/>
          </cell>
          <cell r="F1376" t="str">
            <v>Peso</v>
          </cell>
          <cell r="G1376">
            <v>108.46</v>
          </cell>
        </row>
        <row r="1377">
          <cell r="E1377" t="str">
            <v/>
          </cell>
          <cell r="F1377" t="str">
            <v>Peso</v>
          </cell>
          <cell r="G1377">
            <v>29.21</v>
          </cell>
        </row>
        <row r="1378">
          <cell r="E1378" t="str">
            <v/>
          </cell>
          <cell r="F1378" t="str">
            <v>Peso</v>
          </cell>
          <cell r="G1378">
            <v>70.489999999999995</v>
          </cell>
        </row>
        <row r="1379">
          <cell r="E1379" t="str">
            <v/>
          </cell>
          <cell r="F1379" t="str">
            <v>Peso</v>
          </cell>
          <cell r="G1379">
            <v>72.61</v>
          </cell>
        </row>
        <row r="1380">
          <cell r="E1380" t="str">
            <v/>
          </cell>
          <cell r="F1380" t="str">
            <v>Peso</v>
          </cell>
          <cell r="G1380">
            <v>43.59</v>
          </cell>
        </row>
        <row r="1381">
          <cell r="E1381" t="str">
            <v/>
          </cell>
          <cell r="F1381" t="str">
            <v>Peso</v>
          </cell>
          <cell r="G1381">
            <v>17.54</v>
          </cell>
        </row>
        <row r="1382">
          <cell r="E1382" t="str">
            <v/>
          </cell>
          <cell r="F1382" t="str">
            <v>Peso</v>
          </cell>
          <cell r="G1382">
            <v>42.05</v>
          </cell>
        </row>
        <row r="1383">
          <cell r="E1383" t="str">
            <v/>
          </cell>
          <cell r="F1383" t="str">
            <v>Peso</v>
          </cell>
          <cell r="G1383">
            <v>26.85</v>
          </cell>
        </row>
        <row r="1384">
          <cell r="E1384" t="str">
            <v/>
          </cell>
          <cell r="F1384" t="str">
            <v>Peso</v>
          </cell>
          <cell r="G1384">
            <v>29.006</v>
          </cell>
        </row>
        <row r="1385">
          <cell r="E1385" t="str">
            <v/>
          </cell>
          <cell r="F1385" t="str">
            <v>Peso</v>
          </cell>
          <cell r="G1385">
            <v>7.23</v>
          </cell>
        </row>
        <row r="1386">
          <cell r="E1386" t="str">
            <v/>
          </cell>
          <cell r="F1386" t="str">
            <v>Peso</v>
          </cell>
          <cell r="G1386">
            <v>52.44</v>
          </cell>
        </row>
        <row r="1387">
          <cell r="E1387" t="str">
            <v/>
          </cell>
          <cell r="F1387" t="str">
            <v>Peso</v>
          </cell>
          <cell r="G1387">
            <v>7.23</v>
          </cell>
        </row>
        <row r="1388">
          <cell r="E1388" t="str">
            <v/>
          </cell>
          <cell r="F1388" t="str">
            <v>Peso</v>
          </cell>
          <cell r="G1388">
            <v>55.01</v>
          </cell>
        </row>
        <row r="1390">
          <cell r="E1390" t="str">
            <v/>
          </cell>
          <cell r="F1390">
            <v>0</v>
          </cell>
          <cell r="G1390">
            <v>0</v>
          </cell>
        </row>
        <row r="1391">
          <cell r="E1391" t="str">
            <v/>
          </cell>
          <cell r="F1391" t="str">
            <v>Peso</v>
          </cell>
          <cell r="G1391">
            <v>0</v>
          </cell>
        </row>
        <row r="1392">
          <cell r="E1392" t="str">
            <v/>
          </cell>
          <cell r="F1392">
            <v>0</v>
          </cell>
          <cell r="G1392" t="str">
            <v>Ultimo $ proveedor</v>
          </cell>
        </row>
        <row r="1393">
          <cell r="E1393">
            <v>6016600</v>
          </cell>
          <cell r="F1393" t="str">
            <v>Peso</v>
          </cell>
          <cell r="G1393">
            <v>146.08000000000001</v>
          </cell>
        </row>
        <row r="1394">
          <cell r="E1394">
            <v>5019600</v>
          </cell>
          <cell r="F1394" t="str">
            <v>Peso</v>
          </cell>
          <cell r="G1394">
            <v>87.05</v>
          </cell>
        </row>
        <row r="1395">
          <cell r="E1395">
            <v>5020600</v>
          </cell>
          <cell r="F1395" t="str">
            <v>Peso</v>
          </cell>
          <cell r="G1395">
            <v>158.47999999999999</v>
          </cell>
        </row>
        <row r="1396">
          <cell r="E1396">
            <v>5021600</v>
          </cell>
          <cell r="F1396" t="str">
            <v>Peso</v>
          </cell>
          <cell r="G1396">
            <v>66.11</v>
          </cell>
        </row>
        <row r="1397">
          <cell r="E1397">
            <v>5692600</v>
          </cell>
          <cell r="F1397" t="str">
            <v>Peso</v>
          </cell>
          <cell r="G1397">
            <v>89.99</v>
          </cell>
        </row>
        <row r="1398">
          <cell r="E1398">
            <v>5023600</v>
          </cell>
          <cell r="F1398" t="str">
            <v>Peso</v>
          </cell>
          <cell r="G1398">
            <v>146.08000000000001</v>
          </cell>
        </row>
        <row r="1399">
          <cell r="E1399">
            <v>5024600</v>
          </cell>
          <cell r="F1399" t="str">
            <v>Peso</v>
          </cell>
          <cell r="G1399">
            <v>111.21</v>
          </cell>
        </row>
        <row r="1400">
          <cell r="E1400">
            <v>5025600</v>
          </cell>
          <cell r="F1400" t="str">
            <v>Peso</v>
          </cell>
          <cell r="G1400">
            <v>120.32</v>
          </cell>
        </row>
        <row r="1401">
          <cell r="E1401" t="str">
            <v/>
          </cell>
          <cell r="F1401" t="str">
            <v>Peso</v>
          </cell>
          <cell r="G1401">
            <v>94.63</v>
          </cell>
        </row>
        <row r="1402">
          <cell r="E1402">
            <v>5026600</v>
          </cell>
          <cell r="F1402" t="str">
            <v>Peso</v>
          </cell>
          <cell r="G1402">
            <v>270.87</v>
          </cell>
        </row>
        <row r="1403">
          <cell r="E1403" t="str">
            <v/>
          </cell>
          <cell r="F1403" t="str">
            <v>Peso</v>
          </cell>
          <cell r="G1403">
            <v>82.52</v>
          </cell>
        </row>
        <row r="1404">
          <cell r="E1404" t="str">
            <v/>
          </cell>
          <cell r="F1404" t="str">
            <v>Peso</v>
          </cell>
          <cell r="G1404">
            <v>94.63</v>
          </cell>
        </row>
        <row r="1405">
          <cell r="E1405" t="str">
            <v/>
          </cell>
          <cell r="F1405" t="str">
            <v>Peso</v>
          </cell>
          <cell r="G1405">
            <v>245.7</v>
          </cell>
        </row>
        <row r="1406">
          <cell r="E1406" t="str">
            <v/>
          </cell>
          <cell r="F1406" t="str">
            <v>Peso</v>
          </cell>
          <cell r="G1406">
            <v>107.31</v>
          </cell>
        </row>
        <row r="1407">
          <cell r="E1407" t="str">
            <v/>
          </cell>
          <cell r="F1407" t="str">
            <v>Peso</v>
          </cell>
          <cell r="G1407">
            <v>245.7</v>
          </cell>
        </row>
        <row r="1408">
          <cell r="E1408" t="str">
            <v/>
          </cell>
          <cell r="F1408" t="str">
            <v>Peso</v>
          </cell>
          <cell r="G1408">
            <v>298.05</v>
          </cell>
        </row>
        <row r="1409">
          <cell r="E1409" t="str">
            <v/>
          </cell>
          <cell r="F1409" t="str">
            <v>Peso</v>
          </cell>
          <cell r="G1409">
            <v>107.31</v>
          </cell>
        </row>
        <row r="1410">
          <cell r="E1410" t="str">
            <v/>
          </cell>
          <cell r="F1410" t="str">
            <v>Peso</v>
          </cell>
          <cell r="G1410">
            <v>158.47999999999999</v>
          </cell>
        </row>
        <row r="1411">
          <cell r="E1411">
            <v>5027600</v>
          </cell>
          <cell r="F1411" t="str">
            <v>Peso</v>
          </cell>
          <cell r="G1411">
            <v>120.32</v>
          </cell>
        </row>
        <row r="1412">
          <cell r="E1412">
            <v>5028600</v>
          </cell>
          <cell r="F1412" t="str">
            <v>Peso</v>
          </cell>
          <cell r="G1412">
            <v>154.28</v>
          </cell>
        </row>
        <row r="1413">
          <cell r="E1413" t="str">
            <v/>
          </cell>
          <cell r="F1413" t="str">
            <v>Peso</v>
          </cell>
          <cell r="G1413">
            <v>186.38</v>
          </cell>
        </row>
        <row r="1414">
          <cell r="E1414" t="str">
            <v/>
          </cell>
          <cell r="F1414" t="str">
            <v>Peso</v>
          </cell>
          <cell r="G1414">
            <v>108.67</v>
          </cell>
        </row>
        <row r="1415">
          <cell r="E1415">
            <v>5029600</v>
          </cell>
          <cell r="F1415" t="str">
            <v>Peso</v>
          </cell>
          <cell r="G1415">
            <v>111.21</v>
          </cell>
        </row>
        <row r="1416">
          <cell r="E1416">
            <v>5030600</v>
          </cell>
          <cell r="F1416" t="str">
            <v>Peso</v>
          </cell>
          <cell r="G1416">
            <v>120.32</v>
          </cell>
        </row>
        <row r="1417">
          <cell r="E1417">
            <v>5031600</v>
          </cell>
          <cell r="F1417" t="str">
            <v>Peso</v>
          </cell>
          <cell r="G1417">
            <v>238.28</v>
          </cell>
        </row>
        <row r="1418">
          <cell r="E1418" t="str">
            <v/>
          </cell>
          <cell r="F1418" t="str">
            <v>Peso</v>
          </cell>
          <cell r="G1418">
            <v>327.64</v>
          </cell>
        </row>
        <row r="1419">
          <cell r="E1419">
            <v>6007600</v>
          </cell>
          <cell r="F1419" t="str">
            <v>Peso</v>
          </cell>
          <cell r="G1419">
            <v>327.64</v>
          </cell>
        </row>
        <row r="1420">
          <cell r="E1420">
            <v>0</v>
          </cell>
          <cell r="F1420" t="str">
            <v>Peso</v>
          </cell>
          <cell r="G1420">
            <v>158.47999999999999</v>
          </cell>
        </row>
        <row r="1421">
          <cell r="E1421" t="str">
            <v/>
          </cell>
          <cell r="F1421" t="str">
            <v>Peso</v>
          </cell>
          <cell r="G1421">
            <v>158.47999999999999</v>
          </cell>
        </row>
        <row r="1422">
          <cell r="E1422">
            <v>5710600</v>
          </cell>
          <cell r="F1422" t="str">
            <v>Peso</v>
          </cell>
          <cell r="G1422">
            <v>190.9</v>
          </cell>
        </row>
        <row r="1423">
          <cell r="E1423">
            <v>5094600</v>
          </cell>
          <cell r="F1423" t="str">
            <v>Peso</v>
          </cell>
          <cell r="G1423">
            <v>82.52</v>
          </cell>
        </row>
        <row r="1424">
          <cell r="E1424" t="str">
            <v/>
          </cell>
          <cell r="F1424" t="str">
            <v>Peso</v>
          </cell>
          <cell r="G1424">
            <v>196.62</v>
          </cell>
        </row>
        <row r="1425">
          <cell r="E1425">
            <v>5690600</v>
          </cell>
          <cell r="F1425" t="str">
            <v>Peso</v>
          </cell>
          <cell r="G1425">
            <v>245.97</v>
          </cell>
        </row>
        <row r="1426">
          <cell r="E1426" t="str">
            <v/>
          </cell>
          <cell r="F1426" t="str">
            <v>Peso</v>
          </cell>
          <cell r="G1426">
            <v>285.36</v>
          </cell>
        </row>
        <row r="1427">
          <cell r="E1427">
            <v>5032600</v>
          </cell>
          <cell r="F1427" t="str">
            <v>Peso</v>
          </cell>
          <cell r="G1427">
            <v>1222.1600000000001</v>
          </cell>
        </row>
        <row r="1428">
          <cell r="E1428" t="str">
            <v/>
          </cell>
          <cell r="F1428" t="str">
            <v>Peso</v>
          </cell>
          <cell r="G1428">
            <v>911.16</v>
          </cell>
        </row>
        <row r="1429">
          <cell r="E1429" t="str">
            <v/>
          </cell>
          <cell r="F1429" t="str">
            <v>Peso</v>
          </cell>
          <cell r="G1429">
            <v>2067.6799999999998</v>
          </cell>
        </row>
        <row r="1430">
          <cell r="E1430" t="str">
            <v/>
          </cell>
          <cell r="F1430" t="str">
            <v>Peso</v>
          </cell>
          <cell r="G1430">
            <v>237.99</v>
          </cell>
        </row>
        <row r="1431">
          <cell r="E1431" t="str">
            <v/>
          </cell>
          <cell r="F1431" t="str">
            <v>Peso</v>
          </cell>
          <cell r="G1431">
            <v>306.82</v>
          </cell>
        </row>
        <row r="1432">
          <cell r="E1432">
            <v>6004600</v>
          </cell>
          <cell r="F1432" t="str">
            <v>Peso</v>
          </cell>
          <cell r="G1432">
            <v>111.21</v>
          </cell>
        </row>
        <row r="1433">
          <cell r="E1433" t="str">
            <v/>
          </cell>
          <cell r="F1433" t="str">
            <v>Peso</v>
          </cell>
          <cell r="G1433">
            <v>0</v>
          </cell>
        </row>
        <row r="1434">
          <cell r="E1434">
            <v>6013600</v>
          </cell>
          <cell r="F1434" t="str">
            <v>Peso</v>
          </cell>
          <cell r="G1434">
            <v>235.78</v>
          </cell>
        </row>
        <row r="1435">
          <cell r="E1435">
            <v>6014600</v>
          </cell>
          <cell r="F1435" t="str">
            <v>Peso</v>
          </cell>
          <cell r="G1435">
            <v>214.44</v>
          </cell>
        </row>
        <row r="1437">
          <cell r="E1437" t="str">
            <v/>
          </cell>
          <cell r="F1437">
            <v>0</v>
          </cell>
          <cell r="G1437">
            <v>0</v>
          </cell>
        </row>
        <row r="1438">
          <cell r="E1438" t="str">
            <v/>
          </cell>
          <cell r="F1438" t="str">
            <v>Peso</v>
          </cell>
          <cell r="G1438">
            <v>19.38</v>
          </cell>
        </row>
        <row r="1439">
          <cell r="E1439" t="str">
            <v/>
          </cell>
          <cell r="F1439">
            <v>0</v>
          </cell>
          <cell r="G1439">
            <v>0</v>
          </cell>
        </row>
        <row r="1440">
          <cell r="E1440" t="str">
            <v/>
          </cell>
          <cell r="F1440">
            <v>0</v>
          </cell>
          <cell r="G1440">
            <v>0</v>
          </cell>
        </row>
        <row r="1441">
          <cell r="E1441" t="str">
            <v/>
          </cell>
          <cell r="F1441">
            <v>0</v>
          </cell>
          <cell r="G1441">
            <v>0</v>
          </cell>
        </row>
        <row r="1442">
          <cell r="E1442">
            <v>5070600</v>
          </cell>
          <cell r="F1442" t="str">
            <v>Peso</v>
          </cell>
          <cell r="G1442">
            <v>17.170000000000002</v>
          </cell>
        </row>
        <row r="1443">
          <cell r="E1443" t="str">
            <v/>
          </cell>
          <cell r="F1443" t="str">
            <v>Peso</v>
          </cell>
          <cell r="G1443">
            <v>66.239999999999995</v>
          </cell>
        </row>
        <row r="1444">
          <cell r="E1444" t="str">
            <v/>
          </cell>
          <cell r="F1444">
            <v>0</v>
          </cell>
          <cell r="G1444">
            <v>0</v>
          </cell>
        </row>
        <row r="1445">
          <cell r="E1445" t="str">
            <v/>
          </cell>
          <cell r="F1445">
            <v>0</v>
          </cell>
          <cell r="G1445">
            <v>0</v>
          </cell>
        </row>
        <row r="1446">
          <cell r="E1446" t="str">
            <v/>
          </cell>
          <cell r="F1446">
            <v>0</v>
          </cell>
          <cell r="G1446">
            <v>0</v>
          </cell>
        </row>
        <row r="1447">
          <cell r="E1447">
            <v>0</v>
          </cell>
          <cell r="F1447" t="str">
            <v>Peso</v>
          </cell>
          <cell r="G1447">
            <v>4.6100000000000003</v>
          </cell>
        </row>
        <row r="1448">
          <cell r="E1448" t="str">
            <v/>
          </cell>
          <cell r="F1448" t="str">
            <v>Peso</v>
          </cell>
          <cell r="G1448">
            <v>0</v>
          </cell>
        </row>
        <row r="1449">
          <cell r="E1449" t="str">
            <v/>
          </cell>
          <cell r="F1449" t="str">
            <v>Peso</v>
          </cell>
          <cell r="G1449">
            <v>0</v>
          </cell>
        </row>
        <row r="1450">
          <cell r="E1450">
            <v>5053600</v>
          </cell>
          <cell r="F1450" t="str">
            <v>Peso</v>
          </cell>
          <cell r="G1450">
            <v>4.16</v>
          </cell>
        </row>
        <row r="1451">
          <cell r="E1451" t="str">
            <v/>
          </cell>
          <cell r="F1451" t="str">
            <v>Peso</v>
          </cell>
          <cell r="G1451">
            <v>14.35</v>
          </cell>
        </row>
        <row r="1452">
          <cell r="E1452" t="str">
            <v/>
          </cell>
          <cell r="F1452">
            <v>0</v>
          </cell>
          <cell r="G1452">
            <v>0</v>
          </cell>
        </row>
        <row r="1453">
          <cell r="E1453" t="str">
            <v/>
          </cell>
          <cell r="F1453" t="str">
            <v>Peso</v>
          </cell>
          <cell r="G1453">
            <v>21.42</v>
          </cell>
        </row>
        <row r="1454">
          <cell r="E1454" t="str">
            <v/>
          </cell>
          <cell r="F1454" t="str">
            <v>Peso</v>
          </cell>
          <cell r="G1454">
            <v>14.35</v>
          </cell>
        </row>
        <row r="1455">
          <cell r="E1455" t="str">
            <v/>
          </cell>
          <cell r="F1455" t="str">
            <v>Peso</v>
          </cell>
          <cell r="G1455">
            <v>21.42</v>
          </cell>
        </row>
        <row r="1456">
          <cell r="E1456" t="str">
            <v/>
          </cell>
          <cell r="F1456" t="str">
            <v>Peso</v>
          </cell>
          <cell r="G1456">
            <v>14.35</v>
          </cell>
        </row>
        <row r="1457">
          <cell r="E1457" t="str">
            <v/>
          </cell>
          <cell r="F1457" t="str">
            <v>Peso</v>
          </cell>
          <cell r="G1457">
            <v>14.35</v>
          </cell>
        </row>
        <row r="1458">
          <cell r="E1458" t="str">
            <v/>
          </cell>
          <cell r="F1458" t="str">
            <v>Peso</v>
          </cell>
          <cell r="G1458">
            <v>38.31</v>
          </cell>
        </row>
        <row r="1459">
          <cell r="E1459" t="str">
            <v/>
          </cell>
          <cell r="F1459" t="str">
            <v>Peso</v>
          </cell>
          <cell r="G1459">
            <v>39.119999999999997</v>
          </cell>
        </row>
        <row r="1460">
          <cell r="E1460" t="str">
            <v/>
          </cell>
          <cell r="F1460" t="str">
            <v>Peso</v>
          </cell>
          <cell r="G1460">
            <v>44.83</v>
          </cell>
        </row>
        <row r="1461">
          <cell r="E1461" t="str">
            <v/>
          </cell>
          <cell r="F1461" t="str">
            <v>Peso</v>
          </cell>
          <cell r="G1461">
            <v>35.840000000000003</v>
          </cell>
        </row>
        <row r="1462">
          <cell r="E1462" t="str">
            <v/>
          </cell>
          <cell r="F1462" t="str">
            <v>Peso</v>
          </cell>
          <cell r="G1462">
            <v>13.03</v>
          </cell>
        </row>
        <row r="1463">
          <cell r="E1463">
            <v>6087600</v>
          </cell>
          <cell r="F1463" t="str">
            <v>Peso</v>
          </cell>
          <cell r="G1463">
            <v>11.52</v>
          </cell>
        </row>
        <row r="1464">
          <cell r="E1464">
            <v>5119600</v>
          </cell>
          <cell r="F1464" t="str">
            <v>peso</v>
          </cell>
          <cell r="G1464">
            <v>69.73</v>
          </cell>
        </row>
        <row r="1465">
          <cell r="E1465">
            <v>5061600</v>
          </cell>
          <cell r="F1465" t="str">
            <v>Peso</v>
          </cell>
          <cell r="G1465">
            <v>14.06</v>
          </cell>
        </row>
        <row r="1466">
          <cell r="E1466">
            <v>5063600</v>
          </cell>
          <cell r="F1466" t="str">
            <v>Peso</v>
          </cell>
          <cell r="G1466">
            <v>3.78</v>
          </cell>
        </row>
        <row r="1467">
          <cell r="E1467">
            <v>0</v>
          </cell>
          <cell r="F1467">
            <v>0</v>
          </cell>
          <cell r="G1467">
            <v>0</v>
          </cell>
        </row>
        <row r="1468">
          <cell r="E1468" t="str">
            <v/>
          </cell>
          <cell r="F1468">
            <v>0</v>
          </cell>
          <cell r="G1468">
            <v>0</v>
          </cell>
        </row>
        <row r="1470">
          <cell r="E1470">
            <v>5159600</v>
          </cell>
          <cell r="F1470" t="str">
            <v>Peso</v>
          </cell>
          <cell r="G1470">
            <v>1140.6106800000002</v>
          </cell>
        </row>
        <row r="1471">
          <cell r="E1471">
            <v>5160600</v>
          </cell>
          <cell r="F1471" t="str">
            <v>Peso</v>
          </cell>
          <cell r="G1471">
            <v>1157.5515600000001</v>
          </cell>
        </row>
        <row r="1472">
          <cell r="E1472">
            <v>5161600</v>
          </cell>
          <cell r="F1472" t="str">
            <v>Peso</v>
          </cell>
          <cell r="G1472">
            <v>1244.3824800000002</v>
          </cell>
        </row>
        <row r="1473">
          <cell r="E1473" t="str">
            <v>5162600-</v>
          </cell>
          <cell r="F1473" t="str">
            <v>Peso</v>
          </cell>
          <cell r="G1473">
            <v>688.58856000000014</v>
          </cell>
        </row>
        <row r="1474">
          <cell r="E1474">
            <v>5163600</v>
          </cell>
          <cell r="F1474" t="str">
            <v>Peso</v>
          </cell>
          <cell r="G1474">
            <v>797.0529600000001</v>
          </cell>
        </row>
        <row r="1475">
          <cell r="E1475">
            <v>5164600</v>
          </cell>
          <cell r="F1475" t="str">
            <v>Peso</v>
          </cell>
          <cell r="G1475">
            <v>655.78788000000009</v>
          </cell>
        </row>
        <row r="1476">
          <cell r="E1476" t="str">
            <v/>
          </cell>
          <cell r="F1476" t="str">
            <v>Peso</v>
          </cell>
          <cell r="G1476">
            <v>772.20000000000016</v>
          </cell>
        </row>
        <row r="1477">
          <cell r="E1477" t="str">
            <v/>
          </cell>
          <cell r="F1477" t="str">
            <v>Peso</v>
          </cell>
          <cell r="G1477">
            <v>688.60044000000016</v>
          </cell>
        </row>
        <row r="1478">
          <cell r="E1478" t="str">
            <v/>
          </cell>
          <cell r="F1478" t="str">
            <v>Peso</v>
          </cell>
          <cell r="G1478">
            <v>688.60044000000016</v>
          </cell>
        </row>
        <row r="1479">
          <cell r="E1479" t="str">
            <v/>
          </cell>
          <cell r="F1479" t="str">
            <v>Peso</v>
          </cell>
          <cell r="G1479">
            <v>584.98308000000009</v>
          </cell>
        </row>
        <row r="1480">
          <cell r="E1480">
            <v>5165600</v>
          </cell>
          <cell r="F1480" t="str">
            <v>Peso</v>
          </cell>
          <cell r="G1480">
            <v>655.78788000000009</v>
          </cell>
        </row>
        <row r="1481">
          <cell r="E1481" t="str">
            <v/>
          </cell>
          <cell r="F1481" t="str">
            <v>Peso</v>
          </cell>
          <cell r="G1481">
            <v>1244.3824800000002</v>
          </cell>
        </row>
        <row r="1482">
          <cell r="E1482" t="str">
            <v/>
          </cell>
          <cell r="F1482" t="str">
            <v>Peso</v>
          </cell>
          <cell r="G1482">
            <v>688.60044000000016</v>
          </cell>
        </row>
        <row r="1483">
          <cell r="E1483">
            <v>5709600</v>
          </cell>
          <cell r="F1483" t="str">
            <v>Peso</v>
          </cell>
          <cell r="G1483">
            <v>643.55080878000012</v>
          </cell>
        </row>
        <row r="1484">
          <cell r="E1484">
            <v>5675600</v>
          </cell>
          <cell r="F1484" t="str">
            <v>Peso</v>
          </cell>
          <cell r="G1484">
            <v>1240.9729200000002</v>
          </cell>
        </row>
        <row r="1485">
          <cell r="E1485">
            <v>7979600</v>
          </cell>
          <cell r="F1485" t="str">
            <v>Peso</v>
          </cell>
          <cell r="G1485">
            <v>723.04056000000014</v>
          </cell>
        </row>
        <row r="1486">
          <cell r="E1486" t="str">
            <v/>
          </cell>
          <cell r="F1486" t="str">
            <v>Peso</v>
          </cell>
          <cell r="G1486">
            <v>723.04056000000014</v>
          </cell>
        </row>
        <row r="1487">
          <cell r="E1487" t="str">
            <v/>
          </cell>
          <cell r="F1487" t="str">
            <v>Peso</v>
          </cell>
          <cell r="G1487">
            <v>688.60044000000016</v>
          </cell>
        </row>
        <row r="1488">
          <cell r="E1488" t="str">
            <v/>
          </cell>
          <cell r="F1488" t="str">
            <v>Peso</v>
          </cell>
          <cell r="G1488">
            <v>643.55080878000012</v>
          </cell>
        </row>
        <row r="1489">
          <cell r="E1489" t="str">
            <v/>
          </cell>
          <cell r="F1489" t="str">
            <v>Peso</v>
          </cell>
          <cell r="G1489">
            <v>572.75</v>
          </cell>
        </row>
        <row r="1490">
          <cell r="E1490">
            <v>5020600</v>
          </cell>
          <cell r="F1490" t="str">
            <v>Peso</v>
          </cell>
          <cell r="G1490">
            <v>1141.6323600000001</v>
          </cell>
        </row>
        <row r="1491">
          <cell r="E1491">
            <v>5674600</v>
          </cell>
          <cell r="F1491" t="str">
            <v>Peso</v>
          </cell>
          <cell r="G1491">
            <v>1244.3824800000002</v>
          </cell>
        </row>
        <row r="1492">
          <cell r="E1492" t="str">
            <v/>
          </cell>
          <cell r="F1492" t="str">
            <v>Peso</v>
          </cell>
          <cell r="G1492">
            <v>572.75</v>
          </cell>
        </row>
        <row r="1493">
          <cell r="E1493">
            <v>1152500</v>
          </cell>
          <cell r="F1493" t="str">
            <v>Peso</v>
          </cell>
          <cell r="G1493">
            <v>572.75</v>
          </cell>
        </row>
        <row r="1494">
          <cell r="E1494" t="str">
            <v/>
          </cell>
          <cell r="F1494" t="str">
            <v>Peso</v>
          </cell>
          <cell r="G1494">
            <v>20611.800000000003</v>
          </cell>
        </row>
        <row r="1495">
          <cell r="E1495" t="str">
            <v/>
          </cell>
          <cell r="F1495" t="str">
            <v>Peso</v>
          </cell>
          <cell r="G1495">
            <v>19958.400000000001</v>
          </cell>
        </row>
        <row r="1496">
          <cell r="E1496" t="str">
            <v/>
          </cell>
          <cell r="F1496" t="str">
            <v>Peso</v>
          </cell>
          <cell r="G1496">
            <v>15800.400000000003</v>
          </cell>
        </row>
        <row r="1497">
          <cell r="E1497" t="str">
            <v/>
          </cell>
          <cell r="F1497" t="str">
            <v>Peso</v>
          </cell>
          <cell r="G1497">
            <v>0</v>
          </cell>
        </row>
        <row r="1498">
          <cell r="E1498">
            <v>5718600</v>
          </cell>
          <cell r="F1498" t="str">
            <v>Peso</v>
          </cell>
          <cell r="G1498">
            <v>688.60044000000016</v>
          </cell>
        </row>
        <row r="1499">
          <cell r="E1499">
            <v>5689600</v>
          </cell>
          <cell r="F1499" t="str">
            <v>Peso</v>
          </cell>
          <cell r="G1499">
            <v>688.60044000000016</v>
          </cell>
        </row>
        <row r="1500">
          <cell r="E1500" t="str">
            <v/>
          </cell>
          <cell r="F1500" t="str">
            <v>Peso</v>
          </cell>
          <cell r="G1500">
            <v>885.61836000000017</v>
          </cell>
        </row>
        <row r="1501">
          <cell r="E1501" t="str">
            <v/>
          </cell>
          <cell r="F1501" t="str">
            <v>Peso</v>
          </cell>
          <cell r="G1501">
            <v>688.60044000000016</v>
          </cell>
        </row>
        <row r="1502">
          <cell r="E1502">
            <v>5708600</v>
          </cell>
          <cell r="F1502" t="str">
            <v>Peso</v>
          </cell>
          <cell r="G1502">
            <v>1243.7409600000001</v>
          </cell>
        </row>
        <row r="1503">
          <cell r="E1503" t="str">
            <v/>
          </cell>
          <cell r="F1503" t="str">
            <v>Peso</v>
          </cell>
          <cell r="G1503">
            <v>687.60360000000003</v>
          </cell>
        </row>
        <row r="1504">
          <cell r="E1504">
            <v>5990600</v>
          </cell>
          <cell r="F1504" t="str">
            <v>Peso</v>
          </cell>
          <cell r="G1504">
            <v>1244.3824800000002</v>
          </cell>
        </row>
        <row r="1505">
          <cell r="E1505" t="str">
            <v/>
          </cell>
          <cell r="F1505" t="str">
            <v>Peso</v>
          </cell>
          <cell r="G1505">
            <v>643.55148000000008</v>
          </cell>
        </row>
        <row r="1506">
          <cell r="E1506">
            <v>5993600</v>
          </cell>
          <cell r="F1506" t="str">
            <v>Peso</v>
          </cell>
          <cell r="G1506">
            <v>1244.3706000000002</v>
          </cell>
        </row>
        <row r="1507">
          <cell r="E1507">
            <v>5994600</v>
          </cell>
          <cell r="F1507" t="str">
            <v>Peso</v>
          </cell>
          <cell r="G1507">
            <v>688.60044000000016</v>
          </cell>
        </row>
        <row r="1508">
          <cell r="E1508">
            <v>6006600</v>
          </cell>
          <cell r="F1508" t="str">
            <v>Peso</v>
          </cell>
          <cell r="G1508">
            <v>895.57380000000023</v>
          </cell>
        </row>
        <row r="1509">
          <cell r="E1509">
            <v>6012600</v>
          </cell>
          <cell r="F1509" t="str">
            <v>Peso</v>
          </cell>
          <cell r="G1509">
            <v>1330.33428</v>
          </cell>
        </row>
        <row r="1510">
          <cell r="E1510">
            <v>6024600</v>
          </cell>
          <cell r="F1510" t="str">
            <v>Peso</v>
          </cell>
          <cell r="G1510">
            <v>1672.1456400000002</v>
          </cell>
        </row>
        <row r="1511">
          <cell r="E1511">
            <v>6025600</v>
          </cell>
          <cell r="F1511" t="str">
            <v>Peso</v>
          </cell>
          <cell r="G1511">
            <v>1672.1456400000002</v>
          </cell>
        </row>
        <row r="1512">
          <cell r="E1512">
            <v>6026600</v>
          </cell>
          <cell r="F1512" t="str">
            <v>Peso</v>
          </cell>
          <cell r="G1512">
            <v>1672.1456400000002</v>
          </cell>
        </row>
        <row r="1513">
          <cell r="E1513">
            <v>6018600</v>
          </cell>
          <cell r="F1513" t="str">
            <v>Peso</v>
          </cell>
          <cell r="G1513">
            <v>0</v>
          </cell>
        </row>
        <row r="1514">
          <cell r="E1514">
            <v>6033600</v>
          </cell>
          <cell r="F1514" t="str">
            <v>Peso</v>
          </cell>
          <cell r="G1514">
            <v>0</v>
          </cell>
        </row>
        <row r="1515">
          <cell r="E1515" t="str">
            <v/>
          </cell>
          <cell r="F1515" t="str">
            <v>Peso</v>
          </cell>
          <cell r="G1515">
            <v>0</v>
          </cell>
        </row>
        <row r="1516">
          <cell r="E1516">
            <v>6042600</v>
          </cell>
          <cell r="F1516" t="str">
            <v>Peso</v>
          </cell>
          <cell r="G1516">
            <v>1330.33428</v>
          </cell>
        </row>
        <row r="1517">
          <cell r="E1517">
            <v>6081600</v>
          </cell>
          <cell r="F1517" t="str">
            <v>Peso</v>
          </cell>
          <cell r="G1517">
            <v>1672.1456400000002</v>
          </cell>
        </row>
        <row r="1518">
          <cell r="E1518">
            <v>6082600</v>
          </cell>
          <cell r="F1518" t="str">
            <v>Peso</v>
          </cell>
          <cell r="G1518">
            <v>1672.1456400000002</v>
          </cell>
        </row>
        <row r="1519">
          <cell r="E1519" t="str">
            <v/>
          </cell>
          <cell r="F1519" t="str">
            <v>Peso</v>
          </cell>
          <cell r="G1519">
            <v>0</v>
          </cell>
        </row>
        <row r="1520">
          <cell r="E1520">
            <v>0</v>
          </cell>
          <cell r="F1520" t="str">
            <v>Peso</v>
          </cell>
          <cell r="G1520">
            <v>0</v>
          </cell>
        </row>
        <row r="1521">
          <cell r="E1521">
            <v>0</v>
          </cell>
          <cell r="F1521" t="str">
            <v>Peso</v>
          </cell>
          <cell r="G1521">
            <v>688.60044000000016</v>
          </cell>
        </row>
        <row r="1522">
          <cell r="E1522">
            <v>0</v>
          </cell>
          <cell r="F1522">
            <v>0</v>
          </cell>
          <cell r="G1522">
            <v>0</v>
          </cell>
        </row>
        <row r="1524">
          <cell r="E1524" t="str">
            <v/>
          </cell>
          <cell r="F1524">
            <v>0</v>
          </cell>
          <cell r="G1524">
            <v>0</v>
          </cell>
        </row>
        <row r="1525">
          <cell r="E1525" t="str">
            <v/>
          </cell>
          <cell r="F1525">
            <v>0</v>
          </cell>
          <cell r="G1525" t="str">
            <v>Ultimo $ proveedor</v>
          </cell>
        </row>
        <row r="1526">
          <cell r="E1526" t="str">
            <v/>
          </cell>
          <cell r="F1526">
            <v>0</v>
          </cell>
          <cell r="G1526">
            <v>0</v>
          </cell>
        </row>
        <row r="1527">
          <cell r="E1527" t="str">
            <v/>
          </cell>
          <cell r="F1527">
            <v>0</v>
          </cell>
          <cell r="G1527">
            <v>0</v>
          </cell>
        </row>
        <row r="1528">
          <cell r="E1528" t="str">
            <v/>
          </cell>
          <cell r="F1528">
            <v>0</v>
          </cell>
          <cell r="G1528">
            <v>0</v>
          </cell>
        </row>
        <row r="1529">
          <cell r="E1529" t="str">
            <v/>
          </cell>
          <cell r="F1529">
            <v>0</v>
          </cell>
          <cell r="G1529">
            <v>0</v>
          </cell>
        </row>
        <row r="1530">
          <cell r="E1530" t="str">
            <v/>
          </cell>
          <cell r="F1530">
            <v>0</v>
          </cell>
          <cell r="G1530">
            <v>0</v>
          </cell>
        </row>
        <row r="1531">
          <cell r="E1531" t="str">
            <v/>
          </cell>
          <cell r="F1531">
            <v>0</v>
          </cell>
          <cell r="G1531">
            <v>0</v>
          </cell>
        </row>
        <row r="1532">
          <cell r="E1532" t="str">
            <v/>
          </cell>
          <cell r="F1532">
            <v>0</v>
          </cell>
          <cell r="G1532">
            <v>0</v>
          </cell>
        </row>
        <row r="1533">
          <cell r="E1533" t="str">
            <v/>
          </cell>
          <cell r="F1533">
            <v>0</v>
          </cell>
          <cell r="G1533">
            <v>0</v>
          </cell>
        </row>
        <row r="1534">
          <cell r="E1534" t="str">
            <v/>
          </cell>
          <cell r="F1534">
            <v>0</v>
          </cell>
          <cell r="G1534">
            <v>0</v>
          </cell>
        </row>
        <row r="1535">
          <cell r="E1535" t="str">
            <v/>
          </cell>
          <cell r="F1535">
            <v>0</v>
          </cell>
          <cell r="G1535">
            <v>0</v>
          </cell>
        </row>
        <row r="1536">
          <cell r="E1536" t="str">
            <v/>
          </cell>
          <cell r="F1536">
            <v>0</v>
          </cell>
          <cell r="G1536">
            <v>0</v>
          </cell>
        </row>
        <row r="1537">
          <cell r="E1537" t="str">
            <v/>
          </cell>
          <cell r="F1537">
            <v>0</v>
          </cell>
          <cell r="G1537">
            <v>0</v>
          </cell>
        </row>
        <row r="1538">
          <cell r="E1538" t="str">
            <v/>
          </cell>
          <cell r="F1538">
            <v>0</v>
          </cell>
          <cell r="G1538">
            <v>0</v>
          </cell>
        </row>
        <row r="1539">
          <cell r="E1539" t="str">
            <v/>
          </cell>
          <cell r="F1539">
            <v>0</v>
          </cell>
          <cell r="G1539">
            <v>0</v>
          </cell>
        </row>
        <row r="1540">
          <cell r="E1540" t="str">
            <v/>
          </cell>
          <cell r="F1540">
            <v>0</v>
          </cell>
          <cell r="G1540">
            <v>0</v>
          </cell>
        </row>
        <row r="1541">
          <cell r="E1541" t="str">
            <v/>
          </cell>
          <cell r="F1541">
            <v>0</v>
          </cell>
          <cell r="G1541">
            <v>0</v>
          </cell>
        </row>
        <row r="1542">
          <cell r="E1542" t="str">
            <v/>
          </cell>
          <cell r="F1542">
            <v>0</v>
          </cell>
          <cell r="G1542">
            <v>0</v>
          </cell>
        </row>
        <row r="1543">
          <cell r="E1543" t="str">
            <v/>
          </cell>
          <cell r="F1543">
            <v>0</v>
          </cell>
          <cell r="G1543">
            <v>0</v>
          </cell>
        </row>
        <row r="1544">
          <cell r="E1544" t="str">
            <v/>
          </cell>
          <cell r="F1544">
            <v>0</v>
          </cell>
          <cell r="G1544">
            <v>0</v>
          </cell>
        </row>
        <row r="1545">
          <cell r="E1545" t="str">
            <v/>
          </cell>
          <cell r="F1545">
            <v>0</v>
          </cell>
          <cell r="G1545">
            <v>0</v>
          </cell>
        </row>
        <row r="1546">
          <cell r="E1546" t="str">
            <v/>
          </cell>
          <cell r="F1546">
            <v>0</v>
          </cell>
          <cell r="G1546">
            <v>0</v>
          </cell>
        </row>
        <row r="1547">
          <cell r="E1547" t="str">
            <v/>
          </cell>
          <cell r="F1547">
            <v>0</v>
          </cell>
          <cell r="G1547">
            <v>0</v>
          </cell>
        </row>
        <row r="1548">
          <cell r="E1548" t="str">
            <v/>
          </cell>
          <cell r="F1548">
            <v>0</v>
          </cell>
          <cell r="G1548">
            <v>0</v>
          </cell>
        </row>
        <row r="1549">
          <cell r="E1549" t="str">
            <v/>
          </cell>
          <cell r="F1549">
            <v>0</v>
          </cell>
          <cell r="G1549">
            <v>0</v>
          </cell>
        </row>
        <row r="1550">
          <cell r="E1550" t="str">
            <v/>
          </cell>
          <cell r="F1550">
            <v>0</v>
          </cell>
          <cell r="G1550">
            <v>0</v>
          </cell>
        </row>
        <row r="1551">
          <cell r="E1551" t="str">
            <v/>
          </cell>
          <cell r="F1551">
            <v>0</v>
          </cell>
          <cell r="G1551">
            <v>0</v>
          </cell>
        </row>
        <row r="1554">
          <cell r="E1554" t="str">
            <v/>
          </cell>
          <cell r="F1554">
            <v>0</v>
          </cell>
          <cell r="G1554">
            <v>0</v>
          </cell>
        </row>
        <row r="1555">
          <cell r="E1555" t="str">
            <v/>
          </cell>
          <cell r="F1555">
            <v>0</v>
          </cell>
          <cell r="G1555" t="str">
            <v>Juan José Paso 2057</v>
          </cell>
        </row>
        <row r="1556">
          <cell r="E1556" t="str">
            <v/>
          </cell>
          <cell r="F1556">
            <v>0</v>
          </cell>
          <cell r="G1556" t="str">
            <v>Ultimo $ proveedor</v>
          </cell>
        </row>
        <row r="1557">
          <cell r="E1557" t="str">
            <v/>
          </cell>
          <cell r="F1557" t="str">
            <v>Peso</v>
          </cell>
          <cell r="G1557">
            <v>7.8</v>
          </cell>
        </row>
        <row r="1558">
          <cell r="E1558" t="str">
            <v/>
          </cell>
          <cell r="F1558" t="str">
            <v>Peso</v>
          </cell>
          <cell r="G1558">
            <v>6.56</v>
          </cell>
        </row>
        <row r="1559">
          <cell r="E1559" t="str">
            <v/>
          </cell>
          <cell r="F1559" t="str">
            <v>Peso</v>
          </cell>
          <cell r="G1559">
            <v>5.14</v>
          </cell>
        </row>
        <row r="1560">
          <cell r="E1560" t="str">
            <v/>
          </cell>
          <cell r="F1560">
            <v>0</v>
          </cell>
          <cell r="G1560">
            <v>0</v>
          </cell>
        </row>
        <row r="1561">
          <cell r="E1561" t="str">
            <v/>
          </cell>
          <cell r="F1561" t="str">
            <v>Peso</v>
          </cell>
          <cell r="G1561">
            <v>0.44</v>
          </cell>
        </row>
        <row r="1562">
          <cell r="E1562" t="str">
            <v/>
          </cell>
          <cell r="F1562" t="str">
            <v>Peso</v>
          </cell>
          <cell r="G1562">
            <v>2.2999999999999998</v>
          </cell>
        </row>
        <row r="1563">
          <cell r="E1563" t="str">
            <v/>
          </cell>
          <cell r="F1563" t="str">
            <v>Peso</v>
          </cell>
          <cell r="G1563">
            <v>7.75</v>
          </cell>
        </row>
        <row r="1564">
          <cell r="E1564" t="str">
            <v/>
          </cell>
          <cell r="F1564" t="str">
            <v>Peso</v>
          </cell>
          <cell r="G1564">
            <v>0.38</v>
          </cell>
        </row>
        <row r="1565">
          <cell r="E1565" t="str">
            <v/>
          </cell>
          <cell r="F1565" t="str">
            <v>Peso</v>
          </cell>
          <cell r="G1565">
            <v>3.37</v>
          </cell>
        </row>
        <row r="1566">
          <cell r="E1566" t="str">
            <v/>
          </cell>
          <cell r="F1566" t="str">
            <v>Peso</v>
          </cell>
          <cell r="G1566">
            <v>3.37</v>
          </cell>
        </row>
        <row r="1567">
          <cell r="E1567" t="str">
            <v/>
          </cell>
          <cell r="F1567" t="str">
            <v>Peso</v>
          </cell>
          <cell r="G1567">
            <v>0.39</v>
          </cell>
        </row>
        <row r="1568">
          <cell r="E1568" t="str">
            <v/>
          </cell>
          <cell r="F1568">
            <v>0</v>
          </cell>
          <cell r="G1568">
            <v>0</v>
          </cell>
        </row>
        <row r="1569">
          <cell r="E1569" t="str">
            <v/>
          </cell>
          <cell r="F1569">
            <v>0</v>
          </cell>
          <cell r="G1569" t="str">
            <v>Potosí 4802 - José C Paz.</v>
          </cell>
        </row>
        <row r="1570">
          <cell r="E1570" t="str">
            <v/>
          </cell>
          <cell r="F1570">
            <v>0</v>
          </cell>
          <cell r="G1570" t="str">
            <v>Ultimo $ proveedor</v>
          </cell>
        </row>
        <row r="1571">
          <cell r="E1571" t="str">
            <v/>
          </cell>
          <cell r="F1571" t="str">
            <v>Peso</v>
          </cell>
          <cell r="G1571">
            <v>852.75</v>
          </cell>
        </row>
        <row r="1572">
          <cell r="E1572" t="str">
            <v/>
          </cell>
          <cell r="F1572">
            <v>0</v>
          </cell>
          <cell r="G1572">
            <v>0</v>
          </cell>
        </row>
        <row r="1573">
          <cell r="E1573" t="str">
            <v/>
          </cell>
          <cell r="F1573">
            <v>0</v>
          </cell>
          <cell r="G1573">
            <v>0</v>
          </cell>
        </row>
        <row r="1574">
          <cell r="E1574" t="str">
            <v/>
          </cell>
          <cell r="F1574">
            <v>0</v>
          </cell>
          <cell r="G1574" t="str">
            <v>Ultimo $ proveedor</v>
          </cell>
        </row>
        <row r="1575">
          <cell r="E1575" t="str">
            <v/>
          </cell>
          <cell r="F1575" t="str">
            <v>Peso</v>
          </cell>
          <cell r="G1575">
            <v>125</v>
          </cell>
        </row>
        <row r="1576">
          <cell r="E1576" t="str">
            <v/>
          </cell>
          <cell r="F1576" t="str">
            <v>Peso</v>
          </cell>
          <cell r="G1576">
            <v>111.9</v>
          </cell>
        </row>
        <row r="1577">
          <cell r="E1577" t="str">
            <v/>
          </cell>
          <cell r="F1577" t="str">
            <v>Peso</v>
          </cell>
          <cell r="G1577">
            <v>111.9</v>
          </cell>
        </row>
        <row r="1578">
          <cell r="E1578" t="str">
            <v/>
          </cell>
          <cell r="F1578" t="str">
            <v>Peso</v>
          </cell>
          <cell r="G1578">
            <v>100.5</v>
          </cell>
        </row>
        <row r="1579">
          <cell r="E1579" t="str">
            <v/>
          </cell>
          <cell r="F1579" t="str">
            <v>Peso</v>
          </cell>
          <cell r="G1579">
            <v>100.5</v>
          </cell>
        </row>
        <row r="1580">
          <cell r="E1580" t="str">
            <v/>
          </cell>
          <cell r="F1580" t="str">
            <v>Peso</v>
          </cell>
          <cell r="G1580">
            <v>99.4</v>
          </cell>
        </row>
        <row r="1581">
          <cell r="E1581" t="str">
            <v/>
          </cell>
          <cell r="F1581" t="str">
            <v>Peso</v>
          </cell>
          <cell r="G1581">
            <v>99.4</v>
          </cell>
        </row>
        <row r="1582">
          <cell r="E1582" t="str">
            <v/>
          </cell>
          <cell r="F1582">
            <v>0</v>
          </cell>
          <cell r="G1582">
            <v>0</v>
          </cell>
        </row>
        <row r="1584">
          <cell r="E1584" t="str">
            <v/>
          </cell>
          <cell r="F1584">
            <v>0</v>
          </cell>
          <cell r="G1584">
            <v>0</v>
          </cell>
        </row>
        <row r="1585">
          <cell r="E1585" t="str">
            <v/>
          </cell>
          <cell r="F1585">
            <v>0</v>
          </cell>
          <cell r="G1585" t="str">
            <v>Ultimo $ proveedor</v>
          </cell>
        </row>
        <row r="1586">
          <cell r="E1586" t="str">
            <v/>
          </cell>
          <cell r="F1586" t="str">
            <v>Peso</v>
          </cell>
          <cell r="G1586">
            <v>53.199999999999996</v>
          </cell>
        </row>
        <row r="1587">
          <cell r="E1587" t="str">
            <v/>
          </cell>
          <cell r="F1587" t="str">
            <v>Peso</v>
          </cell>
          <cell r="G1587">
            <v>56</v>
          </cell>
        </row>
        <row r="1588">
          <cell r="E1588" t="str">
            <v/>
          </cell>
          <cell r="F1588" t="str">
            <v>Peso</v>
          </cell>
          <cell r="G1588">
            <v>88</v>
          </cell>
        </row>
        <row r="1589">
          <cell r="E1589" t="str">
            <v/>
          </cell>
          <cell r="F1589" t="str">
            <v>Peso</v>
          </cell>
          <cell r="G1589">
            <v>0</v>
          </cell>
        </row>
        <row r="1590">
          <cell r="E1590" t="str">
            <v/>
          </cell>
          <cell r="F1590" t="str">
            <v>Peso</v>
          </cell>
          <cell r="G1590">
            <v>0</v>
          </cell>
        </row>
        <row r="1591">
          <cell r="E1591" t="str">
            <v/>
          </cell>
          <cell r="F1591" t="str">
            <v>Peso</v>
          </cell>
          <cell r="G1591">
            <v>0</v>
          </cell>
        </row>
        <row r="1593">
          <cell r="E1593" t="str">
            <v/>
          </cell>
          <cell r="F1593">
            <v>0</v>
          </cell>
          <cell r="G1593">
            <v>0</v>
          </cell>
        </row>
        <row r="1594">
          <cell r="E1594" t="str">
            <v/>
          </cell>
          <cell r="F1594">
            <v>0</v>
          </cell>
          <cell r="G1594">
            <v>0</v>
          </cell>
        </row>
        <row r="1595">
          <cell r="E1595" t="str">
            <v/>
          </cell>
          <cell r="F1595">
            <v>0</v>
          </cell>
          <cell r="G1595" t="str">
            <v>Ultimo $ proveedor</v>
          </cell>
        </row>
        <row r="1597">
          <cell r="E1597" t="str">
            <v/>
          </cell>
          <cell r="F1597">
            <v>0</v>
          </cell>
          <cell r="G1597">
            <v>0</v>
          </cell>
        </row>
        <row r="1598">
          <cell r="E1598" t="str">
            <v/>
          </cell>
          <cell r="F1598">
            <v>0</v>
          </cell>
          <cell r="G1598" t="str">
            <v>Mariano Necochea 386</v>
          </cell>
        </row>
        <row r="1599">
          <cell r="E1599" t="str">
            <v/>
          </cell>
          <cell r="F1599">
            <v>0</v>
          </cell>
          <cell r="G1599" t="str">
            <v>Ultimo $ proveedor</v>
          </cell>
        </row>
        <row r="1600">
          <cell r="E1600">
            <v>248</v>
          </cell>
          <cell r="F1600" t="str">
            <v>Peso</v>
          </cell>
          <cell r="G1600">
            <v>2.68</v>
          </cell>
        </row>
        <row r="1601">
          <cell r="E1601">
            <v>336</v>
          </cell>
          <cell r="F1601" t="str">
            <v>Peso</v>
          </cell>
          <cell r="G1601">
            <v>9.2357958910720015</v>
          </cell>
        </row>
        <row r="1602">
          <cell r="E1602">
            <v>332</v>
          </cell>
          <cell r="F1602" t="str">
            <v>Peso</v>
          </cell>
          <cell r="G1602">
            <v>9.3367335510837179</v>
          </cell>
        </row>
        <row r="1604">
          <cell r="E1604" t="str">
            <v/>
          </cell>
          <cell r="F1604" t="str">
            <v>Peso</v>
          </cell>
          <cell r="G1604">
            <v>4.87</v>
          </cell>
        </row>
        <row r="1605">
          <cell r="E1605" t="str">
            <v/>
          </cell>
          <cell r="F1605" t="str">
            <v>Peso</v>
          </cell>
          <cell r="G1605">
            <v>4.57</v>
          </cell>
        </row>
        <row r="1607">
          <cell r="E1607" t="str">
            <v/>
          </cell>
          <cell r="F1607" t="str">
            <v>Peso</v>
          </cell>
          <cell r="G1607">
            <v>0</v>
          </cell>
        </row>
        <row r="1608">
          <cell r="E1608" t="str">
            <v/>
          </cell>
          <cell r="F1608" t="str">
            <v>Peso</v>
          </cell>
          <cell r="G1608">
            <v>15.65</v>
          </cell>
        </row>
        <row r="1609">
          <cell r="E1609" t="str">
            <v/>
          </cell>
          <cell r="F1609" t="str">
            <v>Peso</v>
          </cell>
          <cell r="G1609">
            <v>0</v>
          </cell>
        </row>
        <row r="1610">
          <cell r="E1610" t="str">
            <v/>
          </cell>
          <cell r="F1610">
            <v>0</v>
          </cell>
          <cell r="G1610">
            <v>0</v>
          </cell>
        </row>
        <row r="1611">
          <cell r="E1611" t="str">
            <v/>
          </cell>
          <cell r="F1611" t="str">
            <v>Peso</v>
          </cell>
          <cell r="G1611">
            <v>41.73</v>
          </cell>
        </row>
        <row r="1612">
          <cell r="E1612" t="str">
            <v/>
          </cell>
          <cell r="F1612" t="str">
            <v>Peso</v>
          </cell>
          <cell r="G1612">
            <v>0</v>
          </cell>
        </row>
        <row r="1613">
          <cell r="E1613" t="str">
            <v/>
          </cell>
          <cell r="F1613" t="str">
            <v>Peso</v>
          </cell>
          <cell r="G1613">
            <v>15.65</v>
          </cell>
        </row>
        <row r="1614">
          <cell r="E1614" t="str">
            <v/>
          </cell>
          <cell r="F1614" t="str">
            <v>Peso</v>
          </cell>
          <cell r="G1614">
            <v>0</v>
          </cell>
        </row>
        <row r="1615">
          <cell r="E1615" t="str">
            <v/>
          </cell>
          <cell r="F1615" t="str">
            <v>Peso</v>
          </cell>
          <cell r="G1615">
            <v>28.7</v>
          </cell>
        </row>
        <row r="1616">
          <cell r="E1616" t="str">
            <v/>
          </cell>
          <cell r="F1616" t="str">
            <v>Peso</v>
          </cell>
          <cell r="G1616">
            <v>39.119999999999997</v>
          </cell>
        </row>
        <row r="1617">
          <cell r="E1617" t="str">
            <v/>
          </cell>
          <cell r="F1617" t="str">
            <v>Peso</v>
          </cell>
          <cell r="G1617">
            <v>41.73</v>
          </cell>
        </row>
        <row r="1618">
          <cell r="E1618" t="str">
            <v/>
          </cell>
          <cell r="F1618" t="str">
            <v>Peso</v>
          </cell>
          <cell r="G1618">
            <v>39.119999999999997</v>
          </cell>
        </row>
        <row r="1619">
          <cell r="E1619" t="str">
            <v/>
          </cell>
          <cell r="F1619" t="str">
            <v>Peso</v>
          </cell>
          <cell r="G1619">
            <v>39.119999999999997</v>
          </cell>
        </row>
        <row r="1620">
          <cell r="E1620" t="str">
            <v/>
          </cell>
          <cell r="F1620" t="str">
            <v>Peso</v>
          </cell>
          <cell r="G1620">
            <v>0</v>
          </cell>
        </row>
        <row r="1621">
          <cell r="E1621" t="str">
            <v/>
          </cell>
          <cell r="F1621" t="str">
            <v>Peso</v>
          </cell>
          <cell r="G1621">
            <v>15.65</v>
          </cell>
        </row>
        <row r="1622">
          <cell r="E1622" t="str">
            <v/>
          </cell>
          <cell r="F1622" t="str">
            <v>Peso</v>
          </cell>
          <cell r="G1622">
            <v>28.7</v>
          </cell>
        </row>
        <row r="1623">
          <cell r="E1623" t="str">
            <v/>
          </cell>
          <cell r="F1623" t="str">
            <v>Peso</v>
          </cell>
          <cell r="G1623">
            <v>0</v>
          </cell>
        </row>
        <row r="1624">
          <cell r="E1624" t="str">
            <v/>
          </cell>
          <cell r="F1624" t="str">
            <v>Peso</v>
          </cell>
          <cell r="G1624">
            <v>0</v>
          </cell>
        </row>
        <row r="1625">
          <cell r="E1625" t="str">
            <v/>
          </cell>
          <cell r="F1625" t="str">
            <v>Peso</v>
          </cell>
          <cell r="G1625">
            <v>15.65</v>
          </cell>
        </row>
        <row r="1626">
          <cell r="E1626" t="str">
            <v/>
          </cell>
          <cell r="F1626" t="str">
            <v>Peso</v>
          </cell>
          <cell r="G1626">
            <v>15.65</v>
          </cell>
        </row>
        <row r="1627">
          <cell r="E1627" t="str">
            <v/>
          </cell>
          <cell r="F1627" t="str">
            <v>Peso</v>
          </cell>
          <cell r="G1627">
            <v>15.65</v>
          </cell>
        </row>
        <row r="1628">
          <cell r="E1628" t="str">
            <v/>
          </cell>
          <cell r="F1628" t="str">
            <v>Peso</v>
          </cell>
          <cell r="G1628">
            <v>0</v>
          </cell>
        </row>
        <row r="1629">
          <cell r="E1629" t="str">
            <v/>
          </cell>
          <cell r="F1629" t="str">
            <v>Peso</v>
          </cell>
          <cell r="G1629">
            <v>39.119999999999997</v>
          </cell>
        </row>
        <row r="1630">
          <cell r="E1630" t="str">
            <v/>
          </cell>
          <cell r="F1630" t="str">
            <v>Peso</v>
          </cell>
          <cell r="G1630">
            <v>41.73</v>
          </cell>
        </row>
        <row r="1631">
          <cell r="E1631" t="str">
            <v/>
          </cell>
          <cell r="F1631" t="str">
            <v>Peso</v>
          </cell>
          <cell r="G1631">
            <v>41.73</v>
          </cell>
        </row>
        <row r="1632">
          <cell r="E1632" t="str">
            <v/>
          </cell>
          <cell r="F1632" t="str">
            <v>Peso</v>
          </cell>
          <cell r="G1632">
            <v>39.119999999999997</v>
          </cell>
        </row>
        <row r="1633">
          <cell r="E1633" t="str">
            <v/>
          </cell>
          <cell r="F1633" t="str">
            <v>Peso</v>
          </cell>
          <cell r="G1633">
            <v>39.119999999999997</v>
          </cell>
        </row>
        <row r="1635">
          <cell r="E1635" t="str">
            <v/>
          </cell>
          <cell r="F1635">
            <v>0</v>
          </cell>
          <cell r="G1635">
            <v>0</v>
          </cell>
        </row>
        <row r="1636">
          <cell r="E1636" t="str">
            <v/>
          </cell>
          <cell r="F1636">
            <v>0</v>
          </cell>
          <cell r="G1636" t="str">
            <v>Asunción 3311</v>
          </cell>
        </row>
        <row r="1637">
          <cell r="E1637" t="str">
            <v/>
          </cell>
          <cell r="F1637">
            <v>0</v>
          </cell>
          <cell r="G1637" t="str">
            <v>Ultimo $ proveedor</v>
          </cell>
        </row>
        <row r="1638">
          <cell r="E1638" t="str">
            <v/>
          </cell>
          <cell r="F1638" t="str">
            <v>Peso</v>
          </cell>
          <cell r="G1638">
            <v>776.82</v>
          </cell>
        </row>
        <row r="1639">
          <cell r="E1639" t="str">
            <v/>
          </cell>
          <cell r="F1639" t="str">
            <v>Peso</v>
          </cell>
          <cell r="G1639">
            <v>10.54</v>
          </cell>
        </row>
        <row r="1640">
          <cell r="E1640" t="str">
            <v/>
          </cell>
          <cell r="F1640" t="str">
            <v>Peso</v>
          </cell>
          <cell r="G1640">
            <v>17.48</v>
          </cell>
        </row>
        <row r="1641">
          <cell r="E1641" t="str">
            <v/>
          </cell>
          <cell r="F1641" t="str">
            <v>Peso</v>
          </cell>
          <cell r="G1641">
            <v>37.04</v>
          </cell>
        </row>
        <row r="1642">
          <cell r="E1642">
            <v>0</v>
          </cell>
          <cell r="F1642" t="str">
            <v>Peso</v>
          </cell>
          <cell r="G1642">
            <v>2.12</v>
          </cell>
        </row>
        <row r="1643">
          <cell r="E1643">
            <v>0</v>
          </cell>
          <cell r="F1643" t="str">
            <v>Peso</v>
          </cell>
          <cell r="G1643">
            <v>16.25</v>
          </cell>
        </row>
        <row r="1644">
          <cell r="E1644">
            <v>519</v>
          </cell>
          <cell r="F1644" t="str">
            <v>Peso</v>
          </cell>
          <cell r="G1644">
            <v>19.18</v>
          </cell>
        </row>
        <row r="1645">
          <cell r="E1645">
            <v>0</v>
          </cell>
          <cell r="F1645" t="str">
            <v>Peso</v>
          </cell>
          <cell r="G1645">
            <v>11.44</v>
          </cell>
        </row>
        <row r="1646">
          <cell r="E1646">
            <v>0</v>
          </cell>
          <cell r="F1646" t="str">
            <v>Peso</v>
          </cell>
          <cell r="G1646">
            <v>3.25</v>
          </cell>
        </row>
        <row r="1647">
          <cell r="E1647">
            <v>0</v>
          </cell>
          <cell r="F1647" t="str">
            <v>Peso</v>
          </cell>
          <cell r="G1647">
            <v>2.74</v>
          </cell>
        </row>
        <row r="1648">
          <cell r="F1648" t="str">
            <v>Peso</v>
          </cell>
          <cell r="G1648">
            <v>4.0599999999999996</v>
          </cell>
        </row>
        <row r="1649">
          <cell r="E1649" t="str">
            <v/>
          </cell>
          <cell r="F1649">
            <v>0</v>
          </cell>
          <cell r="G1649">
            <v>0</v>
          </cell>
        </row>
        <row r="1650">
          <cell r="E1650" t="str">
            <v/>
          </cell>
          <cell r="F1650">
            <v>0</v>
          </cell>
          <cell r="G1650" t="str">
            <v>Pericles 9785</v>
          </cell>
        </row>
        <row r="1651">
          <cell r="E1651" t="str">
            <v/>
          </cell>
          <cell r="F1651">
            <v>0</v>
          </cell>
          <cell r="G1651" t="str">
            <v>Ultimo $ proveedor</v>
          </cell>
        </row>
        <row r="1652">
          <cell r="E1652" t="str">
            <v/>
          </cell>
          <cell r="F1652" t="str">
            <v>Peso</v>
          </cell>
          <cell r="G1652">
            <v>2.15</v>
          </cell>
        </row>
        <row r="1653">
          <cell r="E1653">
            <v>0</v>
          </cell>
          <cell r="F1653" t="str">
            <v>Peso</v>
          </cell>
          <cell r="G1653">
            <v>15.85</v>
          </cell>
        </row>
        <row r="1654">
          <cell r="E1654" t="str">
            <v/>
          </cell>
          <cell r="F1654" t="str">
            <v>Peso</v>
          </cell>
          <cell r="G1654">
            <v>15.01</v>
          </cell>
        </row>
        <row r="1655">
          <cell r="E1655" t="str">
            <v/>
          </cell>
          <cell r="F1655" t="str">
            <v>Peso</v>
          </cell>
          <cell r="G1655">
            <v>14.22</v>
          </cell>
        </row>
        <row r="1657">
          <cell r="E1657" t="str">
            <v/>
          </cell>
          <cell r="F1657">
            <v>0</v>
          </cell>
          <cell r="G1657">
            <v>0</v>
          </cell>
        </row>
        <row r="1658">
          <cell r="E1658" t="str">
            <v/>
          </cell>
          <cell r="F1658">
            <v>0</v>
          </cell>
          <cell r="G1658" t="str">
            <v>Francisco Madero 1068 - Ciudadela</v>
          </cell>
        </row>
        <row r="1659">
          <cell r="E1659" t="str">
            <v/>
          </cell>
          <cell r="F1659">
            <v>0</v>
          </cell>
          <cell r="G1659" t="str">
            <v>Ultimo $ proveedor</v>
          </cell>
        </row>
        <row r="1660">
          <cell r="E1660">
            <v>504</v>
          </cell>
          <cell r="F1660" t="str">
            <v>Peso</v>
          </cell>
          <cell r="G1660">
            <v>31.448464799999996</v>
          </cell>
        </row>
        <row r="1661">
          <cell r="E1661">
            <v>501</v>
          </cell>
          <cell r="F1661" t="str">
            <v>Peso</v>
          </cell>
          <cell r="G1661">
            <v>32.682472152000003</v>
          </cell>
        </row>
        <row r="1662">
          <cell r="E1662" t="str">
            <v/>
          </cell>
          <cell r="F1662" t="str">
            <v>Peso</v>
          </cell>
          <cell r="G1662">
            <v>36.598186103999993</v>
          </cell>
        </row>
        <row r="1663">
          <cell r="E1663">
            <v>594</v>
          </cell>
          <cell r="F1663" t="str">
            <v>Peso</v>
          </cell>
          <cell r="G1663">
            <v>36.598186103999993</v>
          </cell>
        </row>
        <row r="1664">
          <cell r="E1664">
            <v>595</v>
          </cell>
          <cell r="F1664" t="str">
            <v>Peso</v>
          </cell>
          <cell r="G1664">
            <v>36.598186103999993</v>
          </cell>
        </row>
        <row r="1665">
          <cell r="E1665" t="str">
            <v/>
          </cell>
          <cell r="F1665" t="str">
            <v>Peso</v>
          </cell>
          <cell r="G1665">
            <v>6.972718704</v>
          </cell>
        </row>
        <row r="1666">
          <cell r="E1666">
            <v>823</v>
          </cell>
          <cell r="F1666" t="str">
            <v>Peso</v>
          </cell>
          <cell r="G1666">
            <v>6.0453127679999987</v>
          </cell>
        </row>
        <row r="1667">
          <cell r="E1667">
            <v>0</v>
          </cell>
          <cell r="F1667" t="str">
            <v>Peso</v>
          </cell>
          <cell r="G1667">
            <v>11.712793487999999</v>
          </cell>
        </row>
        <row r="1668">
          <cell r="E1668">
            <v>0</v>
          </cell>
          <cell r="F1668" t="str">
            <v>Peso</v>
          </cell>
          <cell r="G1668">
            <v>12.880638000000001</v>
          </cell>
        </row>
        <row r="1669">
          <cell r="E1669">
            <v>0</v>
          </cell>
          <cell r="F1669" t="str">
            <v>Peso</v>
          </cell>
          <cell r="G1669">
            <v>17.779503600000002</v>
          </cell>
        </row>
        <row r="1670">
          <cell r="E1670">
            <v>0</v>
          </cell>
          <cell r="F1670" t="str">
            <v>Peso</v>
          </cell>
          <cell r="G1670">
            <v>0.64200000000000002</v>
          </cell>
        </row>
        <row r="1672">
          <cell r="E1672" t="str">
            <v/>
          </cell>
          <cell r="F1672">
            <v>0</v>
          </cell>
          <cell r="G1672" t="str">
            <v>.</v>
          </cell>
        </row>
        <row r="1673">
          <cell r="E1673" t="str">
            <v/>
          </cell>
          <cell r="F1673">
            <v>0</v>
          </cell>
          <cell r="G1673" t="str">
            <v>Cervantes 3195 4°A</v>
          </cell>
        </row>
        <row r="1674">
          <cell r="E1674" t="str">
            <v/>
          </cell>
          <cell r="F1674">
            <v>0</v>
          </cell>
          <cell r="G1674" t="str">
            <v>Ultimo $ proveedor</v>
          </cell>
        </row>
        <row r="1675">
          <cell r="E1675" t="str">
            <v/>
          </cell>
          <cell r="F1675" t="str">
            <v>Peso</v>
          </cell>
          <cell r="G1675">
            <v>10.06</v>
          </cell>
        </row>
        <row r="1676">
          <cell r="E1676" t="str">
            <v/>
          </cell>
          <cell r="F1676" t="str">
            <v>Peso</v>
          </cell>
          <cell r="G1676">
            <v>7.25</v>
          </cell>
        </row>
        <row r="1677">
          <cell r="E1677" t="str">
            <v/>
          </cell>
          <cell r="F1677" t="str">
            <v>Peso</v>
          </cell>
          <cell r="G1677">
            <v>7.25</v>
          </cell>
        </row>
        <row r="1678">
          <cell r="E1678" t="str">
            <v/>
          </cell>
          <cell r="F1678" t="str">
            <v>Peso</v>
          </cell>
          <cell r="G1678">
            <v>26.5</v>
          </cell>
        </row>
        <row r="1679">
          <cell r="E1679" t="str">
            <v/>
          </cell>
          <cell r="F1679" t="str">
            <v>Peso</v>
          </cell>
          <cell r="G1679">
            <v>26.5</v>
          </cell>
        </row>
        <row r="1680">
          <cell r="E1680" t="str">
            <v/>
          </cell>
          <cell r="F1680" t="str">
            <v>Peso</v>
          </cell>
          <cell r="G1680">
            <v>17.739999999999998</v>
          </cell>
        </row>
        <row r="1681">
          <cell r="E1681" t="str">
            <v/>
          </cell>
          <cell r="F1681" t="str">
            <v>Peso</v>
          </cell>
          <cell r="G1681">
            <v>17.739999999999998</v>
          </cell>
        </row>
        <row r="1682">
          <cell r="E1682" t="str">
            <v/>
          </cell>
          <cell r="F1682" t="str">
            <v>Peso</v>
          </cell>
          <cell r="G1682">
            <v>17.739999999999998</v>
          </cell>
        </row>
        <row r="1683">
          <cell r="E1683" t="str">
            <v/>
          </cell>
          <cell r="F1683" t="str">
            <v>Peso</v>
          </cell>
          <cell r="G1683">
            <v>4.0199999999999996</v>
          </cell>
        </row>
        <row r="1684">
          <cell r="E1684" t="str">
            <v/>
          </cell>
          <cell r="F1684" t="str">
            <v>Peso</v>
          </cell>
          <cell r="G1684">
            <v>15.99</v>
          </cell>
        </row>
        <row r="1685">
          <cell r="E1685">
            <v>0</v>
          </cell>
          <cell r="F1685" t="str">
            <v>Peso</v>
          </cell>
          <cell r="G1685">
            <v>12.5</v>
          </cell>
        </row>
        <row r="1687">
          <cell r="E1687" t="str">
            <v/>
          </cell>
          <cell r="F1687">
            <v>0</v>
          </cell>
          <cell r="G1687">
            <v>0</v>
          </cell>
        </row>
        <row r="1688">
          <cell r="E1688" t="str">
            <v/>
          </cell>
          <cell r="F1688">
            <v>0</v>
          </cell>
          <cell r="G1688" t="str">
            <v>Ricardo gutierrez y Tupungato</v>
          </cell>
        </row>
        <row r="1689">
          <cell r="E1689" t="str">
            <v/>
          </cell>
          <cell r="F1689">
            <v>0</v>
          </cell>
          <cell r="G1689" t="str">
            <v>Ultimo $ proveedor</v>
          </cell>
        </row>
        <row r="1690">
          <cell r="E1690" t="str">
            <v/>
          </cell>
          <cell r="F1690" t="str">
            <v>Peso</v>
          </cell>
          <cell r="G1690">
            <v>12.42</v>
          </cell>
        </row>
        <row r="1691">
          <cell r="E1691" t="str">
            <v/>
          </cell>
          <cell r="F1691" t="str">
            <v>Peso</v>
          </cell>
          <cell r="G1691">
            <v>5.14</v>
          </cell>
        </row>
        <row r="1692">
          <cell r="E1692" t="str">
            <v/>
          </cell>
          <cell r="F1692" t="str">
            <v>Peso</v>
          </cell>
          <cell r="G1692">
            <v>7.76</v>
          </cell>
        </row>
        <row r="1693">
          <cell r="E1693" t="str">
            <v/>
          </cell>
          <cell r="F1693" t="str">
            <v>Peso</v>
          </cell>
          <cell r="G1693">
            <v>1.28</v>
          </cell>
        </row>
        <row r="1694">
          <cell r="E1694" t="str">
            <v/>
          </cell>
          <cell r="F1694" t="str">
            <v>Peso</v>
          </cell>
          <cell r="G1694">
            <v>9.61</v>
          </cell>
        </row>
        <row r="1695">
          <cell r="E1695" t="str">
            <v/>
          </cell>
          <cell r="F1695" t="str">
            <v>Peso</v>
          </cell>
          <cell r="G1695">
            <v>13.63</v>
          </cell>
        </row>
        <row r="1696">
          <cell r="E1696" t="str">
            <v/>
          </cell>
          <cell r="F1696" t="str">
            <v>Peso</v>
          </cell>
          <cell r="G1696">
            <v>6.1</v>
          </cell>
        </row>
        <row r="1697">
          <cell r="E1697" t="str">
            <v/>
          </cell>
          <cell r="F1697" t="str">
            <v>Peso</v>
          </cell>
          <cell r="G1697">
            <v>9.2899999999999991</v>
          </cell>
        </row>
        <row r="1698">
          <cell r="E1698" t="str">
            <v/>
          </cell>
          <cell r="F1698" t="str">
            <v>Peso</v>
          </cell>
          <cell r="G1698">
            <v>12.42</v>
          </cell>
        </row>
        <row r="1699">
          <cell r="E1699">
            <v>0</v>
          </cell>
          <cell r="F1699" t="str">
            <v>Peso</v>
          </cell>
          <cell r="G1699">
            <v>10.84</v>
          </cell>
        </row>
        <row r="1701">
          <cell r="E1701" t="str">
            <v/>
          </cell>
          <cell r="F1701">
            <v>0</v>
          </cell>
          <cell r="G1701">
            <v>0</v>
          </cell>
        </row>
        <row r="1702">
          <cell r="E1702" t="str">
            <v/>
          </cell>
          <cell r="F1702">
            <v>0</v>
          </cell>
          <cell r="G1702" t="str">
            <v>Nápoles 402</v>
          </cell>
        </row>
        <row r="1703">
          <cell r="E1703" t="str">
            <v/>
          </cell>
          <cell r="F1703">
            <v>0</v>
          </cell>
          <cell r="G1703" t="str">
            <v>Ultimo $ proveedor</v>
          </cell>
        </row>
        <row r="1704">
          <cell r="E1704" t="str">
            <v/>
          </cell>
          <cell r="F1704" t="str">
            <v>Peso</v>
          </cell>
          <cell r="G1704">
            <v>3.5</v>
          </cell>
        </row>
        <row r="1705">
          <cell r="E1705" t="str">
            <v/>
          </cell>
          <cell r="F1705" t="str">
            <v>Peso</v>
          </cell>
          <cell r="G1705">
            <v>2</v>
          </cell>
        </row>
        <row r="1707">
          <cell r="E1707" t="str">
            <v/>
          </cell>
          <cell r="F1707">
            <v>0</v>
          </cell>
          <cell r="G1707">
            <v>0</v>
          </cell>
        </row>
        <row r="1708">
          <cell r="E1708" t="str">
            <v/>
          </cell>
          <cell r="F1708">
            <v>0</v>
          </cell>
          <cell r="G1708" t="str">
            <v>Yerbal 2662 1° Dpto 4</v>
          </cell>
        </row>
        <row r="1709">
          <cell r="E1709" t="str">
            <v/>
          </cell>
          <cell r="F1709">
            <v>0</v>
          </cell>
          <cell r="G1709" t="str">
            <v>Ultimo $ proveedor</v>
          </cell>
        </row>
        <row r="1710">
          <cell r="E1710" t="str">
            <v/>
          </cell>
          <cell r="F1710" t="str">
            <v>Peso</v>
          </cell>
          <cell r="G1710">
            <v>62.39</v>
          </cell>
        </row>
        <row r="1711">
          <cell r="E1711" t="str">
            <v/>
          </cell>
          <cell r="F1711" t="str">
            <v>Peso</v>
          </cell>
          <cell r="G1711">
            <v>36.24</v>
          </cell>
        </row>
        <row r="1712">
          <cell r="E1712" t="str">
            <v/>
          </cell>
          <cell r="F1712" t="str">
            <v>Peso</v>
          </cell>
          <cell r="G1712">
            <v>9.0500000000000007</v>
          </cell>
        </row>
        <row r="1713">
          <cell r="E1713" t="str">
            <v/>
          </cell>
          <cell r="F1713" t="str">
            <v>Peso</v>
          </cell>
          <cell r="G1713">
            <v>45.29</v>
          </cell>
        </row>
        <row r="1714">
          <cell r="E1714">
            <v>0</v>
          </cell>
          <cell r="F1714" t="str">
            <v>Peso</v>
          </cell>
          <cell r="G1714">
            <v>27.79</v>
          </cell>
        </row>
        <row r="1715">
          <cell r="E1715" t="str">
            <v/>
          </cell>
          <cell r="F1715" t="str">
            <v>Peso</v>
          </cell>
          <cell r="G1715">
            <v>1.97</v>
          </cell>
        </row>
        <row r="1717">
          <cell r="E1717" t="str">
            <v/>
          </cell>
          <cell r="F1717">
            <v>0</v>
          </cell>
          <cell r="G1717">
            <v>0</v>
          </cell>
        </row>
        <row r="1718">
          <cell r="E1718" t="str">
            <v/>
          </cell>
          <cell r="F1718">
            <v>0</v>
          </cell>
          <cell r="G1718" t="str">
            <v>Calle 3 alt 374 - Lomas de Zamora (Barrio Esperanza)</v>
          </cell>
        </row>
        <row r="1719">
          <cell r="E1719" t="str">
            <v/>
          </cell>
          <cell r="F1719">
            <v>0</v>
          </cell>
          <cell r="G1719" t="str">
            <v>Ultimo $ proveedor</v>
          </cell>
        </row>
        <row r="1720">
          <cell r="E1720" t="str">
            <v/>
          </cell>
          <cell r="F1720" t="str">
            <v>Peso</v>
          </cell>
          <cell r="G1720">
            <v>25.16</v>
          </cell>
        </row>
        <row r="1721">
          <cell r="E1721">
            <v>0</v>
          </cell>
          <cell r="F1721" t="str">
            <v>Peso</v>
          </cell>
          <cell r="G1721">
            <v>5.63</v>
          </cell>
        </row>
        <row r="1722">
          <cell r="E1722" t="str">
            <v/>
          </cell>
          <cell r="F1722" t="str">
            <v>Peso</v>
          </cell>
          <cell r="G1722">
            <v>15.01</v>
          </cell>
        </row>
        <row r="1725">
          <cell r="E1725">
            <v>230</v>
          </cell>
          <cell r="F1725" t="str">
            <v>Peso</v>
          </cell>
          <cell r="G1725">
            <v>219.16</v>
          </cell>
        </row>
        <row r="1726">
          <cell r="E1726">
            <v>231</v>
          </cell>
          <cell r="F1726" t="str">
            <v>Peso</v>
          </cell>
          <cell r="G1726">
            <v>262.64999999999998</v>
          </cell>
        </row>
        <row r="1727">
          <cell r="E1727">
            <v>233</v>
          </cell>
          <cell r="F1727" t="str">
            <v>Peso</v>
          </cell>
          <cell r="G1727">
            <v>325.64999999999998</v>
          </cell>
        </row>
        <row r="1728">
          <cell r="E1728" t="str">
            <v/>
          </cell>
          <cell r="F1728" t="str">
            <v>Peso</v>
          </cell>
          <cell r="G1728">
            <v>218.29</v>
          </cell>
        </row>
        <row r="1729">
          <cell r="E1729" t="str">
            <v/>
          </cell>
          <cell r="F1729" t="str">
            <v>Peso</v>
          </cell>
          <cell r="G1729">
            <v>261.76</v>
          </cell>
        </row>
        <row r="1730">
          <cell r="E1730" t="str">
            <v/>
          </cell>
          <cell r="F1730" t="str">
            <v>Peso</v>
          </cell>
          <cell r="G1730">
            <v>324.76</v>
          </cell>
        </row>
        <row r="1731">
          <cell r="E1731" t="str">
            <v/>
          </cell>
          <cell r="F1731" t="str">
            <v>Peso</v>
          </cell>
          <cell r="G1731">
            <v>218.29</v>
          </cell>
        </row>
        <row r="1732">
          <cell r="E1732" t="str">
            <v/>
          </cell>
          <cell r="F1732" t="str">
            <v>Peso</v>
          </cell>
          <cell r="G1732">
            <v>261.76</v>
          </cell>
        </row>
        <row r="1733">
          <cell r="E1733" t="str">
            <v/>
          </cell>
          <cell r="F1733" t="str">
            <v>Peso</v>
          </cell>
          <cell r="G1733">
            <v>324.76</v>
          </cell>
        </row>
        <row r="1734">
          <cell r="E1734">
            <v>0</v>
          </cell>
          <cell r="F1734">
            <v>0</v>
          </cell>
          <cell r="G1734">
            <v>0</v>
          </cell>
        </row>
        <row r="1735">
          <cell r="E1735">
            <v>0</v>
          </cell>
          <cell r="F1735">
            <v>0</v>
          </cell>
          <cell r="G1735">
            <v>0</v>
          </cell>
        </row>
        <row r="1736">
          <cell r="E1736" t="str">
            <v/>
          </cell>
          <cell r="F1736">
            <v>0</v>
          </cell>
          <cell r="G1736">
            <v>0</v>
          </cell>
        </row>
        <row r="1737">
          <cell r="E1737" t="str">
            <v/>
          </cell>
          <cell r="F1737" t="str">
            <v>Peso</v>
          </cell>
          <cell r="G1737">
            <v>14.6</v>
          </cell>
        </row>
        <row r="1738">
          <cell r="E1738" t="str">
            <v/>
          </cell>
          <cell r="F1738" t="str">
            <v>Peso</v>
          </cell>
          <cell r="G1738">
            <v>7.36</v>
          </cell>
        </row>
        <row r="1739">
          <cell r="E1739" t="str">
            <v/>
          </cell>
          <cell r="F1739" t="str">
            <v>Peso</v>
          </cell>
          <cell r="G1739">
            <v>6.05</v>
          </cell>
        </row>
        <row r="1740">
          <cell r="E1740" t="str">
            <v/>
          </cell>
          <cell r="F1740" t="str">
            <v>Peso</v>
          </cell>
          <cell r="G1740">
            <v>139.47999999999999</v>
          </cell>
        </row>
        <row r="1741">
          <cell r="E1741" t="str">
            <v/>
          </cell>
          <cell r="F1741">
            <v>0</v>
          </cell>
          <cell r="G1741">
            <v>0</v>
          </cell>
        </row>
        <row r="1742">
          <cell r="E1742" t="str">
            <v/>
          </cell>
          <cell r="F1742" t="str">
            <v>Peso</v>
          </cell>
          <cell r="G1742">
            <v>10.8</v>
          </cell>
        </row>
        <row r="1744">
          <cell r="E1744" t="str">
            <v/>
          </cell>
          <cell r="F1744">
            <v>0</v>
          </cell>
          <cell r="G1744">
            <v>0</v>
          </cell>
        </row>
        <row r="1745">
          <cell r="E1745" t="str">
            <v/>
          </cell>
          <cell r="F1745">
            <v>0</v>
          </cell>
          <cell r="G1745">
            <v>0</v>
          </cell>
        </row>
        <row r="1746">
          <cell r="E1746" t="str">
            <v/>
          </cell>
          <cell r="F1746">
            <v>0</v>
          </cell>
          <cell r="G1746" t="str">
            <v>Ultimo $ proveedor</v>
          </cell>
        </row>
        <row r="1747">
          <cell r="E1747" t="str">
            <v/>
          </cell>
          <cell r="F1747" t="str">
            <v>Peso</v>
          </cell>
          <cell r="G1747">
            <v>8.16</v>
          </cell>
        </row>
        <row r="1748">
          <cell r="E1748" t="str">
            <v/>
          </cell>
          <cell r="F1748" t="str">
            <v>Peso</v>
          </cell>
          <cell r="G1748">
            <v>8.16</v>
          </cell>
        </row>
        <row r="1749">
          <cell r="E1749" t="str">
            <v/>
          </cell>
          <cell r="F1749" t="str">
            <v>Peso</v>
          </cell>
          <cell r="G1749">
            <v>4.68</v>
          </cell>
        </row>
        <row r="1750">
          <cell r="E1750" t="str">
            <v/>
          </cell>
          <cell r="F1750" t="str">
            <v>Peso</v>
          </cell>
          <cell r="G1750">
            <v>3.26</v>
          </cell>
        </row>
        <row r="1751">
          <cell r="E1751" t="str">
            <v/>
          </cell>
          <cell r="F1751" t="str">
            <v>Peso</v>
          </cell>
          <cell r="G1751">
            <v>3.22</v>
          </cell>
        </row>
        <row r="1752">
          <cell r="E1752" t="str">
            <v/>
          </cell>
          <cell r="F1752" t="str">
            <v>Peso</v>
          </cell>
          <cell r="G1752">
            <v>3.93</v>
          </cell>
        </row>
        <row r="1753">
          <cell r="E1753" t="str">
            <v/>
          </cell>
          <cell r="F1753" t="str">
            <v>Peso</v>
          </cell>
          <cell r="G1753">
            <v>2.73</v>
          </cell>
        </row>
        <row r="1754">
          <cell r="E1754" t="str">
            <v/>
          </cell>
          <cell r="F1754" t="str">
            <v>Peso</v>
          </cell>
          <cell r="G1754">
            <v>6.13</v>
          </cell>
        </row>
        <row r="1755">
          <cell r="E1755" t="str">
            <v/>
          </cell>
          <cell r="F1755" t="str">
            <v>Peso</v>
          </cell>
          <cell r="G1755">
            <v>5.98</v>
          </cell>
        </row>
        <row r="1756">
          <cell r="E1756" t="str">
            <v/>
          </cell>
          <cell r="F1756" t="str">
            <v>Peso</v>
          </cell>
          <cell r="G1756">
            <v>3.52</v>
          </cell>
        </row>
        <row r="1757">
          <cell r="E1757" t="str">
            <v/>
          </cell>
          <cell r="F1757" t="str">
            <v>Peso</v>
          </cell>
          <cell r="G1757">
            <v>3.26</v>
          </cell>
        </row>
        <row r="1758">
          <cell r="E1758" t="str">
            <v/>
          </cell>
          <cell r="F1758" t="str">
            <v>Peso</v>
          </cell>
          <cell r="G1758">
            <v>2.56</v>
          </cell>
        </row>
        <row r="1759">
          <cell r="E1759" t="str">
            <v/>
          </cell>
          <cell r="F1759" t="str">
            <v>Peso</v>
          </cell>
          <cell r="G1759">
            <v>2.38</v>
          </cell>
        </row>
        <row r="1761">
          <cell r="E1761" t="str">
            <v/>
          </cell>
          <cell r="G1761">
            <v>0</v>
          </cell>
        </row>
        <row r="1762">
          <cell r="E1762" t="str">
            <v/>
          </cell>
          <cell r="G1762">
            <v>0</v>
          </cell>
        </row>
        <row r="1763">
          <cell r="E1763" t="str">
            <v/>
          </cell>
          <cell r="F1763">
            <v>0</v>
          </cell>
          <cell r="G1763" t="str">
            <v>Ultimo $ proveedor</v>
          </cell>
        </row>
        <row r="1764">
          <cell r="E1764" t="str">
            <v/>
          </cell>
          <cell r="F1764" t="str">
            <v>Peso</v>
          </cell>
          <cell r="G1764">
            <v>0</v>
          </cell>
        </row>
        <row r="1765">
          <cell r="E1765" t="str">
            <v/>
          </cell>
          <cell r="F1765" t="str">
            <v>Peso</v>
          </cell>
          <cell r="G1765">
            <v>0</v>
          </cell>
        </row>
        <row r="1766">
          <cell r="E1766" t="str">
            <v/>
          </cell>
          <cell r="F1766" t="str">
            <v>Peso</v>
          </cell>
          <cell r="G1766">
            <v>0</v>
          </cell>
        </row>
        <row r="1767">
          <cell r="E1767" t="str">
            <v/>
          </cell>
          <cell r="F1767" t="str">
            <v>Peso</v>
          </cell>
          <cell r="G1767">
            <v>0</v>
          </cell>
        </row>
        <row r="1768">
          <cell r="E1768" t="str">
            <v/>
          </cell>
          <cell r="F1768" t="str">
            <v>Peso</v>
          </cell>
          <cell r="G1768">
            <v>0</v>
          </cell>
        </row>
        <row r="1769">
          <cell r="E1769" t="str">
            <v/>
          </cell>
          <cell r="G1769">
            <v>0</v>
          </cell>
        </row>
        <row r="1770">
          <cell r="E1770" t="str">
            <v/>
          </cell>
          <cell r="G1770">
            <v>0</v>
          </cell>
        </row>
        <row r="1771">
          <cell r="E1771" t="str">
            <v/>
          </cell>
          <cell r="G1771">
            <v>0</v>
          </cell>
        </row>
        <row r="1772">
          <cell r="E1772" t="str">
            <v/>
          </cell>
          <cell r="F1772">
            <v>0</v>
          </cell>
          <cell r="G1772" t="str">
            <v>Ultimo $ proveedor</v>
          </cell>
        </row>
        <row r="1773">
          <cell r="E1773" t="str">
            <v/>
          </cell>
          <cell r="F1773" t="str">
            <v>Peso</v>
          </cell>
          <cell r="G1773">
            <v>6200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ceso a pasar"/>
      <sheetName val="OP-Orden Balancin"/>
      <sheetName val="OP-Alimentador"/>
      <sheetName val="Relevamiento Crudo"/>
      <sheetName val="Conteo Prov Serv"/>
      <sheetName val="Partes Tall"/>
      <sheetName val="Conteo SP"/>
      <sheetName val="Stock ISIS LK"/>
      <sheetName val="Stock ISIS CH"/>
      <sheetName val="MADRE"/>
      <sheetName val="Loeke Madre"/>
      <sheetName val="Chef Madre"/>
      <sheetName val="Materiales"/>
      <sheetName val="Partes CD"/>
      <sheetName val="Articulos Falta en Despiece"/>
      <sheetName val="Partes Prov Serv"/>
      <sheetName val="Partes SP"/>
      <sheetName val="MAX CD"/>
      <sheetName val="Carga Art Terminado"/>
      <sheetName val="Informació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">
          <cell r="A1" t="str">
            <v>Cod Nuevo Isis</v>
          </cell>
          <cell r="B1" t="str">
            <v>Ranking</v>
          </cell>
          <cell r="C1" t="str">
            <v>Descripcion</v>
          </cell>
          <cell r="D1" t="str">
            <v>UNI X CAJA</v>
          </cell>
        </row>
        <row r="2">
          <cell r="A2">
            <v>25</v>
          </cell>
          <cell r="B2">
            <v>166</v>
          </cell>
          <cell r="C2" t="str">
            <v xml:space="preserve">Colador N°7              </v>
          </cell>
          <cell r="D2">
            <v>36</v>
          </cell>
        </row>
        <row r="3">
          <cell r="A3">
            <v>26</v>
          </cell>
          <cell r="B3">
            <v>13</v>
          </cell>
          <cell r="C3" t="str">
            <v xml:space="preserve">Colador N°8              </v>
          </cell>
          <cell r="D3">
            <v>36</v>
          </cell>
        </row>
        <row r="4">
          <cell r="A4">
            <v>27</v>
          </cell>
          <cell r="B4">
            <v>15</v>
          </cell>
          <cell r="C4" t="str">
            <v xml:space="preserve">Colador N°10             </v>
          </cell>
          <cell r="D4">
            <v>24</v>
          </cell>
        </row>
        <row r="5">
          <cell r="A5">
            <v>28</v>
          </cell>
          <cell r="B5">
            <v>55</v>
          </cell>
          <cell r="C5" t="str">
            <v xml:space="preserve">Colador N°13             </v>
          </cell>
          <cell r="D5">
            <v>24</v>
          </cell>
        </row>
        <row r="6">
          <cell r="A6">
            <v>29</v>
          </cell>
          <cell r="B6">
            <v>34</v>
          </cell>
          <cell r="C6" t="str">
            <v xml:space="preserve">Colador N°16             </v>
          </cell>
          <cell r="D6">
            <v>24</v>
          </cell>
        </row>
        <row r="7">
          <cell r="A7">
            <v>30</v>
          </cell>
          <cell r="B7">
            <v>29</v>
          </cell>
          <cell r="C7" t="str">
            <v xml:space="preserve">Colador N°20             </v>
          </cell>
          <cell r="D7">
            <v>24</v>
          </cell>
        </row>
        <row r="8">
          <cell r="A8">
            <v>31</v>
          </cell>
          <cell r="B8">
            <v>6</v>
          </cell>
          <cell r="C8" t="str">
            <v xml:space="preserve">Filtro De Cafe           </v>
          </cell>
          <cell r="D8">
            <v>24</v>
          </cell>
        </row>
        <row r="9">
          <cell r="A9">
            <v>34</v>
          </cell>
          <cell r="B9">
            <v>24</v>
          </cell>
          <cell r="C9" t="str">
            <v>Filtro De Cafe Gastronomi</v>
          </cell>
          <cell r="D9">
            <v>24</v>
          </cell>
        </row>
        <row r="10">
          <cell r="A10">
            <v>57</v>
          </cell>
          <cell r="B10">
            <v>40</v>
          </cell>
          <cell r="C10" t="str">
            <v>Destapa Corona X1 Cromado</v>
          </cell>
          <cell r="D10">
            <v>12</v>
          </cell>
        </row>
        <row r="11">
          <cell r="A11">
            <v>58</v>
          </cell>
          <cell r="B11">
            <v>77</v>
          </cell>
          <cell r="C11" t="str">
            <v xml:space="preserve">Cierra Bolsa X2          </v>
          </cell>
          <cell r="D11">
            <v>12</v>
          </cell>
        </row>
        <row r="12">
          <cell r="A12">
            <v>59</v>
          </cell>
          <cell r="B12">
            <v>78</v>
          </cell>
          <cell r="C12" t="str">
            <v>Cuchillito De Untar Plast</v>
          </cell>
          <cell r="D12">
            <v>12</v>
          </cell>
        </row>
        <row r="13">
          <cell r="A13">
            <v>207</v>
          </cell>
          <cell r="B13">
            <v>142</v>
          </cell>
          <cell r="C13" t="str">
            <v>Ñoquera Mad. Mgo Redondo</v>
          </cell>
          <cell r="D13">
            <v>12</v>
          </cell>
        </row>
        <row r="14">
          <cell r="A14">
            <v>208</v>
          </cell>
          <cell r="B14">
            <v>151</v>
          </cell>
          <cell r="C14" t="str">
            <v xml:space="preserve">Cucharita 13cm Azucarera </v>
          </cell>
          <cell r="D14">
            <v>12</v>
          </cell>
        </row>
        <row r="15">
          <cell r="A15">
            <v>220</v>
          </cell>
          <cell r="B15">
            <v>91</v>
          </cell>
          <cell r="C15" t="str">
            <v>Cuchara Madera 40 Cm X 12</v>
          </cell>
          <cell r="D15">
            <v>12</v>
          </cell>
        </row>
        <row r="16">
          <cell r="A16">
            <v>221</v>
          </cell>
          <cell r="B16">
            <v>102</v>
          </cell>
          <cell r="C16" t="str">
            <v>Cuchara Madera 45 Cm X 12</v>
          </cell>
          <cell r="D16">
            <v>12</v>
          </cell>
        </row>
        <row r="17">
          <cell r="A17">
            <v>222</v>
          </cell>
          <cell r="B17">
            <v>60</v>
          </cell>
          <cell r="C17" t="str">
            <v xml:space="preserve">Bate Bife Madera         </v>
          </cell>
          <cell r="D17">
            <v>12</v>
          </cell>
        </row>
        <row r="18">
          <cell r="A18">
            <v>223</v>
          </cell>
          <cell r="B18">
            <v>123</v>
          </cell>
          <cell r="C18" t="str">
            <v>Cuchara Madera 25 Cm X 12</v>
          </cell>
          <cell r="D18">
            <v>12</v>
          </cell>
        </row>
        <row r="19">
          <cell r="A19">
            <v>224</v>
          </cell>
          <cell r="B19">
            <v>63</v>
          </cell>
          <cell r="C19" t="str">
            <v>Cuchara Madera 30 Cm X 12</v>
          </cell>
          <cell r="D19">
            <v>12</v>
          </cell>
        </row>
        <row r="20">
          <cell r="A20">
            <v>225</v>
          </cell>
          <cell r="B20">
            <v>35</v>
          </cell>
          <cell r="C20" t="str">
            <v>Cuchara Madera 35 Cm X 12</v>
          </cell>
          <cell r="D20">
            <v>12</v>
          </cell>
        </row>
        <row r="21">
          <cell r="A21">
            <v>229</v>
          </cell>
          <cell r="B21">
            <v>44</v>
          </cell>
          <cell r="C21" t="str">
            <v xml:space="preserve">Ñoquera Madera           </v>
          </cell>
          <cell r="D21">
            <v>12</v>
          </cell>
        </row>
        <row r="22">
          <cell r="A22">
            <v>230</v>
          </cell>
          <cell r="B22">
            <v>110</v>
          </cell>
          <cell r="C22" t="str">
            <v>Palo Amasar 30cm</v>
          </cell>
          <cell r="D22">
            <v>12</v>
          </cell>
        </row>
        <row r="23">
          <cell r="A23">
            <v>231</v>
          </cell>
          <cell r="B23">
            <v>124</v>
          </cell>
          <cell r="C23" t="str">
            <v>Palo Amasar 40cm</v>
          </cell>
          <cell r="D23">
            <v>12</v>
          </cell>
        </row>
        <row r="24">
          <cell r="A24">
            <v>233</v>
          </cell>
          <cell r="B24">
            <v>119</v>
          </cell>
          <cell r="C24" t="str">
            <v>Palo Amasar 50cm</v>
          </cell>
          <cell r="D24">
            <v>10</v>
          </cell>
        </row>
        <row r="25">
          <cell r="A25">
            <v>246</v>
          </cell>
          <cell r="B25">
            <v>138</v>
          </cell>
          <cell r="C25" t="str">
            <v xml:space="preserve">Prensa Matambre          </v>
          </cell>
          <cell r="D25">
            <v>6</v>
          </cell>
        </row>
        <row r="26">
          <cell r="A26">
            <v>247</v>
          </cell>
          <cell r="B26">
            <v>152</v>
          </cell>
          <cell r="C26" t="str">
            <v>Plato De Picada P.P 21 Cm</v>
          </cell>
          <cell r="D26">
            <v>12</v>
          </cell>
        </row>
        <row r="27">
          <cell r="A27">
            <v>248</v>
          </cell>
          <cell r="B27">
            <v>45</v>
          </cell>
          <cell r="C27" t="str">
            <v>Cuchara De Cocina 33 Cm X 12</v>
          </cell>
          <cell r="D27">
            <v>12</v>
          </cell>
        </row>
        <row r="28">
          <cell r="A28">
            <v>250</v>
          </cell>
          <cell r="B28">
            <v>65</v>
          </cell>
          <cell r="C28" t="str">
            <v xml:space="preserve">Mate Forrado             </v>
          </cell>
          <cell r="D28">
            <v>36</v>
          </cell>
        </row>
        <row r="29">
          <cell r="A29">
            <v>253</v>
          </cell>
          <cell r="B29">
            <v>66</v>
          </cell>
          <cell r="C29" t="str">
            <v xml:space="preserve">Mate Calabaza C/Virola   </v>
          </cell>
          <cell r="D29">
            <v>36</v>
          </cell>
        </row>
        <row r="30">
          <cell r="A30">
            <v>254</v>
          </cell>
          <cell r="B30">
            <v>67</v>
          </cell>
          <cell r="C30" t="str">
            <v xml:space="preserve">Mate Calabaza S/Virola   </v>
          </cell>
          <cell r="D30">
            <v>36</v>
          </cell>
        </row>
        <row r="31">
          <cell r="A31">
            <v>280</v>
          </cell>
          <cell r="B31">
            <v>46</v>
          </cell>
          <cell r="C31" t="str">
            <v>Manga Repostera + 4 Boqui</v>
          </cell>
          <cell r="D31">
            <v>12</v>
          </cell>
        </row>
        <row r="32">
          <cell r="A32">
            <v>299</v>
          </cell>
          <cell r="B32">
            <v>125</v>
          </cell>
          <cell r="C32" t="str">
            <v>Muñeco Silicona Antiderra</v>
          </cell>
          <cell r="D32">
            <v>12</v>
          </cell>
        </row>
        <row r="33">
          <cell r="A33">
            <v>311</v>
          </cell>
          <cell r="B33">
            <v>184</v>
          </cell>
          <cell r="C33" t="str">
            <v xml:space="preserve">Cuchillo Torta Acero Inox </v>
          </cell>
          <cell r="D33">
            <v>12</v>
          </cell>
        </row>
        <row r="34">
          <cell r="A34">
            <v>312</v>
          </cell>
          <cell r="B34">
            <v>111</v>
          </cell>
          <cell r="C34" t="str">
            <v xml:space="preserve">Pala De Torta Acero Inox </v>
          </cell>
          <cell r="D34">
            <v>12</v>
          </cell>
        </row>
        <row r="35">
          <cell r="A35">
            <v>315</v>
          </cell>
          <cell r="B35">
            <v>17</v>
          </cell>
          <cell r="C35" t="str">
            <v xml:space="preserve">Pisa Papas Acero Inox    </v>
          </cell>
          <cell r="D35">
            <v>12</v>
          </cell>
        </row>
        <row r="36">
          <cell r="A36">
            <v>321</v>
          </cell>
          <cell r="B36">
            <v>10</v>
          </cell>
          <cell r="C36" t="str">
            <v xml:space="preserve">Rallador Cilindrico      </v>
          </cell>
          <cell r="D36">
            <v>12</v>
          </cell>
        </row>
        <row r="37">
          <cell r="A37">
            <v>322</v>
          </cell>
          <cell r="B37">
            <v>126</v>
          </cell>
          <cell r="C37" t="str">
            <v>Tenedor De Copetin X 6 Un</v>
          </cell>
          <cell r="D37">
            <v>24</v>
          </cell>
        </row>
        <row r="38">
          <cell r="A38">
            <v>323</v>
          </cell>
          <cell r="B38">
            <v>79</v>
          </cell>
          <cell r="C38" t="str">
            <v>Rallador Cilindrico Chico</v>
          </cell>
          <cell r="D38">
            <v>12</v>
          </cell>
        </row>
        <row r="39">
          <cell r="A39">
            <v>324</v>
          </cell>
          <cell r="B39">
            <v>143</v>
          </cell>
          <cell r="C39" t="str">
            <v>Pinche De Choclo X 4 Unid</v>
          </cell>
          <cell r="D39">
            <v>24</v>
          </cell>
        </row>
        <row r="40">
          <cell r="A40">
            <v>325</v>
          </cell>
          <cell r="B40">
            <v>16</v>
          </cell>
          <cell r="C40" t="str">
            <v xml:space="preserve">Espatula Repostera Plast </v>
          </cell>
          <cell r="D40">
            <v>24</v>
          </cell>
        </row>
        <row r="41">
          <cell r="A41">
            <v>326</v>
          </cell>
          <cell r="B41">
            <v>112</v>
          </cell>
          <cell r="C41" t="str">
            <v xml:space="preserve">Espatula Plastica 3 Usos </v>
          </cell>
          <cell r="D41">
            <v>24</v>
          </cell>
        </row>
        <row r="42">
          <cell r="A42">
            <v>332</v>
          </cell>
          <cell r="B42">
            <v>103</v>
          </cell>
          <cell r="C42" t="str">
            <v xml:space="preserve">Espatula Acero Inox.     </v>
          </cell>
          <cell r="D42">
            <v>24</v>
          </cell>
        </row>
        <row r="43">
          <cell r="A43">
            <v>333</v>
          </cell>
          <cell r="B43">
            <v>80</v>
          </cell>
          <cell r="C43" t="str">
            <v xml:space="preserve">Espumadera Ac.Inox.      </v>
          </cell>
          <cell r="D43">
            <v>12</v>
          </cell>
        </row>
        <row r="44">
          <cell r="A44">
            <v>334</v>
          </cell>
          <cell r="B44">
            <v>113</v>
          </cell>
          <cell r="C44" t="str">
            <v xml:space="preserve">Cuchara Salsera Inox     </v>
          </cell>
          <cell r="D44">
            <v>24</v>
          </cell>
        </row>
        <row r="45">
          <cell r="A45">
            <v>335</v>
          </cell>
          <cell r="B45">
            <v>144</v>
          </cell>
          <cell r="C45" t="str">
            <v xml:space="preserve">Cuchara Calada Ac.Inox.  </v>
          </cell>
          <cell r="D45">
            <v>24</v>
          </cell>
        </row>
        <row r="46">
          <cell r="A46">
            <v>336</v>
          </cell>
          <cell r="B46">
            <v>92</v>
          </cell>
          <cell r="C46" t="str">
            <v xml:space="preserve">Cucharon Ac.Inox.        </v>
          </cell>
          <cell r="D46">
            <v>12</v>
          </cell>
        </row>
        <row r="47">
          <cell r="A47">
            <v>337</v>
          </cell>
          <cell r="B47">
            <v>145</v>
          </cell>
          <cell r="C47" t="str">
            <v>Tenedor Ac Inox</v>
          </cell>
          <cell r="D47">
            <v>24</v>
          </cell>
        </row>
        <row r="48">
          <cell r="A48">
            <v>338</v>
          </cell>
          <cell r="B48">
            <v>114</v>
          </cell>
          <cell r="C48" t="str">
            <v xml:space="preserve">Espatula Lisa Ac.Inox.   </v>
          </cell>
          <cell r="D48">
            <v>24</v>
          </cell>
        </row>
        <row r="49">
          <cell r="A49">
            <v>339</v>
          </cell>
          <cell r="B49">
            <v>141</v>
          </cell>
          <cell r="C49" t="str">
            <v xml:space="preserve">Cuchara Spaghetti Ac Inox. </v>
          </cell>
          <cell r="D49">
            <v>24</v>
          </cell>
        </row>
        <row r="50">
          <cell r="A50">
            <v>355</v>
          </cell>
          <cell r="B50">
            <v>81</v>
          </cell>
          <cell r="C50" t="str">
            <v>Pisa Papas Nylon Mgo Plas</v>
          </cell>
          <cell r="D50">
            <v>24</v>
          </cell>
        </row>
        <row r="51">
          <cell r="A51">
            <v>389</v>
          </cell>
          <cell r="B51">
            <v>127</v>
          </cell>
          <cell r="C51" t="str">
            <v>Espumadera Nylon c/ Mgo</v>
          </cell>
          <cell r="D51">
            <v>12</v>
          </cell>
        </row>
        <row r="52">
          <cell r="A52">
            <v>390</v>
          </cell>
          <cell r="B52">
            <v>128</v>
          </cell>
          <cell r="C52" t="str">
            <v>Cuchara Calada Nylon 1 Pz</v>
          </cell>
          <cell r="D52">
            <v>24</v>
          </cell>
        </row>
        <row r="53">
          <cell r="A53">
            <v>391</v>
          </cell>
          <cell r="B53">
            <v>115</v>
          </cell>
          <cell r="C53" t="str">
            <v>Cuchara Pulpo Nylon 1 Pza</v>
          </cell>
          <cell r="D53">
            <v>24</v>
          </cell>
        </row>
        <row r="54">
          <cell r="A54">
            <v>392</v>
          </cell>
          <cell r="B54">
            <v>68</v>
          </cell>
          <cell r="C54" t="str">
            <v xml:space="preserve">Cucharon Nylon 1 Pza     </v>
          </cell>
          <cell r="D54">
            <v>24</v>
          </cell>
        </row>
        <row r="55">
          <cell r="A55">
            <v>393</v>
          </cell>
          <cell r="B55">
            <v>82</v>
          </cell>
          <cell r="C55" t="str">
            <v>Espatula Calada Nylon 1 P</v>
          </cell>
          <cell r="D55">
            <v>24</v>
          </cell>
        </row>
        <row r="56">
          <cell r="A56">
            <v>394</v>
          </cell>
          <cell r="B56">
            <v>90</v>
          </cell>
          <cell r="C56" t="str">
            <v>Espatula Lisa Nylon 1 Pza</v>
          </cell>
          <cell r="D56">
            <v>24</v>
          </cell>
        </row>
        <row r="57">
          <cell r="A57">
            <v>395</v>
          </cell>
          <cell r="B57">
            <v>69</v>
          </cell>
          <cell r="C57" t="str">
            <v>Descorazonador De Manzana</v>
          </cell>
          <cell r="D57">
            <v>12</v>
          </cell>
        </row>
        <row r="58">
          <cell r="A58">
            <v>396</v>
          </cell>
          <cell r="B58">
            <v>146</v>
          </cell>
          <cell r="C58" t="str">
            <v xml:space="preserve">Enrulador De Manteca     </v>
          </cell>
          <cell r="D58">
            <v>12</v>
          </cell>
        </row>
        <row r="59">
          <cell r="A59">
            <v>498</v>
          </cell>
          <cell r="B59">
            <v>56</v>
          </cell>
          <cell r="C59" t="str">
            <v>Destapador Pie Cromado</v>
          </cell>
          <cell r="D59">
            <v>12</v>
          </cell>
        </row>
        <row r="60">
          <cell r="A60">
            <v>499</v>
          </cell>
          <cell r="B60">
            <v>47</v>
          </cell>
          <cell r="C60" t="str">
            <v xml:space="preserve">Destapador Pie Color     </v>
          </cell>
          <cell r="D60">
            <v>12</v>
          </cell>
        </row>
        <row r="61">
          <cell r="A61">
            <v>500</v>
          </cell>
          <cell r="B61">
            <v>22</v>
          </cell>
          <cell r="C61" t="str">
            <v xml:space="preserve">Abrelata Uña Pie Color   </v>
          </cell>
          <cell r="D61">
            <v>12</v>
          </cell>
        </row>
        <row r="62">
          <cell r="A62">
            <v>501</v>
          </cell>
          <cell r="B62">
            <v>8</v>
          </cell>
          <cell r="C62" t="str">
            <v xml:space="preserve">Abrelatas A Manija       </v>
          </cell>
          <cell r="D62">
            <v>6</v>
          </cell>
        </row>
        <row r="63">
          <cell r="A63">
            <v>502</v>
          </cell>
          <cell r="B63">
            <v>4</v>
          </cell>
          <cell r="C63" t="str">
            <v xml:space="preserve">Abrelatas A Mariposa     </v>
          </cell>
          <cell r="D63">
            <v>12</v>
          </cell>
        </row>
        <row r="64">
          <cell r="A64">
            <v>504</v>
          </cell>
          <cell r="B64">
            <v>7</v>
          </cell>
          <cell r="C64" t="str">
            <v xml:space="preserve">Afila Cuchillos          </v>
          </cell>
          <cell r="D64">
            <v>6</v>
          </cell>
        </row>
        <row r="65">
          <cell r="A65">
            <v>505</v>
          </cell>
          <cell r="B65">
            <v>1</v>
          </cell>
          <cell r="C65" t="str">
            <v xml:space="preserve">Pelador Mgo Plastico     </v>
          </cell>
          <cell r="D65">
            <v>12</v>
          </cell>
        </row>
        <row r="66">
          <cell r="A66">
            <v>506</v>
          </cell>
          <cell r="B66">
            <v>3</v>
          </cell>
          <cell r="C66" t="str">
            <v xml:space="preserve">Abrelatas Uña            </v>
          </cell>
          <cell r="D66">
            <v>12</v>
          </cell>
        </row>
        <row r="67">
          <cell r="A67">
            <v>507</v>
          </cell>
          <cell r="B67">
            <v>48</v>
          </cell>
          <cell r="C67" t="str">
            <v xml:space="preserve">Rompenueces              </v>
          </cell>
          <cell r="D67">
            <v>12</v>
          </cell>
        </row>
        <row r="68">
          <cell r="A68">
            <v>508</v>
          </cell>
          <cell r="B68">
            <v>83</v>
          </cell>
          <cell r="C68" t="str">
            <v xml:space="preserve">Sacafuentes Articulado   </v>
          </cell>
          <cell r="D68">
            <v>12</v>
          </cell>
        </row>
        <row r="69">
          <cell r="A69">
            <v>509</v>
          </cell>
          <cell r="B69">
            <v>136</v>
          </cell>
          <cell r="C69" t="str">
            <v xml:space="preserve">Paleta Batidora          </v>
          </cell>
          <cell r="D69">
            <v>12</v>
          </cell>
        </row>
        <row r="70">
          <cell r="A70">
            <v>510</v>
          </cell>
          <cell r="B70">
            <v>11</v>
          </cell>
          <cell r="C70" t="str">
            <v>Abrelata Uña Cromado</v>
          </cell>
          <cell r="D70">
            <v>12</v>
          </cell>
        </row>
        <row r="71">
          <cell r="A71">
            <v>511</v>
          </cell>
          <cell r="B71">
            <v>84</v>
          </cell>
          <cell r="C71" t="str">
            <v xml:space="preserve">3 En 1                   </v>
          </cell>
          <cell r="D71">
            <v>12</v>
          </cell>
        </row>
        <row r="72">
          <cell r="A72">
            <v>512</v>
          </cell>
          <cell r="B72">
            <v>49</v>
          </cell>
          <cell r="C72" t="str">
            <v>Abrelata Mariposa Plastic</v>
          </cell>
          <cell r="D72">
            <v>12</v>
          </cell>
        </row>
        <row r="73">
          <cell r="A73">
            <v>513</v>
          </cell>
          <cell r="B73">
            <v>2</v>
          </cell>
          <cell r="C73" t="str">
            <v xml:space="preserve">Pelador Mgo Metalico     </v>
          </cell>
          <cell r="D73">
            <v>12</v>
          </cell>
        </row>
        <row r="74">
          <cell r="A74">
            <v>515</v>
          </cell>
          <cell r="B74">
            <v>116</v>
          </cell>
          <cell r="C74" t="str">
            <v xml:space="preserve">Batidor Resorte          </v>
          </cell>
          <cell r="D74">
            <v>12</v>
          </cell>
        </row>
        <row r="75">
          <cell r="A75">
            <v>516</v>
          </cell>
          <cell r="B75">
            <v>52</v>
          </cell>
          <cell r="C75" t="str">
            <v xml:space="preserve">Destapacorona Suelto     </v>
          </cell>
          <cell r="D75">
            <v>100</v>
          </cell>
        </row>
        <row r="76">
          <cell r="A76">
            <v>517</v>
          </cell>
          <cell r="B76">
            <v>129</v>
          </cell>
          <cell r="C76" t="str">
            <v xml:space="preserve">Pinza Gastronomica       </v>
          </cell>
          <cell r="D76">
            <v>12</v>
          </cell>
        </row>
        <row r="77">
          <cell r="A77">
            <v>518</v>
          </cell>
          <cell r="B77">
            <v>57</v>
          </cell>
          <cell r="C77" t="str">
            <v xml:space="preserve">Sacafuente Gastronomico  </v>
          </cell>
          <cell r="D77">
            <v>12</v>
          </cell>
        </row>
        <row r="78">
          <cell r="A78">
            <v>519</v>
          </cell>
          <cell r="B78">
            <v>93</v>
          </cell>
          <cell r="C78" t="str">
            <v>Cuchillo De Untar X 2 mad</v>
          </cell>
          <cell r="D78">
            <v>12</v>
          </cell>
        </row>
        <row r="79">
          <cell r="A79">
            <v>519</v>
          </cell>
          <cell r="B79">
            <v>94</v>
          </cell>
          <cell r="C79" t="str">
            <v xml:space="preserve">Cuchillo De Untar Suelto </v>
          </cell>
          <cell r="D79">
            <v>100</v>
          </cell>
        </row>
        <row r="80">
          <cell r="A80">
            <v>520</v>
          </cell>
          <cell r="B80">
            <v>20</v>
          </cell>
          <cell r="C80" t="str">
            <v>Sacacorcho Tipo Mozo Crom</v>
          </cell>
          <cell r="D80">
            <v>12</v>
          </cell>
        </row>
        <row r="81">
          <cell r="A81">
            <v>521</v>
          </cell>
          <cell r="B81">
            <v>23</v>
          </cell>
          <cell r="C81" t="str">
            <v>Sacacorcho Combinado Crom</v>
          </cell>
          <cell r="D81">
            <v>12</v>
          </cell>
        </row>
        <row r="82">
          <cell r="A82">
            <v>523</v>
          </cell>
          <cell r="B82">
            <v>21</v>
          </cell>
          <cell r="C82" t="str">
            <v xml:space="preserve">Sacacorcho Doble Aleta   </v>
          </cell>
          <cell r="D82">
            <v>12</v>
          </cell>
        </row>
        <row r="83">
          <cell r="A83">
            <v>524</v>
          </cell>
          <cell r="B83">
            <v>147</v>
          </cell>
          <cell r="C83" t="str">
            <v xml:space="preserve">Sacacorcho De Espumantes </v>
          </cell>
          <cell r="D83">
            <v>12</v>
          </cell>
        </row>
        <row r="84">
          <cell r="A84">
            <v>525</v>
          </cell>
          <cell r="B84">
            <v>32</v>
          </cell>
          <cell r="C84" t="str">
            <v>Sacacorcho Cabo De Madera</v>
          </cell>
          <cell r="D84">
            <v>24</v>
          </cell>
        </row>
        <row r="85">
          <cell r="A85">
            <v>526</v>
          </cell>
          <cell r="B85">
            <v>158</v>
          </cell>
          <cell r="C85" t="str">
            <v>Sacacorcho Doble Aleta Lu</v>
          </cell>
          <cell r="D85">
            <v>12</v>
          </cell>
        </row>
        <row r="86">
          <cell r="A86">
            <v>530</v>
          </cell>
          <cell r="B86">
            <v>18</v>
          </cell>
          <cell r="C86" t="str">
            <v>Sacacorcho Tipo Mozo Color</v>
          </cell>
          <cell r="D86">
            <v>12</v>
          </cell>
        </row>
        <row r="87">
          <cell r="A87">
            <v>531</v>
          </cell>
          <cell r="B87">
            <v>38</v>
          </cell>
          <cell r="C87" t="str">
            <v>Sacacorcho Combinado Color</v>
          </cell>
          <cell r="D87">
            <v>12</v>
          </cell>
        </row>
        <row r="88">
          <cell r="A88">
            <v>532</v>
          </cell>
          <cell r="B88">
            <v>75</v>
          </cell>
          <cell r="C88" t="str">
            <v xml:space="preserve">Cuchara De Helado        </v>
          </cell>
          <cell r="D88">
            <v>24</v>
          </cell>
        </row>
        <row r="89">
          <cell r="A89">
            <v>534</v>
          </cell>
          <cell r="B89">
            <v>135</v>
          </cell>
          <cell r="C89" t="str">
            <v>Cepillo Lava Vajilla</v>
          </cell>
          <cell r="D89">
            <v>24</v>
          </cell>
        </row>
        <row r="90">
          <cell r="A90">
            <v>535</v>
          </cell>
          <cell r="B90">
            <v>39</v>
          </cell>
          <cell r="C90" t="str">
            <v>Cepillo Limpia Vaso Mamad</v>
          </cell>
          <cell r="D90">
            <v>24</v>
          </cell>
        </row>
        <row r="91">
          <cell r="A91">
            <v>537</v>
          </cell>
          <cell r="B91">
            <v>61</v>
          </cell>
          <cell r="C91" t="str">
            <v xml:space="preserve">Pela Y Pica Ajo De Acero </v>
          </cell>
          <cell r="D91">
            <v>12</v>
          </cell>
        </row>
        <row r="92">
          <cell r="A92">
            <v>542</v>
          </cell>
          <cell r="B92">
            <v>64</v>
          </cell>
          <cell r="C92" t="str">
            <v xml:space="preserve">Ahueca Papas             </v>
          </cell>
          <cell r="D92">
            <v>12</v>
          </cell>
        </row>
        <row r="93">
          <cell r="A93">
            <v>543</v>
          </cell>
          <cell r="B93">
            <v>74</v>
          </cell>
          <cell r="C93" t="str">
            <v xml:space="preserve">Ahueca Frutas            </v>
          </cell>
          <cell r="D93">
            <v>12</v>
          </cell>
        </row>
        <row r="94">
          <cell r="A94">
            <v>544</v>
          </cell>
          <cell r="B94">
            <v>14</v>
          </cell>
          <cell r="C94" t="str">
            <v xml:space="preserve">Batidor Pera Alambre     </v>
          </cell>
          <cell r="D94">
            <v>12</v>
          </cell>
        </row>
        <row r="95">
          <cell r="A95">
            <v>546</v>
          </cell>
          <cell r="B95">
            <v>12</v>
          </cell>
          <cell r="C95" t="str">
            <v xml:space="preserve">Corta Queso              </v>
          </cell>
          <cell r="D95">
            <v>12</v>
          </cell>
        </row>
        <row r="96">
          <cell r="A96">
            <v>547</v>
          </cell>
          <cell r="B96">
            <v>153</v>
          </cell>
          <cell r="C96" t="str">
            <v xml:space="preserve">Corta Torta              </v>
          </cell>
          <cell r="D96">
            <v>12</v>
          </cell>
        </row>
        <row r="97">
          <cell r="A97">
            <v>548</v>
          </cell>
          <cell r="B97">
            <v>109</v>
          </cell>
          <cell r="C97" t="str">
            <v xml:space="preserve">Pincel Pastelero         </v>
          </cell>
          <cell r="D97">
            <v>24</v>
          </cell>
        </row>
        <row r="98">
          <cell r="A98">
            <v>550</v>
          </cell>
          <cell r="B98">
            <v>42</v>
          </cell>
          <cell r="C98" t="str">
            <v xml:space="preserve">Filtro Para Bombillas    </v>
          </cell>
          <cell r="D98">
            <v>36</v>
          </cell>
        </row>
        <row r="99">
          <cell r="A99">
            <v>551</v>
          </cell>
          <cell r="B99">
            <v>117</v>
          </cell>
          <cell r="C99" t="str">
            <v>Cuchillo Untar Mgo Plast</v>
          </cell>
          <cell r="D99">
            <v>12</v>
          </cell>
        </row>
        <row r="100">
          <cell r="A100">
            <v>552</v>
          </cell>
          <cell r="B100">
            <v>159</v>
          </cell>
          <cell r="C100" t="str">
            <v>Bombilla Sup Niq Larga Re</v>
          </cell>
          <cell r="D100">
            <v>24</v>
          </cell>
        </row>
        <row r="101">
          <cell r="A101">
            <v>553</v>
          </cell>
          <cell r="B101">
            <v>160</v>
          </cell>
          <cell r="C101" t="str">
            <v xml:space="preserve">Bombilla Super Niq Larga </v>
          </cell>
          <cell r="D101">
            <v>24</v>
          </cell>
        </row>
        <row r="102">
          <cell r="A102">
            <v>554</v>
          </cell>
          <cell r="B102">
            <v>130</v>
          </cell>
          <cell r="C102" t="str">
            <v xml:space="preserve">Cucharita Matera         </v>
          </cell>
          <cell r="D102">
            <v>24</v>
          </cell>
        </row>
        <row r="103">
          <cell r="A103">
            <v>555</v>
          </cell>
          <cell r="B103">
            <v>33</v>
          </cell>
          <cell r="C103" t="str">
            <v xml:space="preserve">Cepillo Limpia Bombilla  </v>
          </cell>
          <cell r="D103">
            <v>36</v>
          </cell>
        </row>
        <row r="104">
          <cell r="A104">
            <v>556</v>
          </cell>
          <cell r="B104">
            <v>148</v>
          </cell>
          <cell r="C104" t="str">
            <v>Sacayerba</v>
          </cell>
          <cell r="D104">
            <v>24</v>
          </cell>
        </row>
        <row r="105">
          <cell r="A105">
            <v>557</v>
          </cell>
          <cell r="B105">
            <v>36</v>
          </cell>
          <cell r="C105" t="str">
            <v xml:space="preserve">Bombilla Resorte Chata   </v>
          </cell>
          <cell r="D105">
            <v>24</v>
          </cell>
        </row>
        <row r="106">
          <cell r="A106">
            <v>558</v>
          </cell>
          <cell r="B106">
            <v>37</v>
          </cell>
          <cell r="C106" t="str">
            <v>Bombilla Resorte Tradicio</v>
          </cell>
          <cell r="D106">
            <v>24</v>
          </cell>
        </row>
        <row r="107">
          <cell r="A107">
            <v>559</v>
          </cell>
          <cell r="B107">
            <v>43</v>
          </cell>
          <cell r="C107" t="str">
            <v xml:space="preserve">Corta Ravioles           </v>
          </cell>
          <cell r="D107">
            <v>12</v>
          </cell>
        </row>
        <row r="108">
          <cell r="A108">
            <v>560</v>
          </cell>
          <cell r="B108">
            <v>70</v>
          </cell>
          <cell r="C108" t="str">
            <v xml:space="preserve">Pinza Chica              </v>
          </cell>
          <cell r="D108">
            <v>12</v>
          </cell>
        </row>
        <row r="109">
          <cell r="A109">
            <v>561</v>
          </cell>
          <cell r="B109">
            <v>53</v>
          </cell>
          <cell r="C109" t="str">
            <v xml:space="preserve">Pinza Grande             </v>
          </cell>
          <cell r="D109">
            <v>36</v>
          </cell>
        </row>
        <row r="110">
          <cell r="A110">
            <v>562</v>
          </cell>
          <cell r="B110">
            <v>71</v>
          </cell>
          <cell r="C110" t="str">
            <v>Corta Pizza Mgo 6cm</v>
          </cell>
          <cell r="D110">
            <v>12</v>
          </cell>
        </row>
        <row r="111">
          <cell r="A111">
            <v>563</v>
          </cell>
          <cell r="B111">
            <v>174</v>
          </cell>
          <cell r="C111" t="str">
            <v xml:space="preserve">Pinza Hamburguesa       </v>
          </cell>
          <cell r="D111">
            <v>12</v>
          </cell>
        </row>
        <row r="112">
          <cell r="A112">
            <v>564</v>
          </cell>
          <cell r="B112">
            <v>85</v>
          </cell>
          <cell r="C112" t="str">
            <v xml:space="preserve">Corta Pizza Gastronomico </v>
          </cell>
          <cell r="D112">
            <v>12</v>
          </cell>
        </row>
        <row r="113">
          <cell r="A113">
            <v>565</v>
          </cell>
          <cell r="B113">
            <v>62</v>
          </cell>
          <cell r="C113" t="str">
            <v xml:space="preserve">Pinza De Hielo           </v>
          </cell>
          <cell r="D113">
            <v>12</v>
          </cell>
        </row>
        <row r="114">
          <cell r="A114">
            <v>569</v>
          </cell>
          <cell r="B114">
            <v>131</v>
          </cell>
          <cell r="C114" t="str">
            <v xml:space="preserve">Pelanaranjas X 1 Display </v>
          </cell>
          <cell r="D114">
            <v>12</v>
          </cell>
        </row>
        <row r="115">
          <cell r="A115">
            <v>570</v>
          </cell>
          <cell r="B115">
            <v>118</v>
          </cell>
          <cell r="C115" t="str">
            <v xml:space="preserve">Pala De Canelones        </v>
          </cell>
          <cell r="D115">
            <v>24</v>
          </cell>
        </row>
        <row r="116">
          <cell r="A116">
            <v>571</v>
          </cell>
          <cell r="B116">
            <v>139</v>
          </cell>
          <cell r="C116" t="str">
            <v>Pinza Reforzada</v>
          </cell>
          <cell r="D116">
            <v>12</v>
          </cell>
        </row>
        <row r="117">
          <cell r="A117">
            <v>573</v>
          </cell>
          <cell r="B117">
            <v>101</v>
          </cell>
          <cell r="C117" t="str">
            <v>Bombilla Colores Metaliza</v>
          </cell>
          <cell r="D117">
            <v>24</v>
          </cell>
        </row>
        <row r="118">
          <cell r="A118">
            <v>575</v>
          </cell>
          <cell r="B118">
            <v>25</v>
          </cell>
          <cell r="C118" t="str">
            <v>Tapon De Vino/Cerv X1  Negro</v>
          </cell>
          <cell r="D118">
            <v>12</v>
          </cell>
        </row>
        <row r="119">
          <cell r="A119">
            <v>577</v>
          </cell>
          <cell r="B119">
            <v>41</v>
          </cell>
          <cell r="C119" t="str">
            <v>Tapon De Vino/Cerveza Premium</v>
          </cell>
          <cell r="D119">
            <v>12</v>
          </cell>
        </row>
        <row r="120">
          <cell r="A120">
            <v>578</v>
          </cell>
          <cell r="B120">
            <v>72</v>
          </cell>
          <cell r="C120" t="str">
            <v>Descarozador De Aceitunas</v>
          </cell>
          <cell r="D120">
            <v>12</v>
          </cell>
        </row>
        <row r="121">
          <cell r="A121">
            <v>579</v>
          </cell>
          <cell r="B121">
            <v>51</v>
          </cell>
          <cell r="C121" t="str">
            <v>Tapon De Vino/Cerv X 1 Color</v>
          </cell>
          <cell r="D121">
            <v>12</v>
          </cell>
        </row>
        <row r="122">
          <cell r="A122">
            <v>581</v>
          </cell>
          <cell r="B122">
            <v>26</v>
          </cell>
          <cell r="C122" t="str">
            <v>Sacacorcho Cabo Plastico</v>
          </cell>
          <cell r="D122">
            <v>12</v>
          </cell>
        </row>
        <row r="123">
          <cell r="A123">
            <v>586</v>
          </cell>
          <cell r="B123">
            <v>5</v>
          </cell>
          <cell r="C123" t="str">
            <v xml:space="preserve">Pelapapas Mgo Ergonomico </v>
          </cell>
          <cell r="D123">
            <v>12</v>
          </cell>
        </row>
        <row r="124">
          <cell r="A124">
            <v>587</v>
          </cell>
          <cell r="B124">
            <v>19</v>
          </cell>
          <cell r="C124" t="str">
            <v>Pelapapas Cuchilla Corte Laser</v>
          </cell>
          <cell r="D124">
            <v>12</v>
          </cell>
        </row>
        <row r="125">
          <cell r="A125">
            <v>592</v>
          </cell>
          <cell r="B125">
            <v>132</v>
          </cell>
          <cell r="C125" t="str">
            <v xml:space="preserve">Tostador                 </v>
          </cell>
          <cell r="D125">
            <v>12</v>
          </cell>
        </row>
        <row r="126">
          <cell r="A126">
            <v>593</v>
          </cell>
          <cell r="B126">
            <v>133</v>
          </cell>
          <cell r="C126" t="str">
            <v xml:space="preserve">Tostador Enlozado        </v>
          </cell>
          <cell r="D126">
            <v>12</v>
          </cell>
        </row>
        <row r="127">
          <cell r="A127">
            <v>594</v>
          </cell>
          <cell r="B127">
            <v>58</v>
          </cell>
          <cell r="C127" t="str">
            <v>Pinza De Fideos Mgo Plast X 12</v>
          </cell>
          <cell r="D127">
            <v>12</v>
          </cell>
        </row>
        <row r="128">
          <cell r="A128">
            <v>595</v>
          </cell>
          <cell r="B128">
            <v>73</v>
          </cell>
          <cell r="C128" t="str">
            <v>Pinza De Fiambre Mgo Plas X 12</v>
          </cell>
          <cell r="D128">
            <v>12</v>
          </cell>
        </row>
        <row r="129">
          <cell r="A129">
            <v>596</v>
          </cell>
          <cell r="B129">
            <v>86</v>
          </cell>
          <cell r="C129" t="str">
            <v>Pinza De Ensalada Mgo Pla X 12</v>
          </cell>
          <cell r="D129">
            <v>12</v>
          </cell>
        </row>
        <row r="130">
          <cell r="A130">
            <v>654</v>
          </cell>
          <cell r="B130">
            <v>50</v>
          </cell>
          <cell r="C130" t="str">
            <v>Bombilla Autolimpiante In</v>
          </cell>
          <cell r="D130">
            <v>24</v>
          </cell>
        </row>
        <row r="131">
          <cell r="A131">
            <v>655</v>
          </cell>
          <cell r="B131">
            <v>134</v>
          </cell>
          <cell r="C131" t="str">
            <v>Bombilla Eco Plastica</v>
          </cell>
          <cell r="D131">
            <v>24</v>
          </cell>
        </row>
        <row r="132">
          <cell r="A132">
            <v>657</v>
          </cell>
          <cell r="B132">
            <v>175</v>
          </cell>
          <cell r="C132" t="str">
            <v>Bombilla Autolimpiante Ni</v>
          </cell>
          <cell r="D132">
            <v>24</v>
          </cell>
        </row>
        <row r="133">
          <cell r="A133">
            <v>658</v>
          </cell>
          <cell r="B133">
            <v>161</v>
          </cell>
          <cell r="C133" t="str">
            <v>Bombilla Basica Larga Rec</v>
          </cell>
          <cell r="D133">
            <v>24</v>
          </cell>
        </row>
        <row r="134">
          <cell r="A134">
            <v>659</v>
          </cell>
          <cell r="B134">
            <v>162</v>
          </cell>
          <cell r="C134" t="str">
            <v>Bombilla Basica Larga Cur</v>
          </cell>
          <cell r="D134">
            <v>24</v>
          </cell>
        </row>
        <row r="135">
          <cell r="A135">
            <v>823</v>
          </cell>
          <cell r="B135">
            <v>95</v>
          </cell>
          <cell r="C135" t="str">
            <v xml:space="preserve">Exprimidor De Citricos   </v>
          </cell>
          <cell r="D135">
            <v>6</v>
          </cell>
        </row>
        <row r="136">
          <cell r="A136" t="str">
            <v>030E</v>
          </cell>
          <cell r="B136">
            <v>185</v>
          </cell>
          <cell r="C136" t="str">
            <v>Colador 20 Cm Acero Inox</v>
          </cell>
          <cell r="D136">
            <v>24</v>
          </cell>
        </row>
        <row r="137">
          <cell r="A137">
            <v>66</v>
          </cell>
          <cell r="B137">
            <v>167</v>
          </cell>
          <cell r="C137" t="str">
            <v>Abrelata Super Mariposa</v>
          </cell>
          <cell r="D137">
            <v>12</v>
          </cell>
        </row>
        <row r="138">
          <cell r="A138" t="str">
            <v>328E</v>
          </cell>
          <cell r="B138">
            <v>104</v>
          </cell>
          <cell r="C138" t="str">
            <v xml:space="preserve">Rallador Plano 3 Usos Ac </v>
          </cell>
          <cell r="D138">
            <v>24</v>
          </cell>
        </row>
        <row r="139">
          <cell r="A139" t="str">
            <v>360E</v>
          </cell>
          <cell r="B139">
            <v>105</v>
          </cell>
          <cell r="C139" t="str">
            <v xml:space="preserve">Rallador 4 Lados A/I Mgo </v>
          </cell>
          <cell r="D139">
            <v>12</v>
          </cell>
        </row>
        <row r="140">
          <cell r="A140" t="str">
            <v>361E</v>
          </cell>
          <cell r="B140">
            <v>96</v>
          </cell>
          <cell r="C140" t="str">
            <v>Rallador 4 Lados Ac Inox(</v>
          </cell>
          <cell r="D140">
            <v>12</v>
          </cell>
        </row>
        <row r="141">
          <cell r="A141" t="str">
            <v>362E</v>
          </cell>
          <cell r="B141">
            <v>100</v>
          </cell>
          <cell r="C141" t="str">
            <v>Rallador 4 Lados Ac Inox(</v>
          </cell>
          <cell r="D141">
            <v>12</v>
          </cell>
        </row>
        <row r="142">
          <cell r="A142" t="str">
            <v>363E</v>
          </cell>
          <cell r="B142">
            <v>106</v>
          </cell>
          <cell r="C142" t="str">
            <v>Rallador Gurmet Grano Fin</v>
          </cell>
          <cell r="D142">
            <v>12</v>
          </cell>
        </row>
        <row r="143">
          <cell r="A143" t="str">
            <v>364E</v>
          </cell>
          <cell r="B143">
            <v>140</v>
          </cell>
          <cell r="C143" t="str">
            <v>Rallador Gourmet Grano Me</v>
          </cell>
          <cell r="D143">
            <v>12</v>
          </cell>
        </row>
        <row r="144">
          <cell r="A144" t="str">
            <v>365E</v>
          </cell>
          <cell r="B144">
            <v>149</v>
          </cell>
          <cell r="C144" t="str">
            <v>Rallador Gourmet Grano Gr</v>
          </cell>
          <cell r="D144">
            <v>12</v>
          </cell>
        </row>
        <row r="145">
          <cell r="A145" t="str">
            <v>366E</v>
          </cell>
          <cell r="B145">
            <v>157</v>
          </cell>
          <cell r="C145" t="str">
            <v>Rallador Conico A/I X 12</v>
          </cell>
          <cell r="D145">
            <v>12</v>
          </cell>
        </row>
        <row r="146">
          <cell r="A146" t="str">
            <v>367E</v>
          </cell>
          <cell r="B146">
            <v>154</v>
          </cell>
          <cell r="C146" t="str">
            <v>Rallador Hexagonal Ac Ino</v>
          </cell>
          <cell r="D146">
            <v>24</v>
          </cell>
        </row>
        <row r="147">
          <cell r="A147" t="str">
            <v>388E</v>
          </cell>
          <cell r="B147">
            <v>150</v>
          </cell>
          <cell r="C147" t="str">
            <v xml:space="preserve">Maquina Corta Papa       </v>
          </cell>
          <cell r="D147">
            <v>1</v>
          </cell>
        </row>
        <row r="148">
          <cell r="A148" t="str">
            <v>435E</v>
          </cell>
          <cell r="B148">
            <v>9</v>
          </cell>
          <cell r="C148" t="str">
            <v xml:space="preserve">Colador Acero Inox 10 Cm </v>
          </cell>
          <cell r="D148">
            <v>24</v>
          </cell>
        </row>
        <row r="149">
          <cell r="A149" t="str">
            <v>436E</v>
          </cell>
          <cell r="B149">
            <v>120</v>
          </cell>
          <cell r="C149" t="str">
            <v xml:space="preserve">Colador Acero Inox 14 Cm </v>
          </cell>
          <cell r="D149">
            <v>24</v>
          </cell>
        </row>
        <row r="150">
          <cell r="A150" t="str">
            <v>437E</v>
          </cell>
          <cell r="B150">
            <v>122</v>
          </cell>
          <cell r="C150" t="str">
            <v xml:space="preserve">Colador Acero Inox 16 Cm </v>
          </cell>
          <cell r="D150">
            <v>24</v>
          </cell>
        </row>
        <row r="151">
          <cell r="A151" t="str">
            <v>438E</v>
          </cell>
          <cell r="B151">
            <v>59</v>
          </cell>
          <cell r="C151" t="str">
            <v xml:space="preserve">Colador Acero Inox 20 Cm </v>
          </cell>
          <cell r="D151">
            <v>12</v>
          </cell>
        </row>
        <row r="152">
          <cell r="A152" t="str">
            <v>438E</v>
          </cell>
          <cell r="B152">
            <v>107</v>
          </cell>
          <cell r="C152" t="str">
            <v xml:space="preserve">Colador Acero Inox 20 Cm </v>
          </cell>
          <cell r="D152">
            <v>24</v>
          </cell>
        </row>
        <row r="153">
          <cell r="A153" t="str">
            <v>439E</v>
          </cell>
          <cell r="B153">
            <v>155</v>
          </cell>
          <cell r="C153" t="str">
            <v>Colapasta Metal Perforado</v>
          </cell>
          <cell r="D153">
            <v>4</v>
          </cell>
        </row>
        <row r="154">
          <cell r="A154" t="str">
            <v>440E</v>
          </cell>
          <cell r="B154">
            <v>156</v>
          </cell>
          <cell r="C154" t="str">
            <v>Colador Extensib. A/I 34X</v>
          </cell>
          <cell r="D154">
            <v>4</v>
          </cell>
        </row>
        <row r="155">
          <cell r="A155" t="str">
            <v>478E</v>
          </cell>
          <cell r="B155">
            <v>30</v>
          </cell>
          <cell r="C155" t="str">
            <v xml:space="preserve">Sacacorcho Doble Impulso </v>
          </cell>
          <cell r="D155">
            <v>12</v>
          </cell>
        </row>
        <row r="156">
          <cell r="A156" t="str">
            <v>502E</v>
          </cell>
          <cell r="B156">
            <v>163</v>
          </cell>
          <cell r="C156" t="str">
            <v xml:space="preserve">Abrelata Mariposa        </v>
          </cell>
          <cell r="D156">
            <v>12</v>
          </cell>
        </row>
        <row r="157">
          <cell r="A157" t="str">
            <v>502T</v>
          </cell>
          <cell r="B157">
            <v>168</v>
          </cell>
          <cell r="C157" t="str">
            <v>Abrelata Mariposa Tira Imp.</v>
          </cell>
          <cell r="D157">
            <v>18</v>
          </cell>
        </row>
        <row r="158">
          <cell r="A158" t="str">
            <v>503E</v>
          </cell>
          <cell r="B158">
            <v>87</v>
          </cell>
          <cell r="C158" t="str">
            <v>Abrelatas Doble Engranaje</v>
          </cell>
          <cell r="D158">
            <v>12</v>
          </cell>
        </row>
        <row r="159">
          <cell r="A159" t="str">
            <v>504A</v>
          </cell>
          <cell r="B159">
            <v>169</v>
          </cell>
          <cell r="C159" t="str">
            <v>Afila Cuchillos Azul</v>
          </cell>
          <cell r="D159">
            <v>6</v>
          </cell>
        </row>
        <row r="160">
          <cell r="A160" t="str">
            <v>510T</v>
          </cell>
          <cell r="B160">
            <v>170</v>
          </cell>
          <cell r="C160" t="str">
            <v>Abrelata Uña Crom Tira Imp</v>
          </cell>
          <cell r="D160">
            <v>24</v>
          </cell>
        </row>
        <row r="161">
          <cell r="A161" t="str">
            <v>512E</v>
          </cell>
          <cell r="B161">
            <v>164</v>
          </cell>
          <cell r="C161" t="str">
            <v>Abrelata Mariposa Plastic</v>
          </cell>
          <cell r="D161">
            <v>12</v>
          </cell>
        </row>
        <row r="162">
          <cell r="A162" t="str">
            <v>520T</v>
          </cell>
          <cell r="B162">
            <v>171</v>
          </cell>
          <cell r="C162" t="str">
            <v>Sac. Tipo Mozo Cromado Tira Imp.</v>
          </cell>
          <cell r="D162">
            <v>24</v>
          </cell>
        </row>
        <row r="163">
          <cell r="A163" t="str">
            <v>525E</v>
          </cell>
          <cell r="B163">
            <v>31</v>
          </cell>
          <cell r="C163" t="str">
            <v>Sacacorcho Cabo Madera</v>
          </cell>
          <cell r="D163">
            <v>24</v>
          </cell>
        </row>
        <row r="164">
          <cell r="A164" t="str">
            <v>529E</v>
          </cell>
          <cell r="B164">
            <v>27</v>
          </cell>
          <cell r="C164" t="str">
            <v xml:space="preserve">Sacacorcho Doble Impulso </v>
          </cell>
          <cell r="D164">
            <v>12</v>
          </cell>
        </row>
        <row r="165">
          <cell r="A165" t="str">
            <v>544E</v>
          </cell>
          <cell r="B165">
            <v>165</v>
          </cell>
          <cell r="C165" t="str">
            <v xml:space="preserve">Batidor Pera Display     </v>
          </cell>
          <cell r="D165">
            <v>12</v>
          </cell>
        </row>
        <row r="166">
          <cell r="A166" t="str">
            <v>574E</v>
          </cell>
          <cell r="B166">
            <v>88</v>
          </cell>
          <cell r="C166" t="str">
            <v xml:space="preserve">Corta Queso De Alambre   </v>
          </cell>
          <cell r="D166">
            <v>12</v>
          </cell>
        </row>
        <row r="167">
          <cell r="A167" t="str">
            <v>580E</v>
          </cell>
          <cell r="B167">
            <v>97</v>
          </cell>
          <cell r="C167" t="str">
            <v>Batidor Mini</v>
          </cell>
          <cell r="D167">
            <v>12</v>
          </cell>
        </row>
        <row r="168">
          <cell r="A168" t="str">
            <v>581T</v>
          </cell>
          <cell r="B168">
            <v>172</v>
          </cell>
          <cell r="C168" t="str">
            <v>Sac. Cabo Nylon Tira Imp</v>
          </cell>
          <cell r="D168">
            <v>24</v>
          </cell>
        </row>
        <row r="169">
          <cell r="A169" t="str">
            <v>585E</v>
          </cell>
          <cell r="B169">
            <v>98</v>
          </cell>
          <cell r="C169" t="str">
            <v>Sac.Doble Aleta Fundicion</v>
          </cell>
          <cell r="D169">
            <v>12</v>
          </cell>
        </row>
        <row r="170">
          <cell r="A170" t="str">
            <v>587T</v>
          </cell>
          <cell r="B170">
            <v>173</v>
          </cell>
          <cell r="C170" t="str">
            <v>Pelador Cuchilla Laser Tira Imp</v>
          </cell>
          <cell r="D170">
            <v>12</v>
          </cell>
        </row>
        <row r="171">
          <cell r="A171" t="str">
            <v>809E</v>
          </cell>
          <cell r="B171">
            <v>99</v>
          </cell>
          <cell r="C171" t="str">
            <v>Corta Pizza Familiar</v>
          </cell>
          <cell r="D171">
            <v>12</v>
          </cell>
        </row>
        <row r="172">
          <cell r="A172" t="str">
            <v>810E</v>
          </cell>
          <cell r="B172">
            <v>108</v>
          </cell>
          <cell r="C172" t="str">
            <v>Corta Queso Semiduros A/I</v>
          </cell>
          <cell r="D172">
            <v>12</v>
          </cell>
        </row>
        <row r="173">
          <cell r="A173" t="str">
            <v>811E</v>
          </cell>
          <cell r="B173">
            <v>76</v>
          </cell>
          <cell r="C173" t="str">
            <v>Corta Pizza C/Mgo Ergonom</v>
          </cell>
          <cell r="D173">
            <v>12</v>
          </cell>
        </row>
        <row r="174">
          <cell r="A174" t="str">
            <v>812E</v>
          </cell>
          <cell r="B174">
            <v>121</v>
          </cell>
          <cell r="C174" t="str">
            <v xml:space="preserve">Corta Huevo              </v>
          </cell>
          <cell r="D174">
            <v>12</v>
          </cell>
        </row>
        <row r="175">
          <cell r="A175" t="str">
            <v>813E</v>
          </cell>
          <cell r="B175">
            <v>176</v>
          </cell>
          <cell r="C175" t="str">
            <v xml:space="preserve">Afila Cuchillo           </v>
          </cell>
          <cell r="D175">
            <v>12</v>
          </cell>
        </row>
        <row r="176">
          <cell r="A176" t="str">
            <v>814E</v>
          </cell>
          <cell r="B176">
            <v>177</v>
          </cell>
          <cell r="C176" t="str">
            <v>Mariposa Manopla Magnetic</v>
          </cell>
          <cell r="D176">
            <v>12</v>
          </cell>
        </row>
        <row r="177">
          <cell r="A177" t="str">
            <v>815E</v>
          </cell>
          <cell r="B177">
            <v>178</v>
          </cell>
          <cell r="C177" t="str">
            <v>Batidor Pera Con Mgo Ergo</v>
          </cell>
          <cell r="D177">
            <v>12</v>
          </cell>
        </row>
        <row r="178">
          <cell r="A178" t="str">
            <v>816E</v>
          </cell>
          <cell r="B178">
            <v>28</v>
          </cell>
          <cell r="C178" t="str">
            <v xml:space="preserve">Pelador "V" Horizontal   </v>
          </cell>
          <cell r="D178">
            <v>12</v>
          </cell>
        </row>
        <row r="179">
          <cell r="A179" t="str">
            <v>817E</v>
          </cell>
          <cell r="B179">
            <v>137</v>
          </cell>
          <cell r="C179" t="str">
            <v>Rallador C/Mgo Ergonomico</v>
          </cell>
          <cell r="D179">
            <v>12</v>
          </cell>
        </row>
        <row r="180">
          <cell r="A180" t="str">
            <v>818E</v>
          </cell>
          <cell r="B180">
            <v>179</v>
          </cell>
          <cell r="C180" t="str">
            <v>Corta Pizza Manual</v>
          </cell>
          <cell r="D180">
            <v>12</v>
          </cell>
        </row>
        <row r="181">
          <cell r="A181" t="str">
            <v>819E</v>
          </cell>
          <cell r="B181">
            <v>89</v>
          </cell>
          <cell r="C181" t="str">
            <v xml:space="preserve">Sacacorcho "Fish" Grande </v>
          </cell>
          <cell r="D181">
            <v>12</v>
          </cell>
        </row>
        <row r="183">
          <cell r="A183" t="str">
            <v>Cod.Art.</v>
          </cell>
          <cell r="B183" t="str">
            <v>Entra
Virgilio
Cajas</v>
          </cell>
          <cell r="C183" t="str">
            <v>Descripcion</v>
          </cell>
          <cell r="D183" t="str">
            <v>Uni
x
Caja</v>
          </cell>
        </row>
        <row r="184">
          <cell r="A184">
            <v>836</v>
          </cell>
          <cell r="B184">
            <v>196</v>
          </cell>
          <cell r="C184" t="str">
            <v xml:space="preserve">Filtro Para Cafe         </v>
          </cell>
          <cell r="D184">
            <v>24</v>
          </cell>
        </row>
        <row r="185">
          <cell r="A185">
            <v>706</v>
          </cell>
          <cell r="B185">
            <v>512</v>
          </cell>
          <cell r="C185" t="str">
            <v xml:space="preserve">Abrelatas Uñas           </v>
          </cell>
          <cell r="D185">
            <v>12</v>
          </cell>
        </row>
        <row r="186">
          <cell r="A186">
            <v>713</v>
          </cell>
          <cell r="B186">
            <v>256</v>
          </cell>
          <cell r="C186" t="str">
            <v xml:space="preserve">Pelapapas Metalico       </v>
          </cell>
          <cell r="D186">
            <v>12</v>
          </cell>
        </row>
        <row r="187">
          <cell r="A187">
            <v>825</v>
          </cell>
          <cell r="B187">
            <v>120</v>
          </cell>
          <cell r="C187" t="str">
            <v xml:space="preserve">Colador 10 Cm            </v>
          </cell>
          <cell r="D187">
            <v>24</v>
          </cell>
        </row>
        <row r="188">
          <cell r="A188">
            <v>824</v>
          </cell>
          <cell r="B188">
            <v>224</v>
          </cell>
          <cell r="C188" t="str">
            <v xml:space="preserve">Colador 8 Cm             </v>
          </cell>
          <cell r="D188">
            <v>12</v>
          </cell>
        </row>
        <row r="189">
          <cell r="A189" t="str">
            <v>126K</v>
          </cell>
          <cell r="B189">
            <v>270</v>
          </cell>
          <cell r="C189" t="str">
            <v xml:space="preserve">Pelador Mgo Metalico     </v>
          </cell>
          <cell r="D189">
            <v>12</v>
          </cell>
        </row>
        <row r="190">
          <cell r="A190">
            <v>840</v>
          </cell>
          <cell r="B190">
            <v>365</v>
          </cell>
          <cell r="C190" t="str">
            <v xml:space="preserve">Rallador Cilindrico      </v>
          </cell>
          <cell r="D190">
            <v>12</v>
          </cell>
        </row>
        <row r="191">
          <cell r="A191">
            <v>702</v>
          </cell>
          <cell r="B191">
            <v>0</v>
          </cell>
          <cell r="C191" t="str">
            <v xml:space="preserve">Abrelatas Mariposa       </v>
          </cell>
          <cell r="D191">
            <v>12</v>
          </cell>
        </row>
        <row r="192">
          <cell r="A192" t="str">
            <v>702E</v>
          </cell>
          <cell r="B192">
            <v>0</v>
          </cell>
          <cell r="C192" t="str">
            <v xml:space="preserve">Abrelatas Mariposa       </v>
          </cell>
          <cell r="D192">
            <v>12</v>
          </cell>
        </row>
        <row r="193">
          <cell r="A193">
            <v>823</v>
          </cell>
          <cell r="B193">
            <v>128</v>
          </cell>
          <cell r="C193" t="str">
            <v xml:space="preserve">Colador 7 Cm             </v>
          </cell>
          <cell r="D193">
            <v>12</v>
          </cell>
        </row>
        <row r="194">
          <cell r="A194">
            <v>809</v>
          </cell>
          <cell r="B194">
            <v>120</v>
          </cell>
          <cell r="C194" t="str">
            <v xml:space="preserve">Corta Queso              </v>
          </cell>
          <cell r="D194">
            <v>12</v>
          </cell>
        </row>
        <row r="195">
          <cell r="A195" t="str">
            <v>809E</v>
          </cell>
          <cell r="B195">
            <v>224</v>
          </cell>
          <cell r="C195" t="str">
            <v>Corta Queso Blandos Mango Alambre</v>
          </cell>
          <cell r="D195">
            <v>12</v>
          </cell>
        </row>
        <row r="196">
          <cell r="A196" t="str">
            <v>112K</v>
          </cell>
          <cell r="B196">
            <v>170</v>
          </cell>
          <cell r="C196" t="str">
            <v xml:space="preserve">Abrelata Uña             </v>
          </cell>
          <cell r="D196">
            <v>12</v>
          </cell>
        </row>
        <row r="197">
          <cell r="A197">
            <v>760</v>
          </cell>
          <cell r="B197">
            <v>98</v>
          </cell>
          <cell r="C197" t="str">
            <v xml:space="preserve">Filtro Para Bombilla     </v>
          </cell>
          <cell r="D197">
            <v>36</v>
          </cell>
        </row>
        <row r="198">
          <cell r="A198">
            <v>764</v>
          </cell>
          <cell r="B198">
            <v>60</v>
          </cell>
          <cell r="C198" t="str">
            <v xml:space="preserve">Limpia Bombilla          </v>
          </cell>
          <cell r="D198">
            <v>36</v>
          </cell>
        </row>
        <row r="199">
          <cell r="A199" t="str">
            <v>712E</v>
          </cell>
          <cell r="B199">
            <v>0</v>
          </cell>
          <cell r="C199" t="str">
            <v>Pelador Mgo Plastico Econ</v>
          </cell>
          <cell r="D199">
            <v>24</v>
          </cell>
        </row>
        <row r="200">
          <cell r="A200">
            <v>730</v>
          </cell>
          <cell r="B200">
            <v>60</v>
          </cell>
          <cell r="C200" t="str">
            <v>Sacacorcho Tipo Mozo Colo</v>
          </cell>
          <cell r="D200">
            <v>24</v>
          </cell>
        </row>
        <row r="201">
          <cell r="A201" t="str">
            <v>129K</v>
          </cell>
          <cell r="B201">
            <v>75</v>
          </cell>
          <cell r="C201" t="str">
            <v xml:space="preserve">Cuchillo De Untae X2     </v>
          </cell>
          <cell r="D201">
            <v>12</v>
          </cell>
        </row>
        <row r="202">
          <cell r="A202">
            <v>802</v>
          </cell>
          <cell r="B202">
            <v>0</v>
          </cell>
          <cell r="C202" t="str">
            <v xml:space="preserve">Batidor Pera Display     </v>
          </cell>
          <cell r="D202">
            <v>12</v>
          </cell>
        </row>
        <row r="203">
          <cell r="A203">
            <v>701</v>
          </cell>
          <cell r="B203">
            <v>0</v>
          </cell>
          <cell r="C203" t="str">
            <v xml:space="preserve">Abrelatas A Manija       </v>
          </cell>
          <cell r="D203">
            <v>6</v>
          </cell>
        </row>
        <row r="204">
          <cell r="A204">
            <v>901</v>
          </cell>
          <cell r="B204">
            <v>373</v>
          </cell>
          <cell r="C204" t="str">
            <v>Cuchara Madera 35 Display X 12</v>
          </cell>
          <cell r="D204">
            <v>12</v>
          </cell>
        </row>
        <row r="205">
          <cell r="A205" t="str">
            <v>163K</v>
          </cell>
          <cell r="B205">
            <v>0</v>
          </cell>
          <cell r="C205" t="str">
            <v>Cuchara De Madera De 30 C</v>
          </cell>
          <cell r="D205">
            <v>12</v>
          </cell>
        </row>
        <row r="206">
          <cell r="A206">
            <v>99</v>
          </cell>
          <cell r="B206">
            <v>321</v>
          </cell>
          <cell r="C206" t="str">
            <v>Pelapapas Mgo Plast Verde</v>
          </cell>
          <cell r="D206">
            <v>12</v>
          </cell>
        </row>
        <row r="207">
          <cell r="A207">
            <v>731</v>
          </cell>
          <cell r="B207">
            <v>60</v>
          </cell>
          <cell r="C207" t="str">
            <v>Sacacocrcho Combinado Col</v>
          </cell>
          <cell r="D207">
            <v>24</v>
          </cell>
        </row>
        <row r="208">
          <cell r="A208" t="str">
            <v>150K</v>
          </cell>
          <cell r="B208">
            <v>168</v>
          </cell>
          <cell r="C208" t="str">
            <v xml:space="preserve">Cuchara De Madera 35Cm   </v>
          </cell>
          <cell r="D208">
            <v>12</v>
          </cell>
        </row>
        <row r="209">
          <cell r="A209" t="str">
            <v>139K</v>
          </cell>
          <cell r="B209">
            <v>65</v>
          </cell>
          <cell r="C209" t="str">
            <v>Pisa Papa</v>
          </cell>
          <cell r="D209">
            <v>12</v>
          </cell>
        </row>
        <row r="210">
          <cell r="A210">
            <v>723</v>
          </cell>
          <cell r="B210">
            <v>50</v>
          </cell>
          <cell r="C210" t="str">
            <v xml:space="preserve">Sacacorcho Doble Aleta   </v>
          </cell>
          <cell r="D210">
            <v>12</v>
          </cell>
        </row>
        <row r="211">
          <cell r="A211">
            <v>816</v>
          </cell>
          <cell r="B211">
            <v>180</v>
          </cell>
          <cell r="C211" t="str">
            <v xml:space="preserve">Tapon Gaseosa            </v>
          </cell>
          <cell r="D211">
            <v>12</v>
          </cell>
        </row>
        <row r="212">
          <cell r="A212">
            <v>817</v>
          </cell>
          <cell r="B212">
            <v>50</v>
          </cell>
          <cell r="C212" t="str">
            <v>Tapon De Gaseosa X 2 Negr</v>
          </cell>
          <cell r="D212">
            <v>12</v>
          </cell>
        </row>
        <row r="213">
          <cell r="A213">
            <v>859</v>
          </cell>
          <cell r="B213">
            <v>50</v>
          </cell>
          <cell r="C213" t="str">
            <v xml:space="preserve">Corta Ravioles           </v>
          </cell>
          <cell r="D213">
            <v>12</v>
          </cell>
        </row>
        <row r="214">
          <cell r="A214">
            <v>725</v>
          </cell>
          <cell r="B214">
            <v>0</v>
          </cell>
          <cell r="C214" t="str">
            <v>Sacacorcho Cabo De Madera</v>
          </cell>
          <cell r="D214">
            <v>24</v>
          </cell>
        </row>
        <row r="215">
          <cell r="A215" t="str">
            <v>725E</v>
          </cell>
          <cell r="B215">
            <v>0</v>
          </cell>
          <cell r="C215" t="str">
            <v>Sacacorcho Cabo De Madera</v>
          </cell>
          <cell r="D215">
            <v>24</v>
          </cell>
        </row>
        <row r="216">
          <cell r="A216" t="str">
            <v>115K</v>
          </cell>
          <cell r="B216">
            <v>90</v>
          </cell>
          <cell r="C216" t="str">
            <v>Sacacorcho Tipo Mozo Pint</v>
          </cell>
          <cell r="D216">
            <v>12</v>
          </cell>
        </row>
        <row r="217">
          <cell r="A217" t="str">
            <v>111K</v>
          </cell>
          <cell r="B217">
            <v>78</v>
          </cell>
          <cell r="C217" t="str">
            <v xml:space="preserve">Abrelatas Mariposa Krea  </v>
          </cell>
          <cell r="D217">
            <v>24</v>
          </cell>
        </row>
        <row r="218">
          <cell r="A218">
            <v>609</v>
          </cell>
          <cell r="B218">
            <v>84</v>
          </cell>
          <cell r="C218" t="str">
            <v xml:space="preserve">Pisa Papas               </v>
          </cell>
          <cell r="D218">
            <v>12</v>
          </cell>
        </row>
        <row r="219">
          <cell r="A219" t="str">
            <v>128K</v>
          </cell>
          <cell r="B219">
            <v>0</v>
          </cell>
          <cell r="C219" t="str">
            <v xml:space="preserve">Batidor Pera             </v>
          </cell>
          <cell r="D219">
            <v>12</v>
          </cell>
        </row>
        <row r="220">
          <cell r="A220" t="str">
            <v>727E</v>
          </cell>
          <cell r="B220">
            <v>0</v>
          </cell>
          <cell r="C220" t="str">
            <v xml:space="preserve">Sacacorcho Doble Impulso </v>
          </cell>
          <cell r="D220">
            <v>12</v>
          </cell>
        </row>
        <row r="221">
          <cell r="A221" t="str">
            <v>121K</v>
          </cell>
          <cell r="B221">
            <v>120</v>
          </cell>
          <cell r="C221" t="str">
            <v xml:space="preserve">Corta Queso              </v>
          </cell>
          <cell r="D221">
            <v>12</v>
          </cell>
        </row>
        <row r="222">
          <cell r="A222">
            <v>902</v>
          </cell>
          <cell r="B222">
            <v>98</v>
          </cell>
          <cell r="C222" t="str">
            <v>Cuchara Madera 45 Display X 12</v>
          </cell>
          <cell r="D222">
            <v>12</v>
          </cell>
        </row>
        <row r="223">
          <cell r="A223">
            <v>97</v>
          </cell>
          <cell r="B223">
            <v>120</v>
          </cell>
          <cell r="C223" t="str">
            <v>Afila Cuchillo Con Base V</v>
          </cell>
          <cell r="D223">
            <v>6</v>
          </cell>
        </row>
        <row r="224">
          <cell r="A224">
            <v>307</v>
          </cell>
          <cell r="B224">
            <v>30</v>
          </cell>
          <cell r="C224" t="str">
            <v xml:space="preserve">Limpia Mamadera A/I      </v>
          </cell>
          <cell r="D224">
            <v>24</v>
          </cell>
        </row>
        <row r="225">
          <cell r="A225">
            <v>839</v>
          </cell>
          <cell r="B225">
            <v>72</v>
          </cell>
          <cell r="C225" t="str">
            <v xml:space="preserve">Rallador Chico Chocolate </v>
          </cell>
          <cell r="D225">
            <v>12</v>
          </cell>
        </row>
        <row r="226">
          <cell r="A226">
            <v>911</v>
          </cell>
          <cell r="B226">
            <v>42</v>
          </cell>
          <cell r="C226" t="str">
            <v>Cuchara Madera 30 Display X 12</v>
          </cell>
          <cell r="D226">
            <v>12</v>
          </cell>
        </row>
        <row r="227">
          <cell r="A227">
            <v>920</v>
          </cell>
          <cell r="B227">
            <v>158</v>
          </cell>
          <cell r="C227" t="str">
            <v>Cuchara Madera 40 Display X 12</v>
          </cell>
          <cell r="D227">
            <v>12</v>
          </cell>
        </row>
        <row r="228">
          <cell r="A228">
            <v>842</v>
          </cell>
          <cell r="B228">
            <v>84</v>
          </cell>
          <cell r="C228" t="str">
            <v xml:space="preserve">Espatula Lisa Plastica   </v>
          </cell>
          <cell r="D228">
            <v>24</v>
          </cell>
        </row>
        <row r="229">
          <cell r="A229">
            <v>700</v>
          </cell>
          <cell r="B229">
            <v>80</v>
          </cell>
          <cell r="C229" t="str">
            <v xml:space="preserve">Destapaca Corona Pint. X </v>
          </cell>
          <cell r="D229">
            <v>12</v>
          </cell>
        </row>
        <row r="230">
          <cell r="A230">
            <v>708</v>
          </cell>
          <cell r="B230">
            <v>90</v>
          </cell>
          <cell r="C230" t="str">
            <v>Sacafuentes Articulado</v>
          </cell>
          <cell r="D230">
            <v>12</v>
          </cell>
        </row>
        <row r="231">
          <cell r="A231">
            <v>909</v>
          </cell>
          <cell r="B231">
            <v>98</v>
          </cell>
          <cell r="C231" t="str">
            <v xml:space="preserve">Ñoquera Display          </v>
          </cell>
          <cell r="D231">
            <v>12</v>
          </cell>
        </row>
        <row r="232">
          <cell r="A232">
            <v>846</v>
          </cell>
          <cell r="B232">
            <v>42</v>
          </cell>
          <cell r="C232" t="str">
            <v xml:space="preserve">Espatula Calada Plastica </v>
          </cell>
          <cell r="D232">
            <v>24</v>
          </cell>
        </row>
        <row r="233">
          <cell r="A233">
            <v>847</v>
          </cell>
          <cell r="B233">
            <v>6</v>
          </cell>
          <cell r="C233" t="str">
            <v>Espatula Repostera Plasti</v>
          </cell>
          <cell r="D233">
            <v>24</v>
          </cell>
        </row>
        <row r="234">
          <cell r="A234">
            <v>848</v>
          </cell>
          <cell r="B234">
            <v>24</v>
          </cell>
          <cell r="C234" t="str">
            <v xml:space="preserve">Espatula Repostera Plast </v>
          </cell>
          <cell r="D234">
            <v>24</v>
          </cell>
        </row>
        <row r="235">
          <cell r="A235">
            <v>43</v>
          </cell>
          <cell r="B235">
            <v>50</v>
          </cell>
          <cell r="C235" t="str">
            <v xml:space="preserve">Tres En Uno              </v>
          </cell>
          <cell r="D235">
            <v>12</v>
          </cell>
        </row>
        <row r="236">
          <cell r="A236">
            <v>707</v>
          </cell>
          <cell r="B236">
            <v>110</v>
          </cell>
          <cell r="C236" t="str">
            <v xml:space="preserve">Rompenueces              </v>
          </cell>
          <cell r="D236">
            <v>12</v>
          </cell>
        </row>
        <row r="237">
          <cell r="A237">
            <v>755</v>
          </cell>
          <cell r="B237">
            <v>578</v>
          </cell>
          <cell r="C237" t="str">
            <v>Bomb. Resorte Color Metal</v>
          </cell>
          <cell r="D237">
            <v>24</v>
          </cell>
        </row>
        <row r="238">
          <cell r="A238">
            <v>789</v>
          </cell>
          <cell r="B238">
            <v>30</v>
          </cell>
          <cell r="C238" t="str">
            <v xml:space="preserve">Pisa Papa Nylon          </v>
          </cell>
          <cell r="D238">
            <v>24</v>
          </cell>
        </row>
        <row r="239">
          <cell r="A239">
            <v>845</v>
          </cell>
          <cell r="B239">
            <v>60</v>
          </cell>
          <cell r="C239" t="str">
            <v xml:space="preserve">Cucharon Plastico        </v>
          </cell>
          <cell r="D239">
            <v>24</v>
          </cell>
        </row>
        <row r="240">
          <cell r="A240">
            <v>852</v>
          </cell>
          <cell r="B240">
            <v>50</v>
          </cell>
          <cell r="C240" t="str">
            <v xml:space="preserve">Pinza Hielo Display      </v>
          </cell>
          <cell r="D240">
            <v>12</v>
          </cell>
        </row>
        <row r="241">
          <cell r="A241" t="str">
            <v>733E</v>
          </cell>
          <cell r="B241">
            <v>0</v>
          </cell>
          <cell r="C241" t="str">
            <v xml:space="preserve">Sacacorcho Doble Impulso </v>
          </cell>
          <cell r="D241">
            <v>12</v>
          </cell>
        </row>
        <row r="242">
          <cell r="A242">
            <v>922</v>
          </cell>
          <cell r="B242">
            <v>8</v>
          </cell>
          <cell r="C242" t="str">
            <v>Cuchara Madera 25 Display X 12</v>
          </cell>
          <cell r="D242">
            <v>12</v>
          </cell>
        </row>
        <row r="243">
          <cell r="A243" t="str">
            <v>118K</v>
          </cell>
          <cell r="B243">
            <v>50</v>
          </cell>
          <cell r="C243" t="str">
            <v xml:space="preserve">Afila Cuchillo           </v>
          </cell>
          <cell r="D243">
            <v>12</v>
          </cell>
        </row>
        <row r="244">
          <cell r="A244">
            <v>55</v>
          </cell>
          <cell r="B244">
            <v>46</v>
          </cell>
          <cell r="C244" t="str">
            <v xml:space="preserve">Pinza De Fideos*Arte*  </v>
          </cell>
          <cell r="D244">
            <v>12</v>
          </cell>
        </row>
        <row r="245">
          <cell r="A245">
            <v>910</v>
          </cell>
          <cell r="B245">
            <v>50</v>
          </cell>
          <cell r="C245" t="str">
            <v>Bate Bife Display</v>
          </cell>
          <cell r="D245">
            <v>12</v>
          </cell>
        </row>
        <row r="246">
          <cell r="A246">
            <v>862</v>
          </cell>
          <cell r="B246">
            <v>24</v>
          </cell>
          <cell r="C246" t="str">
            <v xml:space="preserve">Corta Pizza Mgo Chef 6cm              </v>
          </cell>
          <cell r="D246">
            <v>12</v>
          </cell>
        </row>
        <row r="247">
          <cell r="A247">
            <v>863</v>
          </cell>
          <cell r="B247">
            <v>50</v>
          </cell>
          <cell r="C247" t="str">
            <v xml:space="preserve">Corta Pizza Grande       </v>
          </cell>
          <cell r="D247">
            <v>12</v>
          </cell>
        </row>
        <row r="248">
          <cell r="A248">
            <v>867</v>
          </cell>
          <cell r="B248">
            <v>60</v>
          </cell>
          <cell r="C248" t="str">
            <v>Filtro De Tela Gastronomi</v>
          </cell>
          <cell r="D248">
            <v>24</v>
          </cell>
        </row>
        <row r="249">
          <cell r="A249">
            <v>54</v>
          </cell>
          <cell r="B249">
            <v>108</v>
          </cell>
          <cell r="C249" t="str">
            <v>Pinza De Ensaladas*Arte* X 12</v>
          </cell>
          <cell r="D249">
            <v>12</v>
          </cell>
        </row>
        <row r="250">
          <cell r="A250">
            <v>452</v>
          </cell>
          <cell r="B250">
            <v>24</v>
          </cell>
          <cell r="C250" t="str">
            <v xml:space="preserve">Espumadera Nylon C/Mgo </v>
          </cell>
          <cell r="D250">
            <v>24</v>
          </cell>
        </row>
        <row r="251">
          <cell r="A251">
            <v>453</v>
          </cell>
          <cell r="B251">
            <v>24</v>
          </cell>
          <cell r="C251" t="str">
            <v>Cuchara Fideos Nylon C/Mgo</v>
          </cell>
          <cell r="D251">
            <v>24</v>
          </cell>
        </row>
        <row r="252">
          <cell r="A252">
            <v>454</v>
          </cell>
          <cell r="B252">
            <v>24</v>
          </cell>
          <cell r="C252" t="str">
            <v xml:space="preserve">Cucharon Nylon C/Mgo   </v>
          </cell>
          <cell r="D252">
            <v>24</v>
          </cell>
        </row>
        <row r="253">
          <cell r="A253">
            <v>455</v>
          </cell>
          <cell r="B253">
            <v>24</v>
          </cell>
          <cell r="C253" t="str">
            <v>Espatula Calada Nylon C/Mgo</v>
          </cell>
          <cell r="D253">
            <v>24</v>
          </cell>
        </row>
        <row r="254">
          <cell r="A254">
            <v>456</v>
          </cell>
          <cell r="B254">
            <v>48</v>
          </cell>
          <cell r="C254" t="str">
            <v>Espatula Lisa Nylon C/Mgo</v>
          </cell>
          <cell r="D254">
            <v>24</v>
          </cell>
        </row>
        <row r="255">
          <cell r="A255">
            <v>613</v>
          </cell>
          <cell r="B255">
            <v>24</v>
          </cell>
          <cell r="C255" t="str">
            <v>Cuchara Calada 1 Pieza Ac. Inox</v>
          </cell>
          <cell r="D255">
            <v>12</v>
          </cell>
        </row>
        <row r="256">
          <cell r="A256">
            <v>715</v>
          </cell>
          <cell r="B256">
            <v>60</v>
          </cell>
          <cell r="C256" t="str">
            <v xml:space="preserve">Cierra Bolsa X 4         </v>
          </cell>
          <cell r="D256">
            <v>24</v>
          </cell>
        </row>
        <row r="257">
          <cell r="A257">
            <v>732</v>
          </cell>
          <cell r="B257">
            <v>40</v>
          </cell>
          <cell r="C257" t="str">
            <v xml:space="preserve">Cuchara Helado           </v>
          </cell>
          <cell r="D257">
            <v>24</v>
          </cell>
        </row>
        <row r="258">
          <cell r="A258">
            <v>763</v>
          </cell>
          <cell r="B258">
            <v>0</v>
          </cell>
          <cell r="C258" t="str">
            <v>Bombilla Resorte Tradicio</v>
          </cell>
          <cell r="D258">
            <v>24</v>
          </cell>
        </row>
        <row r="259">
          <cell r="A259">
            <v>878</v>
          </cell>
          <cell r="B259">
            <v>60</v>
          </cell>
          <cell r="C259" t="str">
            <v xml:space="preserve">Cuchillitos De Untar Mgo </v>
          </cell>
          <cell r="D259">
            <v>24</v>
          </cell>
        </row>
        <row r="260">
          <cell r="A260">
            <v>879</v>
          </cell>
          <cell r="B260">
            <v>20</v>
          </cell>
          <cell r="C260" t="str">
            <v>Set X 3 Espatulas Plastic</v>
          </cell>
          <cell r="D260">
            <v>24</v>
          </cell>
        </row>
        <row r="261">
          <cell r="A261">
            <v>908</v>
          </cell>
          <cell r="B261">
            <v>42</v>
          </cell>
          <cell r="C261" t="str">
            <v>Cuchara De Cocina 33Cm X 12</v>
          </cell>
          <cell r="D261">
            <v>12</v>
          </cell>
        </row>
        <row r="262">
          <cell r="A262">
            <v>615</v>
          </cell>
          <cell r="B262">
            <v>30</v>
          </cell>
          <cell r="C262" t="str">
            <v xml:space="preserve">Batidor Resorte          </v>
          </cell>
          <cell r="D262">
            <v>12</v>
          </cell>
        </row>
        <row r="263">
          <cell r="A263" t="str">
            <v>114K</v>
          </cell>
          <cell r="B263">
            <v>90</v>
          </cell>
          <cell r="C263" t="str">
            <v>Sacacorcho Combinado Pint</v>
          </cell>
          <cell r="D263">
            <v>12</v>
          </cell>
        </row>
        <row r="264">
          <cell r="A264" t="str">
            <v>865E</v>
          </cell>
          <cell r="B264">
            <v>0</v>
          </cell>
          <cell r="C264" t="str">
            <v>Rallador Plano A/I 3 Usos</v>
          </cell>
          <cell r="D264">
            <v>24</v>
          </cell>
        </row>
        <row r="265">
          <cell r="A265" t="str">
            <v>868E</v>
          </cell>
          <cell r="B265">
            <v>0</v>
          </cell>
          <cell r="C265" t="str">
            <v xml:space="preserve">Rallador 4 Lados A/I Mgo </v>
          </cell>
          <cell r="D265">
            <v>12</v>
          </cell>
        </row>
        <row r="266">
          <cell r="A266">
            <v>858</v>
          </cell>
          <cell r="B266">
            <v>30</v>
          </cell>
          <cell r="C266" t="str">
            <v xml:space="preserve">Pala De Canelones        </v>
          </cell>
          <cell r="D266">
            <v>24</v>
          </cell>
        </row>
        <row r="267">
          <cell r="A267">
            <v>630</v>
          </cell>
          <cell r="B267">
            <v>42</v>
          </cell>
          <cell r="C267" t="str">
            <v>Cucharon Ac Inox C/Mgo Ch</v>
          </cell>
          <cell r="D267">
            <v>12</v>
          </cell>
        </row>
        <row r="268">
          <cell r="A268">
            <v>720</v>
          </cell>
          <cell r="B268">
            <v>60</v>
          </cell>
          <cell r="C268" t="str">
            <v xml:space="preserve">Ahueca Papa              </v>
          </cell>
          <cell r="D268">
            <v>12</v>
          </cell>
        </row>
        <row r="269">
          <cell r="A269">
            <v>765</v>
          </cell>
          <cell r="B269">
            <v>0</v>
          </cell>
          <cell r="C269" t="str">
            <v>Sacayerba</v>
          </cell>
          <cell r="D269">
            <v>36</v>
          </cell>
        </row>
        <row r="270">
          <cell r="A270">
            <v>769</v>
          </cell>
          <cell r="B270">
            <v>120</v>
          </cell>
          <cell r="C270" t="str">
            <v>Bomb. Autolimpiante Ac. I</v>
          </cell>
          <cell r="D270">
            <v>24</v>
          </cell>
        </row>
        <row r="271">
          <cell r="A271">
            <v>873</v>
          </cell>
          <cell r="B271">
            <v>32</v>
          </cell>
          <cell r="C271" t="str">
            <v xml:space="preserve">Tostador Enlozado        </v>
          </cell>
          <cell r="D271">
            <v>12</v>
          </cell>
        </row>
        <row r="272">
          <cell r="A272" t="str">
            <v>692E</v>
          </cell>
          <cell r="B272">
            <v>32</v>
          </cell>
          <cell r="C272" t="str">
            <v xml:space="preserve">Pelador "V" Horizontal   </v>
          </cell>
          <cell r="D272">
            <v>12</v>
          </cell>
        </row>
        <row r="273">
          <cell r="A273" t="str">
            <v>729E</v>
          </cell>
          <cell r="B273">
            <v>0</v>
          </cell>
          <cell r="C273" t="str">
            <v>Sac Doble Aleta Fund Eco</v>
          </cell>
          <cell r="D273">
            <v>12</v>
          </cell>
        </row>
        <row r="274">
          <cell r="A274" t="str">
            <v>877E</v>
          </cell>
          <cell r="B274">
            <v>0</v>
          </cell>
          <cell r="C274" t="str">
            <v>Corta Pizza Con Mgo Chino</v>
          </cell>
          <cell r="D274">
            <v>12</v>
          </cell>
        </row>
        <row r="275">
          <cell r="A275" t="str">
            <v>110K</v>
          </cell>
          <cell r="B275">
            <v>24</v>
          </cell>
          <cell r="C275" t="str">
            <v xml:space="preserve">Abrelatas Manija Krea    </v>
          </cell>
          <cell r="D275">
            <v>24</v>
          </cell>
        </row>
        <row r="276">
          <cell r="A276">
            <v>633</v>
          </cell>
          <cell r="B276">
            <v>42</v>
          </cell>
          <cell r="C276" t="str">
            <v>Cuchara Salsera Ac Inox</v>
          </cell>
          <cell r="D276">
            <v>24</v>
          </cell>
        </row>
        <row r="277">
          <cell r="A277">
            <v>636</v>
          </cell>
          <cell r="B277">
            <v>42</v>
          </cell>
          <cell r="C277" t="str">
            <v>Espatula Calada Ac Inox</v>
          </cell>
          <cell r="D277">
            <v>24</v>
          </cell>
        </row>
        <row r="278">
          <cell r="A278">
            <v>719</v>
          </cell>
          <cell r="B278">
            <v>0</v>
          </cell>
          <cell r="C278" t="str">
            <v>Cuch Untar Mgo Madera X2</v>
          </cell>
          <cell r="D278">
            <v>12</v>
          </cell>
        </row>
        <row r="279">
          <cell r="A279">
            <v>856</v>
          </cell>
          <cell r="B279">
            <v>24</v>
          </cell>
          <cell r="C279" t="str">
            <v xml:space="preserve">Pala Torta               </v>
          </cell>
          <cell r="D279">
            <v>24</v>
          </cell>
        </row>
        <row r="280">
          <cell r="A280">
            <v>864</v>
          </cell>
          <cell r="B280">
            <v>60</v>
          </cell>
          <cell r="C280" t="str">
            <v xml:space="preserve">Pincel Pastelero         </v>
          </cell>
          <cell r="D280">
            <v>12</v>
          </cell>
        </row>
        <row r="281">
          <cell r="A281">
            <v>912</v>
          </cell>
          <cell r="B281">
            <v>12</v>
          </cell>
          <cell r="C281" t="str">
            <v>Tenedor Madera 35cm</v>
          </cell>
          <cell r="D281">
            <v>12</v>
          </cell>
        </row>
        <row r="282">
          <cell r="A282">
            <v>52</v>
          </cell>
          <cell r="B282">
            <v>30</v>
          </cell>
          <cell r="C282" t="str">
            <v xml:space="preserve">Lavavajilla C/Mgo.Arte   </v>
          </cell>
          <cell r="D282">
            <v>12</v>
          </cell>
        </row>
        <row r="283">
          <cell r="A283">
            <v>53</v>
          </cell>
          <cell r="B283">
            <v>53</v>
          </cell>
          <cell r="C283" t="str">
            <v>Pinza De Fiambre*Arte* X 12</v>
          </cell>
          <cell r="D283">
            <v>12</v>
          </cell>
        </row>
        <row r="284">
          <cell r="A284">
            <v>617</v>
          </cell>
          <cell r="B284">
            <v>24</v>
          </cell>
          <cell r="C284" t="str">
            <v>Pinza Del Chef</v>
          </cell>
          <cell r="D284">
            <v>12</v>
          </cell>
        </row>
        <row r="285">
          <cell r="A285">
            <v>618</v>
          </cell>
          <cell r="B285">
            <v>48</v>
          </cell>
          <cell r="C285" t="str">
            <v>Espat. Repost. Goma Gastr</v>
          </cell>
          <cell r="D285">
            <v>12</v>
          </cell>
        </row>
        <row r="286">
          <cell r="A286">
            <v>619</v>
          </cell>
          <cell r="B286">
            <v>48</v>
          </cell>
          <cell r="C286" t="str">
            <v>Espatula Repost. Goma Com</v>
          </cell>
          <cell r="D286">
            <v>24</v>
          </cell>
        </row>
        <row r="287">
          <cell r="A287">
            <v>631</v>
          </cell>
          <cell r="B287">
            <v>0</v>
          </cell>
          <cell r="C287" t="str">
            <v xml:space="preserve">Espumadera Ac Inox C/Mgo </v>
          </cell>
          <cell r="D287">
            <v>24</v>
          </cell>
        </row>
        <row r="288">
          <cell r="A288">
            <v>632</v>
          </cell>
          <cell r="B288">
            <v>42</v>
          </cell>
          <cell r="C288" t="str">
            <v>Pinche Ac Inox C/Mgo Chef</v>
          </cell>
          <cell r="D288">
            <v>24</v>
          </cell>
        </row>
        <row r="289">
          <cell r="A289">
            <v>634</v>
          </cell>
          <cell r="B289">
            <v>0</v>
          </cell>
          <cell r="C289" t="str">
            <v>Cuchara Calada Ac Inox</v>
          </cell>
          <cell r="D289">
            <v>24</v>
          </cell>
        </row>
        <row r="290">
          <cell r="A290">
            <v>635</v>
          </cell>
          <cell r="B290">
            <v>42</v>
          </cell>
          <cell r="C290" t="str">
            <v>Espatula Lisa Ac Inox</v>
          </cell>
          <cell r="D290">
            <v>24</v>
          </cell>
        </row>
        <row r="291">
          <cell r="A291">
            <v>637</v>
          </cell>
          <cell r="B291">
            <v>24</v>
          </cell>
          <cell r="C291" t="str">
            <v>Cuchara Spaghetti Ac. Inox</v>
          </cell>
          <cell r="D291">
            <v>12</v>
          </cell>
        </row>
        <row r="292">
          <cell r="A292">
            <v>718</v>
          </cell>
          <cell r="B292">
            <v>60</v>
          </cell>
          <cell r="C292" t="str">
            <v xml:space="preserve">Cuch. Untar Blanco X 4   </v>
          </cell>
          <cell r="D292">
            <v>24</v>
          </cell>
        </row>
        <row r="293">
          <cell r="A293">
            <v>761</v>
          </cell>
          <cell r="B293">
            <v>0</v>
          </cell>
          <cell r="C293" t="str">
            <v xml:space="preserve">Cucharita Matera         </v>
          </cell>
          <cell r="D293">
            <v>24</v>
          </cell>
        </row>
        <row r="294">
          <cell r="A294">
            <v>762</v>
          </cell>
          <cell r="B294">
            <v>190</v>
          </cell>
          <cell r="C294" t="str">
            <v xml:space="preserve">Bombilla Resorte Chata   </v>
          </cell>
          <cell r="D294">
            <v>24</v>
          </cell>
        </row>
        <row r="295">
          <cell r="A295">
            <v>800</v>
          </cell>
          <cell r="B295">
            <v>40</v>
          </cell>
          <cell r="C295" t="str">
            <v xml:space="preserve">Pinza Chica Display      </v>
          </cell>
          <cell r="D295">
            <v>12</v>
          </cell>
        </row>
        <row r="296">
          <cell r="A296">
            <v>843</v>
          </cell>
          <cell r="B296">
            <v>42</v>
          </cell>
          <cell r="C296" t="str">
            <v xml:space="preserve">Cuchara Calada Plastica  </v>
          </cell>
          <cell r="D296">
            <v>24</v>
          </cell>
        </row>
        <row r="297">
          <cell r="A297">
            <v>844</v>
          </cell>
          <cell r="B297">
            <v>30</v>
          </cell>
          <cell r="C297" t="str">
            <v xml:space="preserve">Cuchara Pulpo Plastica   </v>
          </cell>
          <cell r="D297">
            <v>24</v>
          </cell>
        </row>
        <row r="298">
          <cell r="A298">
            <v>857</v>
          </cell>
          <cell r="B298">
            <v>0</v>
          </cell>
          <cell r="C298" t="str">
            <v>Cuchillo De Torta</v>
          </cell>
          <cell r="D298">
            <v>24</v>
          </cell>
        </row>
        <row r="299">
          <cell r="A299">
            <v>860</v>
          </cell>
          <cell r="B299">
            <v>20</v>
          </cell>
          <cell r="C299" t="str">
            <v xml:space="preserve">Tenedor Copetin X 6      </v>
          </cell>
          <cell r="D299">
            <v>24</v>
          </cell>
        </row>
        <row r="300">
          <cell r="A300">
            <v>872</v>
          </cell>
          <cell r="B300">
            <v>24</v>
          </cell>
          <cell r="C300" t="str">
            <v xml:space="preserve">Tostador                 </v>
          </cell>
          <cell r="D300">
            <v>12</v>
          </cell>
        </row>
        <row r="301">
          <cell r="A301">
            <v>61</v>
          </cell>
          <cell r="B301">
            <v>0</v>
          </cell>
          <cell r="C301" t="str">
            <v>Pinza Chica Detalles Bco Azul</v>
          </cell>
          <cell r="D301">
            <v>12</v>
          </cell>
        </row>
        <row r="302">
          <cell r="A302">
            <v>709</v>
          </cell>
          <cell r="B302">
            <v>40</v>
          </cell>
          <cell r="C302" t="str">
            <v>Descorazonador De Manzana</v>
          </cell>
          <cell r="D302">
            <v>12</v>
          </cell>
        </row>
        <row r="303">
          <cell r="A303">
            <v>710</v>
          </cell>
          <cell r="B303">
            <v>0</v>
          </cell>
          <cell r="C303" t="str">
            <v>Enrulador Manteca</v>
          </cell>
          <cell r="D303">
            <v>12</v>
          </cell>
        </row>
        <row r="304">
          <cell r="A304">
            <v>722</v>
          </cell>
          <cell r="B304">
            <v>50</v>
          </cell>
          <cell r="C304" t="str">
            <v xml:space="preserve">Ahueca Frutas            </v>
          </cell>
          <cell r="D304">
            <v>12</v>
          </cell>
        </row>
        <row r="305">
          <cell r="A305">
            <v>724</v>
          </cell>
          <cell r="B305">
            <v>30</v>
          </cell>
          <cell r="C305" t="str">
            <v>Espumante</v>
          </cell>
          <cell r="D305">
            <v>12</v>
          </cell>
        </row>
        <row r="306">
          <cell r="A306">
            <v>818</v>
          </cell>
          <cell r="B306">
            <v>9</v>
          </cell>
          <cell r="C306" t="str">
            <v>Corta Torta Plast</v>
          </cell>
          <cell r="D306">
            <v>12</v>
          </cell>
        </row>
        <row r="307">
          <cell r="A307">
            <v>900</v>
          </cell>
          <cell r="B307">
            <v>30</v>
          </cell>
          <cell r="C307" t="str">
            <v xml:space="preserve">Prensa Matambre Display  </v>
          </cell>
          <cell r="D307">
            <v>6</v>
          </cell>
        </row>
        <row r="308">
          <cell r="A308">
            <v>717</v>
          </cell>
          <cell r="B308">
            <v>120</v>
          </cell>
          <cell r="C308" t="str">
            <v>Cuchillo de Untar Acrilico Transp.</v>
          </cell>
          <cell r="D308">
            <v>24</v>
          </cell>
        </row>
        <row r="309">
          <cell r="A309">
            <v>747</v>
          </cell>
          <cell r="B309">
            <v>60</v>
          </cell>
          <cell r="C309" t="str">
            <v>Bombilla Coco Hexagonal</v>
          </cell>
          <cell r="D309">
            <v>24</v>
          </cell>
        </row>
        <row r="310">
          <cell r="A310">
            <v>748</v>
          </cell>
          <cell r="B310">
            <v>60</v>
          </cell>
          <cell r="C310" t="str">
            <v xml:space="preserve">Bombilla Coco Bolita </v>
          </cell>
          <cell r="D310">
            <v>24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dido VACIO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6"/>
  <sheetViews>
    <sheetView tabSelected="1" workbookViewId="0">
      <selection activeCell="I16" sqref="A1:I16"/>
    </sheetView>
  </sheetViews>
  <sheetFormatPr baseColWidth="10" defaultRowHeight="15" x14ac:dyDescent="0.25"/>
  <cols>
    <col min="2" max="2" width="7.5703125" customWidth="1"/>
    <col min="3" max="3" width="19.5703125" customWidth="1"/>
    <col min="4" max="4" width="12.140625" customWidth="1"/>
    <col min="5" max="5" width="10.140625" customWidth="1"/>
    <col min="6" max="6" width="10.5703125" customWidth="1"/>
    <col min="7" max="7" width="10.85546875" customWidth="1"/>
    <col min="8" max="8" width="10.7109375" customWidth="1"/>
    <col min="9" max="9" width="10.28515625" customWidth="1"/>
  </cols>
  <sheetData>
    <row r="1" spans="1:9" ht="26.25" customHeight="1" x14ac:dyDescent="0.4">
      <c r="A1" s="457" t="s">
        <v>541</v>
      </c>
      <c r="B1" s="458"/>
      <c r="C1" s="458"/>
      <c r="D1" s="459"/>
      <c r="E1" s="460" t="s">
        <v>542</v>
      </c>
      <c r="F1" s="461"/>
      <c r="G1" s="461"/>
      <c r="H1" s="462"/>
    </row>
    <row r="2" spans="1:9" ht="21" customHeight="1" x14ac:dyDescent="0.35">
      <c r="A2" s="443" t="s">
        <v>543</v>
      </c>
      <c r="B2" s="444"/>
      <c r="C2" s="469" t="s">
        <v>544</v>
      </c>
      <c r="D2" s="469"/>
      <c r="E2" s="463"/>
      <c r="F2" s="464"/>
      <c r="G2" s="464"/>
      <c r="H2" s="465"/>
    </row>
    <row r="3" spans="1:9" ht="21.75" customHeight="1" thickBot="1" x14ac:dyDescent="0.4">
      <c r="A3" s="443" t="s">
        <v>545</v>
      </c>
      <c r="B3" s="444"/>
      <c r="C3" s="469" t="s">
        <v>546</v>
      </c>
      <c r="D3" s="469"/>
      <c r="E3" s="466"/>
      <c r="F3" s="467"/>
      <c r="G3" s="467"/>
      <c r="H3" s="468"/>
    </row>
    <row r="4" spans="1:9" ht="21" x14ac:dyDescent="0.35">
      <c r="A4" s="443" t="s">
        <v>547</v>
      </c>
      <c r="B4" s="444"/>
      <c r="C4" s="445" t="s">
        <v>548</v>
      </c>
      <c r="D4" s="445"/>
      <c r="E4" s="446" t="s">
        <v>549</v>
      </c>
      <c r="F4" s="447"/>
      <c r="G4" s="450">
        <f ca="1">+TODAY()</f>
        <v>46008</v>
      </c>
      <c r="H4" s="451"/>
    </row>
    <row r="5" spans="1:9" ht="21.75" thickBot="1" x14ac:dyDescent="0.4">
      <c r="A5" s="454" t="s">
        <v>550</v>
      </c>
      <c r="B5" s="455"/>
      <c r="C5" s="456" t="s">
        <v>551</v>
      </c>
      <c r="D5" s="456"/>
      <c r="E5" s="448"/>
      <c r="F5" s="449"/>
      <c r="G5" s="452"/>
      <c r="H5" s="453"/>
    </row>
    <row r="6" spans="1:9" ht="7.5" customHeight="1" thickBot="1" x14ac:dyDescent="0.4">
      <c r="A6" s="427"/>
      <c r="B6" s="427"/>
      <c r="C6" s="428"/>
    </row>
    <row r="7" spans="1:9" s="228" customFormat="1" ht="40.5" customHeight="1" thickBot="1" x14ac:dyDescent="0.3">
      <c r="A7" s="439" t="s">
        <v>552</v>
      </c>
      <c r="B7" s="440"/>
      <c r="C7" s="441" t="s">
        <v>555</v>
      </c>
      <c r="D7" s="442"/>
      <c r="E7" s="276" t="s">
        <v>553</v>
      </c>
      <c r="F7" s="429">
        <v>3372</v>
      </c>
    </row>
    <row r="8" spans="1:9" ht="7.5" customHeight="1" thickBot="1" x14ac:dyDescent="0.4">
      <c r="A8" s="427"/>
      <c r="B8" s="427"/>
      <c r="C8" s="428"/>
    </row>
    <row r="9" spans="1:9" ht="21.75" thickBot="1" x14ac:dyDescent="0.4">
      <c r="A9" s="470" t="s">
        <v>554</v>
      </c>
      <c r="B9" s="471"/>
      <c r="C9" s="472" t="s">
        <v>546</v>
      </c>
      <c r="D9" s="473"/>
    </row>
    <row r="10" spans="1:9" ht="7.5" customHeight="1" x14ac:dyDescent="0.35">
      <c r="A10" s="427"/>
      <c r="B10" s="427"/>
      <c r="C10" s="428"/>
    </row>
    <row r="11" spans="1:9" ht="15.75" thickBot="1" x14ac:dyDescent="0.3"/>
    <row r="12" spans="1:9" ht="19.5" thickBot="1" x14ac:dyDescent="0.35">
      <c r="A12" s="483" t="s">
        <v>461</v>
      </c>
      <c r="B12" s="484"/>
      <c r="C12" s="484"/>
      <c r="D12" s="485"/>
    </row>
    <row r="13" spans="1:9" ht="24" thickBot="1" x14ac:dyDescent="0.3">
      <c r="A13" s="481" t="s">
        <v>464</v>
      </c>
      <c r="B13" s="482"/>
      <c r="C13" s="251" t="s">
        <v>462</v>
      </c>
      <c r="D13" s="555">
        <f ca="1">+TODAY()</f>
        <v>46008</v>
      </c>
    </row>
    <row r="14" spans="1:9" ht="61.5" customHeight="1" thickBot="1" x14ac:dyDescent="0.3">
      <c r="A14" s="97" t="s">
        <v>311</v>
      </c>
      <c r="B14" s="97" t="s">
        <v>535</v>
      </c>
      <c r="C14" s="97" t="s">
        <v>2</v>
      </c>
      <c r="D14" s="419" t="s">
        <v>557</v>
      </c>
      <c r="E14" s="419" t="s">
        <v>476</v>
      </c>
      <c r="F14" s="419" t="s">
        <v>539</v>
      </c>
      <c r="G14" s="420" t="s">
        <v>540</v>
      </c>
      <c r="H14" s="419" t="s">
        <v>539</v>
      </c>
      <c r="I14" s="420" t="s">
        <v>540</v>
      </c>
    </row>
    <row r="15" spans="1:9" ht="21" customHeight="1" x14ac:dyDescent="0.25">
      <c r="A15" s="474">
        <v>1165500</v>
      </c>
      <c r="B15" s="476"/>
      <c r="C15" s="553" t="s">
        <v>410</v>
      </c>
      <c r="D15" s="424">
        <v>2</v>
      </c>
      <c r="E15" s="430"/>
      <c r="F15" s="320"/>
      <c r="G15" s="322"/>
      <c r="H15" s="432"/>
      <c r="I15" s="322"/>
    </row>
    <row r="16" spans="1:9" ht="20.25" customHeight="1" thickBot="1" x14ac:dyDescent="0.3">
      <c r="A16" s="475"/>
      <c r="B16" s="477"/>
      <c r="C16" s="554"/>
      <c r="D16" s="323"/>
      <c r="E16" s="431"/>
      <c r="F16" s="323"/>
      <c r="G16" s="136"/>
      <c r="H16" s="433"/>
      <c r="I16" s="136"/>
    </row>
  </sheetData>
  <mergeCells count="21">
    <mergeCell ref="A9:B9"/>
    <mergeCell ref="C9:D9"/>
    <mergeCell ref="A15:A16"/>
    <mergeCell ref="B15:B16"/>
    <mergeCell ref="C15:C16"/>
    <mergeCell ref="A12:D12"/>
    <mergeCell ref="A13:B13"/>
    <mergeCell ref="G4:H5"/>
    <mergeCell ref="A5:B5"/>
    <mergeCell ref="C5:D5"/>
    <mergeCell ref="A1:D1"/>
    <mergeCell ref="E1:H3"/>
    <mergeCell ref="A2:B2"/>
    <mergeCell ref="C2:D2"/>
    <mergeCell ref="A3:B3"/>
    <mergeCell ref="C3:D3"/>
    <mergeCell ref="A7:B7"/>
    <mergeCell ref="C7:D7"/>
    <mergeCell ref="A4:B4"/>
    <mergeCell ref="C4:D4"/>
    <mergeCell ref="E4:F5"/>
  </mergeCells>
  <conditionalFormatting sqref="A15">
    <cfRule type="duplicateValues" dxfId="42" priority="3"/>
  </conditionalFormatting>
  <conditionalFormatting sqref="B15">
    <cfRule type="duplicateValues" dxfId="41" priority="2"/>
  </conditionalFormatting>
  <conditionalFormatting sqref="C15">
    <cfRule type="duplicateValues" dxfId="40" priority="1"/>
  </conditionalFormatting>
  <pageMargins left="0.7" right="0.7" top="0.75" bottom="0.75" header="0.3" footer="0.3"/>
  <pageSetup paperSize="9" scale="8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"/>
  <sheetViews>
    <sheetView workbookViewId="0">
      <selection activeCell="D33" sqref="D33"/>
    </sheetView>
  </sheetViews>
  <sheetFormatPr baseColWidth="10" defaultRowHeight="15" x14ac:dyDescent="0.25"/>
  <cols>
    <col min="2" max="2" width="27.42578125" customWidth="1"/>
    <col min="4" max="4" width="12.7109375" customWidth="1"/>
    <col min="5" max="5" width="1.140625" customWidth="1"/>
    <col min="6" max="6" width="15.5703125" customWidth="1"/>
    <col min="7" max="7" width="1.28515625" customWidth="1"/>
  </cols>
  <sheetData>
    <row r="1" spans="1:10" ht="19.5" thickBot="1" x14ac:dyDescent="0.35">
      <c r="A1" s="483" t="s">
        <v>461</v>
      </c>
      <c r="B1" s="484"/>
      <c r="C1" s="484"/>
      <c r="D1" s="485"/>
    </row>
    <row r="2" spans="1:10" ht="24" thickBot="1" x14ac:dyDescent="0.3">
      <c r="A2" s="481" t="s">
        <v>21</v>
      </c>
      <c r="B2" s="482"/>
      <c r="C2" s="251" t="s">
        <v>462</v>
      </c>
      <c r="D2" s="318">
        <f ca="1">+TODAY()</f>
        <v>46008</v>
      </c>
    </row>
    <row r="3" spans="1:10" ht="42.75" thickBot="1" x14ac:dyDescent="0.3">
      <c r="A3" s="95" t="s">
        <v>311</v>
      </c>
      <c r="B3" s="9" t="s">
        <v>2</v>
      </c>
      <c r="C3" s="96" t="s">
        <v>460</v>
      </c>
      <c r="D3" s="96" t="s">
        <v>467</v>
      </c>
      <c r="F3" s="9" t="s">
        <v>476</v>
      </c>
      <c r="H3" s="319" t="s">
        <v>477</v>
      </c>
      <c r="I3" s="319" t="s">
        <v>477</v>
      </c>
      <c r="J3" s="319" t="s">
        <v>477</v>
      </c>
    </row>
    <row r="4" spans="1:10" ht="24.75" customHeight="1" thickBot="1" x14ac:dyDescent="0.3">
      <c r="A4" s="255">
        <v>5161600</v>
      </c>
      <c r="B4" s="256" t="s">
        <v>22</v>
      </c>
      <c r="C4" s="256"/>
      <c r="D4" s="273"/>
      <c r="F4" s="327"/>
      <c r="H4" s="328"/>
      <c r="I4" s="329"/>
      <c r="J4" s="330"/>
    </row>
  </sheetData>
  <mergeCells count="2">
    <mergeCell ref="A1:D1"/>
    <mergeCell ref="A2:B2"/>
  </mergeCells>
  <conditionalFormatting sqref="A4">
    <cfRule type="duplicateValues" dxfId="39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"/>
  <sheetViews>
    <sheetView workbookViewId="0">
      <selection activeCell="B3" sqref="B3"/>
    </sheetView>
  </sheetViews>
  <sheetFormatPr baseColWidth="10" defaultRowHeight="15" x14ac:dyDescent="0.25"/>
  <cols>
    <col min="1" max="1" width="11.28515625" customWidth="1"/>
    <col min="2" max="2" width="5.5703125" customWidth="1"/>
    <col min="3" max="3" width="21.85546875" customWidth="1"/>
    <col min="4" max="4" width="9.85546875" customWidth="1"/>
    <col min="5" max="5" width="9.7109375" customWidth="1"/>
    <col min="6" max="6" width="10.28515625" customWidth="1"/>
    <col min="7" max="9" width="9.7109375" customWidth="1"/>
  </cols>
  <sheetData>
    <row r="1" spans="1:9" ht="45.2" customHeight="1" thickBot="1" x14ac:dyDescent="0.4">
      <c r="A1" s="500" t="s">
        <v>461</v>
      </c>
      <c r="B1" s="501"/>
      <c r="C1" s="501"/>
      <c r="D1" s="502"/>
    </row>
    <row r="2" spans="1:9" ht="24" thickBot="1" x14ac:dyDescent="0.3">
      <c r="A2" s="503">
        <f ca="1">+TODAY()</f>
        <v>46008</v>
      </c>
      <c r="B2" s="504"/>
      <c r="C2" s="481" t="s">
        <v>37</v>
      </c>
      <c r="D2" s="482"/>
    </row>
    <row r="3" spans="1:9" ht="57.75" customHeight="1" thickBot="1" x14ac:dyDescent="0.3">
      <c r="A3" s="8" t="s">
        <v>311</v>
      </c>
      <c r="B3" s="8" t="s">
        <v>535</v>
      </c>
      <c r="C3" s="8" t="s">
        <v>2</v>
      </c>
      <c r="D3" s="421" t="s">
        <v>538</v>
      </c>
      <c r="E3" s="421" t="s">
        <v>476</v>
      </c>
      <c r="F3" s="419" t="s">
        <v>539</v>
      </c>
      <c r="G3" s="420" t="s">
        <v>540</v>
      </c>
      <c r="H3" s="419" t="s">
        <v>539</v>
      </c>
      <c r="I3" s="420" t="s">
        <v>540</v>
      </c>
    </row>
    <row r="4" spans="1:9" ht="18.75" customHeight="1" x14ac:dyDescent="0.25">
      <c r="A4" s="505"/>
      <c r="B4" s="506"/>
      <c r="C4" s="507" t="s">
        <v>536</v>
      </c>
      <c r="D4" s="422"/>
      <c r="E4" s="322"/>
      <c r="F4" s="422"/>
      <c r="G4" s="322"/>
      <c r="H4" s="422"/>
      <c r="I4" s="322"/>
    </row>
    <row r="5" spans="1:9" ht="18.75" customHeight="1" thickBot="1" x14ac:dyDescent="0.3">
      <c r="A5" s="487"/>
      <c r="B5" s="489"/>
      <c r="C5" s="497"/>
      <c r="D5" s="423"/>
      <c r="E5" s="136"/>
      <c r="F5" s="423"/>
      <c r="G5" s="136"/>
      <c r="H5" s="423"/>
      <c r="I5" s="136"/>
    </row>
    <row r="6" spans="1:9" ht="18.75" customHeight="1" x14ac:dyDescent="0.25">
      <c r="A6" s="498">
        <v>1111500</v>
      </c>
      <c r="B6" s="488"/>
      <c r="C6" s="496" t="s">
        <v>19</v>
      </c>
      <c r="D6" s="422"/>
      <c r="E6" s="322"/>
      <c r="F6" s="422"/>
      <c r="G6" s="322"/>
      <c r="H6" s="422"/>
      <c r="I6" s="322"/>
    </row>
    <row r="7" spans="1:9" ht="18.75" customHeight="1" thickBot="1" x14ac:dyDescent="0.3">
      <c r="A7" s="499"/>
      <c r="B7" s="489"/>
      <c r="C7" s="497"/>
      <c r="D7" s="423"/>
      <c r="E7" s="136"/>
      <c r="F7" s="423"/>
      <c r="G7" s="136"/>
      <c r="H7" s="423"/>
      <c r="I7" s="136"/>
    </row>
    <row r="8" spans="1:9" ht="18.75" customHeight="1" x14ac:dyDescent="0.25">
      <c r="A8" s="486">
        <v>1112500</v>
      </c>
      <c r="B8" s="488"/>
      <c r="C8" s="496" t="s">
        <v>38</v>
      </c>
      <c r="D8" s="422"/>
      <c r="E8" s="322"/>
      <c r="F8" s="422"/>
      <c r="G8" s="322"/>
      <c r="H8" s="422"/>
      <c r="I8" s="322"/>
    </row>
    <row r="9" spans="1:9" ht="18.75" customHeight="1" thickBot="1" x14ac:dyDescent="0.3">
      <c r="A9" s="487"/>
      <c r="B9" s="489"/>
      <c r="C9" s="497"/>
      <c r="D9" s="423"/>
      <c r="E9" s="136"/>
      <c r="F9" s="423"/>
      <c r="G9" s="136"/>
      <c r="H9" s="423"/>
      <c r="I9" s="136"/>
    </row>
    <row r="10" spans="1:9" ht="18.75" customHeight="1" x14ac:dyDescent="0.25">
      <c r="A10" s="486"/>
      <c r="B10" s="488"/>
      <c r="C10" s="496" t="s">
        <v>537</v>
      </c>
      <c r="D10" s="422"/>
      <c r="E10" s="322"/>
      <c r="F10" s="422"/>
      <c r="G10" s="322"/>
      <c r="H10" s="422"/>
      <c r="I10" s="322"/>
    </row>
    <row r="11" spans="1:9" ht="18.75" customHeight="1" thickBot="1" x14ac:dyDescent="0.3">
      <c r="A11" s="487"/>
      <c r="B11" s="489"/>
      <c r="C11" s="497"/>
      <c r="D11" s="423"/>
      <c r="E11" s="136"/>
      <c r="F11" s="423"/>
      <c r="G11" s="136"/>
      <c r="H11" s="423"/>
      <c r="I11" s="136"/>
    </row>
    <row r="12" spans="1:9" ht="18.75" customHeight="1" x14ac:dyDescent="0.25">
      <c r="A12" s="490">
        <v>1114500</v>
      </c>
      <c r="B12" s="492"/>
      <c r="C12" s="494" t="s">
        <v>39</v>
      </c>
      <c r="D12" s="424"/>
      <c r="E12" s="322"/>
      <c r="F12" s="422"/>
      <c r="G12" s="322"/>
      <c r="H12" s="422"/>
      <c r="I12" s="322"/>
    </row>
    <row r="13" spans="1:9" ht="18.75" customHeight="1" thickBot="1" x14ac:dyDescent="0.3">
      <c r="A13" s="491"/>
      <c r="B13" s="493"/>
      <c r="C13" s="495"/>
      <c r="D13" s="323"/>
      <c r="E13" s="136"/>
      <c r="F13" s="423"/>
      <c r="G13" s="136"/>
      <c r="H13" s="423"/>
      <c r="I13" s="136"/>
    </row>
  </sheetData>
  <mergeCells count="18">
    <mergeCell ref="A1:D1"/>
    <mergeCell ref="A2:B2"/>
    <mergeCell ref="C2:D2"/>
    <mergeCell ref="A4:A5"/>
    <mergeCell ref="B4:B5"/>
    <mergeCell ref="C4:C5"/>
    <mergeCell ref="A6:A7"/>
    <mergeCell ref="B6:B7"/>
    <mergeCell ref="C6:C7"/>
    <mergeCell ref="A8:A9"/>
    <mergeCell ref="B8:B9"/>
    <mergeCell ref="C8:C9"/>
    <mergeCell ref="A10:A11"/>
    <mergeCell ref="B10:B11"/>
    <mergeCell ref="A12:A13"/>
    <mergeCell ref="B12:B13"/>
    <mergeCell ref="C12:C13"/>
    <mergeCell ref="C10:C11"/>
  </mergeCells>
  <conditionalFormatting sqref="A4 A6">
    <cfRule type="duplicateValues" dxfId="38" priority="2"/>
  </conditionalFormatting>
  <conditionalFormatting sqref="A8 A10 A12">
    <cfRule type="duplicateValues" dxfId="37" priority="1"/>
  </conditionalFormatting>
  <pageMargins left="0.25" right="0.25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"/>
  <sheetViews>
    <sheetView workbookViewId="0">
      <selection activeCell="E1" sqref="E1:J4"/>
    </sheetView>
  </sheetViews>
  <sheetFormatPr baseColWidth="10" defaultRowHeight="15" x14ac:dyDescent="0.25"/>
  <cols>
    <col min="2" max="2" width="30.28515625" customWidth="1"/>
    <col min="4" max="4" width="13.5703125" customWidth="1"/>
    <col min="5" max="5" width="1.140625" customWidth="1"/>
    <col min="6" max="6" width="14.28515625" customWidth="1"/>
    <col min="7" max="7" width="1.140625" customWidth="1"/>
  </cols>
  <sheetData>
    <row r="1" spans="1:10" ht="21.75" thickBot="1" x14ac:dyDescent="0.4">
      <c r="A1" s="478" t="s">
        <v>461</v>
      </c>
      <c r="B1" s="479"/>
      <c r="C1" s="479"/>
      <c r="D1" s="480"/>
    </row>
    <row r="2" spans="1:10" ht="24" thickBot="1" x14ac:dyDescent="0.3">
      <c r="A2" s="481" t="s">
        <v>455</v>
      </c>
      <c r="B2" s="482"/>
      <c r="C2" s="251" t="s">
        <v>462</v>
      </c>
      <c r="D2" s="318">
        <f ca="1">+TODAY()</f>
        <v>46008</v>
      </c>
    </row>
    <row r="3" spans="1:10" ht="42.75" thickBot="1" x14ac:dyDescent="0.3">
      <c r="A3" s="95" t="s">
        <v>311</v>
      </c>
      <c r="B3" s="9" t="s">
        <v>2</v>
      </c>
      <c r="C3" s="96" t="s">
        <v>460</v>
      </c>
      <c r="D3" s="96" t="s">
        <v>467</v>
      </c>
      <c r="F3" s="9" t="s">
        <v>476</v>
      </c>
      <c r="H3" s="319" t="s">
        <v>477</v>
      </c>
      <c r="I3" s="319" t="s">
        <v>477</v>
      </c>
      <c r="J3" s="319" t="s">
        <v>477</v>
      </c>
    </row>
    <row r="4" spans="1:10" ht="25.5" customHeight="1" thickBot="1" x14ac:dyDescent="0.3">
      <c r="A4" s="255">
        <v>5323600</v>
      </c>
      <c r="B4" s="256" t="s">
        <v>454</v>
      </c>
      <c r="C4" s="256"/>
      <c r="D4" s="273"/>
      <c r="F4" s="327"/>
      <c r="H4" s="328"/>
      <c r="I4" s="329"/>
      <c r="J4" s="330"/>
    </row>
  </sheetData>
  <mergeCells count="2">
    <mergeCell ref="A1:D1"/>
    <mergeCell ref="A2:B2"/>
  </mergeCells>
  <conditionalFormatting sqref="A4">
    <cfRule type="duplicateValues" dxfId="36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"/>
  <sheetViews>
    <sheetView workbookViewId="0">
      <selection activeCell="E1" sqref="E1:J4"/>
    </sheetView>
  </sheetViews>
  <sheetFormatPr baseColWidth="10" defaultRowHeight="15" x14ac:dyDescent="0.25"/>
  <cols>
    <col min="2" max="2" width="19.5703125" customWidth="1"/>
    <col min="4" max="4" width="13.5703125" customWidth="1"/>
    <col min="5" max="5" width="1.85546875" customWidth="1"/>
    <col min="6" max="6" width="15" customWidth="1"/>
    <col min="7" max="7" width="1.85546875" customWidth="1"/>
  </cols>
  <sheetData>
    <row r="1" spans="1:10" ht="21.75" thickBot="1" x14ac:dyDescent="0.4">
      <c r="A1" s="478" t="s">
        <v>461</v>
      </c>
      <c r="B1" s="479"/>
      <c r="C1" s="479"/>
      <c r="D1" s="480"/>
    </row>
    <row r="2" spans="1:10" ht="24" thickBot="1" x14ac:dyDescent="0.3">
      <c r="A2" s="481" t="s">
        <v>459</v>
      </c>
      <c r="B2" s="482"/>
      <c r="C2" s="251" t="s">
        <v>462</v>
      </c>
      <c r="D2" s="318">
        <f ca="1">+TODAY()</f>
        <v>46008</v>
      </c>
    </row>
    <row r="3" spans="1:10" ht="42.75" thickBot="1" x14ac:dyDescent="0.3">
      <c r="A3" s="95" t="s">
        <v>311</v>
      </c>
      <c r="B3" s="9" t="s">
        <v>2</v>
      </c>
      <c r="C3" s="96" t="s">
        <v>460</v>
      </c>
      <c r="D3" s="96" t="s">
        <v>467</v>
      </c>
      <c r="F3" s="9" t="s">
        <v>476</v>
      </c>
      <c r="H3" s="319" t="s">
        <v>477</v>
      </c>
      <c r="I3" s="319" t="s">
        <v>477</v>
      </c>
      <c r="J3" s="319" t="s">
        <v>477</v>
      </c>
    </row>
    <row r="4" spans="1:10" ht="19.5" thickBot="1" x14ac:dyDescent="0.3">
      <c r="A4" s="255">
        <v>5312600</v>
      </c>
      <c r="B4" s="256" t="s">
        <v>458</v>
      </c>
      <c r="C4" s="256"/>
      <c r="D4" s="273"/>
      <c r="F4" s="327"/>
      <c r="H4" s="328"/>
      <c r="I4" s="329"/>
      <c r="J4" s="330"/>
    </row>
  </sheetData>
  <mergeCells count="2">
    <mergeCell ref="A1:D1"/>
    <mergeCell ref="A2:B2"/>
  </mergeCells>
  <conditionalFormatting sqref="A4">
    <cfRule type="duplicateValues" dxfId="35" priority="1"/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"/>
  <sheetViews>
    <sheetView workbookViewId="0">
      <selection activeCell="E1" sqref="E1:J4"/>
    </sheetView>
  </sheetViews>
  <sheetFormatPr baseColWidth="10" defaultRowHeight="15" x14ac:dyDescent="0.25"/>
  <cols>
    <col min="2" max="2" width="30.5703125" customWidth="1"/>
    <col min="4" max="4" width="12.7109375" customWidth="1"/>
    <col min="5" max="5" width="1.42578125" customWidth="1"/>
    <col min="6" max="6" width="15.85546875" customWidth="1"/>
    <col min="7" max="7" width="2.140625" customWidth="1"/>
  </cols>
  <sheetData>
    <row r="1" spans="1:10" ht="21.75" thickBot="1" x14ac:dyDescent="0.4">
      <c r="A1" s="478" t="s">
        <v>461</v>
      </c>
      <c r="B1" s="479"/>
      <c r="C1" s="479"/>
      <c r="D1" s="480"/>
    </row>
    <row r="2" spans="1:10" ht="24" thickBot="1" x14ac:dyDescent="0.3">
      <c r="B2" s="250" t="s">
        <v>463</v>
      </c>
      <c r="C2" s="251" t="s">
        <v>462</v>
      </c>
      <c r="D2" s="318">
        <f ca="1">+TODAY()</f>
        <v>46008</v>
      </c>
    </row>
    <row r="3" spans="1:10" ht="42.75" thickBot="1" x14ac:dyDescent="0.3">
      <c r="A3" s="95" t="s">
        <v>311</v>
      </c>
      <c r="B3" s="9" t="s">
        <v>2</v>
      </c>
      <c r="C3" s="96" t="s">
        <v>460</v>
      </c>
      <c r="D3" s="96" t="s">
        <v>467</v>
      </c>
      <c r="F3" s="9" t="s">
        <v>476</v>
      </c>
      <c r="H3" s="319" t="s">
        <v>477</v>
      </c>
      <c r="I3" s="319" t="s">
        <v>477</v>
      </c>
      <c r="J3" s="319" t="s">
        <v>477</v>
      </c>
    </row>
    <row r="4" spans="1:10" ht="25.5" customHeight="1" thickBot="1" x14ac:dyDescent="0.3">
      <c r="A4" s="255">
        <v>1136500</v>
      </c>
      <c r="B4" s="256" t="s">
        <v>32</v>
      </c>
      <c r="C4" s="256"/>
      <c r="D4" s="273"/>
      <c r="F4" s="327"/>
      <c r="H4" s="328"/>
      <c r="I4" s="329"/>
      <c r="J4" s="330"/>
    </row>
  </sheetData>
  <mergeCells count="1">
    <mergeCell ref="A1:D1"/>
  </mergeCells>
  <conditionalFormatting sqref="A4">
    <cfRule type="duplicateValues" dxfId="34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J4"/>
  <sheetViews>
    <sheetView workbookViewId="0">
      <selection activeCell="E1" sqref="E1:J4"/>
    </sheetView>
  </sheetViews>
  <sheetFormatPr baseColWidth="10" defaultRowHeight="15" x14ac:dyDescent="0.25"/>
  <cols>
    <col min="2" max="2" width="27" customWidth="1"/>
    <col min="3" max="3" width="11.42578125" customWidth="1"/>
    <col min="4" max="4" width="12.5703125" customWidth="1"/>
    <col min="5" max="5" width="1.5703125" customWidth="1"/>
    <col min="6" max="6" width="13.7109375" customWidth="1"/>
    <col min="7" max="7" width="1.42578125" customWidth="1"/>
  </cols>
  <sheetData>
    <row r="1" spans="1:10" ht="20.25" thickBot="1" x14ac:dyDescent="0.35">
      <c r="A1" s="508" t="s">
        <v>461</v>
      </c>
      <c r="B1" s="509"/>
      <c r="C1" s="509"/>
      <c r="D1" s="510"/>
    </row>
    <row r="2" spans="1:10" ht="24" thickBot="1" x14ac:dyDescent="0.3">
      <c r="A2" s="481" t="s">
        <v>380</v>
      </c>
      <c r="B2" s="482"/>
      <c r="C2" s="251" t="s">
        <v>462</v>
      </c>
      <c r="D2" s="318">
        <f ca="1">+TODAY()</f>
        <v>46008</v>
      </c>
    </row>
    <row r="3" spans="1:10" ht="42.75" thickBot="1" x14ac:dyDescent="0.3">
      <c r="A3" s="95" t="s">
        <v>311</v>
      </c>
      <c r="B3" s="9" t="s">
        <v>2</v>
      </c>
      <c r="C3" s="96" t="s">
        <v>460</v>
      </c>
      <c r="D3" s="96" t="s">
        <v>467</v>
      </c>
      <c r="F3" s="9" t="s">
        <v>476</v>
      </c>
      <c r="H3" s="319" t="s">
        <v>477</v>
      </c>
      <c r="I3" s="319" t="s">
        <v>477</v>
      </c>
      <c r="J3" s="319" t="s">
        <v>477</v>
      </c>
    </row>
    <row r="4" spans="1:10" ht="28.5" customHeight="1" thickBot="1" x14ac:dyDescent="0.3">
      <c r="A4" s="255">
        <v>1182500</v>
      </c>
      <c r="B4" s="256" t="s">
        <v>369</v>
      </c>
      <c r="C4" s="256"/>
      <c r="D4" s="273"/>
      <c r="F4" s="327"/>
      <c r="H4" s="328"/>
      <c r="I4" s="329"/>
      <c r="J4" s="330"/>
    </row>
  </sheetData>
  <mergeCells count="2">
    <mergeCell ref="A1:D1"/>
    <mergeCell ref="A2:B2"/>
  </mergeCells>
  <conditionalFormatting sqref="A4">
    <cfRule type="duplicateValues" dxfId="33" priority="1"/>
  </conditionalFormatting>
  <pageMargins left="0.7" right="0.7" top="0.75" bottom="0.75" header="0.3" footer="0.3"/>
  <pageSetup paperSize="9" scale="77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7"/>
  <sheetViews>
    <sheetView workbookViewId="0">
      <selection activeCell="I5" sqref="A1:I5"/>
    </sheetView>
  </sheetViews>
  <sheetFormatPr baseColWidth="10" defaultRowHeight="15" x14ac:dyDescent="0.25"/>
  <cols>
    <col min="2" max="2" width="5.42578125" customWidth="1"/>
    <col min="3" max="3" width="19.7109375" customWidth="1"/>
    <col min="4" max="4" width="9.5703125" customWidth="1"/>
    <col min="5" max="9" width="9.7109375" customWidth="1"/>
  </cols>
  <sheetData>
    <row r="1" spans="1:9" ht="45.75" customHeight="1" thickBot="1" x14ac:dyDescent="0.3">
      <c r="A1" s="511" t="s">
        <v>461</v>
      </c>
      <c r="B1" s="512"/>
      <c r="C1" s="512"/>
      <c r="D1" s="513"/>
    </row>
    <row r="2" spans="1:9" ht="24" thickBot="1" x14ac:dyDescent="0.3">
      <c r="A2" s="503">
        <f ca="1">+TODAY()</f>
        <v>46008</v>
      </c>
      <c r="B2" s="504"/>
      <c r="C2" s="481" t="s">
        <v>408</v>
      </c>
      <c r="D2" s="482"/>
    </row>
    <row r="3" spans="1:9" ht="57" thickBot="1" x14ac:dyDescent="0.3">
      <c r="A3" s="413" t="s">
        <v>311</v>
      </c>
      <c r="B3" s="8" t="s">
        <v>535</v>
      </c>
      <c r="C3" s="97" t="s">
        <v>2</v>
      </c>
      <c r="D3" s="419" t="s">
        <v>538</v>
      </c>
      <c r="E3" s="419" t="s">
        <v>476</v>
      </c>
      <c r="F3" s="419" t="s">
        <v>539</v>
      </c>
      <c r="G3" s="420" t="s">
        <v>540</v>
      </c>
      <c r="H3" s="419" t="s">
        <v>539</v>
      </c>
      <c r="I3" s="420" t="s">
        <v>540</v>
      </c>
    </row>
    <row r="4" spans="1:9" ht="18.75" customHeight="1" x14ac:dyDescent="0.25">
      <c r="A4" s="505">
        <v>1130500</v>
      </c>
      <c r="B4" s="506">
        <v>1</v>
      </c>
      <c r="C4" s="516" t="s">
        <v>409</v>
      </c>
      <c r="D4" s="424">
        <v>2000</v>
      </c>
      <c r="E4" s="321"/>
      <c r="F4" s="321"/>
      <c r="G4" s="321"/>
      <c r="H4" s="321"/>
      <c r="I4" s="322"/>
    </row>
    <row r="5" spans="1:9" ht="18.75" customHeight="1" thickBot="1" x14ac:dyDescent="0.3">
      <c r="A5" s="487"/>
      <c r="B5" s="489"/>
      <c r="C5" s="517"/>
      <c r="D5" s="425"/>
      <c r="E5" s="65"/>
      <c r="F5" s="65"/>
      <c r="G5" s="65"/>
      <c r="H5" s="65"/>
      <c r="I5" s="136"/>
    </row>
    <row r="6" spans="1:9" ht="18.75" customHeight="1" x14ac:dyDescent="0.25">
      <c r="A6" s="498">
        <v>1168500</v>
      </c>
      <c r="B6" s="488">
        <v>2</v>
      </c>
      <c r="C6" s="518" t="str" cm="1">
        <f t="array" ref="C6">+IFERROR(INDEX('[3]Pedido VACIO'!$C:$C,MATCH(1,('[3]Pedido VACIO'!$E:$E=$B16)*('[3]Pedido VACIO'!$A:$A="Casa Landau"),0)),"")</f>
        <v/>
      </c>
      <c r="D6" s="424"/>
      <c r="E6" s="321"/>
      <c r="F6" s="321"/>
      <c r="G6" s="321"/>
      <c r="H6" s="321"/>
      <c r="I6" s="322"/>
    </row>
    <row r="7" spans="1:9" ht="18.75" customHeight="1" thickBot="1" x14ac:dyDescent="0.3">
      <c r="A7" s="514"/>
      <c r="B7" s="515"/>
      <c r="C7" s="519"/>
      <c r="D7" s="426"/>
      <c r="E7" s="65"/>
      <c r="F7" s="65"/>
      <c r="G7" s="65"/>
      <c r="H7" s="65"/>
      <c r="I7" s="136"/>
    </row>
  </sheetData>
  <mergeCells count="9">
    <mergeCell ref="A1:D1"/>
    <mergeCell ref="A4:A5"/>
    <mergeCell ref="B4:B5"/>
    <mergeCell ref="A6:A7"/>
    <mergeCell ref="B6:B7"/>
    <mergeCell ref="C2:D2"/>
    <mergeCell ref="A2:B2"/>
    <mergeCell ref="C4:C5"/>
    <mergeCell ref="C6:C7"/>
  </mergeCells>
  <conditionalFormatting sqref="A4 A6">
    <cfRule type="duplicateValues" dxfId="32" priority="1"/>
  </conditionalFormatting>
  <pageMargins left="0.25" right="0.25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5"/>
  <sheetViews>
    <sheetView workbookViewId="0">
      <selection activeCell="D7" sqref="D7"/>
    </sheetView>
  </sheetViews>
  <sheetFormatPr baseColWidth="10" defaultRowHeight="15" x14ac:dyDescent="0.25"/>
  <cols>
    <col min="2" max="2" width="26.42578125" customWidth="1"/>
    <col min="4" max="4" width="12.7109375" customWidth="1"/>
    <col min="5" max="5" width="1" customWidth="1"/>
    <col min="7" max="7" width="1" customWidth="1"/>
  </cols>
  <sheetData>
    <row r="1" spans="1:10" ht="21.75" thickBot="1" x14ac:dyDescent="0.4">
      <c r="A1" s="520" t="s">
        <v>461</v>
      </c>
      <c r="B1" s="521"/>
      <c r="C1" s="521"/>
      <c r="D1" s="521"/>
    </row>
    <row r="2" spans="1:10" ht="24" thickBot="1" x14ac:dyDescent="0.3">
      <c r="B2" s="250" t="s">
        <v>298</v>
      </c>
      <c r="C2" s="251" t="s">
        <v>462</v>
      </c>
      <c r="D2" s="318">
        <f ca="1">+TODAY()</f>
        <v>46008</v>
      </c>
    </row>
    <row r="3" spans="1:10" ht="42.75" thickBot="1" x14ac:dyDescent="0.3">
      <c r="A3" s="95" t="s">
        <v>311</v>
      </c>
      <c r="B3" s="9" t="s">
        <v>2</v>
      </c>
      <c r="C3" s="96" t="s">
        <v>460</v>
      </c>
      <c r="D3" s="96" t="s">
        <v>467</v>
      </c>
      <c r="F3" s="9" t="s">
        <v>476</v>
      </c>
      <c r="H3" s="319" t="s">
        <v>477</v>
      </c>
      <c r="I3" s="319" t="s">
        <v>477</v>
      </c>
      <c r="J3" s="319" t="s">
        <v>477</v>
      </c>
    </row>
    <row r="4" spans="1:10" ht="23.45" customHeight="1" x14ac:dyDescent="0.25">
      <c r="A4" s="220">
        <v>1078500</v>
      </c>
      <c r="B4" s="221" t="s">
        <v>24</v>
      </c>
      <c r="C4" s="221"/>
      <c r="D4" s="270"/>
      <c r="F4" s="324"/>
      <c r="H4" s="320"/>
      <c r="I4" s="321"/>
      <c r="J4" s="322"/>
    </row>
    <row r="5" spans="1:10" ht="25.5" customHeight="1" thickBot="1" x14ac:dyDescent="0.3">
      <c r="A5" s="74">
        <v>1106500</v>
      </c>
      <c r="B5" s="75" t="s">
        <v>26</v>
      </c>
      <c r="C5" s="75"/>
      <c r="D5" s="272"/>
      <c r="F5" s="325"/>
      <c r="H5" s="323"/>
      <c r="I5" s="65"/>
      <c r="J5" s="136"/>
    </row>
  </sheetData>
  <mergeCells count="1">
    <mergeCell ref="A1:D1"/>
  </mergeCells>
  <conditionalFormatting sqref="A4:A5">
    <cfRule type="duplicateValues" dxfId="31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3"/>
  <sheetViews>
    <sheetView workbookViewId="0">
      <selection activeCell="E7" sqref="E7"/>
    </sheetView>
  </sheetViews>
  <sheetFormatPr baseColWidth="10" defaultRowHeight="15" x14ac:dyDescent="0.25"/>
  <cols>
    <col min="2" max="2" width="6" customWidth="1"/>
    <col min="3" max="3" width="24.140625" customWidth="1"/>
  </cols>
  <sheetData>
    <row r="1" spans="1:9" ht="44.25" customHeight="1" thickBot="1" x14ac:dyDescent="0.4">
      <c r="A1" s="500" t="s">
        <v>461</v>
      </c>
      <c r="B1" s="501"/>
      <c r="C1" s="501"/>
      <c r="D1" s="502"/>
    </row>
    <row r="2" spans="1:9" ht="24" thickBot="1" x14ac:dyDescent="0.3">
      <c r="A2" s="522">
        <f ca="1">+TODAY()</f>
        <v>46008</v>
      </c>
      <c r="B2" s="523"/>
      <c r="C2" s="481" t="s">
        <v>7</v>
      </c>
      <c r="D2" s="482"/>
    </row>
    <row r="3" spans="1:9" ht="57" thickBot="1" x14ac:dyDescent="0.3">
      <c r="A3" s="413" t="s">
        <v>311</v>
      </c>
      <c r="B3" s="9" t="s">
        <v>535</v>
      </c>
      <c r="C3" s="97" t="s">
        <v>2</v>
      </c>
      <c r="D3" s="419" t="s">
        <v>538</v>
      </c>
      <c r="E3" s="419" t="s">
        <v>476</v>
      </c>
      <c r="F3" s="419" t="s">
        <v>539</v>
      </c>
      <c r="G3" s="420" t="s">
        <v>540</v>
      </c>
      <c r="H3" s="419" t="s">
        <v>539</v>
      </c>
      <c r="I3" s="420" t="s">
        <v>540</v>
      </c>
    </row>
    <row r="4" spans="1:9" ht="23.45" customHeight="1" x14ac:dyDescent="0.25">
      <c r="A4" s="525"/>
      <c r="B4" s="524"/>
      <c r="C4" s="524" t="s">
        <v>310</v>
      </c>
      <c r="D4" s="221"/>
      <c r="E4" s="321"/>
      <c r="F4" s="321"/>
      <c r="G4" s="321"/>
      <c r="H4" s="321"/>
      <c r="I4" s="322"/>
    </row>
    <row r="5" spans="1:9" ht="23.45" customHeight="1" thickBot="1" x14ac:dyDescent="0.3">
      <c r="A5" s="491"/>
      <c r="B5" s="493"/>
      <c r="C5" s="493"/>
      <c r="D5" s="75"/>
      <c r="E5" s="65"/>
      <c r="F5" s="65"/>
      <c r="G5" s="65"/>
      <c r="H5" s="65"/>
      <c r="I5" s="136"/>
    </row>
    <row r="6" spans="1:9" ht="23.45" customHeight="1" x14ac:dyDescent="0.25">
      <c r="A6" s="525">
        <v>1175500</v>
      </c>
      <c r="B6" s="524"/>
      <c r="C6" s="524" t="s">
        <v>28</v>
      </c>
      <c r="D6" s="221"/>
      <c r="E6" s="321"/>
      <c r="F6" s="321"/>
      <c r="G6" s="321"/>
      <c r="H6" s="321"/>
      <c r="I6" s="322"/>
    </row>
    <row r="7" spans="1:9" ht="23.45" customHeight="1" thickBot="1" x14ac:dyDescent="0.3">
      <c r="A7" s="491"/>
      <c r="B7" s="493"/>
      <c r="C7" s="493"/>
      <c r="D7" s="75"/>
      <c r="E7" s="65"/>
      <c r="F7" s="65"/>
      <c r="G7" s="65"/>
      <c r="H7" s="65"/>
      <c r="I7" s="136"/>
    </row>
    <row r="8" spans="1:9" ht="23.45" customHeight="1" x14ac:dyDescent="0.25">
      <c r="A8" s="525">
        <v>1093500</v>
      </c>
      <c r="B8" s="524"/>
      <c r="C8" s="524" t="s">
        <v>475</v>
      </c>
      <c r="D8" s="221"/>
      <c r="E8" s="321"/>
      <c r="F8" s="321"/>
      <c r="G8" s="321"/>
      <c r="H8" s="321"/>
      <c r="I8" s="322"/>
    </row>
    <row r="9" spans="1:9" ht="23.45" customHeight="1" thickBot="1" x14ac:dyDescent="0.3">
      <c r="A9" s="491"/>
      <c r="B9" s="493"/>
      <c r="C9" s="493"/>
      <c r="D9" s="75"/>
      <c r="E9" s="65"/>
      <c r="F9" s="65"/>
      <c r="G9" s="65"/>
      <c r="H9" s="65"/>
      <c r="I9" s="136"/>
    </row>
    <row r="10" spans="1:9" ht="23.45" customHeight="1" x14ac:dyDescent="0.25">
      <c r="A10" s="525">
        <v>1096500</v>
      </c>
      <c r="B10" s="524"/>
      <c r="C10" s="524" t="s">
        <v>15</v>
      </c>
      <c r="D10" s="221"/>
      <c r="E10" s="321"/>
      <c r="F10" s="321"/>
      <c r="G10" s="321"/>
      <c r="H10" s="321"/>
      <c r="I10" s="322"/>
    </row>
    <row r="11" spans="1:9" ht="23.45" customHeight="1" thickBot="1" x14ac:dyDescent="0.3">
      <c r="A11" s="491"/>
      <c r="B11" s="493"/>
      <c r="C11" s="493"/>
      <c r="D11" s="75"/>
      <c r="E11" s="65"/>
      <c r="F11" s="65"/>
      <c r="G11" s="65"/>
      <c r="H11" s="65"/>
      <c r="I11" s="136"/>
    </row>
    <row r="12" spans="1:9" ht="23.45" customHeight="1" x14ac:dyDescent="0.25">
      <c r="A12" s="525">
        <v>1095500</v>
      </c>
      <c r="B12" s="524"/>
      <c r="C12" s="524" t="s">
        <v>17</v>
      </c>
      <c r="D12" s="221"/>
      <c r="E12" s="321"/>
      <c r="F12" s="321"/>
      <c r="G12" s="321"/>
      <c r="H12" s="321"/>
      <c r="I12" s="322"/>
    </row>
    <row r="13" spans="1:9" ht="23.45" customHeight="1" thickBot="1" x14ac:dyDescent="0.3">
      <c r="A13" s="491"/>
      <c r="B13" s="493"/>
      <c r="C13" s="493"/>
      <c r="D13" s="75"/>
      <c r="E13" s="65"/>
      <c r="F13" s="65"/>
      <c r="G13" s="65"/>
      <c r="H13" s="65"/>
      <c r="I13" s="136"/>
    </row>
  </sheetData>
  <mergeCells count="18">
    <mergeCell ref="A10:A11"/>
    <mergeCell ref="B10:B11"/>
    <mergeCell ref="C10:C11"/>
    <mergeCell ref="A12:A13"/>
    <mergeCell ref="B12:B13"/>
    <mergeCell ref="C12:C13"/>
    <mergeCell ref="A6:A7"/>
    <mergeCell ref="B6:B7"/>
    <mergeCell ref="C6:C7"/>
    <mergeCell ref="A8:A9"/>
    <mergeCell ref="B8:B9"/>
    <mergeCell ref="C8:C9"/>
    <mergeCell ref="A1:D1"/>
    <mergeCell ref="A2:B2"/>
    <mergeCell ref="C2:D2"/>
    <mergeCell ref="C4:C5"/>
    <mergeCell ref="B4:B5"/>
    <mergeCell ref="A4:A5"/>
  </mergeCells>
  <conditionalFormatting sqref="A4">
    <cfRule type="duplicateValues" dxfId="30" priority="3"/>
  </conditionalFormatting>
  <conditionalFormatting sqref="A6 A8 A10 A12">
    <cfRule type="duplicateValues" dxfId="29" priority="1"/>
  </conditionalFormatting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000"/>
  </sheetPr>
  <dimension ref="A1:AS86"/>
  <sheetViews>
    <sheetView topLeftCell="A21" zoomScaleNormal="100" workbookViewId="0">
      <selection activeCell="C26" sqref="C26"/>
    </sheetView>
  </sheetViews>
  <sheetFormatPr baseColWidth="10" defaultRowHeight="18.75" x14ac:dyDescent="0.3"/>
  <cols>
    <col min="2" max="2" width="11.85546875" customWidth="1"/>
    <col min="3" max="3" width="27.7109375" customWidth="1"/>
    <col min="4" max="4" width="14" style="106" customWidth="1"/>
    <col min="5" max="5" width="14.28515625" customWidth="1"/>
    <col min="6" max="6" width="3.85546875" customWidth="1"/>
    <col min="7" max="7" width="9.140625" customWidth="1"/>
    <col min="8" max="8" width="7.85546875" customWidth="1"/>
    <col min="9" max="9" width="3.5703125" customWidth="1"/>
    <col min="10" max="10" width="10.85546875" customWidth="1"/>
    <col min="11" max="11" width="10.42578125" customWidth="1"/>
    <col min="12" max="12" width="10" customWidth="1"/>
    <col min="13" max="13" width="3.5703125" customWidth="1"/>
    <col min="14" max="15" width="8.140625" customWidth="1"/>
    <col min="16" max="16" width="9.5703125" customWidth="1"/>
    <col min="17" max="17" width="9" customWidth="1"/>
    <col min="18" max="18" width="3.5703125" customWidth="1"/>
    <col min="19" max="19" width="8.140625" customWidth="1"/>
    <col min="20" max="20" width="7.5703125" customWidth="1"/>
    <col min="21" max="21" width="10.42578125" customWidth="1"/>
    <col min="22" max="22" width="3.7109375" customWidth="1"/>
    <col min="23" max="23" width="10.7109375" customWidth="1"/>
    <col min="24" max="24" width="11" customWidth="1"/>
    <col min="25" max="25" width="10.42578125" customWidth="1"/>
    <col min="26" max="26" width="4" customWidth="1"/>
    <col min="27" max="27" width="8.28515625" customWidth="1"/>
    <col min="28" max="28" width="10" customWidth="1"/>
    <col min="29" max="29" width="8.28515625" customWidth="1"/>
    <col min="30" max="30" width="11.140625" customWidth="1"/>
    <col min="31" max="31" width="14" customWidth="1"/>
    <col min="32" max="32" width="11.5703125" customWidth="1"/>
    <col min="33" max="33" width="13.28515625" customWidth="1"/>
    <col min="34" max="34" width="12.140625" customWidth="1"/>
    <col min="35" max="35" width="19.28515625" customWidth="1"/>
    <col min="36" max="36" width="13.42578125" customWidth="1"/>
    <col min="37" max="37" width="9.5703125" style="274" customWidth="1"/>
  </cols>
  <sheetData>
    <row r="1" spans="2:45" ht="36.75" customHeight="1" thickBot="1" x14ac:dyDescent="0.65">
      <c r="B1" s="247" t="s">
        <v>466</v>
      </c>
      <c r="C1" s="248"/>
      <c r="D1" s="436"/>
      <c r="E1" s="253"/>
      <c r="Y1" s="264"/>
      <c r="AA1" s="38"/>
      <c r="AB1" s="38"/>
      <c r="AI1" s="101"/>
    </row>
    <row r="2" spans="2:45" ht="31.5" customHeight="1" thickBot="1" x14ac:dyDescent="0.45">
      <c r="C2" s="2"/>
      <c r="D2" s="156"/>
      <c r="E2" s="2"/>
      <c r="AI2" s="1"/>
      <c r="AJ2" s="37"/>
      <c r="AL2" s="37"/>
      <c r="AM2" s="37"/>
      <c r="AN2" s="37"/>
      <c r="AO2" s="37"/>
      <c r="AP2" s="37"/>
      <c r="AQ2" s="37"/>
      <c r="AR2" s="37"/>
      <c r="AS2" s="37"/>
    </row>
    <row r="3" spans="2:45" ht="21" customHeight="1" thickBot="1" x14ac:dyDescent="0.45">
      <c r="C3" s="249" t="s">
        <v>457</v>
      </c>
      <c r="D3" s="437">
        <v>45796</v>
      </c>
      <c r="E3" s="254"/>
      <c r="H3" s="266"/>
      <c r="N3" s="266"/>
      <c r="O3" s="266"/>
      <c r="P3" s="266"/>
      <c r="Q3" s="266"/>
      <c r="S3" s="526"/>
      <c r="T3" s="526"/>
      <c r="U3" s="526"/>
      <c r="Y3" s="265"/>
      <c r="AA3" s="526"/>
      <c r="AB3" s="526"/>
      <c r="AC3" s="526"/>
      <c r="AD3" s="526"/>
      <c r="AE3" s="526"/>
      <c r="AF3" s="526"/>
      <c r="AG3" s="526"/>
      <c r="AH3" s="526"/>
      <c r="AI3" s="526"/>
      <c r="AJ3" s="526"/>
      <c r="AL3" s="37"/>
      <c r="AM3" s="37"/>
      <c r="AN3" s="37"/>
      <c r="AO3" s="37"/>
      <c r="AP3" s="37"/>
      <c r="AQ3" s="37"/>
      <c r="AR3" s="37"/>
      <c r="AS3" s="37"/>
    </row>
    <row r="4" spans="2:45" ht="19.7" customHeight="1" x14ac:dyDescent="0.4">
      <c r="C4" s="2"/>
      <c r="D4" s="156"/>
      <c r="E4" s="2"/>
      <c r="J4" s="198"/>
      <c r="K4" s="200"/>
      <c r="Y4" s="199"/>
      <c r="AI4" s="1"/>
      <c r="AJ4" s="37"/>
      <c r="AL4" s="37"/>
      <c r="AM4" s="37"/>
      <c r="AN4" s="37"/>
      <c r="AO4" s="37"/>
      <c r="AP4" s="37"/>
      <c r="AQ4" s="37"/>
      <c r="AR4" s="37"/>
      <c r="AS4" s="37"/>
    </row>
    <row r="5" spans="2:45" ht="19.7" customHeight="1" x14ac:dyDescent="0.4">
      <c r="C5" s="2"/>
      <c r="D5" s="156"/>
      <c r="E5" s="2"/>
      <c r="J5" s="198"/>
      <c r="K5" s="200"/>
      <c r="Y5" s="199"/>
      <c r="AI5" s="1"/>
      <c r="AJ5" s="37"/>
      <c r="AL5" s="37"/>
      <c r="AM5" s="37"/>
      <c r="AN5" s="37"/>
      <c r="AO5" s="37"/>
      <c r="AP5" s="37"/>
      <c r="AQ5" s="37"/>
      <c r="AR5" s="37"/>
      <c r="AS5" s="37"/>
    </row>
    <row r="6" spans="2:45" ht="15.95" customHeight="1" x14ac:dyDescent="0.4">
      <c r="C6" s="2"/>
      <c r="D6" s="156"/>
      <c r="E6" s="2"/>
      <c r="J6" s="198"/>
      <c r="K6" s="200"/>
      <c r="Y6" s="199"/>
      <c r="AI6" s="1"/>
      <c r="AJ6" s="37"/>
      <c r="AL6" s="37"/>
      <c r="AM6" s="37"/>
      <c r="AN6" s="37"/>
      <c r="AO6" s="37"/>
      <c r="AP6" s="37"/>
      <c r="AQ6" s="37"/>
      <c r="AR6" s="37"/>
      <c r="AS6" s="37"/>
    </row>
    <row r="7" spans="2:45" ht="34.5" customHeight="1" thickBot="1" x14ac:dyDescent="0.45">
      <c r="C7" s="2"/>
      <c r="D7" s="156"/>
      <c r="E7" s="2"/>
      <c r="J7" s="198"/>
      <c r="K7" s="200"/>
      <c r="Y7" s="199"/>
      <c r="AI7" s="1"/>
      <c r="AJ7" s="37"/>
      <c r="AL7" s="37"/>
      <c r="AM7" s="37"/>
      <c r="AN7" s="37"/>
      <c r="AO7" s="37"/>
      <c r="AP7" s="37"/>
      <c r="AQ7" s="37"/>
      <c r="AR7" s="37"/>
      <c r="AS7" s="37"/>
    </row>
    <row r="8" spans="2:45" ht="27" thickBot="1" x14ac:dyDescent="0.45">
      <c r="B8" s="252"/>
      <c r="C8" s="478" t="s">
        <v>461</v>
      </c>
      <c r="D8" s="479"/>
      <c r="E8" s="480"/>
      <c r="G8" s="267"/>
      <c r="J8" s="198"/>
      <c r="K8" s="267"/>
      <c r="Y8" s="199"/>
      <c r="AI8" s="1"/>
      <c r="AJ8" s="37"/>
      <c r="AL8" s="37"/>
      <c r="AM8" s="37"/>
      <c r="AN8" s="37"/>
      <c r="AO8" s="37"/>
      <c r="AP8" s="37"/>
      <c r="AQ8" s="37"/>
      <c r="AR8" s="37"/>
      <c r="AS8" s="37"/>
    </row>
    <row r="9" spans="2:45" ht="27" thickBot="1" x14ac:dyDescent="0.45">
      <c r="C9" s="250" t="s">
        <v>7</v>
      </c>
      <c r="D9" s="251" t="s">
        <v>462</v>
      </c>
      <c r="E9" s="251"/>
      <c r="G9" s="268"/>
      <c r="H9" s="269"/>
      <c r="J9" s="198"/>
      <c r="K9" s="268"/>
      <c r="N9" s="269"/>
      <c r="O9" s="269"/>
      <c r="P9" s="269"/>
      <c r="Q9" s="269"/>
      <c r="S9" s="528"/>
      <c r="T9" s="528"/>
      <c r="U9" s="528"/>
      <c r="Y9" s="199"/>
      <c r="AA9" s="470" t="s">
        <v>392</v>
      </c>
      <c r="AB9" s="471"/>
      <c r="AC9" s="471"/>
      <c r="AD9" s="471"/>
      <c r="AE9" s="471"/>
      <c r="AF9" s="471"/>
      <c r="AG9" s="471"/>
      <c r="AH9" s="471"/>
      <c r="AI9" s="471"/>
      <c r="AJ9" s="471"/>
      <c r="AK9" s="527"/>
      <c r="AL9" s="37"/>
      <c r="AM9" s="37"/>
      <c r="AN9" s="37"/>
      <c r="AO9" s="37"/>
      <c r="AP9" s="37"/>
      <c r="AQ9" s="37"/>
      <c r="AR9" s="37"/>
      <c r="AS9" s="37"/>
    </row>
    <row r="10" spans="2:45" ht="87" customHeight="1" thickBot="1" x14ac:dyDescent="0.3">
      <c r="B10" s="413" t="s">
        <v>311</v>
      </c>
      <c r="C10" s="97" t="s">
        <v>2</v>
      </c>
      <c r="D10" s="414" t="s">
        <v>460</v>
      </c>
      <c r="E10" s="414" t="s">
        <v>467</v>
      </c>
      <c r="G10" s="97" t="s">
        <v>396</v>
      </c>
      <c r="H10" s="25" t="s">
        <v>397</v>
      </c>
      <c r="J10" s="97" t="s">
        <v>532</v>
      </c>
      <c r="K10" s="97" t="s">
        <v>533</v>
      </c>
      <c r="L10" s="97" t="s">
        <v>534</v>
      </c>
      <c r="N10" s="25" t="s">
        <v>399</v>
      </c>
      <c r="O10" s="25" t="s">
        <v>398</v>
      </c>
      <c r="P10" s="25" t="s">
        <v>400</v>
      </c>
      <c r="Q10" s="25" t="s">
        <v>401</v>
      </c>
      <c r="S10" s="79" t="s">
        <v>402</v>
      </c>
      <c r="T10" s="25" t="s">
        <v>403</v>
      </c>
      <c r="U10" s="417" t="s">
        <v>404</v>
      </c>
      <c r="W10" s="97" t="s">
        <v>0</v>
      </c>
      <c r="X10" s="414" t="s">
        <v>465</v>
      </c>
      <c r="Y10" s="97" t="s">
        <v>470</v>
      </c>
      <c r="AA10" s="25" t="s">
        <v>383</v>
      </c>
      <c r="AB10" s="25" t="s">
        <v>384</v>
      </c>
      <c r="AC10" s="25" t="s">
        <v>385</v>
      </c>
      <c r="AD10" s="25" t="s">
        <v>386</v>
      </c>
      <c r="AE10" s="25" t="s">
        <v>379</v>
      </c>
      <c r="AF10" s="25" t="s">
        <v>387</v>
      </c>
      <c r="AG10" s="25" t="s">
        <v>381</v>
      </c>
      <c r="AH10" s="25" t="s">
        <v>297</v>
      </c>
      <c r="AI10" s="25" t="s">
        <v>1</v>
      </c>
      <c r="AJ10" s="25" t="s">
        <v>389</v>
      </c>
      <c r="AK10" s="25" t="s">
        <v>469</v>
      </c>
    </row>
    <row r="11" spans="2:45" ht="19.7" customHeight="1" x14ac:dyDescent="0.3">
      <c r="B11" s="220"/>
      <c r="C11" s="221" t="s">
        <v>310</v>
      </c>
      <c r="D11" s="84">
        <v>0</v>
      </c>
      <c r="E11" s="270"/>
      <c r="G11" s="278">
        <f>+IFERROR(K11/J11,0)</f>
        <v>0</v>
      </c>
      <c r="H11" s="279">
        <f>+IFERROR(Q11/U11,0)</f>
        <v>0</v>
      </c>
      <c r="J11" s="284">
        <f>AA11*AK11</f>
        <v>0</v>
      </c>
      <c r="K11" s="66">
        <f>(X11*AC11)+Y11</f>
        <v>4500</v>
      </c>
      <c r="L11" s="285">
        <f>+IF(K11-J11&gt;0,0,J11-K11)</f>
        <v>0</v>
      </c>
      <c r="N11" s="169">
        <f>+IFERROR(VLOOKUP(W11,'Stock Prov. Serv.'!A:D,4,0),0)</f>
        <v>0</v>
      </c>
      <c r="O11" s="147">
        <f>+IFERROR(VLOOKUP(W11,'Stock Taller'!A:D,4,0),0)</f>
        <v>0</v>
      </c>
      <c r="P11" s="147">
        <f>+SUMIF('Stock CD'!B:B,'Conteo VACIO'!W11,'Stock CD'!E:E)</f>
        <v>0</v>
      </c>
      <c r="Q11" s="85">
        <f>+N11+O11+P11+K11</f>
        <v>4500</v>
      </c>
      <c r="S11" s="218">
        <f>+IFERROR(VLOOKUP(W11,'Stock Taller'!A:G,7,0),0)</f>
        <v>0</v>
      </c>
      <c r="T11" s="147">
        <f>+IFERROR(SUMIF('Stock CD'!B:B,'Conteo VACIO'!W11,'Stock CD'!K:K),0)</f>
        <v>0</v>
      </c>
      <c r="U11" s="98">
        <f>+S11+T11+J11</f>
        <v>0</v>
      </c>
      <c r="W11" s="220" t="s">
        <v>6</v>
      </c>
      <c r="X11" s="222">
        <v>9</v>
      </c>
      <c r="Y11" s="285"/>
      <c r="AA11" s="172">
        <f>+SUMIFS(Consumo!F:F,Consumo!D:D,'Conteo VACIO'!W11)</f>
        <v>0</v>
      </c>
      <c r="AB11" s="81">
        <f t="shared" ref="AB11:AB27" si="0">+AA11*AH11</f>
        <v>0</v>
      </c>
      <c r="AC11" s="175">
        <v>500</v>
      </c>
      <c r="AD11" s="175">
        <v>1000</v>
      </c>
      <c r="AE11" s="82">
        <f>+AH11*AG11</f>
        <v>0</v>
      </c>
      <c r="AF11" s="66">
        <f t="shared" ref="AF11:AF13" si="1">+AD11*AH11</f>
        <v>9.5</v>
      </c>
      <c r="AG11" s="66">
        <f>AD11*BB11</f>
        <v>0</v>
      </c>
      <c r="AH11" s="83">
        <v>9.4999999999999998E-3</v>
      </c>
      <c r="AI11" s="84" t="s">
        <v>7</v>
      </c>
      <c r="AJ11" s="147" t="s">
        <v>390</v>
      </c>
      <c r="AK11" s="290">
        <v>3</v>
      </c>
    </row>
    <row r="12" spans="2:45" ht="19.7" customHeight="1" x14ac:dyDescent="0.3">
      <c r="B12" s="67">
        <v>1096500</v>
      </c>
      <c r="C12" s="69" t="s">
        <v>15</v>
      </c>
      <c r="D12" s="88">
        <v>0</v>
      </c>
      <c r="E12" s="271"/>
      <c r="G12" s="280">
        <f>+IFERROR(K12/J12,0)</f>
        <v>2.1151620370370372</v>
      </c>
      <c r="H12" s="281">
        <f>+IFERROR(Q12/U12,0)</f>
        <v>1.6115520282186948</v>
      </c>
      <c r="J12" s="286">
        <f t="shared" ref="J12:J13" si="2">AA12*AK12</f>
        <v>3456</v>
      </c>
      <c r="K12" s="71">
        <f>(X12*AC12)+Y12</f>
        <v>7310</v>
      </c>
      <c r="L12" s="287">
        <f>+IF(K12-J12&gt;0,0,J12-K12)</f>
        <v>0</v>
      </c>
      <c r="N12" s="165">
        <f>+IFERROR(VLOOKUP(W12,'Stock Prov. Serv.'!A:D,4,0),0)</f>
        <v>0</v>
      </c>
      <c r="O12" s="148">
        <f>+IFERROR(VLOOKUP(W12,'Stock Taller'!A:D,4,0),0)</f>
        <v>0</v>
      </c>
      <c r="P12" s="148">
        <f>+SUMIF('Stock CD'!B:B,'Conteo VACIO'!W12,'Stock CD'!E:E)</f>
        <v>0</v>
      </c>
      <c r="Q12" s="89">
        <f>+N12+O12+P12+K12</f>
        <v>7310</v>
      </c>
      <c r="S12" s="188">
        <f>+IFERROR(VLOOKUP(W12,'Stock Taller'!A:G,7,0),0)</f>
        <v>0</v>
      </c>
      <c r="T12" s="148">
        <f>+IFERROR(SUMIF('Stock CD'!B:B,'Conteo VACIO'!W12,'Stock CD'!K:K),0)</f>
        <v>1080</v>
      </c>
      <c r="U12" s="89">
        <f>+S12+T12+J12</f>
        <v>4536</v>
      </c>
      <c r="W12" s="67" t="s">
        <v>14</v>
      </c>
      <c r="X12" s="70">
        <v>1</v>
      </c>
      <c r="Y12" s="287"/>
      <c r="AA12" s="173">
        <f>+SUMIFS(Consumo!F:F,Consumo!D:D,'Conteo VACIO'!W12)</f>
        <v>1152</v>
      </c>
      <c r="AB12" s="72">
        <f t="shared" si="0"/>
        <v>3.2831999999999999</v>
      </c>
      <c r="AC12" s="176">
        <v>7310</v>
      </c>
      <c r="AD12" s="176">
        <v>3000</v>
      </c>
      <c r="AE12" s="86">
        <v>167</v>
      </c>
      <c r="AF12" s="71">
        <f t="shared" si="1"/>
        <v>8.5500000000000007</v>
      </c>
      <c r="AG12" s="99">
        <f>+AE12/AH12</f>
        <v>58596.491228070176</v>
      </c>
      <c r="AH12" s="87">
        <v>2.8500000000000001E-3</v>
      </c>
      <c r="AI12" s="88" t="s">
        <v>7</v>
      </c>
      <c r="AJ12" s="148" t="s">
        <v>391</v>
      </c>
      <c r="AK12" s="145">
        <v>3</v>
      </c>
    </row>
    <row r="13" spans="2:45" ht="20.25" customHeight="1" x14ac:dyDescent="0.3">
      <c r="B13" s="67">
        <v>1095500</v>
      </c>
      <c r="C13" s="69" t="s">
        <v>17</v>
      </c>
      <c r="D13" s="88">
        <v>0</v>
      </c>
      <c r="E13" s="271"/>
      <c r="G13" s="280">
        <f>+IFERROR(K13/J13,0)</f>
        <v>0.57870370370370372</v>
      </c>
      <c r="H13" s="281">
        <f>+IFERROR(Q13/U13,0)</f>
        <v>0.44091710758377423</v>
      </c>
      <c r="J13" s="286">
        <f t="shared" si="2"/>
        <v>3456</v>
      </c>
      <c r="K13" s="71">
        <f>(X13*AC13)+Y13</f>
        <v>2000</v>
      </c>
      <c r="L13" s="287">
        <f>+IF(K13-J13&gt;0,0,J13-K13)</f>
        <v>1456</v>
      </c>
      <c r="N13" s="165">
        <f>+IFERROR(VLOOKUP(W13,'Stock Prov. Serv.'!A:D,4,0),0)</f>
        <v>0</v>
      </c>
      <c r="O13" s="148">
        <f>+IFERROR(VLOOKUP(W13,'Stock Taller'!A:D,4,0),0)</f>
        <v>0</v>
      </c>
      <c r="P13" s="148">
        <f>+SUMIF('Stock CD'!B:B,'Conteo VACIO'!W13,'Stock CD'!E:E)</f>
        <v>0</v>
      </c>
      <c r="Q13" s="89">
        <f>+N13+O13+P13+K13</f>
        <v>2000</v>
      </c>
      <c r="S13" s="188">
        <f>+IFERROR(VLOOKUP(W13,'Stock Taller'!A:G,7,0),0)</f>
        <v>0</v>
      </c>
      <c r="T13" s="148">
        <f>+IFERROR(SUMIF('Stock CD'!B:B,'Conteo VACIO'!W13,'Stock CD'!K:K),0)</f>
        <v>1080</v>
      </c>
      <c r="U13" s="89">
        <f>+S13+T13+J13</f>
        <v>4536</v>
      </c>
      <c r="W13" s="67" t="s">
        <v>16</v>
      </c>
      <c r="X13" s="70">
        <v>1</v>
      </c>
      <c r="Y13" s="287"/>
      <c r="AA13" s="173">
        <f>+SUMIFS(Consumo!F:F,Consumo!D:D,'Conteo VACIO'!W13)</f>
        <v>1152</v>
      </c>
      <c r="AB13" s="72">
        <f t="shared" si="0"/>
        <v>2.016</v>
      </c>
      <c r="AC13" s="176">
        <v>2000</v>
      </c>
      <c r="AD13" s="176">
        <v>3000</v>
      </c>
      <c r="AE13" s="86">
        <v>147</v>
      </c>
      <c r="AF13" s="71">
        <f t="shared" si="1"/>
        <v>5.25</v>
      </c>
      <c r="AG13" s="99">
        <f>+AE13/AH13</f>
        <v>84000</v>
      </c>
      <c r="AH13" s="87">
        <v>1.75E-3</v>
      </c>
      <c r="AI13" s="88" t="s">
        <v>7</v>
      </c>
      <c r="AJ13" s="148" t="s">
        <v>391</v>
      </c>
      <c r="AK13" s="145">
        <v>3</v>
      </c>
    </row>
    <row r="14" spans="2:45" ht="24.75" customHeight="1" x14ac:dyDescent="0.3">
      <c r="B14" s="67">
        <v>1175500</v>
      </c>
      <c r="C14" s="69" t="s">
        <v>28</v>
      </c>
      <c r="D14" s="88">
        <v>0</v>
      </c>
      <c r="E14" s="271"/>
      <c r="G14" s="280">
        <f>+IFERROR(K14/J14,0)</f>
        <v>0.80475537265660735</v>
      </c>
      <c r="H14" s="281">
        <f>+IFERROR(Q14/U14,0)</f>
        <v>1.612624331978749E-2</v>
      </c>
      <c r="J14" s="416">
        <f>AB14*AK14</f>
        <v>81.79379999999999</v>
      </c>
      <c r="K14" s="71">
        <f>+((X14*AC14)+Y14)*AH14</f>
        <v>65.823999999999998</v>
      </c>
      <c r="L14" s="287">
        <f t="shared" ref="L14:L15" si="3">+IF(K14-J14&gt;0,0,J14-K14)</f>
        <v>15.969799999999992</v>
      </c>
      <c r="N14" s="165">
        <f>+IFERROR(VLOOKUP(W14,'Stock Prov. Serv.'!A:D,4,0),0)</f>
        <v>0</v>
      </c>
      <c r="O14" s="148">
        <f>+IFERROR(VLOOKUP(W14,'Stock Taller'!A:D,4,0),0)</f>
        <v>0</v>
      </c>
      <c r="P14" s="148">
        <f>+SUMIF('Stock CD'!B:B,'Conteo VACIO'!W14,'Stock CD'!E:E)</f>
        <v>0</v>
      </c>
      <c r="Q14" s="89">
        <f>+N14+O14+P14+K14</f>
        <v>65.823999999999998</v>
      </c>
      <c r="S14" s="188">
        <f>+IFERROR(VLOOKUP(W14,'Stock Taller'!A:G,7,0),0)</f>
        <v>0</v>
      </c>
      <c r="T14" s="148">
        <f>+IFERROR(SUMIF('Stock CD'!B:B,'Conteo VACIO'!W14,'Stock CD'!K:K),0)</f>
        <v>4000</v>
      </c>
      <c r="U14" s="418">
        <f>+S14+T14+J14</f>
        <v>4081.7937999999999</v>
      </c>
      <c r="W14" s="67" t="s">
        <v>27</v>
      </c>
      <c r="X14" s="70">
        <v>4</v>
      </c>
      <c r="Y14" s="287"/>
      <c r="AA14" s="173">
        <f>+SUMIFS(Consumo!F:F,Consumo!D:D,'Conteo VACIO'!W14)</f>
        <v>2916</v>
      </c>
      <c r="AB14" s="72">
        <f>+AA14*AH14</f>
        <v>27.264599999999998</v>
      </c>
      <c r="AC14" s="176">
        <v>1760</v>
      </c>
      <c r="AD14" s="176">
        <f>+AF14/AH14</f>
        <v>1764.7058823529414</v>
      </c>
      <c r="AE14" s="86">
        <f>+AH14*AG14</f>
        <v>171.66599999999997</v>
      </c>
      <c r="AF14" s="415">
        <v>16.5</v>
      </c>
      <c r="AG14" s="99">
        <v>18360</v>
      </c>
      <c r="AH14" s="87">
        <v>9.3499999999999989E-3</v>
      </c>
      <c r="AI14" s="88" t="s">
        <v>471</v>
      </c>
      <c r="AJ14" s="148" t="s">
        <v>390</v>
      </c>
      <c r="AK14" s="145">
        <v>3</v>
      </c>
      <c r="AL14" s="274"/>
    </row>
    <row r="15" spans="2:45" ht="38.25" thickBot="1" x14ac:dyDescent="0.35">
      <c r="B15" s="74">
        <v>1093500</v>
      </c>
      <c r="C15" s="75" t="s">
        <v>475</v>
      </c>
      <c r="D15" s="93">
        <v>0</v>
      </c>
      <c r="E15" s="272"/>
      <c r="G15" s="282">
        <f>+IFERROR(K15/J15,0)</f>
        <v>0.86805555555555569</v>
      </c>
      <c r="H15" s="283">
        <f>+IFERROR(Q15/U15,0)</f>
        <v>2.9905204524778142E-2</v>
      </c>
      <c r="J15" s="308">
        <f>AB15*AK15</f>
        <v>38.534399999999998</v>
      </c>
      <c r="K15" s="77">
        <f>+((X15*AC15)+Y15)*AH15</f>
        <v>33.450000000000003</v>
      </c>
      <c r="L15" s="289">
        <f t="shared" si="3"/>
        <v>5.0843999999999951</v>
      </c>
      <c r="N15" s="166">
        <f>+IFERROR(VLOOKUP(W15,'Stock Prov. Serv.'!A:D,4,0),0)</f>
        <v>0</v>
      </c>
      <c r="O15" s="149">
        <f>+IFERROR(VLOOKUP(W15,'Stock Taller'!A:D,4,0),0)</f>
        <v>0</v>
      </c>
      <c r="P15" s="149">
        <f>+SUMIF('Stock CD'!B:B,'Conteo VACIO'!W15,'Stock CD'!E:E)</f>
        <v>0</v>
      </c>
      <c r="Q15" s="94">
        <f>+N15+O15+P15+K15</f>
        <v>33.450000000000003</v>
      </c>
      <c r="S15" s="219">
        <f>+IFERROR(VLOOKUP(W15,'Stock Taller'!A:G,7,0),0)</f>
        <v>0</v>
      </c>
      <c r="T15" s="149">
        <f>+IFERROR(SUMIF('Stock CD'!B:B,'Conteo VACIO'!W15,'Stock CD'!K:K),0)</f>
        <v>1080</v>
      </c>
      <c r="U15" s="310">
        <f>+S15+T15+J15</f>
        <v>1118.5344</v>
      </c>
      <c r="W15" s="260" t="s">
        <v>29</v>
      </c>
      <c r="X15" s="76">
        <v>3</v>
      </c>
      <c r="Y15" s="289"/>
      <c r="AA15" s="174">
        <f>+SUMIFS(Consumo!F:F,Consumo!D:D,'Conteo VACIO'!W15)</f>
        <v>1152</v>
      </c>
      <c r="AB15" s="78">
        <f>+AA15*AH15</f>
        <v>12.844799999999999</v>
      </c>
      <c r="AC15" s="177">
        <v>1000</v>
      </c>
      <c r="AD15" s="177">
        <f>+AF15/AH15</f>
        <v>8968.6098654708512</v>
      </c>
      <c r="AE15" s="91">
        <f>+AH15*AG15</f>
        <v>137.70250000000001</v>
      </c>
      <c r="AF15" s="77">
        <v>100</v>
      </c>
      <c r="AG15" s="100">
        <v>12350</v>
      </c>
      <c r="AH15" s="92">
        <v>1.115E-2</v>
      </c>
      <c r="AI15" s="93" t="s">
        <v>471</v>
      </c>
      <c r="AJ15" s="149" t="s">
        <v>390</v>
      </c>
      <c r="AK15" s="94">
        <v>3</v>
      </c>
      <c r="AL15" s="274"/>
    </row>
    <row r="16" spans="2:45" ht="19.5" thickBot="1" x14ac:dyDescent="0.35">
      <c r="AL16" s="274"/>
    </row>
    <row r="17" spans="1:45" ht="24" thickBot="1" x14ac:dyDescent="0.4">
      <c r="B17" s="252"/>
      <c r="C17" s="478" t="s">
        <v>461</v>
      </c>
      <c r="D17" s="479"/>
      <c r="E17" s="480"/>
      <c r="G17" s="267"/>
      <c r="K17" s="267"/>
    </row>
    <row r="18" spans="1:45" ht="27" thickBot="1" x14ac:dyDescent="0.45">
      <c r="C18" s="250" t="s">
        <v>298</v>
      </c>
      <c r="D18" s="251" t="s">
        <v>462</v>
      </c>
      <c r="E18" s="251"/>
      <c r="G18" s="268"/>
      <c r="H18" s="269"/>
      <c r="J18" s="198"/>
      <c r="K18" s="268"/>
      <c r="N18" s="269"/>
      <c r="O18" s="269"/>
      <c r="P18" s="269"/>
      <c r="Q18" s="269"/>
      <c r="S18" s="528"/>
      <c r="T18" s="528"/>
      <c r="U18" s="528"/>
      <c r="Y18" s="199"/>
      <c r="AA18" s="470" t="s">
        <v>392</v>
      </c>
      <c r="AB18" s="471"/>
      <c r="AC18" s="471"/>
      <c r="AD18" s="471"/>
      <c r="AE18" s="471"/>
      <c r="AF18" s="471"/>
      <c r="AG18" s="471"/>
      <c r="AH18" s="471"/>
      <c r="AI18" s="471"/>
      <c r="AJ18" s="471"/>
      <c r="AK18" s="527"/>
      <c r="AL18" s="37"/>
      <c r="AM18" s="37"/>
      <c r="AN18" s="37"/>
      <c r="AO18" s="37"/>
      <c r="AP18" s="37"/>
      <c r="AQ18" s="37"/>
      <c r="AR18" s="37"/>
      <c r="AS18" s="37"/>
    </row>
    <row r="19" spans="1:45" ht="87" customHeight="1" thickBot="1" x14ac:dyDescent="0.3">
      <c r="B19" s="95" t="s">
        <v>311</v>
      </c>
      <c r="C19" s="9" t="s">
        <v>2</v>
      </c>
      <c r="D19" s="96" t="s">
        <v>460</v>
      </c>
      <c r="E19" s="96" t="s">
        <v>467</v>
      </c>
      <c r="G19" s="9" t="s">
        <v>396</v>
      </c>
      <c r="H19" s="80" t="s">
        <v>397</v>
      </c>
      <c r="J19" s="9" t="s">
        <v>393</v>
      </c>
      <c r="K19" s="9" t="s">
        <v>394</v>
      </c>
      <c r="L19" s="9" t="s">
        <v>388</v>
      </c>
      <c r="N19" s="80" t="s">
        <v>399</v>
      </c>
      <c r="O19" s="80" t="s">
        <v>398</v>
      </c>
      <c r="P19" s="80" t="s">
        <v>400</v>
      </c>
      <c r="Q19" s="80" t="s">
        <v>401</v>
      </c>
      <c r="S19" s="276" t="s">
        <v>402</v>
      </c>
      <c r="T19" s="80" t="s">
        <v>403</v>
      </c>
      <c r="U19" s="277" t="s">
        <v>404</v>
      </c>
      <c r="W19" s="9" t="s">
        <v>0</v>
      </c>
      <c r="X19" s="96" t="s">
        <v>465</v>
      </c>
      <c r="Y19" s="9" t="s">
        <v>470</v>
      </c>
      <c r="AA19" s="25" t="s">
        <v>383</v>
      </c>
      <c r="AB19" s="25" t="s">
        <v>384</v>
      </c>
      <c r="AC19" s="25" t="s">
        <v>385</v>
      </c>
      <c r="AD19" s="25" t="s">
        <v>386</v>
      </c>
      <c r="AE19" s="25" t="s">
        <v>379</v>
      </c>
      <c r="AF19" s="25" t="s">
        <v>387</v>
      </c>
      <c r="AG19" s="25" t="s">
        <v>381</v>
      </c>
      <c r="AH19" s="25" t="s">
        <v>297</v>
      </c>
      <c r="AI19" s="25" t="s">
        <v>1</v>
      </c>
      <c r="AJ19" s="25" t="s">
        <v>389</v>
      </c>
      <c r="AK19" s="25" t="s">
        <v>469</v>
      </c>
    </row>
    <row r="20" spans="1:45" ht="24.75" customHeight="1" x14ac:dyDescent="0.3">
      <c r="B20" s="220">
        <v>1078500</v>
      </c>
      <c r="C20" s="221" t="s">
        <v>24</v>
      </c>
      <c r="D20" s="84">
        <v>0</v>
      </c>
      <c r="E20" s="270"/>
      <c r="G20" s="278">
        <f>+IFERROR(K20/J20,0)</f>
        <v>27.777777777777779</v>
      </c>
      <c r="H20" s="279">
        <f>+IFERROR(Q20/U20,0)</f>
        <v>4.5045045045045047</v>
      </c>
      <c r="J20" s="284">
        <f t="shared" ref="J20:J21" si="4">AA20*AK20</f>
        <v>144</v>
      </c>
      <c r="K20" s="66">
        <f>(X20*AC20)+Y20</f>
        <v>4000</v>
      </c>
      <c r="L20" s="285">
        <f>+IF(K20-J20&gt;0,0,J20-K20)</f>
        <v>0</v>
      </c>
      <c r="N20" s="169">
        <f>+IFERROR(VLOOKUP(W20,'Stock Prov. Serv.'!A:D,4,0),0)</f>
        <v>0</v>
      </c>
      <c r="O20" s="147">
        <f>+IFERROR(VLOOKUP(W20,'Stock Taller'!A:D,4,0),0)</f>
        <v>0</v>
      </c>
      <c r="P20" s="147">
        <f>+SUMIF('Stock CD'!B:B,'Conteo VACIO'!W20,'Stock CD'!E:E)</f>
        <v>0</v>
      </c>
      <c r="Q20" s="85">
        <f>+N20+O20+P20+K20</f>
        <v>4000</v>
      </c>
      <c r="S20" s="218">
        <f>+IFERROR(VLOOKUP(W20,'Stock Taller'!A:G,7,0),0)</f>
        <v>0</v>
      </c>
      <c r="T20" s="147">
        <f>+IFERROR(SUMIF('Stock CD'!B:B,'Conteo VACIO'!W20,'Stock CD'!K:K),0)</f>
        <v>744</v>
      </c>
      <c r="U20" s="309">
        <f>+S20+T20+J20</f>
        <v>888</v>
      </c>
      <c r="W20" s="220" t="s">
        <v>23</v>
      </c>
      <c r="X20" s="222">
        <v>2</v>
      </c>
      <c r="Y20" s="285"/>
      <c r="AA20" s="172">
        <f>+SUMIFS(Consumo!F:F,Consumo!D:D,'Conteo VACIO'!W20)</f>
        <v>48</v>
      </c>
      <c r="AB20" s="81">
        <f t="shared" ref="AB20:AB21" si="5">+AA20*AH20</f>
        <v>0.16560000000000002</v>
      </c>
      <c r="AC20" s="175">
        <v>2000</v>
      </c>
      <c r="AD20" s="175">
        <v>1000</v>
      </c>
      <c r="AE20" s="82">
        <v>132.20677000000001</v>
      </c>
      <c r="AF20" s="261">
        <f>+AD20*AH20</f>
        <v>3.45</v>
      </c>
      <c r="AG20" s="291">
        <f>+AE20/AH20</f>
        <v>38320.802898550719</v>
      </c>
      <c r="AH20" s="83">
        <v>3.4500000000000004E-3</v>
      </c>
      <c r="AI20" s="84" t="s">
        <v>298</v>
      </c>
      <c r="AJ20" s="147" t="s">
        <v>391</v>
      </c>
      <c r="AK20" s="85">
        <v>3</v>
      </c>
      <c r="AL20" s="274"/>
    </row>
    <row r="21" spans="1:45" ht="30.75" customHeight="1" thickBot="1" x14ac:dyDescent="0.35">
      <c r="B21" s="74">
        <v>1106500</v>
      </c>
      <c r="C21" s="75" t="s">
        <v>26</v>
      </c>
      <c r="D21" s="93">
        <v>0</v>
      </c>
      <c r="E21" s="272"/>
      <c r="G21" s="282">
        <f>+IFERROR(K21/J21,0)</f>
        <v>2.559470039144836</v>
      </c>
      <c r="H21" s="283">
        <f>+IFERROR(Q21/U21,0)</f>
        <v>1.9096832172545495</v>
      </c>
      <c r="J21" s="288">
        <f t="shared" si="4"/>
        <v>13284</v>
      </c>
      <c r="K21" s="77">
        <f>(X21*AC21)+Y21</f>
        <v>34000</v>
      </c>
      <c r="L21" s="289">
        <f>+IF(K21-J21&gt;0,0,J21-K21)</f>
        <v>0</v>
      </c>
      <c r="N21" s="166">
        <f>+IFERROR(VLOOKUP(W21,'Stock Prov. Serv.'!A:D,4,0),0)</f>
        <v>0</v>
      </c>
      <c r="O21" s="149">
        <f>+IFERROR(VLOOKUP(W21,'Stock Taller'!A:D,4,0),0)</f>
        <v>0</v>
      </c>
      <c r="P21" s="149">
        <f>+SUMIF('Stock CD'!B:B,'Conteo VACIO'!W21,'Stock CD'!E:E)</f>
        <v>0</v>
      </c>
      <c r="Q21" s="94">
        <f>+N21+O21+P21+K21</f>
        <v>34000</v>
      </c>
      <c r="S21" s="219">
        <f>+IFERROR(VLOOKUP(W21,'Stock Taller'!A:G,7,0),0)</f>
        <v>0</v>
      </c>
      <c r="T21" s="149">
        <f>+IFERROR(SUMIF('Stock CD'!B:B,'Conteo VACIO'!W21,'Stock CD'!K:K),0)</f>
        <v>4520</v>
      </c>
      <c r="U21" s="310">
        <f>+S21+T21+J21</f>
        <v>17804</v>
      </c>
      <c r="W21" s="260" t="s">
        <v>25</v>
      </c>
      <c r="X21" s="76">
        <v>2</v>
      </c>
      <c r="Y21" s="289"/>
      <c r="AA21" s="174">
        <f>+SUMIFS(Consumo!F:F,Consumo!D:D,'Conteo VACIO'!W21)</f>
        <v>4428</v>
      </c>
      <c r="AB21" s="78">
        <f t="shared" si="5"/>
        <v>5.0922000000000001</v>
      </c>
      <c r="AC21" s="177">
        <v>17000</v>
      </c>
      <c r="AD21" s="177">
        <v>26000</v>
      </c>
      <c r="AE21" s="91">
        <v>3.52</v>
      </c>
      <c r="AF21" s="77">
        <f>+AD21*AH21</f>
        <v>29.9</v>
      </c>
      <c r="AG21" s="100">
        <f>AE21/AH21</f>
        <v>3060.8695652173915</v>
      </c>
      <c r="AH21" s="92">
        <v>1.15E-3</v>
      </c>
      <c r="AI21" s="93" t="s">
        <v>298</v>
      </c>
      <c r="AJ21" s="149" t="s">
        <v>390</v>
      </c>
      <c r="AK21" s="94">
        <v>3</v>
      </c>
      <c r="AL21" s="274"/>
    </row>
    <row r="22" spans="1:45" ht="19.5" thickBot="1" x14ac:dyDescent="0.35"/>
    <row r="23" spans="1:45" ht="24" thickBot="1" x14ac:dyDescent="0.4">
      <c r="B23" s="252"/>
      <c r="C23" s="478" t="s">
        <v>461</v>
      </c>
      <c r="D23" s="479"/>
      <c r="E23" s="480"/>
      <c r="G23" s="267"/>
      <c r="K23" s="267"/>
    </row>
    <row r="24" spans="1:45" ht="27" thickBot="1" x14ac:dyDescent="0.45">
      <c r="C24" s="250" t="s">
        <v>408</v>
      </c>
      <c r="D24" s="251" t="s">
        <v>462</v>
      </c>
      <c r="E24" s="251"/>
      <c r="G24" s="268"/>
      <c r="H24" s="269"/>
      <c r="J24" s="198"/>
      <c r="K24" s="268"/>
      <c r="N24" s="269"/>
      <c r="O24" s="269"/>
      <c r="P24" s="269"/>
      <c r="Q24" s="269"/>
      <c r="S24" s="528"/>
      <c r="T24" s="528"/>
      <c r="U24" s="528"/>
      <c r="Y24" s="199"/>
      <c r="AA24" s="470" t="s">
        <v>392</v>
      </c>
      <c r="AB24" s="471"/>
      <c r="AC24" s="471"/>
      <c r="AD24" s="471"/>
      <c r="AE24" s="471"/>
      <c r="AF24" s="471"/>
      <c r="AG24" s="471"/>
      <c r="AH24" s="471"/>
      <c r="AI24" s="471"/>
      <c r="AJ24" s="471"/>
      <c r="AK24" s="527"/>
      <c r="AL24" s="37"/>
      <c r="AM24" s="37"/>
      <c r="AN24" s="37"/>
      <c r="AO24" s="37"/>
      <c r="AP24" s="37"/>
      <c r="AQ24" s="37"/>
      <c r="AR24" s="37"/>
      <c r="AS24" s="37"/>
    </row>
    <row r="25" spans="1:45" ht="87" customHeight="1" thickBot="1" x14ac:dyDescent="0.3">
      <c r="B25" s="95" t="s">
        <v>311</v>
      </c>
      <c r="C25" s="9" t="s">
        <v>2</v>
      </c>
      <c r="D25" s="96" t="s">
        <v>460</v>
      </c>
      <c r="E25" s="96" t="s">
        <v>467</v>
      </c>
      <c r="G25" s="9" t="s">
        <v>396</v>
      </c>
      <c r="H25" s="80" t="s">
        <v>397</v>
      </c>
      <c r="J25" s="9" t="s">
        <v>531</v>
      </c>
      <c r="K25" s="9" t="s">
        <v>394</v>
      </c>
      <c r="L25" s="9" t="s">
        <v>388</v>
      </c>
      <c r="N25" s="80" t="s">
        <v>399</v>
      </c>
      <c r="O25" s="80" t="s">
        <v>398</v>
      </c>
      <c r="P25" s="80" t="s">
        <v>400</v>
      </c>
      <c r="Q25" s="80" t="s">
        <v>401</v>
      </c>
      <c r="S25" s="276" t="s">
        <v>402</v>
      </c>
      <c r="T25" s="80" t="s">
        <v>403</v>
      </c>
      <c r="U25" s="277" t="s">
        <v>404</v>
      </c>
      <c r="W25" s="9" t="s">
        <v>0</v>
      </c>
      <c r="X25" s="96" t="s">
        <v>465</v>
      </c>
      <c r="Y25" s="9" t="s">
        <v>470</v>
      </c>
      <c r="AA25" s="25" t="s">
        <v>383</v>
      </c>
      <c r="AB25" s="25" t="s">
        <v>384</v>
      </c>
      <c r="AC25" s="25" t="s">
        <v>385</v>
      </c>
      <c r="AD25" s="25" t="s">
        <v>386</v>
      </c>
      <c r="AE25" s="25" t="s">
        <v>379</v>
      </c>
      <c r="AF25" s="25" t="s">
        <v>387</v>
      </c>
      <c r="AG25" s="25" t="s">
        <v>381</v>
      </c>
      <c r="AH25" s="25" t="s">
        <v>297</v>
      </c>
      <c r="AI25" s="25" t="s">
        <v>1</v>
      </c>
      <c r="AJ25" s="25" t="s">
        <v>389</v>
      </c>
      <c r="AK25" s="25" t="s">
        <v>469</v>
      </c>
    </row>
    <row r="26" spans="1:45" ht="24.75" customHeight="1" x14ac:dyDescent="0.3">
      <c r="A26" t="s">
        <v>408</v>
      </c>
      <c r="B26" s="220">
        <v>1130500</v>
      </c>
      <c r="C26" s="221" t="s">
        <v>409</v>
      </c>
      <c r="D26" s="84">
        <v>2000</v>
      </c>
      <c r="E26" s="552">
        <v>1</v>
      </c>
      <c r="G26" s="278">
        <f>+IFERROR(K26/J26,0)</f>
        <v>0.45533479908479907</v>
      </c>
      <c r="H26" s="279">
        <f>+IFERROR(Q26/U26,0)</f>
        <v>0.25869309122668044</v>
      </c>
      <c r="J26" s="284">
        <f t="shared" ref="J26:J27" si="6">AA26*AK26</f>
        <v>3552</v>
      </c>
      <c r="K26" s="66">
        <f>(X26*AC26)+Y26</f>
        <v>1617.3492063492063</v>
      </c>
      <c r="L26" s="285">
        <f t="shared" ref="L26:L27" si="7">+IF(K26-J26&gt;0,0,J26-K26)</f>
        <v>1934.6507936507937</v>
      </c>
      <c r="N26" s="169">
        <f>+IFERROR(VLOOKUP(W26,'Stock Prov. Serv.'!A:D,4,0),0)</f>
        <v>0</v>
      </c>
      <c r="O26" s="147">
        <f>+IFERROR(VLOOKUP(W26,'Stock Taller'!A:D,4,0),0)</f>
        <v>0</v>
      </c>
      <c r="P26" s="147">
        <f>+SUMIF('Stock CD'!B:B,'Conteo VACIO'!W26,'Stock CD'!E:E)</f>
        <v>0</v>
      </c>
      <c r="Q26" s="85">
        <f>+N26+O26+P26+K26</f>
        <v>1617.3492063492063</v>
      </c>
      <c r="S26" s="218">
        <f>+IFERROR(VLOOKUP(W26,'Stock Taller'!A:G,7,0),0)</f>
        <v>0</v>
      </c>
      <c r="T26" s="147">
        <f>+IFERROR(SUMIF('Stock CD'!B:B,'Conteo VACIO'!W26,'Stock CD'!K:K),0)</f>
        <v>2700</v>
      </c>
      <c r="U26" s="309">
        <f>+S26+T26+J26</f>
        <v>6252</v>
      </c>
      <c r="W26" s="220" t="s">
        <v>405</v>
      </c>
      <c r="X26" s="222">
        <v>1</v>
      </c>
      <c r="Y26" s="285">
        <v>411</v>
      </c>
      <c r="AA26" s="172">
        <f>+SUMIFS(Consumo!F:F,Consumo!D:D,'Conteo VACIO'!W26)</f>
        <v>888</v>
      </c>
      <c r="AB26" s="81">
        <f t="shared" si="0"/>
        <v>2.7972000000000001</v>
      </c>
      <c r="AC26" s="175">
        <f>3.8/AH26</f>
        <v>1206.3492063492063</v>
      </c>
      <c r="AD26" s="175">
        <v>1000</v>
      </c>
      <c r="AE26" s="82">
        <v>29.06</v>
      </c>
      <c r="AF26" s="261">
        <f t="shared" ref="AF26:AF27" si="8">+AD26*AH26</f>
        <v>3.15</v>
      </c>
      <c r="AG26" s="291">
        <f t="shared" ref="AG26:AG27" si="9">AE26/AH26</f>
        <v>9225.3968253968251</v>
      </c>
      <c r="AH26" s="83">
        <f>31.5/10/1000</f>
        <v>3.15E-3</v>
      </c>
      <c r="AI26" s="84" t="s">
        <v>408</v>
      </c>
      <c r="AJ26" s="147" t="s">
        <v>391</v>
      </c>
      <c r="AK26" s="85">
        <v>4</v>
      </c>
      <c r="AL26" s="274"/>
    </row>
    <row r="27" spans="1:45" ht="30.75" customHeight="1" thickBot="1" x14ac:dyDescent="0.35">
      <c r="A27" t="s">
        <v>408</v>
      </c>
      <c r="B27" s="74">
        <v>1168500</v>
      </c>
      <c r="C27" s="75" t="s">
        <v>406</v>
      </c>
      <c r="D27" s="93">
        <v>0</v>
      </c>
      <c r="E27" s="272"/>
      <c r="G27" s="282">
        <f>+IFERROR(K27/J27,0)</f>
        <v>26.388888888888886</v>
      </c>
      <c r="H27" s="283">
        <f>+IFERROR(Q27/U27,0)</f>
        <v>8.5585585585585573</v>
      </c>
      <c r="J27" s="288">
        <f t="shared" si="6"/>
        <v>576</v>
      </c>
      <c r="K27" s="77">
        <f>(X27*AC27)+Y27</f>
        <v>15199.999999999998</v>
      </c>
      <c r="L27" s="289">
        <f t="shared" si="7"/>
        <v>0</v>
      </c>
      <c r="N27" s="166">
        <f>+IFERROR(VLOOKUP(W27,'Stock Prov. Serv.'!A:D,4,0),0)</f>
        <v>0</v>
      </c>
      <c r="O27" s="149">
        <f>+IFERROR(VLOOKUP(W27,'Stock Taller'!A:D,4,0),0)</f>
        <v>0</v>
      </c>
      <c r="P27" s="149">
        <f>+SUMIF('Stock CD'!B:B,'Conteo VACIO'!W27,'Stock CD'!E:E)</f>
        <v>0</v>
      </c>
      <c r="Q27" s="94">
        <f>+N27+O27+P27+K27</f>
        <v>15199.999999999998</v>
      </c>
      <c r="S27" s="219">
        <f>+IFERROR(VLOOKUP(W27,'Stock Taller'!A:G,7,0),0)</f>
        <v>0</v>
      </c>
      <c r="T27" s="149">
        <f>+IFERROR(SUMIF('Stock CD'!B:B,'Conteo VACIO'!W27,'Stock CD'!K:K),0)</f>
        <v>1200</v>
      </c>
      <c r="U27" s="310">
        <f>+S27+T27+J27</f>
        <v>1776</v>
      </c>
      <c r="W27" s="260" t="s">
        <v>407</v>
      </c>
      <c r="X27" s="76">
        <v>2</v>
      </c>
      <c r="Y27" s="289"/>
      <c r="AA27" s="174">
        <f>+SUMIFS(Consumo!F:F,Consumo!D:D,'Conteo VACIO'!W27)</f>
        <v>144</v>
      </c>
      <c r="AB27" s="78">
        <f t="shared" si="0"/>
        <v>7.2000000000000008E-2</v>
      </c>
      <c r="AC27" s="177">
        <f>3.8/AH27</f>
        <v>7599.9999999999991</v>
      </c>
      <c r="AD27" s="177">
        <v>1000</v>
      </c>
      <c r="AE27" s="91">
        <v>15.47</v>
      </c>
      <c r="AF27" s="77">
        <f t="shared" si="8"/>
        <v>0.5</v>
      </c>
      <c r="AG27" s="100">
        <f t="shared" si="9"/>
        <v>30940</v>
      </c>
      <c r="AH27" s="92">
        <f>0.5/1000</f>
        <v>5.0000000000000001E-4</v>
      </c>
      <c r="AI27" s="93" t="s">
        <v>408</v>
      </c>
      <c r="AJ27" s="149" t="s">
        <v>391</v>
      </c>
      <c r="AK27" s="94">
        <v>4</v>
      </c>
      <c r="AL27" s="274"/>
    </row>
    <row r="28" spans="1:45" ht="19.5" thickBot="1" x14ac:dyDescent="0.35"/>
    <row r="29" spans="1:45" ht="24" thickBot="1" x14ac:dyDescent="0.4">
      <c r="B29" s="252"/>
      <c r="C29" s="478" t="s">
        <v>461</v>
      </c>
      <c r="D29" s="479"/>
      <c r="E29" s="480"/>
      <c r="G29" s="267"/>
      <c r="L29" s="267"/>
    </row>
    <row r="30" spans="1:45" ht="27" thickBot="1" x14ac:dyDescent="0.45">
      <c r="C30" s="250" t="s">
        <v>380</v>
      </c>
      <c r="D30" s="251" t="s">
        <v>462</v>
      </c>
      <c r="E30" s="251"/>
      <c r="G30" s="268"/>
      <c r="H30" s="269"/>
      <c r="J30" s="198"/>
      <c r="K30" s="268"/>
      <c r="N30" s="269"/>
      <c r="O30" s="269"/>
      <c r="P30" s="269"/>
      <c r="Q30" s="269"/>
      <c r="S30" s="528"/>
      <c r="T30" s="528"/>
      <c r="U30" s="528"/>
      <c r="Y30" s="199"/>
      <c r="AA30" s="470" t="s">
        <v>392</v>
      </c>
      <c r="AB30" s="471"/>
      <c r="AC30" s="471"/>
      <c r="AD30" s="471"/>
      <c r="AE30" s="471"/>
      <c r="AF30" s="471"/>
      <c r="AG30" s="471"/>
      <c r="AH30" s="471"/>
      <c r="AI30" s="471"/>
      <c r="AJ30" s="471"/>
      <c r="AK30" s="527"/>
      <c r="AL30" s="37"/>
      <c r="AM30" s="37"/>
      <c r="AN30" s="37"/>
      <c r="AO30" s="37"/>
      <c r="AP30" s="37"/>
      <c r="AQ30" s="37"/>
      <c r="AR30" s="37"/>
      <c r="AS30" s="37"/>
    </row>
    <row r="31" spans="1:45" ht="87" customHeight="1" thickBot="1" x14ac:dyDescent="0.3">
      <c r="B31" s="95" t="s">
        <v>311</v>
      </c>
      <c r="C31" s="9" t="s">
        <v>2</v>
      </c>
      <c r="D31" s="96" t="s">
        <v>460</v>
      </c>
      <c r="E31" s="96" t="s">
        <v>467</v>
      </c>
      <c r="G31" s="9" t="s">
        <v>396</v>
      </c>
      <c r="H31" s="80" t="s">
        <v>397</v>
      </c>
      <c r="J31" s="9" t="s">
        <v>393</v>
      </c>
      <c r="K31" s="9" t="s">
        <v>394</v>
      </c>
      <c r="L31" s="9" t="s">
        <v>388</v>
      </c>
      <c r="N31" s="80" t="s">
        <v>399</v>
      </c>
      <c r="O31" s="80" t="s">
        <v>398</v>
      </c>
      <c r="P31" s="80" t="s">
        <v>400</v>
      </c>
      <c r="Q31" s="80" t="s">
        <v>401</v>
      </c>
      <c r="S31" s="276" t="s">
        <v>402</v>
      </c>
      <c r="T31" s="80" t="s">
        <v>403</v>
      </c>
      <c r="U31" s="277" t="s">
        <v>404</v>
      </c>
      <c r="W31" s="9" t="s">
        <v>0</v>
      </c>
      <c r="X31" s="96" t="s">
        <v>465</v>
      </c>
      <c r="Y31" s="9" t="s">
        <v>470</v>
      </c>
      <c r="AA31" s="25" t="s">
        <v>383</v>
      </c>
      <c r="AB31" s="25" t="s">
        <v>384</v>
      </c>
      <c r="AC31" s="25" t="s">
        <v>385</v>
      </c>
      <c r="AD31" s="25" t="s">
        <v>386</v>
      </c>
      <c r="AE31" s="25" t="s">
        <v>379</v>
      </c>
      <c r="AF31" s="25" t="s">
        <v>387</v>
      </c>
      <c r="AG31" s="25" t="s">
        <v>381</v>
      </c>
      <c r="AH31" s="25" t="s">
        <v>297</v>
      </c>
      <c r="AI31" s="25" t="s">
        <v>1</v>
      </c>
      <c r="AJ31" s="25" t="s">
        <v>389</v>
      </c>
      <c r="AK31" s="25" t="s">
        <v>469</v>
      </c>
    </row>
    <row r="32" spans="1:45" ht="38.25" thickBot="1" x14ac:dyDescent="0.3">
      <c r="B32" s="255">
        <v>1182500</v>
      </c>
      <c r="C32" s="256" t="s">
        <v>369</v>
      </c>
      <c r="D32" s="297">
        <v>0</v>
      </c>
      <c r="E32" s="273"/>
      <c r="G32" s="302">
        <f>+IFERROR(K32/J32,0)</f>
        <v>1.8343238682221727</v>
      </c>
      <c r="H32" s="303">
        <f>+IFERROR(Q32/U32,0)</f>
        <v>1.3461033672775731</v>
      </c>
      <c r="J32" s="304">
        <f>AA32*AK32</f>
        <v>25488</v>
      </c>
      <c r="K32" s="258">
        <f>(X32*AC32)+Y32</f>
        <v>46753.246753246742</v>
      </c>
      <c r="L32" s="299">
        <f>+IF(K32-J32&gt;0,0,J32-K32)</f>
        <v>0</v>
      </c>
      <c r="N32" s="305">
        <f>+IFERROR(VLOOKUP(W32,'Stock Prov. Serv.'!A:D,4,0),0)</f>
        <v>0</v>
      </c>
      <c r="O32" s="262">
        <f>+IFERROR(VLOOKUP(W32,'Stock Taller'!A:D,4,0),0)</f>
        <v>0</v>
      </c>
      <c r="P32" s="262">
        <f>+SUMIF('Stock CD'!B:B,'Conteo VACIO'!W32,'Stock CD'!E:E)</f>
        <v>0</v>
      </c>
      <c r="Q32" s="263">
        <f>+N32+O32+P32+K32</f>
        <v>46753.246753246742</v>
      </c>
      <c r="S32" s="306">
        <f>+IFERROR(VLOOKUP(W32,'Stock Taller'!A:G,7,0),0)</f>
        <v>1264.2857142857142</v>
      </c>
      <c r="T32" s="262">
        <f>+IFERROR(SUMIF('Stock CD'!B:B,'Conteo VACIO'!W32,'Stock CD'!K:K),0)</f>
        <v>7980</v>
      </c>
      <c r="U32" s="307">
        <f>+S32+T32+J32</f>
        <v>34732.28571428571</v>
      </c>
      <c r="W32" s="300" t="s">
        <v>370</v>
      </c>
      <c r="X32" s="257">
        <v>3</v>
      </c>
      <c r="Y32" s="299"/>
      <c r="AA32" s="292">
        <f>+SUMIFS(Consumo!F:F,Consumo!D:D,'Conteo VACIO'!W32)</f>
        <v>8496</v>
      </c>
      <c r="AB32" s="259">
        <f>+AA32*AH32</f>
        <v>2.9735999999999998</v>
      </c>
      <c r="AC32" s="293">
        <f>(6/AH32)/1.1</f>
        <v>15584.415584415581</v>
      </c>
      <c r="AD32" s="293">
        <f>+AF32/AH32</f>
        <v>17142.857142857141</v>
      </c>
      <c r="AE32" s="294">
        <f>+AH32*AG32</f>
        <v>11.270000000000001</v>
      </c>
      <c r="AF32" s="258">
        <v>6</v>
      </c>
      <c r="AG32" s="295">
        <v>32200.000000000004</v>
      </c>
      <c r="AH32" s="296">
        <v>3.5E-4</v>
      </c>
      <c r="AI32" s="297" t="s">
        <v>380</v>
      </c>
      <c r="AJ32" s="262" t="s">
        <v>390</v>
      </c>
      <c r="AK32" s="263">
        <v>3</v>
      </c>
    </row>
    <row r="33" spans="2:45" ht="19.5" thickBot="1" x14ac:dyDescent="0.35"/>
    <row r="34" spans="2:45" ht="24" thickBot="1" x14ac:dyDescent="0.4">
      <c r="B34" s="252"/>
      <c r="C34" s="478" t="s">
        <v>461</v>
      </c>
      <c r="D34" s="479"/>
      <c r="E34" s="480"/>
      <c r="G34" s="267"/>
      <c r="L34" s="267"/>
    </row>
    <row r="35" spans="2:45" ht="27" thickBot="1" x14ac:dyDescent="0.45">
      <c r="C35" s="250" t="s">
        <v>463</v>
      </c>
      <c r="D35" s="251" t="s">
        <v>462</v>
      </c>
      <c r="E35" s="251"/>
      <c r="G35" s="268"/>
      <c r="H35" s="269"/>
      <c r="J35" s="198"/>
      <c r="K35" s="268"/>
      <c r="N35" s="269"/>
      <c r="O35" s="269"/>
      <c r="P35" s="269"/>
      <c r="Q35" s="269"/>
      <c r="S35" s="528"/>
      <c r="T35" s="528"/>
      <c r="U35" s="528"/>
      <c r="Y35" s="199"/>
      <c r="AA35" s="470" t="s">
        <v>392</v>
      </c>
      <c r="AB35" s="471"/>
      <c r="AC35" s="471"/>
      <c r="AD35" s="471"/>
      <c r="AE35" s="471"/>
      <c r="AF35" s="471"/>
      <c r="AG35" s="471"/>
      <c r="AH35" s="471"/>
      <c r="AI35" s="471"/>
      <c r="AJ35" s="471"/>
      <c r="AK35" s="527"/>
      <c r="AL35" s="37"/>
      <c r="AM35" s="37"/>
      <c r="AN35" s="37"/>
      <c r="AO35" s="37"/>
      <c r="AP35" s="37"/>
      <c r="AQ35" s="37"/>
      <c r="AR35" s="37"/>
      <c r="AS35" s="37"/>
    </row>
    <row r="36" spans="2:45" ht="87" customHeight="1" thickBot="1" x14ac:dyDescent="0.3">
      <c r="B36" s="95" t="s">
        <v>311</v>
      </c>
      <c r="C36" s="9" t="s">
        <v>2</v>
      </c>
      <c r="D36" s="96" t="s">
        <v>460</v>
      </c>
      <c r="E36" s="96" t="s">
        <v>467</v>
      </c>
      <c r="G36" s="9" t="s">
        <v>396</v>
      </c>
      <c r="H36" s="80" t="s">
        <v>397</v>
      </c>
      <c r="J36" s="9" t="s">
        <v>393</v>
      </c>
      <c r="K36" s="9" t="s">
        <v>394</v>
      </c>
      <c r="L36" s="9" t="s">
        <v>388</v>
      </c>
      <c r="N36" s="80" t="s">
        <v>399</v>
      </c>
      <c r="O36" s="80" t="s">
        <v>398</v>
      </c>
      <c r="P36" s="80" t="s">
        <v>400</v>
      </c>
      <c r="Q36" s="80" t="s">
        <v>401</v>
      </c>
      <c r="S36" s="276" t="s">
        <v>402</v>
      </c>
      <c r="T36" s="80" t="s">
        <v>403</v>
      </c>
      <c r="U36" s="277" t="s">
        <v>404</v>
      </c>
      <c r="W36" s="9" t="s">
        <v>0</v>
      </c>
      <c r="X36" s="96" t="s">
        <v>465</v>
      </c>
      <c r="Y36" s="9" t="s">
        <v>470</v>
      </c>
      <c r="AA36" s="25" t="s">
        <v>383</v>
      </c>
      <c r="AB36" s="25" t="s">
        <v>384</v>
      </c>
      <c r="AC36" s="25" t="s">
        <v>385</v>
      </c>
      <c r="AD36" s="25" t="s">
        <v>386</v>
      </c>
      <c r="AE36" s="25" t="s">
        <v>379</v>
      </c>
      <c r="AF36" s="25" t="s">
        <v>387</v>
      </c>
      <c r="AG36" s="25" t="s">
        <v>381</v>
      </c>
      <c r="AH36" s="25" t="s">
        <v>297</v>
      </c>
      <c r="AI36" s="25" t="s">
        <v>1</v>
      </c>
      <c r="AJ36" s="25" t="s">
        <v>389</v>
      </c>
      <c r="AK36" s="25" t="s">
        <v>469</v>
      </c>
    </row>
    <row r="37" spans="2:45" ht="38.25" thickBot="1" x14ac:dyDescent="0.3">
      <c r="B37" s="255">
        <v>1136500</v>
      </c>
      <c r="C37" s="256" t="s">
        <v>32</v>
      </c>
      <c r="D37" s="297">
        <v>0</v>
      </c>
      <c r="E37" s="273"/>
      <c r="G37" s="302">
        <f>+IFERROR(K37/J37,0)</f>
        <v>7.1319444444444446</v>
      </c>
      <c r="H37" s="303">
        <f>+IFERROR(Q37/U37,0)</f>
        <v>0.91463634693962037</v>
      </c>
      <c r="J37" s="304">
        <f>AA37*AK37</f>
        <v>144</v>
      </c>
      <c r="K37" s="258">
        <f>(X37*AC37)+Y37</f>
        <v>1027</v>
      </c>
      <c r="L37" s="299">
        <f>+IF(K37-J37&gt;0,0,J37-K37)</f>
        <v>0</v>
      </c>
      <c r="N37" s="305">
        <f>+IFERROR(VLOOKUP(W37,'Stock Prov. Serv.'!A:D,4,0),0)</f>
        <v>0</v>
      </c>
      <c r="O37" s="262">
        <f>+IFERROR(VLOOKUP(W37,'Stock Taller'!A:D,4,0),0)</f>
        <v>0</v>
      </c>
      <c r="P37" s="262">
        <f>+SUMIF('Stock CD'!B:B,'Conteo VACIO'!W37,'Stock CD'!E:E)</f>
        <v>0</v>
      </c>
      <c r="Q37" s="263">
        <f>+N37+O37+P37+K37</f>
        <v>1027</v>
      </c>
      <c r="S37" s="306">
        <f>+IFERROR(VLOOKUP(W37,'Stock Taller'!A:G,7,0),0)</f>
        <v>234.85063176895309</v>
      </c>
      <c r="T37" s="262">
        <f>+IFERROR(SUMIF('Stock CD'!B:B,'Conteo VACIO'!W37,'Stock CD'!K:K),0)</f>
        <v>744</v>
      </c>
      <c r="U37" s="307">
        <f>+S37+T37+J37</f>
        <v>1122.850631768953</v>
      </c>
      <c r="W37" s="300" t="s">
        <v>423</v>
      </c>
      <c r="X37" s="257">
        <v>2</v>
      </c>
      <c r="Y37" s="299"/>
      <c r="AA37" s="292">
        <f>+SUMIFS(Consumo!F:F,Consumo!D:D,'Conteo VACIO'!W37)</f>
        <v>48</v>
      </c>
      <c r="AB37" s="259">
        <f>+AA37*AH37</f>
        <v>9.6000000000000002E-2</v>
      </c>
      <c r="AC37" s="293">
        <f>1.027/AH37</f>
        <v>513.5</v>
      </c>
      <c r="AD37" s="293">
        <f>+AF37/AH37</f>
        <v>543.5</v>
      </c>
      <c r="AE37" s="294">
        <f t="shared" ref="AE37" si="10">+AH37*AG37</f>
        <v>0.36499999999999999</v>
      </c>
      <c r="AF37" s="258">
        <v>1.087</v>
      </c>
      <c r="AG37" s="295">
        <v>182.5</v>
      </c>
      <c r="AH37" s="296">
        <v>2E-3</v>
      </c>
      <c r="AI37" s="297" t="s">
        <v>31</v>
      </c>
      <c r="AJ37" s="262" t="s">
        <v>390</v>
      </c>
      <c r="AK37" s="263">
        <v>3</v>
      </c>
    </row>
    <row r="38" spans="2:45" ht="19.5" thickBot="1" x14ac:dyDescent="0.35"/>
    <row r="39" spans="2:45" ht="24" thickBot="1" x14ac:dyDescent="0.4">
      <c r="B39" s="252"/>
      <c r="C39" s="478" t="s">
        <v>461</v>
      </c>
      <c r="D39" s="479"/>
      <c r="E39" s="480"/>
      <c r="G39" s="267"/>
      <c r="L39" s="267"/>
    </row>
    <row r="40" spans="2:45" ht="27" thickBot="1" x14ac:dyDescent="0.45">
      <c r="C40" s="250" t="s">
        <v>459</v>
      </c>
      <c r="D40" s="251" t="s">
        <v>462</v>
      </c>
      <c r="E40" s="251"/>
      <c r="G40" s="268"/>
      <c r="H40" s="269"/>
      <c r="J40" s="198"/>
      <c r="K40" s="268"/>
      <c r="N40" s="269"/>
      <c r="O40" s="269"/>
      <c r="P40" s="269"/>
      <c r="Q40" s="269"/>
      <c r="S40" s="528"/>
      <c r="T40" s="528"/>
      <c r="U40" s="528"/>
      <c r="Y40" s="199"/>
      <c r="AA40" s="470" t="s">
        <v>392</v>
      </c>
      <c r="AB40" s="471"/>
      <c r="AC40" s="471"/>
      <c r="AD40" s="471"/>
      <c r="AE40" s="471"/>
      <c r="AF40" s="471"/>
      <c r="AG40" s="471"/>
      <c r="AH40" s="471"/>
      <c r="AI40" s="471"/>
      <c r="AJ40" s="471"/>
      <c r="AK40" s="527"/>
      <c r="AL40" s="37"/>
      <c r="AM40" s="37"/>
      <c r="AN40" s="37"/>
      <c r="AO40" s="37"/>
      <c r="AP40" s="37"/>
      <c r="AQ40" s="37"/>
      <c r="AR40" s="37"/>
      <c r="AS40" s="37"/>
    </row>
    <row r="41" spans="2:45" ht="87" customHeight="1" thickBot="1" x14ac:dyDescent="0.3">
      <c r="B41" s="95" t="s">
        <v>311</v>
      </c>
      <c r="C41" s="9" t="s">
        <v>2</v>
      </c>
      <c r="D41" s="96" t="s">
        <v>460</v>
      </c>
      <c r="E41" s="96" t="s">
        <v>467</v>
      </c>
      <c r="G41" s="9" t="s">
        <v>396</v>
      </c>
      <c r="H41" s="80" t="s">
        <v>397</v>
      </c>
      <c r="J41" s="9" t="s">
        <v>393</v>
      </c>
      <c r="K41" s="9" t="s">
        <v>394</v>
      </c>
      <c r="L41" s="9" t="s">
        <v>388</v>
      </c>
      <c r="N41" s="80" t="s">
        <v>399</v>
      </c>
      <c r="O41" s="80" t="s">
        <v>398</v>
      </c>
      <c r="P41" s="80" t="s">
        <v>400</v>
      </c>
      <c r="Q41" s="80" t="s">
        <v>401</v>
      </c>
      <c r="S41" s="276" t="s">
        <v>402</v>
      </c>
      <c r="T41" s="80" t="s">
        <v>403</v>
      </c>
      <c r="U41" s="277" t="s">
        <v>404</v>
      </c>
      <c r="W41" s="9" t="s">
        <v>0</v>
      </c>
      <c r="X41" s="96" t="s">
        <v>465</v>
      </c>
      <c r="Y41" s="9" t="s">
        <v>470</v>
      </c>
      <c r="AA41" s="25" t="s">
        <v>383</v>
      </c>
      <c r="AB41" s="25" t="s">
        <v>384</v>
      </c>
      <c r="AC41" s="25" t="s">
        <v>385</v>
      </c>
      <c r="AD41" s="25" t="s">
        <v>386</v>
      </c>
      <c r="AE41" s="25" t="s">
        <v>379</v>
      </c>
      <c r="AF41" s="25" t="s">
        <v>387</v>
      </c>
      <c r="AG41" s="25" t="s">
        <v>381</v>
      </c>
      <c r="AH41" s="25" t="s">
        <v>297</v>
      </c>
      <c r="AI41" s="25" t="s">
        <v>1</v>
      </c>
      <c r="AJ41" s="25" t="s">
        <v>389</v>
      </c>
      <c r="AK41" s="25" t="s">
        <v>469</v>
      </c>
    </row>
    <row r="42" spans="2:45" ht="19.5" thickBot="1" x14ac:dyDescent="0.35">
      <c r="B42" s="255">
        <v>5312600</v>
      </c>
      <c r="C42" s="256" t="s">
        <v>458</v>
      </c>
      <c r="D42" s="297">
        <v>0</v>
      </c>
      <c r="E42" s="273"/>
      <c r="G42" s="302">
        <f>+IFERROR(K42/J42,0)</f>
        <v>0.33333333333333331</v>
      </c>
      <c r="H42" s="303">
        <f>+IFERROR(Q42/U42,0)</f>
        <v>0.17842350092397885</v>
      </c>
      <c r="J42" s="304">
        <f>AA42*AK42</f>
        <v>900</v>
      </c>
      <c r="K42" s="258">
        <f>(X42*AC42)+Y42</f>
        <v>300</v>
      </c>
      <c r="L42" s="299">
        <f>+IF(K42-J42&gt;0,0,J42-K42)</f>
        <v>600</v>
      </c>
      <c r="N42" s="305">
        <f>+IFERROR(VLOOKUP(W42,'Stock Prov. Serv.'!A:D,4,0),0)</f>
        <v>0</v>
      </c>
      <c r="O42" s="262">
        <f>+IFERROR(VLOOKUP(W42,'Stock Taller'!A:D,4,0),0)</f>
        <v>0</v>
      </c>
      <c r="P42" s="262">
        <f>+SUMIF('Stock CD'!B:B,'Conteo VACIO'!W42,'Stock CD'!E:E)</f>
        <v>0</v>
      </c>
      <c r="Q42" s="263">
        <f>+N42+O42+P42+K42</f>
        <v>300</v>
      </c>
      <c r="S42" s="306">
        <f>+IFERROR(VLOOKUP(W42,'Stock Taller'!A:G,7,0),0)</f>
        <v>313.39285714285717</v>
      </c>
      <c r="T42" s="262">
        <f>+IFERROR(SUMIF('Stock CD'!B:B,'Conteo VACIO'!W42,'Stock CD'!K:K),0)</f>
        <v>468</v>
      </c>
      <c r="U42" s="307">
        <f>+S42+T42+J42</f>
        <v>1681.3928571428571</v>
      </c>
      <c r="W42" s="300" t="s">
        <v>425</v>
      </c>
      <c r="X42" s="257">
        <v>1</v>
      </c>
      <c r="Y42" s="299"/>
      <c r="AA42" s="292">
        <f>+SUMIFS(Consumo!F:F,Consumo!D:D,'Conteo VACIO'!W42)</f>
        <v>300</v>
      </c>
      <c r="AB42" s="259">
        <f>+AA42*AH42</f>
        <v>11.200000000000001</v>
      </c>
      <c r="AC42" s="293">
        <v>300</v>
      </c>
      <c r="AD42" s="293">
        <v>1200</v>
      </c>
      <c r="AE42" s="295">
        <v>1100</v>
      </c>
      <c r="AF42" s="258">
        <f t="shared" ref="AF42" si="11">+AD42*AH42</f>
        <v>44.800000000000004</v>
      </c>
      <c r="AG42" s="295">
        <f t="shared" ref="AG42" si="12">AE42/AH42</f>
        <v>29464.28571428571</v>
      </c>
      <c r="AH42" s="296">
        <v>3.7333333333333336E-2</v>
      </c>
      <c r="AI42" s="297" t="s">
        <v>459</v>
      </c>
      <c r="AJ42" s="262" t="s">
        <v>391</v>
      </c>
      <c r="AK42" s="298">
        <v>3</v>
      </c>
    </row>
    <row r="43" spans="2:45" ht="19.5" thickBot="1" x14ac:dyDescent="0.35"/>
    <row r="44" spans="2:45" ht="24" thickBot="1" x14ac:dyDescent="0.4">
      <c r="B44" s="252"/>
      <c r="C44" s="478" t="s">
        <v>461</v>
      </c>
      <c r="D44" s="479"/>
      <c r="E44" s="480"/>
      <c r="G44" s="267"/>
      <c r="L44" s="267"/>
    </row>
    <row r="45" spans="2:45" ht="27" thickBot="1" x14ac:dyDescent="0.45">
      <c r="C45" s="250" t="s">
        <v>455</v>
      </c>
      <c r="D45" s="251" t="s">
        <v>462</v>
      </c>
      <c r="E45" s="251"/>
      <c r="G45" s="268"/>
      <c r="H45" s="269"/>
      <c r="J45" s="198"/>
      <c r="K45" s="268"/>
      <c r="N45" s="269"/>
      <c r="O45" s="269"/>
      <c r="P45" s="269"/>
      <c r="Q45" s="269"/>
      <c r="S45" s="528"/>
      <c r="T45" s="528"/>
      <c r="U45" s="528"/>
      <c r="Y45" s="199"/>
      <c r="AA45" s="470" t="s">
        <v>392</v>
      </c>
      <c r="AB45" s="471"/>
      <c r="AC45" s="471"/>
      <c r="AD45" s="471"/>
      <c r="AE45" s="471"/>
      <c r="AF45" s="471"/>
      <c r="AG45" s="471"/>
      <c r="AH45" s="471"/>
      <c r="AI45" s="471"/>
      <c r="AJ45" s="471"/>
      <c r="AK45" s="527"/>
      <c r="AL45" s="37"/>
      <c r="AM45" s="37"/>
      <c r="AN45" s="37"/>
      <c r="AO45" s="37"/>
      <c r="AP45" s="37"/>
      <c r="AQ45" s="37"/>
      <c r="AR45" s="37"/>
      <c r="AS45" s="37"/>
    </row>
    <row r="46" spans="2:45" ht="87" customHeight="1" thickBot="1" x14ac:dyDescent="0.3">
      <c r="B46" s="95" t="s">
        <v>311</v>
      </c>
      <c r="C46" s="9" t="s">
        <v>2</v>
      </c>
      <c r="D46" s="96" t="s">
        <v>460</v>
      </c>
      <c r="E46" s="96" t="s">
        <v>467</v>
      </c>
      <c r="G46" s="9" t="s">
        <v>396</v>
      </c>
      <c r="H46" s="80" t="s">
        <v>397</v>
      </c>
      <c r="J46" s="9" t="s">
        <v>393</v>
      </c>
      <c r="K46" s="9" t="s">
        <v>394</v>
      </c>
      <c r="L46" s="9" t="s">
        <v>388</v>
      </c>
      <c r="N46" s="80" t="s">
        <v>399</v>
      </c>
      <c r="O46" s="80" t="s">
        <v>398</v>
      </c>
      <c r="P46" s="80" t="s">
        <v>400</v>
      </c>
      <c r="Q46" s="80" t="s">
        <v>401</v>
      </c>
      <c r="S46" s="276" t="s">
        <v>402</v>
      </c>
      <c r="T46" s="80" t="s">
        <v>403</v>
      </c>
      <c r="U46" s="277" t="s">
        <v>404</v>
      </c>
      <c r="W46" s="9" t="s">
        <v>0</v>
      </c>
      <c r="X46" s="96" t="s">
        <v>465</v>
      </c>
      <c r="Y46" s="9" t="s">
        <v>470</v>
      </c>
      <c r="AA46" s="25" t="s">
        <v>383</v>
      </c>
      <c r="AB46" s="25" t="s">
        <v>384</v>
      </c>
      <c r="AC46" s="25" t="s">
        <v>385</v>
      </c>
      <c r="AD46" s="25" t="s">
        <v>386</v>
      </c>
      <c r="AE46" s="25" t="s">
        <v>379</v>
      </c>
      <c r="AF46" s="25" t="s">
        <v>387</v>
      </c>
      <c r="AG46" s="25" t="s">
        <v>381</v>
      </c>
      <c r="AH46" s="25" t="s">
        <v>297</v>
      </c>
      <c r="AI46" s="25" t="s">
        <v>1</v>
      </c>
      <c r="AJ46" s="25" t="s">
        <v>389</v>
      </c>
      <c r="AK46" s="25" t="s">
        <v>469</v>
      </c>
    </row>
    <row r="47" spans="2:45" ht="38.25" thickBot="1" x14ac:dyDescent="0.3">
      <c r="B47" s="255">
        <v>5323600</v>
      </c>
      <c r="C47" s="256" t="s">
        <v>454</v>
      </c>
      <c r="D47" s="297">
        <v>0</v>
      </c>
      <c r="E47" s="273"/>
      <c r="G47" s="302">
        <f>+IFERROR(K47/J47,0)</f>
        <v>0</v>
      </c>
      <c r="H47" s="303">
        <f>+IFERROR(Q47/U47,0)</f>
        <v>0</v>
      </c>
      <c r="J47" s="304">
        <f>AA47*AK47</f>
        <v>1332</v>
      </c>
      <c r="K47" s="258">
        <f>(X47*AC47)+Y47</f>
        <v>0</v>
      </c>
      <c r="L47" s="299">
        <f>+IF(K47-J47&gt;0,0,J47-K47)</f>
        <v>1332</v>
      </c>
      <c r="N47" s="305">
        <f>+IFERROR(VLOOKUP(W47,'Stock Prov. Serv.'!A:D,4,0),0)</f>
        <v>0</v>
      </c>
      <c r="O47" s="262">
        <f>+IFERROR(VLOOKUP(W47,'Stock Taller'!A:D,4,0),0)</f>
        <v>0</v>
      </c>
      <c r="P47" s="262">
        <f>+SUMIF('Stock CD'!B:B,'Conteo VACIO'!W47,'Stock CD'!E:E)</f>
        <v>0</v>
      </c>
      <c r="Q47" s="263">
        <f>+N47+O47+P47+K47</f>
        <v>0</v>
      </c>
      <c r="S47" s="306">
        <f>+IFERROR(VLOOKUP(W47,'Stock Taller'!A:G,7,0),0)</f>
        <v>0</v>
      </c>
      <c r="T47" s="262">
        <f>+IFERROR(SUMIF('Stock CD'!B:B,'Conteo VACIO'!W47,'Stock CD'!K:K),0)</f>
        <v>720</v>
      </c>
      <c r="U47" s="307">
        <f>+S47+T47+J47</f>
        <v>2052</v>
      </c>
      <c r="W47" s="317" t="s">
        <v>456</v>
      </c>
      <c r="X47" s="257"/>
      <c r="Y47" s="299"/>
      <c r="AA47" s="292">
        <f>+SUMIFS(Consumo!F:F,Consumo!D:D,'Conteo VACIO'!W47)</f>
        <v>444</v>
      </c>
      <c r="AB47" s="259">
        <f t="shared" ref="AB47" si="13">+AA47*AH47</f>
        <v>20.035499999999999</v>
      </c>
      <c r="AC47" s="293">
        <v>60</v>
      </c>
      <c r="AD47" s="293">
        <f>600000/AE47</f>
        <v>5854.8009367681498</v>
      </c>
      <c r="AE47" s="294">
        <v>102.48</v>
      </c>
      <c r="AF47" s="258">
        <f t="shared" ref="AF47" si="14">+AD47*AH47</f>
        <v>264.19789227166274</v>
      </c>
      <c r="AG47" s="295">
        <f t="shared" ref="AG47" si="15">AE47/AH47</f>
        <v>2271.0249307479226</v>
      </c>
      <c r="AH47" s="296">
        <f>+(180.5/4)/1000</f>
        <v>4.5124999999999998E-2</v>
      </c>
      <c r="AI47" s="297" t="s">
        <v>455</v>
      </c>
      <c r="AJ47" s="262" t="s">
        <v>391</v>
      </c>
      <c r="AK47" s="263">
        <v>3</v>
      </c>
    </row>
    <row r="48" spans="2:45" ht="15.95" customHeight="1" thickBot="1" x14ac:dyDescent="0.35">
      <c r="C48" s="197"/>
      <c r="D48" s="438"/>
      <c r="E48" s="197"/>
      <c r="AJ48" s="57"/>
    </row>
    <row r="49" spans="2:45" ht="26.25" customHeight="1" thickBot="1" x14ac:dyDescent="0.4">
      <c r="B49" s="252"/>
      <c r="C49" s="478" t="s">
        <v>461</v>
      </c>
      <c r="D49" s="479"/>
      <c r="E49" s="480"/>
      <c r="G49" s="267"/>
      <c r="L49" s="267"/>
      <c r="AJ49" s="57"/>
    </row>
    <row r="50" spans="2:45" ht="27" thickBot="1" x14ac:dyDescent="0.45">
      <c r="C50" s="250" t="s">
        <v>37</v>
      </c>
      <c r="D50" s="251" t="s">
        <v>462</v>
      </c>
      <c r="E50" s="251"/>
      <c r="G50" s="268"/>
      <c r="H50" s="269"/>
      <c r="J50" s="198"/>
      <c r="K50" s="268"/>
      <c r="N50" s="269"/>
      <c r="O50" s="269"/>
      <c r="P50" s="269"/>
      <c r="Q50" s="269"/>
      <c r="S50" s="528"/>
      <c r="T50" s="528"/>
      <c r="U50" s="528"/>
      <c r="Y50" s="199"/>
      <c r="AA50" s="470" t="s">
        <v>392</v>
      </c>
      <c r="AB50" s="471"/>
      <c r="AC50" s="471"/>
      <c r="AD50" s="471"/>
      <c r="AE50" s="471"/>
      <c r="AF50" s="471"/>
      <c r="AG50" s="471"/>
      <c r="AH50" s="471"/>
      <c r="AI50" s="471"/>
      <c r="AJ50" s="471"/>
      <c r="AK50" s="527"/>
      <c r="AL50" s="37"/>
      <c r="AM50" s="37"/>
      <c r="AN50" s="37"/>
      <c r="AO50" s="37"/>
      <c r="AP50" s="37"/>
      <c r="AQ50" s="37"/>
      <c r="AR50" s="37"/>
      <c r="AS50" s="37"/>
    </row>
    <row r="51" spans="2:45" ht="87" customHeight="1" thickBot="1" x14ac:dyDescent="0.3">
      <c r="B51" s="95" t="s">
        <v>311</v>
      </c>
      <c r="C51" s="9" t="s">
        <v>2</v>
      </c>
      <c r="D51" s="96" t="s">
        <v>460</v>
      </c>
      <c r="E51" s="96" t="s">
        <v>467</v>
      </c>
      <c r="G51" s="97" t="s">
        <v>396</v>
      </c>
      <c r="H51" s="25" t="s">
        <v>397</v>
      </c>
      <c r="J51" s="9" t="s">
        <v>393</v>
      </c>
      <c r="K51" s="9" t="s">
        <v>394</v>
      </c>
      <c r="L51" s="9" t="s">
        <v>388</v>
      </c>
      <c r="N51" s="80" t="s">
        <v>399</v>
      </c>
      <c r="O51" s="80" t="s">
        <v>398</v>
      </c>
      <c r="P51" s="80" t="s">
        <v>400</v>
      </c>
      <c r="Q51" s="80" t="s">
        <v>401</v>
      </c>
      <c r="S51" s="276" t="s">
        <v>402</v>
      </c>
      <c r="T51" s="80" t="s">
        <v>403</v>
      </c>
      <c r="U51" s="277" t="s">
        <v>404</v>
      </c>
      <c r="W51" s="9" t="s">
        <v>0</v>
      </c>
      <c r="X51" s="96" t="s">
        <v>465</v>
      </c>
      <c r="Y51" s="9" t="s">
        <v>470</v>
      </c>
      <c r="AA51" s="25" t="s">
        <v>383</v>
      </c>
      <c r="AB51" s="25" t="s">
        <v>384</v>
      </c>
      <c r="AC51" s="25" t="s">
        <v>385</v>
      </c>
      <c r="AD51" s="25" t="s">
        <v>386</v>
      </c>
      <c r="AE51" s="25" t="s">
        <v>379</v>
      </c>
      <c r="AF51" s="25" t="s">
        <v>387</v>
      </c>
      <c r="AG51" s="25" t="s">
        <v>381</v>
      </c>
      <c r="AH51" s="25" t="s">
        <v>297</v>
      </c>
      <c r="AI51" s="25" t="s">
        <v>1</v>
      </c>
      <c r="AJ51" s="25" t="s">
        <v>389</v>
      </c>
      <c r="AK51" s="25" t="s">
        <v>469</v>
      </c>
    </row>
    <row r="52" spans="2:45" ht="37.5" x14ac:dyDescent="0.25">
      <c r="B52" s="220"/>
      <c r="C52" s="221" t="s">
        <v>309</v>
      </c>
      <c r="D52" s="84">
        <v>0</v>
      </c>
      <c r="E52" s="270"/>
      <c r="G52" s="278">
        <f>+IFERROR(K52/J52,0)</f>
        <v>0.86805555555555558</v>
      </c>
      <c r="H52" s="279">
        <f>+IFERROR(Q52/U52,0)</f>
        <v>0.66137566137566139</v>
      </c>
      <c r="J52" s="284">
        <f>AA52*AK52</f>
        <v>3456</v>
      </c>
      <c r="K52" s="66">
        <f>(X52*AC52)+Y52</f>
        <v>3000</v>
      </c>
      <c r="L52" s="285">
        <f t="shared" ref="L52:L56" si="16">+IF(K52-J52&gt;0,0,J52-K52)</f>
        <v>456</v>
      </c>
      <c r="N52" s="169">
        <f>+IFERROR(VLOOKUP(W52,'Stock Prov. Serv.'!A:D,4,0),0)</f>
        <v>0</v>
      </c>
      <c r="O52" s="147">
        <f>+IFERROR(VLOOKUP(W52,'Stock Taller'!A:D,4,0),0)</f>
        <v>0</v>
      </c>
      <c r="P52" s="147">
        <f>+SUMIF('Stock CD'!B:B,'Conteo VACIO'!W52,'Stock CD'!E:E)</f>
        <v>0</v>
      </c>
      <c r="Q52" s="85">
        <f>+N52+O52+P52+K52</f>
        <v>3000</v>
      </c>
      <c r="S52" s="218">
        <f>+IFERROR(VLOOKUP(W52,'Stock Taller'!A:G,7,0),0)</f>
        <v>0</v>
      </c>
      <c r="T52" s="147">
        <f>+IFERROR(SUMIF('Stock CD'!B:B,'Conteo VACIO'!W52,'Stock CD'!K:K),0)</f>
        <v>1080</v>
      </c>
      <c r="U52" s="85">
        <f>+S52+T52+J52</f>
        <v>4536</v>
      </c>
      <c r="W52" s="220" t="s">
        <v>11</v>
      </c>
      <c r="X52" s="222">
        <v>1</v>
      </c>
      <c r="Y52" s="285"/>
      <c r="AA52" s="172">
        <f>+SUMIFS(Consumo!F:F,Consumo!D:D,'Conteo VACIO'!W52)</f>
        <v>1152</v>
      </c>
      <c r="AB52" s="81">
        <f>+AA52*AH52</f>
        <v>2.0735999999999999</v>
      </c>
      <c r="AC52" s="175">
        <v>3000</v>
      </c>
      <c r="AD52" s="175">
        <v>10000</v>
      </c>
      <c r="AE52" s="66" t="s">
        <v>395</v>
      </c>
      <c r="AF52" s="66">
        <f>+AD52*AH52</f>
        <v>18</v>
      </c>
      <c r="AG52" s="291">
        <f>+AE52/AH52</f>
        <v>0</v>
      </c>
      <c r="AH52" s="83">
        <v>1.8E-3</v>
      </c>
      <c r="AI52" s="84" t="s">
        <v>12</v>
      </c>
      <c r="AJ52" s="147" t="s">
        <v>391</v>
      </c>
      <c r="AK52" s="85">
        <v>3</v>
      </c>
    </row>
    <row r="53" spans="2:45" ht="37.5" x14ac:dyDescent="0.25">
      <c r="B53" s="73">
        <v>1111500</v>
      </c>
      <c r="C53" s="69" t="s">
        <v>19</v>
      </c>
      <c r="D53" s="88">
        <v>0</v>
      </c>
      <c r="E53" s="271"/>
      <c r="G53" s="280">
        <f>+IFERROR(K53/J53,0)</f>
        <v>0.87323095453176758</v>
      </c>
      <c r="H53" s="281">
        <f>+IFERROR(Q53/U53,0)</f>
        <v>0.87323095453176758</v>
      </c>
      <c r="J53" s="286">
        <f t="shared" ref="J53:J56" si="17">AA53*AK53</f>
        <v>13284</v>
      </c>
      <c r="K53" s="71">
        <f>(X53*AC53)+Y53</f>
        <v>11600</v>
      </c>
      <c r="L53" s="287">
        <f t="shared" si="16"/>
        <v>1684</v>
      </c>
      <c r="N53" s="165">
        <f>+IFERROR(VLOOKUP(W53,'Stock Prov. Serv.'!A:D,4,0),0)</f>
        <v>0</v>
      </c>
      <c r="O53" s="148">
        <f>+IFERROR(VLOOKUP(W53,'Stock Taller'!A:D,4,0),0)</f>
        <v>0</v>
      </c>
      <c r="P53" s="148">
        <f>+SUMIF('Stock CD'!B:B,'Conteo VACIO'!W53,'Stock CD'!E:E)</f>
        <v>0</v>
      </c>
      <c r="Q53" s="89">
        <f>+N53+O53+P53+K53</f>
        <v>11600</v>
      </c>
      <c r="S53" s="188">
        <f>+IFERROR(VLOOKUP(W53,'Stock Taller'!A:G,7,0),0)</f>
        <v>0</v>
      </c>
      <c r="T53" s="148">
        <f>+IFERROR(SUMIF('Stock CD'!B:B,'Conteo VACIO'!W53,'Stock CD'!K:K),0)</f>
        <v>0</v>
      </c>
      <c r="U53" s="89">
        <f>+S53+T53+J53</f>
        <v>13284</v>
      </c>
      <c r="W53" s="67" t="s">
        <v>18</v>
      </c>
      <c r="X53" s="70">
        <v>4</v>
      </c>
      <c r="Y53" s="287"/>
      <c r="AA53" s="173">
        <f>+SUMIFS(Consumo!F:F,Consumo!D:D,'Conteo VACIO'!W53)</f>
        <v>4428</v>
      </c>
      <c r="AB53" s="72">
        <f>+AA53*AH53</f>
        <v>23.247</v>
      </c>
      <c r="AC53" s="176">
        <v>2900</v>
      </c>
      <c r="AD53" s="176">
        <v>10000</v>
      </c>
      <c r="AE53" s="86" t="str">
        <f>+IFERROR(VLOOKUP(B53,'[1]Lista de Precios '!$E4:$G10003,3,0)*#REF!,"$             0")</f>
        <v>$             0</v>
      </c>
      <c r="AF53" s="71">
        <f>+AD53*AH53</f>
        <v>52.5</v>
      </c>
      <c r="AG53" s="99">
        <f t="shared" ref="AG53" si="18">+AE53/AH53</f>
        <v>0</v>
      </c>
      <c r="AH53" s="87">
        <v>5.2500000000000003E-3</v>
      </c>
      <c r="AI53" s="88" t="s">
        <v>37</v>
      </c>
      <c r="AJ53" s="148" t="s">
        <v>391</v>
      </c>
      <c r="AK53" s="89">
        <v>3</v>
      </c>
    </row>
    <row r="54" spans="2:45" ht="32.25" customHeight="1" x14ac:dyDescent="0.25">
      <c r="B54" s="67">
        <v>1112500</v>
      </c>
      <c r="C54" s="69" t="s">
        <v>38</v>
      </c>
      <c r="D54" s="88">
        <v>0</v>
      </c>
      <c r="E54" s="271"/>
      <c r="G54" s="280">
        <f>+IFERROR(K54/J54,0)</f>
        <v>1.0582010582010581</v>
      </c>
      <c r="H54" s="281">
        <f>+IFERROR(Q54/U54,0)</f>
        <v>0.77669902912621358</v>
      </c>
      <c r="J54" s="286">
        <f t="shared" si="17"/>
        <v>1512</v>
      </c>
      <c r="K54" s="71">
        <f>(X54*AC54)+Y54</f>
        <v>1600</v>
      </c>
      <c r="L54" s="287">
        <f t="shared" si="16"/>
        <v>0</v>
      </c>
      <c r="N54" s="165">
        <f>+IFERROR(VLOOKUP(W54,'Stock Prov. Serv.'!A:D,4,0),0)</f>
        <v>0</v>
      </c>
      <c r="O54" s="148">
        <f>+IFERROR(VLOOKUP(W54,'Stock Taller'!A:D,4,0),0)</f>
        <v>0</v>
      </c>
      <c r="P54" s="148">
        <f>+SUMIF('Stock CD'!B:B,'Conteo VACIO'!W54,'Stock CD'!E:E)</f>
        <v>0</v>
      </c>
      <c r="Q54" s="89">
        <f>+N54+O54+P54+K54</f>
        <v>1600</v>
      </c>
      <c r="S54" s="188">
        <f>+IFERROR(VLOOKUP(W54,'Stock Taller'!A:G,7,0),0)</f>
        <v>0</v>
      </c>
      <c r="T54" s="148">
        <f>+IFERROR(SUMIF('Stock CD'!B:B,'Conteo VACIO'!W54,'Stock CD'!K:K),0)</f>
        <v>548</v>
      </c>
      <c r="U54" s="89">
        <f>+S54+T54+J54</f>
        <v>2060</v>
      </c>
      <c r="W54" s="67" t="s">
        <v>36</v>
      </c>
      <c r="X54" s="70">
        <v>4</v>
      </c>
      <c r="Y54" s="287"/>
      <c r="AA54" s="173">
        <f>+SUMIFS(Consumo!F:F,Consumo!D:D,'Conteo VACIO'!W54)</f>
        <v>504</v>
      </c>
      <c r="AB54" s="72">
        <f>+AA54*AH54</f>
        <v>3.78</v>
      </c>
      <c r="AC54" s="176">
        <v>400</v>
      </c>
      <c r="AD54" s="176">
        <v>5000</v>
      </c>
      <c r="AE54" s="90">
        <v>82.5</v>
      </c>
      <c r="AF54" s="71">
        <f>+AD54*AH54</f>
        <v>37.5</v>
      </c>
      <c r="AG54" s="99">
        <f>AE54/AH54</f>
        <v>11000</v>
      </c>
      <c r="AH54" s="87">
        <v>7.4999999999999997E-3</v>
      </c>
      <c r="AI54" s="88" t="s">
        <v>37</v>
      </c>
      <c r="AJ54" s="148" t="s">
        <v>391</v>
      </c>
      <c r="AK54" s="89">
        <v>3</v>
      </c>
    </row>
    <row r="55" spans="2:45" ht="32.25" customHeight="1" x14ac:dyDescent="0.25">
      <c r="B55" s="311"/>
      <c r="C55" s="312" t="s">
        <v>473</v>
      </c>
      <c r="D55" s="435">
        <v>0</v>
      </c>
      <c r="E55" s="313"/>
      <c r="G55" s="280">
        <f>+IFERROR(K55/J55,0)</f>
        <v>0.97465886939571145</v>
      </c>
      <c r="H55" s="281">
        <f>+IFERROR(Q55/U55,0)</f>
        <v>0.97465886939571145</v>
      </c>
      <c r="J55" s="286">
        <f t="shared" ref="J55" si="19">AA55*AK55</f>
        <v>2052</v>
      </c>
      <c r="K55" s="71">
        <f>(X55*AC55)+Y55</f>
        <v>2000</v>
      </c>
      <c r="L55" s="287">
        <f t="shared" si="16"/>
        <v>52</v>
      </c>
      <c r="N55" s="165">
        <f>+IFERROR(VLOOKUP(W55,'Stock Prov. Serv.'!A:D,4,0),0)</f>
        <v>0</v>
      </c>
      <c r="O55" s="148">
        <f>+IFERROR(VLOOKUP(W55,'Stock Taller'!A:D,4,0),0)</f>
        <v>0</v>
      </c>
      <c r="P55" s="148">
        <f>+SUMIF('Stock CD'!B:B,'Conteo VACIO'!W55,'Stock CD'!E:E)</f>
        <v>0</v>
      </c>
      <c r="Q55" s="89">
        <f>+N55+O55+P55+K55</f>
        <v>2000</v>
      </c>
      <c r="S55" s="188">
        <f>+IFERROR(VLOOKUP(W55,'Stock Taller'!A:G,7,0),0)</f>
        <v>0</v>
      </c>
      <c r="T55" s="148">
        <f>+IFERROR(SUMIF('Stock CD'!B:B,'Conteo VACIO'!W55,'Stock CD'!K:K),0)</f>
        <v>0</v>
      </c>
      <c r="U55" s="89">
        <f>+S55+T55+J55</f>
        <v>2052</v>
      </c>
      <c r="W55" s="311" t="s">
        <v>472</v>
      </c>
      <c r="X55" s="242">
        <v>4</v>
      </c>
      <c r="Y55" s="314"/>
      <c r="AA55" s="173">
        <f>+SUMIFS(Consumo!F:F,Consumo!D:D,'Conteo VACIO'!W55)</f>
        <v>684</v>
      </c>
      <c r="AB55" s="72">
        <f>+AA55*AH55</f>
        <v>8.1053999999999995</v>
      </c>
      <c r="AC55" s="243">
        <v>500</v>
      </c>
      <c r="AD55" s="243">
        <v>10000</v>
      </c>
      <c r="AE55" s="315">
        <v>90</v>
      </c>
      <c r="AF55" s="71">
        <f>+AD55*AH55</f>
        <v>118.5</v>
      </c>
      <c r="AG55" s="99">
        <f>AE55/AH55</f>
        <v>7594.9367088607596</v>
      </c>
      <c r="AH55" s="316">
        <v>1.1849999999999999E-2</v>
      </c>
      <c r="AI55" s="88" t="s">
        <v>37</v>
      </c>
      <c r="AJ55" s="148" t="s">
        <v>391</v>
      </c>
      <c r="AK55" s="89">
        <v>3</v>
      </c>
    </row>
    <row r="56" spans="2:45" ht="37.700000000000003" customHeight="1" thickBot="1" x14ac:dyDescent="0.3">
      <c r="B56" s="260">
        <v>1114500</v>
      </c>
      <c r="C56" s="75" t="s">
        <v>39</v>
      </c>
      <c r="D56" s="93">
        <v>0</v>
      </c>
      <c r="E56" s="272"/>
      <c r="G56" s="282">
        <f>+IFERROR(K56/J56,0)</f>
        <v>0.8120939530234883</v>
      </c>
      <c r="H56" s="283">
        <f>+IFERROR(Q56/U56,0)</f>
        <v>0.49477316553334011</v>
      </c>
      <c r="J56" s="288">
        <f t="shared" si="17"/>
        <v>24012</v>
      </c>
      <c r="K56" s="77">
        <f>(X56*AC56)+Y56</f>
        <v>19500</v>
      </c>
      <c r="L56" s="289">
        <f t="shared" si="16"/>
        <v>4512</v>
      </c>
      <c r="N56" s="166">
        <f>+IFERROR(VLOOKUP(W56,'Stock Prov. Serv.'!A:D,4,0),0)</f>
        <v>0</v>
      </c>
      <c r="O56" s="149">
        <f>+IFERROR(VLOOKUP(W56,'Stock Taller'!A:D,4,0),0)</f>
        <v>0</v>
      </c>
      <c r="P56" s="149">
        <f>+SUMIF('Stock CD'!B:B,'Conteo VACIO'!W56,'Stock CD'!E:E)</f>
        <v>0</v>
      </c>
      <c r="Q56" s="94">
        <f>+N56+O56+P56+K56</f>
        <v>19500</v>
      </c>
      <c r="S56" s="219">
        <f>+IFERROR(VLOOKUP(W56,'Stock Taller'!A:G,7,0),0)</f>
        <v>8600.0000000000018</v>
      </c>
      <c r="T56" s="149">
        <f>+IFERROR(SUMIF('Stock CD'!B:B,'Conteo VACIO'!W56,'Stock CD'!K:K),0)</f>
        <v>6800</v>
      </c>
      <c r="U56" s="94">
        <f>+S56+T56+J56</f>
        <v>39412</v>
      </c>
      <c r="W56" s="260" t="s">
        <v>468</v>
      </c>
      <c r="X56" s="76">
        <v>30</v>
      </c>
      <c r="Y56" s="289"/>
      <c r="AA56" s="174">
        <f>+SUMIFS(Consumo!F:F,Consumo!D:D,'Conteo VACIO'!W56)</f>
        <v>8004</v>
      </c>
      <c r="AB56" s="78">
        <f>+AA56*AH56</f>
        <v>284.142</v>
      </c>
      <c r="AC56" s="177">
        <v>650</v>
      </c>
      <c r="AD56" s="177">
        <v>10000</v>
      </c>
      <c r="AE56" s="301">
        <v>112.5</v>
      </c>
      <c r="AF56" s="77">
        <f>+AD56*AH56</f>
        <v>354.99999999999994</v>
      </c>
      <c r="AG56" s="100">
        <f>AE56/AH56</f>
        <v>3169.0140845070428</v>
      </c>
      <c r="AH56" s="92">
        <v>3.5499999999999997E-2</v>
      </c>
      <c r="AI56" s="93" t="s">
        <v>37</v>
      </c>
      <c r="AJ56" s="149" t="s">
        <v>391</v>
      </c>
      <c r="AK56" s="94">
        <v>3</v>
      </c>
    </row>
    <row r="57" spans="2:45" ht="26.25" customHeight="1" thickBot="1" x14ac:dyDescent="0.35">
      <c r="C57" s="197"/>
      <c r="D57" s="438"/>
      <c r="E57" s="197"/>
      <c r="AJ57" s="57"/>
    </row>
    <row r="58" spans="2:45" ht="26.25" customHeight="1" thickBot="1" x14ac:dyDescent="0.4">
      <c r="B58" s="252"/>
      <c r="C58" s="478" t="s">
        <v>461</v>
      </c>
      <c r="D58" s="479"/>
      <c r="E58" s="480"/>
      <c r="G58" s="267"/>
      <c r="L58" s="267"/>
      <c r="AJ58" s="57"/>
    </row>
    <row r="59" spans="2:45" ht="27" thickBot="1" x14ac:dyDescent="0.45">
      <c r="C59" s="250" t="s">
        <v>21</v>
      </c>
      <c r="D59" s="251" t="s">
        <v>462</v>
      </c>
      <c r="E59" s="251"/>
      <c r="G59" s="268"/>
      <c r="H59" s="269"/>
      <c r="J59" s="198"/>
      <c r="K59" s="268"/>
      <c r="N59" s="269"/>
      <c r="O59" s="269"/>
      <c r="P59" s="269"/>
      <c r="Q59" s="269"/>
      <c r="S59" s="528"/>
      <c r="T59" s="528"/>
      <c r="U59" s="528"/>
      <c r="Y59" s="199"/>
      <c r="AA59" s="470" t="s">
        <v>392</v>
      </c>
      <c r="AB59" s="471"/>
      <c r="AC59" s="471"/>
      <c r="AD59" s="471"/>
      <c r="AE59" s="471"/>
      <c r="AF59" s="471"/>
      <c r="AG59" s="471"/>
      <c r="AH59" s="471"/>
      <c r="AI59" s="471"/>
      <c r="AJ59" s="471"/>
      <c r="AK59" s="527"/>
      <c r="AL59" s="37"/>
      <c r="AM59" s="37"/>
      <c r="AN59" s="37"/>
      <c r="AO59" s="37"/>
      <c r="AP59" s="37"/>
      <c r="AQ59" s="37"/>
      <c r="AR59" s="37"/>
      <c r="AS59" s="37"/>
    </row>
    <row r="60" spans="2:45" ht="87" customHeight="1" thickBot="1" x14ac:dyDescent="0.3">
      <c r="B60" s="95" t="s">
        <v>311</v>
      </c>
      <c r="C60" s="9" t="s">
        <v>2</v>
      </c>
      <c r="D60" s="96" t="s">
        <v>460</v>
      </c>
      <c r="E60" s="96" t="s">
        <v>467</v>
      </c>
      <c r="G60" s="9" t="s">
        <v>396</v>
      </c>
      <c r="H60" s="80" t="s">
        <v>397</v>
      </c>
      <c r="J60" s="9" t="s">
        <v>393</v>
      </c>
      <c r="K60" s="9" t="s">
        <v>394</v>
      </c>
      <c r="L60" s="9" t="s">
        <v>388</v>
      </c>
      <c r="N60" s="80" t="s">
        <v>399</v>
      </c>
      <c r="O60" s="80" t="s">
        <v>398</v>
      </c>
      <c r="P60" s="80" t="s">
        <v>400</v>
      </c>
      <c r="Q60" s="80" t="s">
        <v>401</v>
      </c>
      <c r="S60" s="276" t="s">
        <v>402</v>
      </c>
      <c r="T60" s="80" t="s">
        <v>403</v>
      </c>
      <c r="U60" s="277" t="s">
        <v>404</v>
      </c>
      <c r="W60" s="9" t="s">
        <v>0</v>
      </c>
      <c r="X60" s="96" t="s">
        <v>465</v>
      </c>
      <c r="Y60" s="9" t="s">
        <v>470</v>
      </c>
      <c r="AA60" s="25" t="s">
        <v>383</v>
      </c>
      <c r="AB60" s="25" t="s">
        <v>384</v>
      </c>
      <c r="AC60" s="25" t="s">
        <v>385</v>
      </c>
      <c r="AD60" s="25" t="s">
        <v>386</v>
      </c>
      <c r="AE60" s="25" t="s">
        <v>379</v>
      </c>
      <c r="AF60" s="25" t="s">
        <v>387</v>
      </c>
      <c r="AG60" s="25" t="s">
        <v>381</v>
      </c>
      <c r="AH60" s="25" t="s">
        <v>297</v>
      </c>
      <c r="AI60" s="25" t="s">
        <v>1</v>
      </c>
      <c r="AJ60" s="25" t="s">
        <v>389</v>
      </c>
      <c r="AK60" s="25" t="s">
        <v>469</v>
      </c>
    </row>
    <row r="61" spans="2:45" ht="19.5" thickBot="1" x14ac:dyDescent="0.35">
      <c r="B61" s="255">
        <v>5161600</v>
      </c>
      <c r="C61" s="256" t="s">
        <v>22</v>
      </c>
      <c r="D61" s="297">
        <v>0</v>
      </c>
      <c r="E61" s="273"/>
      <c r="G61" s="302">
        <f>+IFERROR(K61/J61,0)</f>
        <v>0.6775067750677507</v>
      </c>
      <c r="H61" s="303">
        <f>+IFERROR(Q61/U61,0)</f>
        <v>0.50550438103796902</v>
      </c>
      <c r="J61" s="304">
        <f>AA61*AK61</f>
        <v>13284</v>
      </c>
      <c r="K61" s="258">
        <f>(X61*AC61)+Y61</f>
        <v>9000</v>
      </c>
      <c r="L61" s="299">
        <f>+IF(K61-J61&gt;0,0,J61-K61)</f>
        <v>4284</v>
      </c>
      <c r="N61" s="305">
        <f>+IFERROR(VLOOKUP(W61,'Stock Prov. Serv.'!A:D,4,0),0)</f>
        <v>0</v>
      </c>
      <c r="O61" s="262">
        <f>+IFERROR(VLOOKUP(W61,'Stock Taller'!A:D,4,0),0)</f>
        <v>0</v>
      </c>
      <c r="P61" s="262">
        <f>+SUMIF('Stock CD'!B:B,'Conteo VACIO'!W61,'Stock CD'!E:E)</f>
        <v>0</v>
      </c>
      <c r="Q61" s="263">
        <f>+N61+O61+P61+K61</f>
        <v>9000</v>
      </c>
      <c r="S61" s="306">
        <f>+IFERROR(VLOOKUP(W61,'Stock Taller'!A:G,7,0),0)</f>
        <v>0</v>
      </c>
      <c r="T61" s="262">
        <f>+IFERROR(SUMIF('Stock CD'!B:B,'Conteo VACIO'!W61,'Stock CD'!K:K),0)</f>
        <v>4520</v>
      </c>
      <c r="U61" s="307">
        <f>+S61+T61+J61</f>
        <v>17804</v>
      </c>
      <c r="W61" s="300" t="s">
        <v>20</v>
      </c>
      <c r="X61" s="257">
        <v>18</v>
      </c>
      <c r="Y61" s="299"/>
      <c r="AA61" s="292">
        <f>+SUMIFS(Consumo!F:F,Consumo!D:D,'Conteo VACIO'!W61)</f>
        <v>4428</v>
      </c>
      <c r="AB61" s="259">
        <f>+AA61*AH61</f>
        <v>20.147400000000001</v>
      </c>
      <c r="AC61" s="293">
        <v>500</v>
      </c>
      <c r="AD61" s="293">
        <v>2200</v>
      </c>
      <c r="AE61" s="294">
        <f>+AH61*AG61</f>
        <v>5.6619402840000008</v>
      </c>
      <c r="AF61" s="258">
        <f>+AD61*AH61</f>
        <v>10.01</v>
      </c>
      <c r="AG61" s="295">
        <v>1244.3824800000002</v>
      </c>
      <c r="AH61" s="296">
        <v>4.5500000000000002E-3</v>
      </c>
      <c r="AI61" s="297" t="s">
        <v>21</v>
      </c>
      <c r="AJ61" s="262" t="s">
        <v>390</v>
      </c>
      <c r="AK61" s="298">
        <v>3</v>
      </c>
    </row>
    <row r="62" spans="2:45" ht="19.5" thickBot="1" x14ac:dyDescent="0.35"/>
    <row r="63" spans="2:45" ht="24" thickBot="1" x14ac:dyDescent="0.4">
      <c r="B63" s="252"/>
      <c r="C63" s="478" t="s">
        <v>461</v>
      </c>
      <c r="D63" s="479"/>
      <c r="E63" s="480"/>
      <c r="G63" s="267"/>
      <c r="L63" s="267"/>
    </row>
    <row r="64" spans="2:45" ht="27" thickBot="1" x14ac:dyDescent="0.45">
      <c r="C64" s="250" t="s">
        <v>464</v>
      </c>
      <c r="D64" s="251" t="s">
        <v>462</v>
      </c>
      <c r="E64" s="251"/>
      <c r="G64" s="268"/>
      <c r="H64" s="269"/>
      <c r="J64" s="198"/>
      <c r="K64" s="268"/>
      <c r="N64" s="269"/>
      <c r="O64" s="269"/>
      <c r="P64" s="269"/>
      <c r="Q64" s="269"/>
      <c r="S64" s="528"/>
      <c r="T64" s="528"/>
      <c r="U64" s="528"/>
      <c r="Y64" s="199"/>
      <c r="AA64" s="470" t="s">
        <v>392</v>
      </c>
      <c r="AB64" s="471"/>
      <c r="AC64" s="471"/>
      <c r="AD64" s="471"/>
      <c r="AE64" s="471"/>
      <c r="AF64" s="471"/>
      <c r="AG64" s="471"/>
      <c r="AH64" s="471"/>
      <c r="AI64" s="471"/>
      <c r="AJ64" s="471"/>
      <c r="AK64" s="527"/>
      <c r="AL64" s="37"/>
      <c r="AM64" s="37"/>
      <c r="AN64" s="37"/>
      <c r="AO64" s="37"/>
      <c r="AP64" s="37"/>
      <c r="AQ64" s="37"/>
      <c r="AR64" s="37"/>
      <c r="AS64" s="37"/>
    </row>
    <row r="65" spans="2:37" ht="87" customHeight="1" thickBot="1" x14ac:dyDescent="0.3">
      <c r="B65" s="95" t="s">
        <v>311</v>
      </c>
      <c r="C65" s="9" t="s">
        <v>2</v>
      </c>
      <c r="D65" s="96" t="s">
        <v>460</v>
      </c>
      <c r="E65" s="96" t="s">
        <v>467</v>
      </c>
      <c r="G65" s="97" t="s">
        <v>396</v>
      </c>
      <c r="H65" s="25" t="s">
        <v>397</v>
      </c>
      <c r="J65" s="9" t="s">
        <v>479</v>
      </c>
      <c r="K65" s="9" t="s">
        <v>530</v>
      </c>
      <c r="L65" s="9" t="s">
        <v>480</v>
      </c>
      <c r="N65" s="80" t="s">
        <v>481</v>
      </c>
      <c r="O65" s="80" t="s">
        <v>482</v>
      </c>
      <c r="P65" s="80" t="s">
        <v>483</v>
      </c>
      <c r="Q65" s="80" t="s">
        <v>484</v>
      </c>
      <c r="S65" s="276" t="s">
        <v>485</v>
      </c>
      <c r="T65" s="80" t="s">
        <v>486</v>
      </c>
      <c r="U65" s="277" t="s">
        <v>487</v>
      </c>
      <c r="W65" s="9" t="s">
        <v>0</v>
      </c>
      <c r="X65" s="96" t="s">
        <v>465</v>
      </c>
      <c r="Y65" s="9" t="s">
        <v>470</v>
      </c>
      <c r="AA65" s="25" t="s">
        <v>478</v>
      </c>
      <c r="AB65" s="25" t="s">
        <v>384</v>
      </c>
      <c r="AC65" s="25" t="s">
        <v>385</v>
      </c>
      <c r="AD65" s="25" t="s">
        <v>386</v>
      </c>
      <c r="AE65" s="25" t="s">
        <v>379</v>
      </c>
      <c r="AF65" s="25" t="s">
        <v>387</v>
      </c>
      <c r="AG65" s="25" t="s">
        <v>381</v>
      </c>
      <c r="AH65" s="25" t="s">
        <v>297</v>
      </c>
      <c r="AI65" s="25" t="s">
        <v>1</v>
      </c>
      <c r="AJ65" s="25" t="s">
        <v>389</v>
      </c>
      <c r="AK65" s="25" t="s">
        <v>469</v>
      </c>
    </row>
    <row r="66" spans="2:37" ht="19.5" thickBot="1" x14ac:dyDescent="0.35">
      <c r="B66" s="255">
        <v>1165500</v>
      </c>
      <c r="C66" s="256" t="s">
        <v>410</v>
      </c>
      <c r="D66" s="297">
        <v>2</v>
      </c>
      <c r="E66" s="273"/>
      <c r="G66" s="302">
        <f>+IFERROR(K66/J66,0)</f>
        <v>0.24358974358974356</v>
      </c>
      <c r="H66" s="303">
        <f>+IFERROR(Q66/U66,0)</f>
        <v>0.18627450980392157</v>
      </c>
      <c r="J66" s="304">
        <f>AA66*AK66</f>
        <v>4.1052631578947372</v>
      </c>
      <c r="K66" s="258">
        <f>X66</f>
        <v>1</v>
      </c>
      <c r="L66" s="299">
        <f>+IF(K66-J66&gt;0,0,J66-K66)</f>
        <v>3.1052631578947372</v>
      </c>
      <c r="N66" s="305">
        <f>+IFERROR(VLOOKUP(W66,'Stock Prov. Serv.'!A:D,4,0),0)</f>
        <v>0</v>
      </c>
      <c r="O66" s="262">
        <f>+IFERROR(VLOOKUP(W66,'Stock Taller'!A:D,4,0),0)</f>
        <v>0</v>
      </c>
      <c r="P66" s="262">
        <f>+(SUMIF('Stock CD'!B:B,'Conteo VACIO'!W66,'Stock CD'!E:E)/AC66)</f>
        <v>0</v>
      </c>
      <c r="Q66" s="263">
        <f>+N66+O66+P66+K66</f>
        <v>1</v>
      </c>
      <c r="S66" s="306">
        <f>+IFERROR(VLOOKUP(W66,'Stock Taller'!A:G,7,0),0)</f>
        <v>0</v>
      </c>
      <c r="T66" s="332">
        <f>+(IFERROR(SUMIF('Stock CD'!B:B,'Conteo VACIO'!W66,'Stock CD'!K:K),0)/AC66)</f>
        <v>1.263157894736842</v>
      </c>
      <c r="U66" s="307">
        <f>+S66+T66+J66</f>
        <v>5.3684210526315788</v>
      </c>
      <c r="W66" s="300" t="s">
        <v>411</v>
      </c>
      <c r="X66" s="257">
        <v>1</v>
      </c>
      <c r="Y66" s="299"/>
      <c r="AA66" s="331">
        <f>+(SUMIFS(Consumo!F:F,Consumo!D:D,'Conteo VACIO'!W66)/AC66)</f>
        <v>1.368421052631579</v>
      </c>
      <c r="AB66" s="259">
        <f>+AA66*AH66</f>
        <v>0</v>
      </c>
      <c r="AC66" s="293">
        <v>950</v>
      </c>
      <c r="AD66" s="293"/>
      <c r="AE66" s="294"/>
      <c r="AF66" s="258"/>
      <c r="AG66" s="295"/>
      <c r="AH66" s="296"/>
      <c r="AI66" s="297" t="s">
        <v>412</v>
      </c>
      <c r="AJ66" s="262" t="s">
        <v>416</v>
      </c>
      <c r="AK66" s="298">
        <v>3</v>
      </c>
    </row>
    <row r="67" spans="2:37" ht="26.25" customHeight="1" thickBot="1" x14ac:dyDescent="0.35">
      <c r="C67" s="197"/>
      <c r="D67" s="438"/>
      <c r="E67" s="197"/>
      <c r="AJ67" s="57"/>
    </row>
    <row r="68" spans="2:37" ht="24" thickBot="1" x14ac:dyDescent="0.4">
      <c r="B68" s="252"/>
      <c r="C68" s="478" t="s">
        <v>461</v>
      </c>
      <c r="D68" s="479"/>
      <c r="E68" s="480"/>
      <c r="G68" s="267"/>
      <c r="L68" s="267"/>
    </row>
    <row r="69" spans="2:37" ht="26.25" customHeight="1" thickBot="1" x14ac:dyDescent="0.35">
      <c r="C69" s="250" t="s">
        <v>378</v>
      </c>
      <c r="D69" s="251" t="s">
        <v>556</v>
      </c>
      <c r="E69" s="251"/>
      <c r="AJ69" s="57"/>
    </row>
    <row r="70" spans="2:37" ht="87" customHeight="1" thickBot="1" x14ac:dyDescent="0.3">
      <c r="B70" s="95" t="s">
        <v>311</v>
      </c>
      <c r="C70" s="9" t="s">
        <v>2</v>
      </c>
      <c r="D70" s="96" t="s">
        <v>460</v>
      </c>
      <c r="E70" s="96" t="s">
        <v>467</v>
      </c>
      <c r="G70" s="97" t="s">
        <v>396</v>
      </c>
      <c r="H70" s="25" t="s">
        <v>397</v>
      </c>
      <c r="J70" s="9" t="s">
        <v>393</v>
      </c>
      <c r="K70" s="9" t="s">
        <v>394</v>
      </c>
      <c r="L70" s="9" t="s">
        <v>388</v>
      </c>
      <c r="N70" s="80" t="s">
        <v>399</v>
      </c>
      <c r="O70" s="80" t="s">
        <v>398</v>
      </c>
      <c r="P70" s="80" t="s">
        <v>400</v>
      </c>
      <c r="Q70" s="80" t="s">
        <v>401</v>
      </c>
      <c r="S70" s="276" t="s">
        <v>402</v>
      </c>
      <c r="T70" s="80" t="s">
        <v>403</v>
      </c>
      <c r="U70" s="277" t="s">
        <v>404</v>
      </c>
      <c r="W70" s="9" t="s">
        <v>0</v>
      </c>
      <c r="X70" s="96" t="s">
        <v>465</v>
      </c>
      <c r="Y70" s="9" t="s">
        <v>470</v>
      </c>
      <c r="AA70" s="25" t="s">
        <v>383</v>
      </c>
      <c r="AB70" s="25" t="s">
        <v>384</v>
      </c>
      <c r="AC70" s="25" t="s">
        <v>385</v>
      </c>
      <c r="AD70" s="25" t="s">
        <v>386</v>
      </c>
      <c r="AE70" s="25" t="s">
        <v>379</v>
      </c>
      <c r="AF70" s="25" t="s">
        <v>387</v>
      </c>
      <c r="AG70" s="25" t="s">
        <v>381</v>
      </c>
      <c r="AH70" s="25" t="s">
        <v>297</v>
      </c>
      <c r="AI70" s="25" t="s">
        <v>1</v>
      </c>
      <c r="AJ70" s="25" t="s">
        <v>389</v>
      </c>
      <c r="AK70" s="25" t="s">
        <v>469</v>
      </c>
    </row>
    <row r="71" spans="2:37" ht="38.25" thickBot="1" x14ac:dyDescent="0.35">
      <c r="B71" s="255">
        <v>5167600</v>
      </c>
      <c r="C71" s="256" t="s">
        <v>305</v>
      </c>
      <c r="D71" s="297">
        <v>0</v>
      </c>
      <c r="E71" s="273"/>
      <c r="G71" s="302">
        <f>+IFERROR(K71/J71,0)</f>
        <v>1.6346153846153846</v>
      </c>
      <c r="H71" s="303">
        <f>+IFERROR(Q71/U71,0)</f>
        <v>1.6346153846153846</v>
      </c>
      <c r="J71" s="304">
        <f>AA71*AK71</f>
        <v>1872</v>
      </c>
      <c r="K71" s="258">
        <f>(X71*AC71)+Y71</f>
        <v>3060</v>
      </c>
      <c r="L71" s="299">
        <f>+IF(K71-J71&gt;0,0,J71-K71)</f>
        <v>0</v>
      </c>
      <c r="N71" s="305">
        <f>+IFERROR(VLOOKUP(W71,'Stock Prov. Serv.'!A:D,4,0),0)</f>
        <v>0</v>
      </c>
      <c r="O71" s="262">
        <f>+IFERROR(VLOOKUP(W71,'Stock Taller'!A:D,4,0),0)</f>
        <v>0</v>
      </c>
      <c r="P71" s="262">
        <f>+(SUMIF('Stock CD'!B:B,'Conteo VACIO'!W71,'Stock CD'!E:E)/AC71)</f>
        <v>0</v>
      </c>
      <c r="Q71" s="263">
        <f>+N71+O71+P71+K71</f>
        <v>3060</v>
      </c>
      <c r="S71" s="306">
        <f>+IFERROR(VLOOKUP(W71,'Stock Taller'!A:G,7,0),0)</f>
        <v>0</v>
      </c>
      <c r="T71" s="332">
        <f>+(IFERROR(SUMIF('Stock CD'!B:B,'Conteo VACIO'!W71,'Stock CD'!K:K),0)/AC71)</f>
        <v>0</v>
      </c>
      <c r="U71" s="307">
        <f>+S71+T71+J71</f>
        <v>1872</v>
      </c>
      <c r="W71" s="300" t="s">
        <v>304</v>
      </c>
      <c r="X71" s="257">
        <v>3</v>
      </c>
      <c r="Y71" s="299"/>
      <c r="AA71" s="434">
        <f>+SUMIFS(Consumo!F:F,Consumo!D:D,'Conteo VACIO'!W71)</f>
        <v>624</v>
      </c>
      <c r="AB71" s="259">
        <f>+AA71*AH71</f>
        <v>9.7343999999999991</v>
      </c>
      <c r="AC71" s="293">
        <v>1020</v>
      </c>
      <c r="AD71" s="293">
        <v>500</v>
      </c>
      <c r="AE71" s="294">
        <v>75</v>
      </c>
      <c r="AF71" s="258">
        <f>+AD71*AH71</f>
        <v>7.8</v>
      </c>
      <c r="AG71" s="295">
        <f t="shared" ref="AG71" si="20">AE71/AH71</f>
        <v>4807.6923076923076</v>
      </c>
      <c r="AH71" s="296">
        <v>1.5599999999999999E-2</v>
      </c>
      <c r="AI71" s="297" t="s">
        <v>378</v>
      </c>
      <c r="AJ71" s="262" t="s">
        <v>391</v>
      </c>
      <c r="AK71" s="298">
        <v>3</v>
      </c>
    </row>
    <row r="72" spans="2:37" ht="26.25" customHeight="1" x14ac:dyDescent="0.3">
      <c r="C72" s="197"/>
      <c r="D72" s="438"/>
      <c r="E72" s="197"/>
      <c r="AJ72" s="57"/>
    </row>
    <row r="73" spans="2:37" ht="26.25" customHeight="1" x14ac:dyDescent="0.3">
      <c r="C73" s="197"/>
      <c r="D73" s="438"/>
      <c r="E73" s="197"/>
      <c r="AJ73" s="57"/>
    </row>
    <row r="74" spans="2:37" ht="26.25" customHeight="1" x14ac:dyDescent="0.3">
      <c r="C74" s="197"/>
      <c r="D74" s="438"/>
      <c r="E74" s="197"/>
      <c r="AJ74" s="57"/>
    </row>
    <row r="75" spans="2:37" ht="26.25" customHeight="1" x14ac:dyDescent="0.3">
      <c r="C75" s="197"/>
      <c r="D75" s="438"/>
      <c r="E75" s="197"/>
      <c r="AJ75" s="57"/>
    </row>
    <row r="76" spans="2:37" ht="26.25" customHeight="1" thickBot="1" x14ac:dyDescent="0.35">
      <c r="C76" s="197"/>
      <c r="D76" s="438"/>
      <c r="E76" s="197"/>
      <c r="AJ76" s="57"/>
    </row>
    <row r="77" spans="2:37" ht="53.1" customHeight="1" thickBot="1" x14ac:dyDescent="0.35">
      <c r="B77" s="62" t="s">
        <v>382</v>
      </c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244"/>
      <c r="Z77" s="63"/>
      <c r="AA77" s="63"/>
      <c r="AB77" s="63"/>
      <c r="AC77" s="63"/>
      <c r="AD77" s="63"/>
      <c r="AE77" s="63"/>
      <c r="AF77" s="63"/>
      <c r="AG77" s="63"/>
      <c r="AH77" s="63"/>
      <c r="AI77" s="63"/>
      <c r="AJ77" s="64"/>
    </row>
    <row r="78" spans="2:37" ht="26.25" customHeight="1" thickBot="1" x14ac:dyDescent="0.35"/>
    <row r="79" spans="2:37" ht="51" customHeight="1" thickBot="1" x14ac:dyDescent="0.35">
      <c r="B79" s="3" t="s">
        <v>311</v>
      </c>
      <c r="C79" s="3" t="s">
        <v>2</v>
      </c>
      <c r="D79" s="3"/>
      <c r="E79" s="3"/>
      <c r="G79" s="3" t="s">
        <v>368</v>
      </c>
      <c r="J79" s="3" t="s">
        <v>393</v>
      </c>
      <c r="K79" s="3" t="s">
        <v>388</v>
      </c>
      <c r="L79" s="3" t="s">
        <v>0</v>
      </c>
      <c r="W79" s="3" t="s">
        <v>377</v>
      </c>
      <c r="X79" s="3" t="s">
        <v>4</v>
      </c>
      <c r="Y79" s="3" t="s">
        <v>5</v>
      </c>
      <c r="AA79" s="3" t="s">
        <v>3</v>
      </c>
      <c r="AB79" s="3" t="s">
        <v>384</v>
      </c>
      <c r="AC79" s="3" t="s">
        <v>385</v>
      </c>
      <c r="AD79" s="3" t="s">
        <v>386</v>
      </c>
      <c r="AE79" s="3" t="s">
        <v>379</v>
      </c>
      <c r="AF79" s="3" t="s">
        <v>387</v>
      </c>
      <c r="AG79" s="3" t="s">
        <v>381</v>
      </c>
      <c r="AH79" s="3" t="s">
        <v>297</v>
      </c>
      <c r="AI79" s="36" t="s">
        <v>1</v>
      </c>
    </row>
    <row r="80" spans="2:37" s="207" customFormat="1" ht="47.65" customHeight="1" x14ac:dyDescent="0.3">
      <c r="B80" s="201">
        <v>1213500</v>
      </c>
      <c r="C80" s="203" t="s">
        <v>372</v>
      </c>
      <c r="D80" s="217"/>
      <c r="E80" s="203"/>
      <c r="G80" s="206">
        <f>+IFERROR(Y80/J80,0)</f>
        <v>0</v>
      </c>
      <c r="H80" s="208">
        <f>+IFERROR(Q80/U80,0)</f>
        <v>0</v>
      </c>
      <c r="J80" s="204" t="e">
        <f>AA80*#REF!</f>
        <v>#REF!</v>
      </c>
      <c r="K80" s="204" t="e">
        <f>+IF(G80-D80-C80&gt;0,0,D80-G80-C80)</f>
        <v>#VALUE!</v>
      </c>
      <c r="L80" s="202" t="s">
        <v>376</v>
      </c>
      <c r="N80" s="209">
        <f>+IFERROR(VLOOKUP(L80,'Stock Prov. Serv.'!A:D,4,0),0)</f>
        <v>0</v>
      </c>
      <c r="O80" s="209">
        <f>+IFERROR(VLOOKUP(L80,'Stock Taller'!A:D,4,0),0)</f>
        <v>0</v>
      </c>
      <c r="P80" s="209">
        <f>+SUMIF('Stock CD'!B:B,'Conteo VACIO'!L80,'Stock CD'!E:E)</f>
        <v>0</v>
      </c>
      <c r="Q80" s="210">
        <f>+N80+O80+P80+Y80</f>
        <v>0</v>
      </c>
      <c r="S80" s="211">
        <f>+IFERROR(VLOOKUP(L80,'Stock Taller'!A:G,7,0),0)</f>
        <v>0</v>
      </c>
      <c r="T80" s="209">
        <f>+IFERROR(SUMIF('Stock CD'!B:B,'Conteo VACIO'!L80,'Stock CD'!K:K),0)</f>
        <v>15960</v>
      </c>
      <c r="U80" s="210" t="e">
        <f>+S80+T80+J80</f>
        <v>#REF!</v>
      </c>
      <c r="W80" s="204"/>
      <c r="X80" s="204"/>
      <c r="Y80" s="204">
        <f>(W80*AC80)+X80</f>
        <v>0</v>
      </c>
      <c r="AA80" s="212">
        <f>+(SUMIFS(Consumo!F:F,Consumo!D:D,'Conteo VACIO'!L80))*2</f>
        <v>16992</v>
      </c>
      <c r="AB80" s="205">
        <f>+AA80*AH80</f>
        <v>2.0696256000000002</v>
      </c>
      <c r="AC80" s="213">
        <v>30000</v>
      </c>
      <c r="AD80" s="213">
        <v>1000</v>
      </c>
      <c r="AE80" s="214">
        <v>4.19E-2</v>
      </c>
      <c r="AF80" s="204">
        <f>+AD80*AH80</f>
        <v>0.12180000000000001</v>
      </c>
      <c r="AG80" s="215">
        <f>AE80/AH80</f>
        <v>344.00656814449917</v>
      </c>
      <c r="AH80" s="216">
        <v>1.2180000000000001E-4</v>
      </c>
      <c r="AI80" s="217" t="s">
        <v>373</v>
      </c>
      <c r="AJ80" s="210" t="s">
        <v>391</v>
      </c>
      <c r="AK80" s="275"/>
    </row>
    <row r="81" spans="2:35" ht="36" x14ac:dyDescent="0.3">
      <c r="B81" s="58">
        <v>1113500</v>
      </c>
      <c r="C81" s="61" t="s">
        <v>40</v>
      </c>
      <c r="D81" s="60"/>
      <c r="E81" s="61"/>
      <c r="F81" s="207"/>
      <c r="G81" s="53"/>
      <c r="H81" s="207"/>
      <c r="I81" s="207"/>
      <c r="J81" s="53" t="e">
        <f>AA81*#REF!</f>
        <v>#REF!</v>
      </c>
      <c r="K81" s="53">
        <f>+IF(G81-D81&gt;0,0,D81-G81)</f>
        <v>0</v>
      </c>
      <c r="L81" s="59" t="s">
        <v>301</v>
      </c>
      <c r="M81" s="207"/>
      <c r="N81" s="207"/>
      <c r="O81" s="207"/>
      <c r="P81" s="207"/>
      <c r="Q81" s="207"/>
      <c r="R81" s="207"/>
      <c r="S81" s="207"/>
      <c r="T81" s="207"/>
      <c r="U81" s="207"/>
      <c r="V81" s="207"/>
      <c r="W81" s="53">
        <v>0</v>
      </c>
      <c r="X81" s="53"/>
      <c r="Y81" s="53">
        <f>W81*AC81+X81</f>
        <v>0</v>
      </c>
      <c r="Z81" s="207"/>
      <c r="AA81" s="55">
        <f>+SUMIFS(Consumo!F:F,Consumo!D:D,'Conteo VACIO'!L81)</f>
        <v>408</v>
      </c>
      <c r="AB81" s="53"/>
      <c r="AC81" s="53"/>
      <c r="AD81" s="53"/>
      <c r="AE81" s="53"/>
      <c r="AF81" s="53"/>
      <c r="AG81" s="53"/>
      <c r="AH81" s="54"/>
      <c r="AI81" s="60" t="s">
        <v>37</v>
      </c>
    </row>
    <row r="82" spans="2:35" ht="36" x14ac:dyDescent="0.3">
      <c r="B82" s="43"/>
      <c r="C82" s="41" t="s">
        <v>308</v>
      </c>
      <c r="D82" s="40"/>
      <c r="E82" s="41"/>
      <c r="F82" s="207"/>
      <c r="G82" s="42" t="e">
        <f>+Y82/J82</f>
        <v>#REF!</v>
      </c>
      <c r="H82" s="207"/>
      <c r="I82" s="207"/>
      <c r="J82" s="42" t="e">
        <f>AA82*#REF!</f>
        <v>#REF!</v>
      </c>
      <c r="K82" s="42" t="e">
        <f>+IF(G82+#REF!+J82-D82&gt;0,0,D82-G82-#REF!-J82)</f>
        <v>#REF!</v>
      </c>
      <c r="L82" s="39" t="s">
        <v>8</v>
      </c>
      <c r="M82" s="207"/>
      <c r="N82" s="207"/>
      <c r="O82" s="207"/>
      <c r="P82" s="207"/>
      <c r="Q82" s="207"/>
      <c r="R82" s="207"/>
      <c r="S82" s="207"/>
      <c r="T82" s="207"/>
      <c r="U82" s="207"/>
      <c r="V82" s="207"/>
      <c r="W82" s="42"/>
      <c r="X82" s="42"/>
      <c r="Y82" s="42">
        <f>W82*AC82+X82</f>
        <v>0</v>
      </c>
      <c r="Z82" s="207"/>
      <c r="AA82" s="49">
        <f>+SUMIFS(Consumo!F:F,Consumo!D:D,'Conteo VACIO'!L82)</f>
        <v>360</v>
      </c>
      <c r="AB82" s="42"/>
      <c r="AC82" s="42">
        <v>500</v>
      </c>
      <c r="AD82" s="42">
        <v>1000</v>
      </c>
      <c r="AE82" s="42"/>
      <c r="AF82" s="42"/>
      <c r="AG82" s="42"/>
      <c r="AH82" s="51"/>
      <c r="AI82" s="40" t="s">
        <v>9</v>
      </c>
    </row>
    <row r="83" spans="2:35" ht="36" x14ac:dyDescent="0.3">
      <c r="B83" s="43"/>
      <c r="C83" s="41" t="s">
        <v>34</v>
      </c>
      <c r="D83" s="40"/>
      <c r="E83" s="41"/>
      <c r="F83" s="207"/>
      <c r="G83" s="42" t="e">
        <f>+Y83/J83</f>
        <v>#REF!</v>
      </c>
      <c r="H83" s="207"/>
      <c r="I83" s="207"/>
      <c r="J83" s="42" t="e">
        <f>AA83*#REF!</f>
        <v>#REF!</v>
      </c>
      <c r="K83" s="42" t="e">
        <f>+IF(G83+#REF!+J83-D83&gt;0,0,D83-G83-#REF!-J83)</f>
        <v>#REF!</v>
      </c>
      <c r="L83" s="39" t="s">
        <v>299</v>
      </c>
      <c r="M83" s="207"/>
      <c r="N83" s="207"/>
      <c r="O83" s="207"/>
      <c r="P83" s="207"/>
      <c r="Q83" s="207"/>
      <c r="R83" s="207"/>
      <c r="S83" s="207"/>
      <c r="T83" s="207"/>
      <c r="U83" s="207"/>
      <c r="V83" s="207"/>
      <c r="W83" s="42"/>
      <c r="X83" s="42"/>
      <c r="Y83" s="42">
        <f>W83*AC83+X83</f>
        <v>0</v>
      </c>
      <c r="Z83" s="207"/>
      <c r="AA83" s="49">
        <f>+SUMIFS(Consumo!F:F,Consumo!D:D,'Conteo VACIO'!L83)</f>
        <v>180</v>
      </c>
      <c r="AB83" s="42"/>
      <c r="AC83" s="42">
        <v>939</v>
      </c>
      <c r="AD83" s="42"/>
      <c r="AE83" s="42"/>
      <c r="AF83" s="42"/>
      <c r="AG83" s="42"/>
      <c r="AH83" s="51"/>
      <c r="AI83" s="40" t="s">
        <v>33</v>
      </c>
    </row>
    <row r="84" spans="2:35" ht="36.75" thickBot="1" x14ac:dyDescent="0.35">
      <c r="B84" s="44"/>
      <c r="C84" s="47" t="s">
        <v>35</v>
      </c>
      <c r="D84" s="46"/>
      <c r="E84" s="47"/>
      <c r="F84" s="207"/>
      <c r="G84" s="48" t="e">
        <f>+Y84/J84</f>
        <v>#REF!</v>
      </c>
      <c r="H84" s="207"/>
      <c r="I84" s="207"/>
      <c r="J84" s="48" t="e">
        <f>AA84*#REF!</f>
        <v>#REF!</v>
      </c>
      <c r="K84" s="48" t="e">
        <f>+IF(G84+#REF!+J84-D84&gt;0,0,D84-G84-#REF!-J84)</f>
        <v>#REF!</v>
      </c>
      <c r="L84" s="45" t="s">
        <v>300</v>
      </c>
      <c r="M84" s="207"/>
      <c r="N84" s="207"/>
      <c r="O84" s="207"/>
      <c r="P84" s="207"/>
      <c r="Q84" s="207"/>
      <c r="R84" s="207"/>
      <c r="S84" s="207"/>
      <c r="T84" s="207"/>
      <c r="U84" s="207"/>
      <c r="V84" s="207"/>
      <c r="W84" s="48"/>
      <c r="X84" s="48"/>
      <c r="Y84" s="48">
        <f>W84*AC84+X84</f>
        <v>0</v>
      </c>
      <c r="Z84" s="207"/>
      <c r="AA84" s="50">
        <f>+SUMIFS(Consumo!F:F,Consumo!D:D,'Conteo VACIO'!L84)</f>
        <v>180</v>
      </c>
      <c r="AB84" s="48"/>
      <c r="AC84" s="48"/>
      <c r="AD84" s="48"/>
      <c r="AE84" s="48"/>
      <c r="AF84" s="48"/>
      <c r="AG84" s="48"/>
      <c r="AH84" s="52"/>
      <c r="AI84" s="46" t="s">
        <v>33</v>
      </c>
    </row>
    <row r="85" spans="2:35" x14ac:dyDescent="0.3">
      <c r="B85" s="56"/>
    </row>
    <row r="86" spans="2:35" x14ac:dyDescent="0.3">
      <c r="L86" s="7" t="s">
        <v>307</v>
      </c>
    </row>
  </sheetData>
  <autoFilter ref="B10:C37" xr:uid="{00000000-0009-0000-0000-00000B000000}"/>
  <mergeCells count="33">
    <mergeCell ref="AA59:AK59"/>
    <mergeCell ref="S30:U30"/>
    <mergeCell ref="AA30:AK30"/>
    <mergeCell ref="C39:E39"/>
    <mergeCell ref="C44:E44"/>
    <mergeCell ref="C49:E49"/>
    <mergeCell ref="C58:E58"/>
    <mergeCell ref="C34:E34"/>
    <mergeCell ref="S50:U50"/>
    <mergeCell ref="S35:U35"/>
    <mergeCell ref="S40:U40"/>
    <mergeCell ref="S45:U45"/>
    <mergeCell ref="S9:U9"/>
    <mergeCell ref="S18:U18"/>
    <mergeCell ref="C63:E63"/>
    <mergeCell ref="C23:E23"/>
    <mergeCell ref="S24:U24"/>
    <mergeCell ref="C68:E68"/>
    <mergeCell ref="S3:U3"/>
    <mergeCell ref="AA3:AJ3"/>
    <mergeCell ref="AA64:AK64"/>
    <mergeCell ref="AA50:AK50"/>
    <mergeCell ref="S59:U59"/>
    <mergeCell ref="S64:U64"/>
    <mergeCell ref="AA45:AK45"/>
    <mergeCell ref="AA40:AK40"/>
    <mergeCell ref="AA35:AK35"/>
    <mergeCell ref="AA9:AK9"/>
    <mergeCell ref="AA18:AK18"/>
    <mergeCell ref="AA24:AK24"/>
    <mergeCell ref="C8:E8"/>
    <mergeCell ref="C17:E17"/>
    <mergeCell ref="C29:E29"/>
  </mergeCells>
  <conditionalFormatting sqref="B20:B21">
    <cfRule type="duplicateValues" dxfId="28" priority="14"/>
  </conditionalFormatting>
  <conditionalFormatting sqref="B26:B27">
    <cfRule type="duplicateValues" dxfId="27" priority="12"/>
  </conditionalFormatting>
  <conditionalFormatting sqref="B32">
    <cfRule type="duplicateValues" dxfId="26" priority="4"/>
  </conditionalFormatting>
  <conditionalFormatting sqref="B37">
    <cfRule type="duplicateValues" dxfId="25" priority="6"/>
  </conditionalFormatting>
  <conditionalFormatting sqref="B42">
    <cfRule type="duplicateValues" dxfId="24" priority="8"/>
  </conditionalFormatting>
  <conditionalFormatting sqref="B47">
    <cfRule type="duplicateValues" dxfId="23" priority="10"/>
  </conditionalFormatting>
  <conditionalFormatting sqref="B54:B56">
    <cfRule type="duplicateValues" dxfId="22" priority="54"/>
  </conditionalFormatting>
  <conditionalFormatting sqref="B61">
    <cfRule type="duplicateValues" dxfId="21" priority="16"/>
  </conditionalFormatting>
  <conditionalFormatting sqref="B66">
    <cfRule type="duplicateValues" dxfId="20" priority="57"/>
  </conditionalFormatting>
  <conditionalFormatting sqref="B71">
    <cfRule type="duplicateValues" dxfId="19" priority="1"/>
  </conditionalFormatting>
  <conditionalFormatting sqref="B80">
    <cfRule type="duplicateValues" dxfId="18" priority="30"/>
  </conditionalFormatting>
  <conditionalFormatting sqref="B81 B85">
    <cfRule type="duplicateValues" dxfId="17" priority="42"/>
  </conditionalFormatting>
  <conditionalFormatting sqref="B82 B11:B15 B52:B53">
    <cfRule type="duplicateValues" dxfId="16" priority="82"/>
  </conditionalFormatting>
  <conditionalFormatting sqref="B83:B84">
    <cfRule type="duplicateValues" dxfId="15" priority="40"/>
  </conditionalFormatting>
  <conditionalFormatting sqref="L80">
    <cfRule type="duplicateValues" dxfId="14" priority="31"/>
  </conditionalFormatting>
  <conditionalFormatting sqref="L81 W54:W56">
    <cfRule type="duplicateValues" dxfId="13" priority="56"/>
  </conditionalFormatting>
  <conditionalFormatting sqref="L82 W11:W15 W52:W53">
    <cfRule type="duplicateValues" dxfId="12" priority="92"/>
  </conditionalFormatting>
  <conditionalFormatting sqref="L83:L84">
    <cfRule type="duplicateValues" dxfId="11" priority="41"/>
  </conditionalFormatting>
  <conditionalFormatting sqref="W20:W21">
    <cfRule type="duplicateValues" dxfId="10" priority="15"/>
  </conditionalFormatting>
  <conditionalFormatting sqref="W26:W27">
    <cfRule type="duplicateValues" dxfId="9" priority="13"/>
  </conditionalFormatting>
  <conditionalFormatting sqref="W32">
    <cfRule type="duplicateValues" dxfId="8" priority="5"/>
  </conditionalFormatting>
  <conditionalFormatting sqref="W37">
    <cfRule type="duplicateValues" dxfId="7" priority="7"/>
  </conditionalFormatting>
  <conditionalFormatting sqref="W42">
    <cfRule type="duplicateValues" dxfId="6" priority="9"/>
  </conditionalFormatting>
  <conditionalFormatting sqref="W47">
    <cfRule type="duplicateValues" dxfId="5" priority="11"/>
  </conditionalFormatting>
  <conditionalFormatting sqref="W61">
    <cfRule type="duplicateValues" dxfId="4" priority="17"/>
  </conditionalFormatting>
  <conditionalFormatting sqref="W66">
    <cfRule type="duplicateValues" dxfId="3" priority="59"/>
  </conditionalFormatting>
  <conditionalFormatting sqref="W71">
    <cfRule type="duplicateValues" dxfId="2" priority="2"/>
  </conditionalFormatting>
  <printOptions horizontalCentered="1"/>
  <pageMargins left="0" right="0" top="0" bottom="0" header="0" footer="0"/>
  <pageSetup paperSize="9" scale="90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B686DA"/>
  </sheetPr>
  <dimension ref="A1:I19"/>
  <sheetViews>
    <sheetView zoomScaleNormal="100" workbookViewId="0">
      <selection activeCell="J20" sqref="J20"/>
    </sheetView>
  </sheetViews>
  <sheetFormatPr baseColWidth="10" defaultRowHeight="23.25" x14ac:dyDescent="0.35"/>
  <cols>
    <col min="1" max="1" width="10.140625" customWidth="1"/>
    <col min="2" max="2" width="40.85546875" style="106" customWidth="1"/>
    <col min="3" max="3" width="8.42578125" style="102" customWidth="1"/>
    <col min="4" max="4" width="8" style="102" customWidth="1"/>
    <col min="5" max="5" width="3.5703125" style="102" customWidth="1"/>
    <col min="6" max="6" width="8.42578125" customWidth="1"/>
    <col min="7" max="7" width="8" style="103" customWidth="1"/>
    <col min="8" max="8" width="8.28515625" style="103" customWidth="1"/>
    <col min="9" max="9" width="7.42578125" customWidth="1"/>
  </cols>
  <sheetData>
    <row r="1" spans="1:9" ht="41.65" customHeight="1" thickBot="1" x14ac:dyDescent="0.4">
      <c r="A1" s="529" t="s">
        <v>433</v>
      </c>
      <c r="B1" s="530"/>
      <c r="C1" s="530"/>
      <c r="D1" s="531"/>
      <c r="F1" s="532" t="s">
        <v>392</v>
      </c>
      <c r="G1" s="533"/>
      <c r="H1" s="533"/>
      <c r="I1" s="534"/>
    </row>
    <row r="2" spans="1:9" s="106" customFormat="1" ht="75.75" thickBot="1" x14ac:dyDescent="0.3">
      <c r="A2" s="105" t="s">
        <v>430</v>
      </c>
      <c r="B2" s="116" t="s">
        <v>417</v>
      </c>
      <c r="C2" s="105" t="s">
        <v>431</v>
      </c>
      <c r="D2" s="105" t="s">
        <v>432</v>
      </c>
      <c r="E2" s="112"/>
      <c r="F2" s="125" t="s">
        <v>434</v>
      </c>
      <c r="G2" s="240" t="s">
        <v>418</v>
      </c>
      <c r="H2" s="240" t="s">
        <v>419</v>
      </c>
      <c r="I2" s="105" t="s">
        <v>420</v>
      </c>
    </row>
    <row r="3" spans="1:9" s="106" customFormat="1" x14ac:dyDescent="0.3">
      <c r="A3" s="234" t="s">
        <v>375</v>
      </c>
      <c r="B3" s="236" t="s">
        <v>374</v>
      </c>
      <c r="C3" s="235"/>
      <c r="D3" s="145">
        <f>+C3*H3</f>
        <v>0</v>
      </c>
      <c r="E3" s="112"/>
      <c r="F3" s="241">
        <v>0</v>
      </c>
      <c r="G3" s="237">
        <v>1.2899999999999999E-3</v>
      </c>
      <c r="H3" s="238">
        <f>1299*2</f>
        <v>2598</v>
      </c>
      <c r="I3" s="239">
        <v>3.3514199999999996</v>
      </c>
    </row>
    <row r="4" spans="1:9" x14ac:dyDescent="0.35">
      <c r="A4" s="114" t="s">
        <v>370</v>
      </c>
      <c r="B4" s="107" t="s">
        <v>422</v>
      </c>
      <c r="C4" s="110"/>
      <c r="D4" s="145">
        <f>+C4*H4</f>
        <v>0</v>
      </c>
      <c r="E4" s="113"/>
      <c r="F4" s="117">
        <v>10</v>
      </c>
      <c r="G4" s="118">
        <v>2.16E-3</v>
      </c>
      <c r="H4" s="119">
        <v>13888.888888888889</v>
      </c>
      <c r="I4" s="120">
        <f>+G4*H4</f>
        <v>30</v>
      </c>
    </row>
    <row r="5" spans="1:9" x14ac:dyDescent="0.35">
      <c r="A5" s="114" t="s">
        <v>423</v>
      </c>
      <c r="B5" s="107" t="s">
        <v>424</v>
      </c>
      <c r="C5" s="110"/>
      <c r="D5" s="145">
        <f t="shared" ref="D5:D19" si="0">+C5*H5</f>
        <v>0</v>
      </c>
      <c r="E5" s="113"/>
      <c r="F5" s="117">
        <v>5</v>
      </c>
      <c r="G5" s="118">
        <v>2E-3</v>
      </c>
      <c r="H5" s="119">
        <v>500</v>
      </c>
      <c r="I5" s="120">
        <v>1.0535000000000001</v>
      </c>
    </row>
    <row r="6" spans="1:9" x14ac:dyDescent="0.35">
      <c r="A6" s="114" t="s">
        <v>425</v>
      </c>
      <c r="B6" s="107" t="s">
        <v>421</v>
      </c>
      <c r="C6" s="110"/>
      <c r="D6" s="145">
        <f t="shared" si="0"/>
        <v>0</v>
      </c>
      <c r="E6" s="113"/>
      <c r="F6" s="117">
        <v>0</v>
      </c>
      <c r="G6" s="118">
        <v>2.3983333333333336E-2</v>
      </c>
      <c r="H6" s="119">
        <v>1250.8686587908269</v>
      </c>
      <c r="I6" s="120">
        <f t="shared" ref="I6" si="1">+G6*H6</f>
        <v>30</v>
      </c>
    </row>
    <row r="7" spans="1:9" x14ac:dyDescent="0.35">
      <c r="A7" s="114" t="s">
        <v>426</v>
      </c>
      <c r="B7" s="107" t="s">
        <v>427</v>
      </c>
      <c r="C7" s="110"/>
      <c r="D7" s="145">
        <f t="shared" si="0"/>
        <v>0</v>
      </c>
      <c r="E7" s="113"/>
      <c r="F7" s="117">
        <v>0</v>
      </c>
      <c r="G7" s="118">
        <v>9.4999999999999998E-3</v>
      </c>
      <c r="H7" s="119">
        <v>500</v>
      </c>
      <c r="I7" s="120">
        <v>7</v>
      </c>
    </row>
    <row r="8" spans="1:9" x14ac:dyDescent="0.35">
      <c r="A8" s="114" t="s">
        <v>8</v>
      </c>
      <c r="B8" s="107" t="s">
        <v>10</v>
      </c>
      <c r="C8" s="110"/>
      <c r="D8" s="145">
        <f t="shared" si="0"/>
        <v>0</v>
      </c>
      <c r="E8" s="113"/>
      <c r="F8" s="117">
        <v>0</v>
      </c>
      <c r="G8" s="118">
        <v>0</v>
      </c>
      <c r="H8" s="119">
        <v>3100</v>
      </c>
      <c r="I8" s="120">
        <v>11</v>
      </c>
    </row>
    <row r="9" spans="1:9" x14ac:dyDescent="0.35">
      <c r="A9" s="114" t="s">
        <v>11</v>
      </c>
      <c r="B9" s="107" t="s">
        <v>428</v>
      </c>
      <c r="C9" s="110"/>
      <c r="D9" s="145">
        <f t="shared" si="0"/>
        <v>0</v>
      </c>
      <c r="E9" s="113"/>
      <c r="F9" s="117">
        <v>0</v>
      </c>
      <c r="G9" s="118"/>
      <c r="H9" s="119"/>
      <c r="I9" s="120"/>
    </row>
    <row r="10" spans="1:9" x14ac:dyDescent="0.35">
      <c r="A10" s="114" t="s">
        <v>14</v>
      </c>
      <c r="B10" s="107" t="s">
        <v>15</v>
      </c>
      <c r="C10" s="110"/>
      <c r="D10" s="145">
        <f t="shared" si="0"/>
        <v>0</v>
      </c>
      <c r="E10" s="113"/>
      <c r="F10" s="117">
        <v>0</v>
      </c>
      <c r="G10" s="118">
        <v>2.8500000000000001E-3</v>
      </c>
      <c r="H10" s="119">
        <v>5000</v>
      </c>
      <c r="I10" s="120">
        <v>14.25</v>
      </c>
    </row>
    <row r="11" spans="1:9" x14ac:dyDescent="0.35">
      <c r="A11" s="114" t="s">
        <v>16</v>
      </c>
      <c r="B11" s="107" t="s">
        <v>17</v>
      </c>
      <c r="C11" s="110"/>
      <c r="D11" s="145">
        <f t="shared" si="0"/>
        <v>0</v>
      </c>
      <c r="E11" s="113"/>
      <c r="F11" s="117">
        <v>0</v>
      </c>
      <c r="G11" s="118">
        <v>1.75E-3</v>
      </c>
      <c r="H11" s="119">
        <v>5500</v>
      </c>
      <c r="I11" s="120">
        <v>11</v>
      </c>
    </row>
    <row r="12" spans="1:9" x14ac:dyDescent="0.35">
      <c r="A12" s="114" t="s">
        <v>18</v>
      </c>
      <c r="B12" s="107" t="s">
        <v>19</v>
      </c>
      <c r="C12" s="110"/>
      <c r="D12" s="145">
        <f t="shared" si="0"/>
        <v>0</v>
      </c>
      <c r="E12" s="113"/>
      <c r="F12" s="117">
        <v>0</v>
      </c>
      <c r="G12" s="118">
        <v>5.2500000000000003E-3</v>
      </c>
      <c r="H12" s="121"/>
      <c r="I12" s="145"/>
    </row>
    <row r="13" spans="1:9" x14ac:dyDescent="0.35">
      <c r="A13" s="114" t="s">
        <v>20</v>
      </c>
      <c r="B13" s="107" t="s">
        <v>429</v>
      </c>
      <c r="C13" s="110"/>
      <c r="D13" s="145">
        <f t="shared" si="0"/>
        <v>0</v>
      </c>
      <c r="E13" s="113"/>
      <c r="F13" s="117">
        <v>0</v>
      </c>
      <c r="G13" s="118">
        <v>4.5500000000000002E-3</v>
      </c>
      <c r="H13" s="119">
        <v>500</v>
      </c>
      <c r="I13" s="120">
        <v>2.2999999999999998</v>
      </c>
    </row>
    <row r="14" spans="1:9" ht="18.75" x14ac:dyDescent="0.3">
      <c r="A14" s="140" t="s">
        <v>411</v>
      </c>
      <c r="B14" s="107" t="s">
        <v>410</v>
      </c>
      <c r="C14" s="5"/>
      <c r="D14" s="145">
        <f t="shared" si="0"/>
        <v>0</v>
      </c>
      <c r="E14"/>
      <c r="F14" s="117">
        <v>0</v>
      </c>
      <c r="G14" s="185">
        <f>+IFERROR((F14*J14)/H14,0)</f>
        <v>0</v>
      </c>
      <c r="H14" s="119">
        <v>950</v>
      </c>
      <c r="I14" s="120">
        <v>0</v>
      </c>
    </row>
    <row r="15" spans="1:9" x14ac:dyDescent="0.35">
      <c r="A15" s="114" t="s">
        <v>23</v>
      </c>
      <c r="B15" s="108" t="s">
        <v>435</v>
      </c>
      <c r="C15" s="110"/>
      <c r="D15" s="145">
        <f t="shared" si="0"/>
        <v>0</v>
      </c>
      <c r="E15" s="113"/>
      <c r="F15" s="117">
        <v>0</v>
      </c>
      <c r="G15" s="118">
        <v>3.4500000000000004E-3</v>
      </c>
      <c r="H15" s="119">
        <v>2000</v>
      </c>
      <c r="I15" s="120">
        <v>7.2</v>
      </c>
    </row>
    <row r="16" spans="1:9" x14ac:dyDescent="0.35">
      <c r="A16" s="114" t="s">
        <v>36</v>
      </c>
      <c r="B16" s="107" t="s">
        <v>38</v>
      </c>
      <c r="C16" s="110"/>
      <c r="D16" s="145">
        <f t="shared" si="0"/>
        <v>0</v>
      </c>
      <c r="E16" s="113"/>
      <c r="F16" s="117">
        <v>0</v>
      </c>
      <c r="G16" s="118">
        <v>7.4999999999999997E-3</v>
      </c>
      <c r="H16" s="119">
        <v>400</v>
      </c>
      <c r="I16" s="120">
        <v>11.4</v>
      </c>
    </row>
    <row r="17" spans="1:9" x14ac:dyDescent="0.35">
      <c r="A17" s="114" t="s">
        <v>25</v>
      </c>
      <c r="B17" s="108" t="s">
        <v>26</v>
      </c>
      <c r="C17" s="110"/>
      <c r="D17" s="145">
        <f t="shared" si="0"/>
        <v>0</v>
      </c>
      <c r="E17" s="113"/>
      <c r="F17" s="117">
        <v>0</v>
      </c>
      <c r="G17" s="118">
        <v>1.15E-3</v>
      </c>
      <c r="H17" s="119">
        <v>2000</v>
      </c>
      <c r="I17" s="120">
        <v>18.8</v>
      </c>
    </row>
    <row r="18" spans="1:9" x14ac:dyDescent="0.35">
      <c r="A18" s="114" t="s">
        <v>27</v>
      </c>
      <c r="B18" s="107" t="s">
        <v>28</v>
      </c>
      <c r="C18" s="110"/>
      <c r="D18" s="145">
        <f t="shared" si="0"/>
        <v>0</v>
      </c>
      <c r="E18" s="113"/>
      <c r="F18" s="117">
        <v>0</v>
      </c>
      <c r="G18" s="118">
        <v>9.3499999999999989E-3</v>
      </c>
      <c r="H18" s="119">
        <v>4000</v>
      </c>
      <c r="I18" s="120">
        <v>17</v>
      </c>
    </row>
    <row r="19" spans="1:9" ht="24" thickBot="1" x14ac:dyDescent="0.4">
      <c r="A19" s="115" t="s">
        <v>29</v>
      </c>
      <c r="B19" s="109" t="s">
        <v>30</v>
      </c>
      <c r="C19" s="111"/>
      <c r="D19" s="146">
        <f t="shared" si="0"/>
        <v>0</v>
      </c>
      <c r="E19" s="113"/>
      <c r="F19" s="122">
        <v>0</v>
      </c>
      <c r="G19" s="144">
        <v>1.115E-2</v>
      </c>
      <c r="H19" s="123"/>
      <c r="I19" s="124"/>
    </row>
  </sheetData>
  <autoFilter ref="A2:F19" xr:uid="{00000000-0009-0000-0000-00000C000000}"/>
  <mergeCells count="2">
    <mergeCell ref="A1:D1"/>
    <mergeCell ref="F1:I1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</sheetPr>
  <dimension ref="A1:J21"/>
  <sheetViews>
    <sheetView zoomScaleNormal="100" workbookViewId="0">
      <selection activeCell="A22" sqref="A22"/>
    </sheetView>
  </sheetViews>
  <sheetFormatPr baseColWidth="10" defaultRowHeight="18.75" x14ac:dyDescent="0.3"/>
  <cols>
    <col min="1" max="1" width="10.140625" customWidth="1"/>
    <col min="2" max="2" width="36.5703125" style="106" customWidth="1"/>
    <col min="3" max="3" width="9.42578125" customWidth="1"/>
    <col min="4" max="4" width="9.5703125" customWidth="1"/>
    <col min="5" max="5" width="4" customWidth="1"/>
    <col min="6" max="7" width="8.140625" customWidth="1"/>
    <col min="8" max="8" width="8.42578125" style="103" customWidth="1"/>
    <col min="9" max="9" width="8.5703125" style="103" customWidth="1"/>
    <col min="10" max="10" width="7.5703125" customWidth="1"/>
  </cols>
  <sheetData>
    <row r="1" spans="1:10" ht="36" customHeight="1" thickBot="1" x14ac:dyDescent="0.3">
      <c r="A1" s="535" t="s">
        <v>440</v>
      </c>
      <c r="B1" s="535"/>
      <c r="C1" s="535"/>
      <c r="D1" s="536"/>
      <c r="F1" s="537" t="s">
        <v>392</v>
      </c>
      <c r="G1" s="538"/>
      <c r="H1" s="538"/>
      <c r="I1" s="538"/>
      <c r="J1" s="539"/>
    </row>
    <row r="2" spans="1:10" ht="57" thickBot="1" x14ac:dyDescent="0.3">
      <c r="A2" s="105" t="s">
        <v>430</v>
      </c>
      <c r="B2" s="128" t="s">
        <v>417</v>
      </c>
      <c r="C2" s="105" t="s">
        <v>438</v>
      </c>
      <c r="D2" s="104" t="s">
        <v>437</v>
      </c>
      <c r="F2" s="105" t="s">
        <v>439</v>
      </c>
      <c r="G2" s="105" t="s">
        <v>402</v>
      </c>
      <c r="H2" s="105" t="s">
        <v>418</v>
      </c>
      <c r="I2" s="105" t="s">
        <v>419</v>
      </c>
      <c r="J2" s="105" t="s">
        <v>420</v>
      </c>
    </row>
    <row r="3" spans="1:10" ht="18" customHeight="1" x14ac:dyDescent="0.3">
      <c r="A3" s="137" t="s">
        <v>370</v>
      </c>
      <c r="B3" s="138" t="s">
        <v>422</v>
      </c>
      <c r="C3" s="126"/>
      <c r="D3" s="139"/>
      <c r="F3" s="130">
        <v>9.1028571428571431E-2</v>
      </c>
      <c r="G3" s="186">
        <f>+IFERROR((F3*J3)/H3,0)</f>
        <v>1264.2857142857142</v>
      </c>
      <c r="H3" s="131">
        <v>2.16E-3</v>
      </c>
      <c r="I3" s="132">
        <v>13888.888888888889</v>
      </c>
      <c r="J3" s="133">
        <f>+H3*I3</f>
        <v>30</v>
      </c>
    </row>
    <row r="4" spans="1:10" ht="18" customHeight="1" x14ac:dyDescent="0.3">
      <c r="A4" s="140" t="s">
        <v>423</v>
      </c>
      <c r="B4" s="129" t="s">
        <v>424</v>
      </c>
      <c r="C4" s="127"/>
      <c r="D4" s="141"/>
      <c r="F4" s="134">
        <v>0.44584837545126355</v>
      </c>
      <c r="G4" s="185">
        <f t="shared" ref="G4:G21" si="0">+IFERROR((F4*J4)/H4,0)</f>
        <v>234.85063176895309</v>
      </c>
      <c r="H4" s="118">
        <v>2E-3</v>
      </c>
      <c r="I4" s="119">
        <f>1/H4</f>
        <v>500</v>
      </c>
      <c r="J4" s="120">
        <f>1053.5/1000</f>
        <v>1.0535000000000001</v>
      </c>
    </row>
    <row r="5" spans="1:10" x14ac:dyDescent="0.3">
      <c r="A5" s="140" t="s">
        <v>426</v>
      </c>
      <c r="B5" s="129" t="s">
        <v>427</v>
      </c>
      <c r="C5" s="127"/>
      <c r="D5" s="141"/>
      <c r="F5" s="117">
        <v>0</v>
      </c>
      <c r="G5" s="185">
        <f t="shared" si="0"/>
        <v>0</v>
      </c>
      <c r="H5" s="118">
        <v>9.4999999999999998E-3</v>
      </c>
      <c r="I5" s="119">
        <v>500</v>
      </c>
      <c r="J5" s="120">
        <v>7</v>
      </c>
    </row>
    <row r="6" spans="1:10" x14ac:dyDescent="0.3">
      <c r="A6" s="140" t="s">
        <v>8</v>
      </c>
      <c r="B6" s="129" t="s">
        <v>10</v>
      </c>
      <c r="C6" s="127"/>
      <c r="D6" s="141"/>
      <c r="F6" s="117">
        <v>0</v>
      </c>
      <c r="G6" s="185">
        <f t="shared" si="0"/>
        <v>0</v>
      </c>
      <c r="H6" s="118" t="e">
        <f>+VLOOKUP(A6,'Conteo VACIO'!C:AJ,32,0)</f>
        <v>#N/A</v>
      </c>
      <c r="I6" s="119">
        <v>3100</v>
      </c>
      <c r="J6" s="120">
        <v>11</v>
      </c>
    </row>
    <row r="7" spans="1:10" x14ac:dyDescent="0.3">
      <c r="A7" s="140" t="s">
        <v>14</v>
      </c>
      <c r="B7" s="129" t="s">
        <v>15</v>
      </c>
      <c r="C7" s="127"/>
      <c r="D7" s="141"/>
      <c r="F7" s="134">
        <v>0.5531062124248497</v>
      </c>
      <c r="G7" s="185">
        <f t="shared" si="0"/>
        <v>0</v>
      </c>
      <c r="H7" s="118" t="e">
        <f>+VLOOKUP(A7,'Conteo VACIO'!C:AJ,32,0)</f>
        <v>#N/A</v>
      </c>
      <c r="I7" s="119">
        <v>5000</v>
      </c>
      <c r="J7" s="120" t="e">
        <f>+I7*H7</f>
        <v>#N/A</v>
      </c>
    </row>
    <row r="8" spans="1:10" x14ac:dyDescent="0.3">
      <c r="A8" s="140" t="s">
        <v>16</v>
      </c>
      <c r="B8" s="129" t="s">
        <v>17</v>
      </c>
      <c r="C8" s="127"/>
      <c r="D8" s="141"/>
      <c r="F8" s="134">
        <v>0.27600000000000002</v>
      </c>
      <c r="G8" s="185">
        <f t="shared" si="0"/>
        <v>0</v>
      </c>
      <c r="H8" s="118" t="e">
        <f>+VLOOKUP(A8,'Conteo VACIO'!C:AJ,32,0)</f>
        <v>#N/A</v>
      </c>
      <c r="I8" s="119">
        <v>5500</v>
      </c>
      <c r="J8" s="120">
        <v>11</v>
      </c>
    </row>
    <row r="9" spans="1:10" x14ac:dyDescent="0.3">
      <c r="A9" s="140" t="s">
        <v>23</v>
      </c>
      <c r="B9" s="129" t="s">
        <v>24</v>
      </c>
      <c r="C9" s="127"/>
      <c r="D9" s="141"/>
      <c r="F9" s="134">
        <v>0.28500000000000003</v>
      </c>
      <c r="G9" s="185">
        <f t="shared" si="0"/>
        <v>0</v>
      </c>
      <c r="H9" s="118" t="e">
        <f>+VLOOKUP(A9,'Conteo VACIO'!C:AJ,32,0)</f>
        <v>#N/A</v>
      </c>
      <c r="I9" s="119">
        <v>2000</v>
      </c>
      <c r="J9" s="120">
        <v>7.2</v>
      </c>
    </row>
    <row r="10" spans="1:10" x14ac:dyDescent="0.3">
      <c r="A10" s="140" t="s">
        <v>36</v>
      </c>
      <c r="B10" s="129" t="s">
        <v>38</v>
      </c>
      <c r="C10" s="127"/>
      <c r="D10" s="141"/>
      <c r="F10" s="134">
        <v>0.27400000000000002</v>
      </c>
      <c r="G10" s="185">
        <f t="shared" si="0"/>
        <v>0</v>
      </c>
      <c r="H10" s="118" t="e">
        <f>+VLOOKUP(A10,'Conteo VACIO'!C:AJ,32,0)</f>
        <v>#N/A</v>
      </c>
      <c r="I10" s="119">
        <v>400</v>
      </c>
      <c r="J10" s="120">
        <v>11.4</v>
      </c>
    </row>
    <row r="11" spans="1:10" x14ac:dyDescent="0.3">
      <c r="A11" s="140" t="s">
        <v>25</v>
      </c>
      <c r="B11" s="129" t="s">
        <v>26</v>
      </c>
      <c r="C11" s="127"/>
      <c r="D11" s="141"/>
      <c r="F11" s="117">
        <v>4.1040000000000001</v>
      </c>
      <c r="G11" s="185">
        <f t="shared" si="0"/>
        <v>0</v>
      </c>
      <c r="H11" s="118" t="e">
        <f>+VLOOKUP(A11,'Conteo VACIO'!C:AJ,32,0)</f>
        <v>#N/A</v>
      </c>
      <c r="I11" s="119">
        <v>2000</v>
      </c>
      <c r="J11" s="120">
        <v>18.8</v>
      </c>
    </row>
    <row r="12" spans="1:10" x14ac:dyDescent="0.3">
      <c r="A12" s="140" t="s">
        <v>27</v>
      </c>
      <c r="B12" s="129" t="s">
        <v>28</v>
      </c>
      <c r="C12" s="127"/>
      <c r="D12" s="141"/>
      <c r="F12" s="117">
        <v>2.1590909090909092</v>
      </c>
      <c r="G12" s="185">
        <f t="shared" si="0"/>
        <v>0</v>
      </c>
      <c r="H12" s="118" t="e">
        <f>+VLOOKUP(A12,'Conteo VACIO'!C:AJ,32,0)</f>
        <v>#N/A</v>
      </c>
      <c r="I12" s="119">
        <v>4000</v>
      </c>
      <c r="J12" s="120">
        <v>17</v>
      </c>
    </row>
    <row r="13" spans="1:10" x14ac:dyDescent="0.3">
      <c r="A13" s="140" t="s">
        <v>29</v>
      </c>
      <c r="B13" s="129" t="s">
        <v>30</v>
      </c>
      <c r="C13" s="127"/>
      <c r="D13" s="141"/>
      <c r="F13" s="117">
        <v>1.4790996784565917</v>
      </c>
      <c r="G13" s="185">
        <f t="shared" si="0"/>
        <v>0</v>
      </c>
      <c r="H13" s="118" t="e">
        <f>+VLOOKUP(A13,'Conteo VACIO'!C:AJ,32,0)</f>
        <v>#N/A</v>
      </c>
      <c r="I13" s="119"/>
      <c r="J13" s="120"/>
    </row>
    <row r="14" spans="1:10" x14ac:dyDescent="0.3">
      <c r="A14" s="140" t="s">
        <v>18</v>
      </c>
      <c r="B14" s="129" t="s">
        <v>19</v>
      </c>
      <c r="C14" s="5"/>
      <c r="D14" s="135"/>
      <c r="F14" s="117">
        <v>0</v>
      </c>
      <c r="G14" s="185">
        <f t="shared" si="0"/>
        <v>0</v>
      </c>
      <c r="H14" s="118" t="e">
        <f>+VLOOKUP(A14,'Conteo VACIO'!C:AJ,32,0)</f>
        <v>#N/A</v>
      </c>
      <c r="I14" s="121"/>
      <c r="J14" s="135"/>
    </row>
    <row r="15" spans="1:10" x14ac:dyDescent="0.3">
      <c r="A15" s="140" t="s">
        <v>20</v>
      </c>
      <c r="B15" s="129" t="s">
        <v>22</v>
      </c>
      <c r="C15" s="5"/>
      <c r="D15" s="135"/>
      <c r="F15" s="117">
        <v>0</v>
      </c>
      <c r="G15" s="185">
        <f t="shared" si="0"/>
        <v>0</v>
      </c>
      <c r="H15" s="118" t="e">
        <f>+VLOOKUP(A15,'Conteo VACIO'!C:AJ,32,0)</f>
        <v>#N/A</v>
      </c>
      <c r="I15" s="119">
        <v>500</v>
      </c>
      <c r="J15" s="120">
        <v>2.2999999999999998</v>
      </c>
    </row>
    <row r="16" spans="1:10" x14ac:dyDescent="0.3">
      <c r="A16" s="140" t="s">
        <v>411</v>
      </c>
      <c r="B16" s="88" t="s">
        <v>410</v>
      </c>
      <c r="C16" s="5"/>
      <c r="D16" s="135"/>
      <c r="F16" s="117">
        <v>0</v>
      </c>
      <c r="G16" s="185">
        <f t="shared" si="0"/>
        <v>0</v>
      </c>
      <c r="H16" s="118" t="e">
        <f>+VLOOKUP(A16,'Conteo VACIO'!C:AJ,32,0)</f>
        <v>#N/A</v>
      </c>
      <c r="I16" s="121"/>
      <c r="J16" s="135"/>
    </row>
    <row r="17" spans="1:10" x14ac:dyDescent="0.3">
      <c r="A17" s="140" t="s">
        <v>405</v>
      </c>
      <c r="B17" s="129" t="s">
        <v>409</v>
      </c>
      <c r="C17" s="5"/>
      <c r="D17" s="135"/>
      <c r="F17" s="117">
        <v>0</v>
      </c>
      <c r="G17" s="185">
        <f t="shared" si="0"/>
        <v>0</v>
      </c>
      <c r="H17" s="118" t="e">
        <f>+VLOOKUP(A17,'Conteo VACIO'!C:AJ,32,0)</f>
        <v>#N/A</v>
      </c>
      <c r="I17" s="121"/>
      <c r="J17" s="135"/>
    </row>
    <row r="18" spans="1:10" x14ac:dyDescent="0.3">
      <c r="A18" s="140" t="s">
        <v>425</v>
      </c>
      <c r="B18" s="129" t="s">
        <v>458</v>
      </c>
      <c r="C18" s="5"/>
      <c r="D18" s="135"/>
      <c r="F18" s="117">
        <v>1.3</v>
      </c>
      <c r="G18" s="185">
        <f>+IFERROR((F18*J18)/H18,0)</f>
        <v>313.39285714285717</v>
      </c>
      <c r="H18" s="118">
        <v>3.7333333333333336E-2</v>
      </c>
      <c r="I18" s="119">
        <v>238</v>
      </c>
      <c r="J18" s="120">
        <v>9</v>
      </c>
    </row>
    <row r="19" spans="1:10" x14ac:dyDescent="0.3">
      <c r="A19" s="140" t="s">
        <v>407</v>
      </c>
      <c r="B19" s="129" t="s">
        <v>406</v>
      </c>
      <c r="C19" s="5"/>
      <c r="D19" s="135"/>
      <c r="F19" s="117">
        <v>0</v>
      </c>
      <c r="G19" s="185">
        <f t="shared" si="0"/>
        <v>0</v>
      </c>
      <c r="H19" s="118" t="e">
        <f>+VLOOKUP(A19,'Conteo VACIO'!C:AJ,32,0)</f>
        <v>#N/A</v>
      </c>
      <c r="I19" s="119">
        <v>8000</v>
      </c>
      <c r="J19" s="120">
        <v>3.4</v>
      </c>
    </row>
    <row r="20" spans="1:10" x14ac:dyDescent="0.3">
      <c r="A20" s="140" t="s">
        <v>376</v>
      </c>
      <c r="B20" s="129" t="s">
        <v>372</v>
      </c>
      <c r="C20" s="5"/>
      <c r="D20" s="135"/>
      <c r="F20" s="117">
        <v>0</v>
      </c>
      <c r="G20" s="185">
        <f t="shared" si="0"/>
        <v>0</v>
      </c>
      <c r="H20" s="118" t="e">
        <f>+VLOOKUP(A20,'Conteo VACIO'!C:AJ,32,0)</f>
        <v>#N/A</v>
      </c>
      <c r="I20" s="121"/>
      <c r="J20" s="135"/>
    </row>
    <row r="21" spans="1:10" ht="19.5" thickBot="1" x14ac:dyDescent="0.35">
      <c r="A21" s="142" t="s">
        <v>468</v>
      </c>
      <c r="B21" s="143" t="s">
        <v>436</v>
      </c>
      <c r="C21" s="65"/>
      <c r="D21" s="136"/>
      <c r="F21" s="122">
        <v>17.2</v>
      </c>
      <c r="G21" s="187">
        <f t="shared" si="0"/>
        <v>8600.0000000000018</v>
      </c>
      <c r="H21" s="144">
        <v>3.5499999999999997E-2</v>
      </c>
      <c r="I21" s="123">
        <v>500</v>
      </c>
      <c r="J21" s="124">
        <f>500*H21</f>
        <v>17.75</v>
      </c>
    </row>
  </sheetData>
  <autoFilter ref="B2:J21" xr:uid="{00000000-0009-0000-0000-00000D000000}"/>
  <mergeCells count="2">
    <mergeCell ref="A1:D1"/>
    <mergeCell ref="F1:J1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1">
    <tabColor rgb="FFFFFF00"/>
  </sheetPr>
  <dimension ref="A1:XEX49"/>
  <sheetViews>
    <sheetView topLeftCell="A10" zoomScale="90" zoomScaleNormal="90" workbookViewId="0">
      <selection activeCell="B35" sqref="B35"/>
    </sheetView>
  </sheetViews>
  <sheetFormatPr baseColWidth="10" defaultRowHeight="15" x14ac:dyDescent="0.25"/>
  <cols>
    <col min="1" max="1" width="33.42578125" style="152" customWidth="1"/>
    <col min="2" max="2" width="13.140625" customWidth="1"/>
    <col min="3" max="3" width="6.7109375" customWidth="1"/>
    <col min="4" max="4" width="8.140625" customWidth="1"/>
    <col min="5" max="6" width="8.28515625" style="150" customWidth="1"/>
    <col min="7" max="7" width="9.140625" customWidth="1"/>
    <col min="8" max="8" width="5.7109375" customWidth="1"/>
    <col min="9" max="9" width="8.140625" style="151" customWidth="1"/>
    <col min="10" max="10" width="6.7109375" style="151" customWidth="1"/>
    <col min="11" max="11" width="9" style="151" customWidth="1"/>
    <col min="12" max="12" width="7.5703125" style="151" customWidth="1"/>
    <col min="13" max="13" width="10.140625" style="151" customWidth="1"/>
    <col min="14" max="14" width="29" bestFit="1" customWidth="1"/>
    <col min="15" max="18" width="11.28515625" customWidth="1"/>
  </cols>
  <sheetData>
    <row r="1" spans="1:13" ht="26.65" customHeight="1" x14ac:dyDescent="0.4">
      <c r="A1" s="546" t="s">
        <v>453</v>
      </c>
      <c r="B1" s="547"/>
      <c r="C1" s="547"/>
      <c r="D1" s="547"/>
      <c r="E1" s="547"/>
      <c r="F1" s="547"/>
      <c r="G1" s="548"/>
      <c r="H1" s="159"/>
      <c r="I1" s="540" t="s">
        <v>392</v>
      </c>
      <c r="J1" s="541"/>
      <c r="K1" s="541"/>
      <c r="L1" s="541"/>
      <c r="M1" s="542"/>
    </row>
    <row r="2" spans="1:13" ht="15" customHeight="1" thickBot="1" x14ac:dyDescent="0.3">
      <c r="A2" s="549"/>
      <c r="B2" s="550"/>
      <c r="C2" s="550"/>
      <c r="D2" s="550"/>
      <c r="E2" s="550"/>
      <c r="F2" s="550"/>
      <c r="G2" s="551"/>
      <c r="I2" s="543"/>
      <c r="J2" s="544"/>
      <c r="K2" s="544"/>
      <c r="L2" s="544"/>
      <c r="M2" s="545"/>
    </row>
    <row r="3" spans="1:13" s="156" customFormat="1" ht="87" customHeight="1" thickBot="1" x14ac:dyDescent="0.3">
      <c r="A3" s="25" t="s">
        <v>441</v>
      </c>
      <c r="B3" s="155" t="s">
        <v>442</v>
      </c>
      <c r="C3" s="168" t="s">
        <v>443</v>
      </c>
      <c r="D3" s="168" t="s">
        <v>451</v>
      </c>
      <c r="E3" s="79" t="s">
        <v>450</v>
      </c>
      <c r="F3" s="25" t="s">
        <v>444</v>
      </c>
      <c r="G3" s="154" t="s">
        <v>445</v>
      </c>
      <c r="H3" s="160"/>
      <c r="I3" s="171" t="s">
        <v>447</v>
      </c>
      <c r="J3" s="171" t="s">
        <v>446</v>
      </c>
      <c r="K3" s="153" t="s">
        <v>448</v>
      </c>
      <c r="L3" s="158" t="s">
        <v>449</v>
      </c>
      <c r="M3" s="158" t="s">
        <v>452</v>
      </c>
    </row>
    <row r="4" spans="1:13" ht="18.75" x14ac:dyDescent="0.25">
      <c r="A4" s="169" t="s">
        <v>26</v>
      </c>
      <c r="B4" s="147" t="s">
        <v>25</v>
      </c>
      <c r="C4" s="147">
        <v>557</v>
      </c>
      <c r="D4" s="147">
        <f>+IFERROR(VLOOKUP(C4,'Stock ISIS LK'!A:D,4,0),IFERROR(VLOOKUP(C4,'Stock ISIS CH'!A:D,4,0),0))</f>
        <v>0</v>
      </c>
      <c r="E4" s="167">
        <f>+D4*F4*J4</f>
        <v>0</v>
      </c>
      <c r="F4" s="167">
        <v>1</v>
      </c>
      <c r="G4" s="170">
        <v>1.2999999999999999E-2</v>
      </c>
      <c r="H4" s="161"/>
      <c r="I4" s="178">
        <v>33.333333333333336</v>
      </c>
      <c r="J4" s="167">
        <f>IFERROR(VLOOKUP(C4,[2]MADRE!A:D,4,0),0)</f>
        <v>24</v>
      </c>
      <c r="K4" s="167">
        <f t="shared" ref="K4:K30" si="0">+I4*J4*F4</f>
        <v>800</v>
      </c>
      <c r="L4" s="182">
        <f t="shared" ref="L4:L30" si="1">+K4*G4</f>
        <v>10.4</v>
      </c>
      <c r="M4" s="180">
        <f>+IFERROR(VLOOKUP(C4,'Est Madre LK 10-25'!A:C,3),VLOOKUP(C4,'Est Madre CH 10-25'!A:C,3,0))</f>
        <v>1440</v>
      </c>
    </row>
    <row r="5" spans="1:13" ht="18.75" x14ac:dyDescent="0.25">
      <c r="A5" s="165" t="s">
        <v>26</v>
      </c>
      <c r="B5" s="148" t="s">
        <v>25</v>
      </c>
      <c r="C5" s="148">
        <v>558</v>
      </c>
      <c r="D5" s="148">
        <f>+IFERROR(VLOOKUP(C5,'Stock ISIS LK'!A:D,4,0),IFERROR(VLOOKUP(C5,'Stock ISIS CH'!A:D,4,0),0))</f>
        <v>0</v>
      </c>
      <c r="E5" s="162">
        <f t="shared" ref="E5:E45" si="2">+D5*F5*J5</f>
        <v>0</v>
      </c>
      <c r="F5" s="162">
        <v>1</v>
      </c>
      <c r="G5" s="163">
        <v>1.2999999999999999E-2</v>
      </c>
      <c r="H5" s="161"/>
      <c r="I5" s="179">
        <v>108.33333333333333</v>
      </c>
      <c r="J5" s="162">
        <f>IFERROR(VLOOKUP(C5,[2]MADRE!A:D,4,0),0)</f>
        <v>24</v>
      </c>
      <c r="K5" s="162">
        <f t="shared" si="0"/>
        <v>2600</v>
      </c>
      <c r="L5" s="183">
        <f t="shared" si="1"/>
        <v>33.799999999999997</v>
      </c>
      <c r="M5" s="181">
        <f>+IFERROR(VLOOKUP(C5,'Est Madre LK 10-25'!A:C,3),VLOOKUP(C5,'Est Madre CH 10-25'!A:C,3,0))</f>
        <v>1440</v>
      </c>
    </row>
    <row r="6" spans="1:13" ht="18.75" x14ac:dyDescent="0.25">
      <c r="A6" s="165" t="s">
        <v>26</v>
      </c>
      <c r="B6" s="148" t="s">
        <v>25</v>
      </c>
      <c r="C6" s="148">
        <v>573</v>
      </c>
      <c r="D6" s="148">
        <f>+IFERROR(VLOOKUP(C6,'Stock ISIS LK'!A:D,4,0),IFERROR(VLOOKUP(C6,'Stock ISIS CH'!A:D,4,0),0))</f>
        <v>0</v>
      </c>
      <c r="E6" s="162">
        <f t="shared" si="2"/>
        <v>0</v>
      </c>
      <c r="F6" s="162">
        <v>1</v>
      </c>
      <c r="G6" s="163">
        <v>1.2999999999999999E-2</v>
      </c>
      <c r="H6" s="161"/>
      <c r="I6" s="179">
        <v>16.666666666666668</v>
      </c>
      <c r="J6" s="162">
        <f>IFERROR(VLOOKUP(C6,[2]MADRE!A:D,4,0),0)</f>
        <v>24</v>
      </c>
      <c r="K6" s="162">
        <f t="shared" si="0"/>
        <v>400</v>
      </c>
      <c r="L6" s="183">
        <f t="shared" si="1"/>
        <v>5.2</v>
      </c>
      <c r="M6" s="181">
        <f>+IFERROR(VLOOKUP(C6,'Est Madre LK 10-25'!A:C,3),VLOOKUP(C6,'Est Madre CH 10-25'!A:C,3,0))</f>
        <v>24</v>
      </c>
    </row>
    <row r="7" spans="1:13" ht="18.75" x14ac:dyDescent="0.25">
      <c r="A7" s="165" t="s">
        <v>26</v>
      </c>
      <c r="B7" s="148" t="s">
        <v>25</v>
      </c>
      <c r="C7" s="148">
        <v>755</v>
      </c>
      <c r="D7" s="148">
        <f>+IFERROR(VLOOKUP(C7,'Stock ISIS LK'!A:D,4,0),IFERROR(VLOOKUP(C7,'Stock ISIS CH'!A:D,4,0),0))</f>
        <v>0</v>
      </c>
      <c r="E7" s="162">
        <f t="shared" si="2"/>
        <v>0</v>
      </c>
      <c r="F7" s="162">
        <v>1</v>
      </c>
      <c r="G7" s="163">
        <v>1.2999999999999999E-2</v>
      </c>
      <c r="H7" s="161"/>
      <c r="I7" s="179">
        <v>15</v>
      </c>
      <c r="J7" s="162">
        <f>IFERROR(VLOOKUP(C7,[2]MADRE!A:D,4,0),0)</f>
        <v>24</v>
      </c>
      <c r="K7" s="162">
        <f t="shared" si="0"/>
        <v>360</v>
      </c>
      <c r="L7" s="183">
        <f t="shared" si="1"/>
        <v>4.68</v>
      </c>
      <c r="M7" s="181">
        <f>+IFERROR(VLOOKUP(C7,'Est Madre LK 10-25'!A:C,3),VLOOKUP(C7,'Est Madre CH 10-25'!A:C,3,0))</f>
        <v>2136</v>
      </c>
    </row>
    <row r="8" spans="1:13" ht="18.75" x14ac:dyDescent="0.25">
      <c r="A8" s="165" t="s">
        <v>26</v>
      </c>
      <c r="B8" s="148" t="s">
        <v>25</v>
      </c>
      <c r="C8" s="148">
        <v>762</v>
      </c>
      <c r="D8" s="148">
        <f>+IFERROR(VLOOKUP(C8,'Stock ISIS LK'!A:D,4,0),IFERROR(VLOOKUP(C8,'Stock ISIS CH'!A:D,4,0),0))</f>
        <v>0</v>
      </c>
      <c r="E8" s="162">
        <f t="shared" si="2"/>
        <v>0</v>
      </c>
      <c r="F8" s="162">
        <v>1</v>
      </c>
      <c r="G8" s="163">
        <v>1.2999999999999999E-2</v>
      </c>
      <c r="H8" s="161"/>
      <c r="I8" s="179">
        <v>5</v>
      </c>
      <c r="J8" s="162">
        <f>IFERROR(VLOOKUP(C8,[2]MADRE!A:D,4,0),0)</f>
        <v>24</v>
      </c>
      <c r="K8" s="162">
        <f t="shared" si="0"/>
        <v>120</v>
      </c>
      <c r="L8" s="183">
        <f t="shared" si="1"/>
        <v>1.5599999999999998</v>
      </c>
      <c r="M8" s="181">
        <f>+IFERROR(VLOOKUP(C8,'Est Madre LK 10-25'!A:C,3),VLOOKUP(C8,'Est Madre CH 10-25'!A:C,3,0))</f>
        <v>2136</v>
      </c>
    </row>
    <row r="9" spans="1:13" ht="18.75" x14ac:dyDescent="0.25">
      <c r="A9" s="165" t="s">
        <v>26</v>
      </c>
      <c r="B9" s="148" t="s">
        <v>25</v>
      </c>
      <c r="C9" s="148">
        <v>763</v>
      </c>
      <c r="D9" s="148">
        <f>+IFERROR(VLOOKUP(C9,'Stock ISIS LK'!A:D,4,0),IFERROR(VLOOKUP(C9,'Stock ISIS CH'!A:D,4,0),0))</f>
        <v>0</v>
      </c>
      <c r="E9" s="162">
        <f t="shared" si="2"/>
        <v>0</v>
      </c>
      <c r="F9" s="162">
        <v>1</v>
      </c>
      <c r="G9" s="163">
        <v>1.2999999999999999E-2</v>
      </c>
      <c r="H9" s="161"/>
      <c r="I9" s="179">
        <v>10</v>
      </c>
      <c r="J9" s="162">
        <f>IFERROR(VLOOKUP(C9,[2]MADRE!A:D,4,0),0)</f>
        <v>24</v>
      </c>
      <c r="K9" s="162">
        <f t="shared" si="0"/>
        <v>240</v>
      </c>
      <c r="L9" s="183">
        <f t="shared" si="1"/>
        <v>3.1199999999999997</v>
      </c>
      <c r="M9" s="181">
        <f>+IFERROR(VLOOKUP(C9,'Est Madre LK 10-25'!A:C,3),VLOOKUP(C9,'Est Madre CH 10-25'!A:C,3,0))</f>
        <v>2136</v>
      </c>
    </row>
    <row r="10" spans="1:13" ht="18.75" x14ac:dyDescent="0.25">
      <c r="A10" s="165" t="s">
        <v>28</v>
      </c>
      <c r="B10" s="148" t="s">
        <v>27</v>
      </c>
      <c r="C10" s="148">
        <v>557</v>
      </c>
      <c r="D10" s="148">
        <f>+IFERROR(VLOOKUP(C10,'Stock ISIS LK'!A:D,4,0),IFERROR(VLOOKUP(C10,'Stock ISIS CH'!A:D,4,0),0))</f>
        <v>0</v>
      </c>
      <c r="E10" s="162">
        <f t="shared" si="2"/>
        <v>0</v>
      </c>
      <c r="F10" s="162">
        <v>1</v>
      </c>
      <c r="G10" s="163">
        <v>9.4999999999999998E-3</v>
      </c>
      <c r="H10" s="161"/>
      <c r="I10" s="179">
        <v>33.333333333333336</v>
      </c>
      <c r="J10" s="162">
        <f>IFERROR(VLOOKUP(C10,[2]MADRE!A:D,4,0),0)</f>
        <v>24</v>
      </c>
      <c r="K10" s="162">
        <f t="shared" si="0"/>
        <v>800</v>
      </c>
      <c r="L10" s="183">
        <f t="shared" si="1"/>
        <v>7.6</v>
      </c>
      <c r="M10" s="181">
        <f>+IFERROR(VLOOKUP(C10,'Est Madre LK 10-25'!A:C,3),VLOOKUP(C10,'Est Madre CH 10-25'!A:C,3,0))</f>
        <v>1440</v>
      </c>
    </row>
    <row r="11" spans="1:13" ht="18.75" x14ac:dyDescent="0.25">
      <c r="A11" s="165" t="s">
        <v>28</v>
      </c>
      <c r="B11" s="148" t="s">
        <v>27</v>
      </c>
      <c r="C11" s="148">
        <v>558</v>
      </c>
      <c r="D11" s="148">
        <f>+IFERROR(VLOOKUP(C11,'Stock ISIS LK'!A:D,4,0),IFERROR(VLOOKUP(C11,'Stock ISIS CH'!A:D,4,0),0))</f>
        <v>0</v>
      </c>
      <c r="E11" s="162">
        <f t="shared" si="2"/>
        <v>0</v>
      </c>
      <c r="F11" s="162">
        <v>1</v>
      </c>
      <c r="G11" s="163">
        <v>9.4999999999999998E-3</v>
      </c>
      <c r="H11" s="161"/>
      <c r="I11" s="179">
        <v>108.33333333333333</v>
      </c>
      <c r="J11" s="162">
        <f>IFERROR(VLOOKUP(C11,[2]MADRE!A:D,4,0),0)</f>
        <v>24</v>
      </c>
      <c r="K11" s="162">
        <f t="shared" si="0"/>
        <v>2600</v>
      </c>
      <c r="L11" s="183">
        <f t="shared" si="1"/>
        <v>24.7</v>
      </c>
      <c r="M11" s="181">
        <f>+IFERROR(VLOOKUP(C11,'Est Madre LK 10-25'!A:C,3),VLOOKUP(C11,'Est Madre CH 10-25'!A:C,3,0))</f>
        <v>1440</v>
      </c>
    </row>
    <row r="12" spans="1:13" ht="18.75" x14ac:dyDescent="0.25">
      <c r="A12" s="165" t="s">
        <v>28</v>
      </c>
      <c r="B12" s="148" t="s">
        <v>27</v>
      </c>
      <c r="C12" s="148">
        <v>655</v>
      </c>
      <c r="D12" s="148">
        <f>+IFERROR(VLOOKUP(C12,'Stock ISIS LK'!A:D,4,0),IFERROR(VLOOKUP(C12,'Stock ISIS CH'!A:D,4,0),0))</f>
        <v>0</v>
      </c>
      <c r="E12" s="162">
        <f t="shared" si="2"/>
        <v>0</v>
      </c>
      <c r="F12" s="162">
        <v>1</v>
      </c>
      <c r="G12" s="163">
        <v>9.4999999999999998E-3</v>
      </c>
      <c r="H12" s="161"/>
      <c r="I12" s="179">
        <v>10</v>
      </c>
      <c r="J12" s="162">
        <f>IFERROR(VLOOKUP(C12,[2]MADRE!A:D,4,0),0)</f>
        <v>24</v>
      </c>
      <c r="K12" s="162">
        <f t="shared" si="0"/>
        <v>240</v>
      </c>
      <c r="L12" s="183">
        <f t="shared" si="1"/>
        <v>2.2799999999999998</v>
      </c>
      <c r="M12" s="181">
        <f>+IFERROR(VLOOKUP(C12,'Est Madre LK 10-25'!A:C,3),VLOOKUP(C12,'Est Madre CH 10-25'!A:C,3,0))</f>
        <v>2136</v>
      </c>
    </row>
    <row r="13" spans="1:13" ht="18.75" x14ac:dyDescent="0.25">
      <c r="A13" s="165" t="s">
        <v>28</v>
      </c>
      <c r="B13" s="148" t="s">
        <v>27</v>
      </c>
      <c r="C13" s="148">
        <v>762</v>
      </c>
      <c r="D13" s="148">
        <f>+IFERROR(VLOOKUP(C13,'Stock ISIS LK'!A:D,4,0),IFERROR(VLOOKUP(C13,'Stock ISIS CH'!A:D,4,0),0))</f>
        <v>0</v>
      </c>
      <c r="E13" s="162">
        <f t="shared" si="2"/>
        <v>0</v>
      </c>
      <c r="F13" s="162">
        <v>1</v>
      </c>
      <c r="G13" s="163">
        <v>9.4999999999999998E-3</v>
      </c>
      <c r="H13" s="161"/>
      <c r="I13" s="179">
        <v>5</v>
      </c>
      <c r="J13" s="162">
        <f>IFERROR(VLOOKUP(C13,[2]MADRE!A:D,4,0),0)</f>
        <v>24</v>
      </c>
      <c r="K13" s="162">
        <f t="shared" si="0"/>
        <v>120</v>
      </c>
      <c r="L13" s="183">
        <f t="shared" si="1"/>
        <v>1.1399999999999999</v>
      </c>
      <c r="M13" s="181">
        <f>+IFERROR(VLOOKUP(C13,'Est Madre LK 10-25'!A:C,3),VLOOKUP(C13,'Est Madre CH 10-25'!A:C,3,0))</f>
        <v>2136</v>
      </c>
    </row>
    <row r="14" spans="1:13" ht="18.75" x14ac:dyDescent="0.25">
      <c r="A14" s="165" t="s">
        <v>28</v>
      </c>
      <c r="B14" s="148" t="s">
        <v>27</v>
      </c>
      <c r="C14" s="148">
        <v>763</v>
      </c>
      <c r="D14" s="148">
        <f>+IFERROR(VLOOKUP(C14,'Stock ISIS LK'!A:D,4,0),IFERROR(VLOOKUP(C14,'Stock ISIS CH'!A:D,4,0),0))</f>
        <v>0</v>
      </c>
      <c r="E14" s="162">
        <f t="shared" si="2"/>
        <v>0</v>
      </c>
      <c r="F14" s="162">
        <v>1</v>
      </c>
      <c r="G14" s="163">
        <v>9.4999999999999998E-3</v>
      </c>
      <c r="H14" s="161"/>
      <c r="I14" s="179">
        <v>10</v>
      </c>
      <c r="J14" s="162">
        <f>IFERROR(VLOOKUP(C14,[2]MADRE!A:D,4,0),0)</f>
        <v>24</v>
      </c>
      <c r="K14" s="162">
        <f t="shared" si="0"/>
        <v>240</v>
      </c>
      <c r="L14" s="183">
        <f t="shared" si="1"/>
        <v>2.2799999999999998</v>
      </c>
      <c r="M14" s="181">
        <f>+IFERROR(VLOOKUP(C14,'Est Madre LK 10-25'!A:C,3),VLOOKUP(C14,'Est Madre CH 10-25'!A:C,3,0))</f>
        <v>2136</v>
      </c>
    </row>
    <row r="15" spans="1:13" ht="18.75" x14ac:dyDescent="0.25">
      <c r="A15" s="165" t="s">
        <v>30</v>
      </c>
      <c r="B15" s="148" t="s">
        <v>29</v>
      </c>
      <c r="C15" s="148">
        <v>654</v>
      </c>
      <c r="D15" s="148">
        <f>+IFERROR(VLOOKUP(C15,'Stock ISIS LK'!A:D,4,0),IFERROR(VLOOKUP(C15,'Stock ISIS CH'!A:D,4,0),0))</f>
        <v>0</v>
      </c>
      <c r="E15" s="162">
        <f t="shared" si="2"/>
        <v>0</v>
      </c>
      <c r="F15" s="162">
        <v>1</v>
      </c>
      <c r="G15" s="163">
        <v>1.1300000000000001E-2</v>
      </c>
      <c r="H15" s="161"/>
      <c r="I15" s="179">
        <v>37.5</v>
      </c>
      <c r="J15" s="162">
        <f>IFERROR(VLOOKUP(C15,[2]MADRE!A:D,4,0),0)</f>
        <v>24</v>
      </c>
      <c r="K15" s="162">
        <f t="shared" si="0"/>
        <v>900</v>
      </c>
      <c r="L15" s="183">
        <f t="shared" si="1"/>
        <v>10.170000000000002</v>
      </c>
      <c r="M15" s="181">
        <f>+IFERROR(VLOOKUP(C15,'Est Madre LK 10-25'!A:C,3),VLOOKUP(C15,'Est Madre CH 10-25'!A:C,3,0))</f>
        <v>2136</v>
      </c>
    </row>
    <row r="16" spans="1:13" ht="18.75" x14ac:dyDescent="0.25">
      <c r="A16" s="165" t="s">
        <v>30</v>
      </c>
      <c r="B16" s="148" t="s">
        <v>29</v>
      </c>
      <c r="C16" s="148">
        <v>769</v>
      </c>
      <c r="D16" s="148">
        <f>+IFERROR(VLOOKUP(C16,'Stock ISIS LK'!A:D,4,0),IFERROR(VLOOKUP(C16,'Stock ISIS CH'!A:D,4,0),0))</f>
        <v>0</v>
      </c>
      <c r="E16" s="162">
        <f t="shared" si="2"/>
        <v>0</v>
      </c>
      <c r="F16" s="162">
        <v>1</v>
      </c>
      <c r="G16" s="163">
        <v>1.1300000000000001E-2</v>
      </c>
      <c r="H16" s="161"/>
      <c r="I16" s="179">
        <v>7.5</v>
      </c>
      <c r="J16" s="162">
        <f>IFERROR(VLOOKUP(C16,[2]MADRE!A:D,4,0),0)</f>
        <v>24</v>
      </c>
      <c r="K16" s="162">
        <f t="shared" si="0"/>
        <v>180</v>
      </c>
      <c r="L16" s="183">
        <f t="shared" si="1"/>
        <v>2.0340000000000003</v>
      </c>
      <c r="M16" s="181">
        <f>+IFERROR(VLOOKUP(C16,'Est Madre LK 10-25'!A:C,3),VLOOKUP(C16,'Est Madre CH 10-25'!A:C,3,0))</f>
        <v>2136</v>
      </c>
    </row>
    <row r="17" spans="1:13" ht="18.75" x14ac:dyDescent="0.25">
      <c r="A17" s="165" t="s">
        <v>428</v>
      </c>
      <c r="B17" s="148" t="s">
        <v>11</v>
      </c>
      <c r="C17" s="148">
        <v>654</v>
      </c>
      <c r="D17" s="148">
        <f>+IFERROR(VLOOKUP(C17,'Stock ISIS LK'!A:D,4,0),IFERROR(VLOOKUP(C17,'Stock ISIS CH'!A:D,4,0),0))</f>
        <v>0</v>
      </c>
      <c r="E17" s="162">
        <f t="shared" si="2"/>
        <v>0</v>
      </c>
      <c r="F17" s="162">
        <v>1</v>
      </c>
      <c r="G17" s="163">
        <v>2E-3</v>
      </c>
      <c r="H17" s="161"/>
      <c r="I17" s="179">
        <v>37.5</v>
      </c>
      <c r="J17" s="162">
        <f>IFERROR(VLOOKUP(C17,[2]MADRE!A:D,4,0),0)</f>
        <v>24</v>
      </c>
      <c r="K17" s="162">
        <f t="shared" si="0"/>
        <v>900</v>
      </c>
      <c r="L17" s="183">
        <f t="shared" si="1"/>
        <v>1.8</v>
      </c>
      <c r="M17" s="181">
        <f>+IFERROR(VLOOKUP(C17,'Est Madre LK 10-25'!A:C,3),VLOOKUP(C17,'Est Madre CH 10-25'!A:C,3,0))</f>
        <v>2136</v>
      </c>
    </row>
    <row r="18" spans="1:13" ht="18.75" x14ac:dyDescent="0.25">
      <c r="A18" s="165" t="s">
        <v>428</v>
      </c>
      <c r="B18" s="148" t="s">
        <v>11</v>
      </c>
      <c r="C18" s="148">
        <v>769</v>
      </c>
      <c r="D18" s="148">
        <f>+IFERROR(VLOOKUP(C18,'Stock ISIS LK'!A:D,4,0),IFERROR(VLOOKUP(C18,'Stock ISIS CH'!A:D,4,0),0))</f>
        <v>0</v>
      </c>
      <c r="E18" s="162">
        <f t="shared" si="2"/>
        <v>0</v>
      </c>
      <c r="F18" s="162">
        <v>1</v>
      </c>
      <c r="G18" s="163">
        <v>2E-3</v>
      </c>
      <c r="H18" s="161"/>
      <c r="I18" s="179">
        <v>7.5</v>
      </c>
      <c r="J18" s="162">
        <f>IFERROR(VLOOKUP(C18,[2]MADRE!A:D,4,0),0)</f>
        <v>24</v>
      </c>
      <c r="K18" s="162">
        <f t="shared" si="0"/>
        <v>180</v>
      </c>
      <c r="L18" s="183">
        <f t="shared" si="1"/>
        <v>0.36</v>
      </c>
      <c r="M18" s="181">
        <f>+IFERROR(VLOOKUP(C18,'Est Madre LK 10-25'!A:C,3),VLOOKUP(C18,'Est Madre CH 10-25'!A:C,3,0))</f>
        <v>2136</v>
      </c>
    </row>
    <row r="19" spans="1:13" ht="18.75" x14ac:dyDescent="0.25">
      <c r="A19" s="165" t="s">
        <v>15</v>
      </c>
      <c r="B19" s="148" t="s">
        <v>14</v>
      </c>
      <c r="C19" s="148">
        <v>654</v>
      </c>
      <c r="D19" s="148">
        <f>+IFERROR(VLOOKUP(C19,'Stock ISIS LK'!A:D,4,0),IFERROR(VLOOKUP(C19,'Stock ISIS CH'!A:D,4,0),0))</f>
        <v>0</v>
      </c>
      <c r="E19" s="162">
        <f t="shared" si="2"/>
        <v>0</v>
      </c>
      <c r="F19" s="162">
        <v>1</v>
      </c>
      <c r="G19" s="163">
        <v>2.5999999999999999E-3</v>
      </c>
      <c r="H19" s="161"/>
      <c r="I19" s="179">
        <v>37.5</v>
      </c>
      <c r="J19" s="162">
        <f>IFERROR(VLOOKUP(C19,[2]MADRE!A:D,4,0),0)</f>
        <v>24</v>
      </c>
      <c r="K19" s="162">
        <f t="shared" si="0"/>
        <v>900</v>
      </c>
      <c r="L19" s="183">
        <f t="shared" si="1"/>
        <v>2.34</v>
      </c>
      <c r="M19" s="181">
        <f>+IFERROR(VLOOKUP(C19,'Est Madre LK 10-25'!A:C,3),VLOOKUP(C19,'Est Madre CH 10-25'!A:C,3,0))</f>
        <v>2136</v>
      </c>
    </row>
    <row r="20" spans="1:13" ht="18.75" x14ac:dyDescent="0.25">
      <c r="A20" s="165" t="s">
        <v>15</v>
      </c>
      <c r="B20" s="148" t="s">
        <v>14</v>
      </c>
      <c r="C20" s="148">
        <v>769</v>
      </c>
      <c r="D20" s="148">
        <f>+IFERROR(VLOOKUP(C20,'Stock ISIS LK'!A:D,4,0),IFERROR(VLOOKUP(C20,'Stock ISIS CH'!A:D,4,0),0))</f>
        <v>0</v>
      </c>
      <c r="E20" s="162">
        <f t="shared" si="2"/>
        <v>0</v>
      </c>
      <c r="F20" s="162">
        <v>1</v>
      </c>
      <c r="G20" s="163">
        <v>2.5999999999999999E-3</v>
      </c>
      <c r="H20" s="161"/>
      <c r="I20" s="179">
        <v>7.5</v>
      </c>
      <c r="J20" s="162">
        <f>IFERROR(VLOOKUP(C20,[2]MADRE!A:D,4,0),0)</f>
        <v>24</v>
      </c>
      <c r="K20" s="162">
        <f t="shared" si="0"/>
        <v>180</v>
      </c>
      <c r="L20" s="183">
        <f t="shared" si="1"/>
        <v>0.46799999999999997</v>
      </c>
      <c r="M20" s="181">
        <f>+IFERROR(VLOOKUP(C20,'Est Madre LK 10-25'!A:C,3),VLOOKUP(C20,'Est Madre CH 10-25'!A:C,3,0))</f>
        <v>2136</v>
      </c>
    </row>
    <row r="21" spans="1:13" ht="18.75" x14ac:dyDescent="0.25">
      <c r="A21" s="165" t="s">
        <v>17</v>
      </c>
      <c r="B21" s="148" t="s">
        <v>16</v>
      </c>
      <c r="C21" s="148">
        <v>654</v>
      </c>
      <c r="D21" s="148">
        <f>+IFERROR(VLOOKUP(C21,'Stock ISIS LK'!A:D,4,0),IFERROR(VLOOKUP(C21,'Stock ISIS CH'!A:D,4,0),0))</f>
        <v>0</v>
      </c>
      <c r="E21" s="162">
        <f t="shared" si="2"/>
        <v>0</v>
      </c>
      <c r="F21" s="162">
        <v>1</v>
      </c>
      <c r="G21" s="163">
        <v>2.7499999999999998E-3</v>
      </c>
      <c r="H21" s="161"/>
      <c r="I21" s="179">
        <v>37.5</v>
      </c>
      <c r="J21" s="162">
        <f>IFERROR(VLOOKUP(C21,[2]MADRE!A:D,4,0),0)</f>
        <v>24</v>
      </c>
      <c r="K21" s="162">
        <f t="shared" si="0"/>
        <v>900</v>
      </c>
      <c r="L21" s="183">
        <f t="shared" si="1"/>
        <v>2.4749999999999996</v>
      </c>
      <c r="M21" s="181">
        <f>+IFERROR(VLOOKUP(C21,'Est Madre LK 10-25'!A:C,3),VLOOKUP(C21,'Est Madre CH 10-25'!A:C,3,0))</f>
        <v>2136</v>
      </c>
    </row>
    <row r="22" spans="1:13" ht="18.75" x14ac:dyDescent="0.25">
      <c r="A22" s="165" t="s">
        <v>17</v>
      </c>
      <c r="B22" s="148" t="s">
        <v>16</v>
      </c>
      <c r="C22" s="148">
        <v>769</v>
      </c>
      <c r="D22" s="148">
        <f>+IFERROR(VLOOKUP(C22,'Stock ISIS LK'!A:D,4,0),IFERROR(VLOOKUP(C22,'Stock ISIS CH'!A:D,4,0),0))</f>
        <v>0</v>
      </c>
      <c r="E22" s="162">
        <f t="shared" si="2"/>
        <v>0</v>
      </c>
      <c r="F22" s="162">
        <v>1</v>
      </c>
      <c r="G22" s="163">
        <v>2.7499999999999998E-3</v>
      </c>
      <c r="H22" s="161"/>
      <c r="I22" s="179">
        <v>7.5</v>
      </c>
      <c r="J22" s="162">
        <f>IFERROR(VLOOKUP(C22,[2]MADRE!A:D,4,0),0)</f>
        <v>24</v>
      </c>
      <c r="K22" s="162">
        <f t="shared" si="0"/>
        <v>180</v>
      </c>
      <c r="L22" s="183">
        <f t="shared" si="1"/>
        <v>0.495</v>
      </c>
      <c r="M22" s="181">
        <f>+IFERROR(VLOOKUP(C22,'Est Madre LK 10-25'!A:C,3),VLOOKUP(C22,'Est Madre CH 10-25'!A:C,3,0))</f>
        <v>2136</v>
      </c>
    </row>
    <row r="23" spans="1:13" ht="18.75" x14ac:dyDescent="0.25">
      <c r="A23" s="165" t="s">
        <v>429</v>
      </c>
      <c r="B23" s="148" t="s">
        <v>20</v>
      </c>
      <c r="C23" s="148">
        <v>557</v>
      </c>
      <c r="D23" s="148">
        <f>+IFERROR(VLOOKUP(C23,'Stock ISIS LK'!A:D,4,0),IFERROR(VLOOKUP(C23,'Stock ISIS CH'!A:D,4,0),0))</f>
        <v>0</v>
      </c>
      <c r="E23" s="162">
        <f t="shared" si="2"/>
        <v>0</v>
      </c>
      <c r="F23" s="162">
        <v>1</v>
      </c>
      <c r="G23" s="163">
        <v>4.5999999999999999E-3</v>
      </c>
      <c r="H23" s="161"/>
      <c r="I23" s="179">
        <v>33.333333333333336</v>
      </c>
      <c r="J23" s="162">
        <f>IFERROR(VLOOKUP(C23,[2]MADRE!A:D,4,0),0)</f>
        <v>24</v>
      </c>
      <c r="K23" s="162">
        <f t="shared" si="0"/>
        <v>800</v>
      </c>
      <c r="L23" s="183">
        <f t="shared" si="1"/>
        <v>3.6799999999999997</v>
      </c>
      <c r="M23" s="181">
        <f>+IFERROR(VLOOKUP(C23,'Est Madre LK 10-25'!A:C,3),VLOOKUP(C23,'Est Madre CH 10-25'!A:C,3,0))</f>
        <v>1440</v>
      </c>
    </row>
    <row r="24" spans="1:13" ht="18.75" x14ac:dyDescent="0.25">
      <c r="A24" s="165" t="s">
        <v>429</v>
      </c>
      <c r="B24" s="148" t="s">
        <v>20</v>
      </c>
      <c r="C24" s="148">
        <v>558</v>
      </c>
      <c r="D24" s="148">
        <f>+IFERROR(VLOOKUP(C24,'Stock ISIS LK'!A:D,4,0),IFERROR(VLOOKUP(C24,'Stock ISIS CH'!A:D,4,0),0))</f>
        <v>0</v>
      </c>
      <c r="E24" s="162">
        <f t="shared" si="2"/>
        <v>0</v>
      </c>
      <c r="F24" s="162">
        <v>1</v>
      </c>
      <c r="G24" s="163">
        <v>4.5999999999999999E-3</v>
      </c>
      <c r="H24" s="161"/>
      <c r="I24" s="179">
        <v>108.33333333333333</v>
      </c>
      <c r="J24" s="162">
        <f>IFERROR(VLOOKUP(C24,[2]MADRE!A:D,4,0),0)</f>
        <v>24</v>
      </c>
      <c r="K24" s="162">
        <f t="shared" si="0"/>
        <v>2600</v>
      </c>
      <c r="L24" s="183">
        <f t="shared" si="1"/>
        <v>11.959999999999999</v>
      </c>
      <c r="M24" s="181">
        <f>+IFERROR(VLOOKUP(C24,'Est Madre LK 10-25'!A:C,3),VLOOKUP(C24,'Est Madre CH 10-25'!A:C,3,0))</f>
        <v>1440</v>
      </c>
    </row>
    <row r="25" spans="1:13" ht="18.75" x14ac:dyDescent="0.25">
      <c r="A25" s="165" t="s">
        <v>429</v>
      </c>
      <c r="B25" s="148" t="s">
        <v>20</v>
      </c>
      <c r="C25" s="148">
        <v>573</v>
      </c>
      <c r="D25" s="148">
        <f>+IFERROR(VLOOKUP(C25,'Stock ISIS LK'!A:D,4,0),IFERROR(VLOOKUP(C25,'Stock ISIS CH'!A:D,4,0),0))</f>
        <v>0</v>
      </c>
      <c r="E25" s="162">
        <f t="shared" si="2"/>
        <v>0</v>
      </c>
      <c r="F25" s="162">
        <v>1</v>
      </c>
      <c r="G25" s="163">
        <v>4.5999999999999999E-3</v>
      </c>
      <c r="H25" s="161"/>
      <c r="I25" s="179">
        <v>16.666666666666668</v>
      </c>
      <c r="J25" s="162">
        <f>IFERROR(VLOOKUP(C25,[2]MADRE!A:D,4,0),0)</f>
        <v>24</v>
      </c>
      <c r="K25" s="162">
        <f t="shared" si="0"/>
        <v>400</v>
      </c>
      <c r="L25" s="183">
        <f t="shared" si="1"/>
        <v>1.8399999999999999</v>
      </c>
      <c r="M25" s="181">
        <f>+IFERROR(VLOOKUP(C25,'Est Madre LK 10-25'!A:C,3),VLOOKUP(C25,'Est Madre CH 10-25'!A:C,3,0))</f>
        <v>24</v>
      </c>
    </row>
    <row r="26" spans="1:13" ht="18.75" x14ac:dyDescent="0.25">
      <c r="A26" s="165" t="s">
        <v>429</v>
      </c>
      <c r="B26" s="148" t="s">
        <v>20</v>
      </c>
      <c r="C26" s="148">
        <v>755</v>
      </c>
      <c r="D26" s="148">
        <f>+IFERROR(VLOOKUP(C26,'Stock ISIS LK'!A:D,4,0),IFERROR(VLOOKUP(C26,'Stock ISIS CH'!A:D,4,0),0))</f>
        <v>0</v>
      </c>
      <c r="E26" s="162">
        <f t="shared" si="2"/>
        <v>0</v>
      </c>
      <c r="F26" s="162">
        <v>1</v>
      </c>
      <c r="G26" s="163">
        <v>4.5999999999999999E-3</v>
      </c>
      <c r="H26" s="161"/>
      <c r="I26" s="179">
        <v>15</v>
      </c>
      <c r="J26" s="162">
        <f>IFERROR(VLOOKUP(C26,[2]MADRE!A:D,4,0),0)</f>
        <v>24</v>
      </c>
      <c r="K26" s="162">
        <f t="shared" si="0"/>
        <v>360</v>
      </c>
      <c r="L26" s="183">
        <f t="shared" si="1"/>
        <v>1.6559999999999999</v>
      </c>
      <c r="M26" s="181">
        <f>+IFERROR(VLOOKUP(C26,'Est Madre LK 10-25'!A:C,3),VLOOKUP(C26,'Est Madre CH 10-25'!A:C,3,0))</f>
        <v>2136</v>
      </c>
    </row>
    <row r="27" spans="1:13" ht="18.75" x14ac:dyDescent="0.25">
      <c r="A27" s="165" t="s">
        <v>429</v>
      </c>
      <c r="B27" s="148" t="s">
        <v>20</v>
      </c>
      <c r="C27" s="148">
        <v>762</v>
      </c>
      <c r="D27" s="148">
        <f>+IFERROR(VLOOKUP(C27,'Stock ISIS LK'!A:D,4,0),IFERROR(VLOOKUP(C27,'Stock ISIS CH'!A:D,4,0),0))</f>
        <v>0</v>
      </c>
      <c r="E27" s="162">
        <f t="shared" si="2"/>
        <v>0</v>
      </c>
      <c r="F27" s="162">
        <v>1</v>
      </c>
      <c r="G27" s="163">
        <v>4.5999999999999999E-3</v>
      </c>
      <c r="H27" s="161"/>
      <c r="I27" s="179">
        <v>5</v>
      </c>
      <c r="J27" s="162">
        <f>IFERROR(VLOOKUP(C27,[2]MADRE!A:D,4,0),0)</f>
        <v>24</v>
      </c>
      <c r="K27" s="162">
        <f t="shared" si="0"/>
        <v>120</v>
      </c>
      <c r="L27" s="183">
        <f t="shared" si="1"/>
        <v>0.55200000000000005</v>
      </c>
      <c r="M27" s="181">
        <f>+IFERROR(VLOOKUP(C27,'Est Madre LK 10-25'!A:C,3),VLOOKUP(C27,'Est Madre CH 10-25'!A:C,3,0))</f>
        <v>2136</v>
      </c>
    </row>
    <row r="28" spans="1:13" ht="18.75" x14ac:dyDescent="0.25">
      <c r="A28" s="165" t="s">
        <v>429</v>
      </c>
      <c r="B28" s="148" t="s">
        <v>20</v>
      </c>
      <c r="C28" s="148">
        <v>763</v>
      </c>
      <c r="D28" s="148">
        <f>+IFERROR(VLOOKUP(C28,'Stock ISIS LK'!A:D,4,0),IFERROR(VLOOKUP(C28,'Stock ISIS CH'!A:D,4,0),0))</f>
        <v>0</v>
      </c>
      <c r="E28" s="162">
        <f t="shared" si="2"/>
        <v>0</v>
      </c>
      <c r="F28" s="162">
        <v>1</v>
      </c>
      <c r="G28" s="163">
        <v>4.5999999999999999E-3</v>
      </c>
      <c r="H28" s="161"/>
      <c r="I28" s="179">
        <v>10</v>
      </c>
      <c r="J28" s="162">
        <f>IFERROR(VLOOKUP(C28,[2]MADRE!A:D,4,0),0)</f>
        <v>24</v>
      </c>
      <c r="K28" s="162">
        <f t="shared" si="0"/>
        <v>240</v>
      </c>
      <c r="L28" s="183">
        <f t="shared" si="1"/>
        <v>1.1040000000000001</v>
      </c>
      <c r="M28" s="181">
        <f>+IFERROR(VLOOKUP(C28,'Est Madre LK 10-25'!A:C,3),VLOOKUP(C28,'Est Madre CH 10-25'!A:C,3,0))</f>
        <v>2136</v>
      </c>
    </row>
    <row r="29" spans="1:13" ht="18.75" x14ac:dyDescent="0.25">
      <c r="A29" s="165" t="s">
        <v>435</v>
      </c>
      <c r="B29" s="148" t="s">
        <v>23</v>
      </c>
      <c r="C29" s="148">
        <v>548</v>
      </c>
      <c r="D29" s="148">
        <f>+IFERROR(VLOOKUP(C29,'Stock ISIS LK'!A:D,4,0),IFERROR(VLOOKUP(C29,'Stock ISIS CH'!A:D,4,0),0))</f>
        <v>0</v>
      </c>
      <c r="E29" s="162">
        <f t="shared" si="2"/>
        <v>0</v>
      </c>
      <c r="F29" s="162">
        <v>1</v>
      </c>
      <c r="G29" s="163">
        <v>3.0000000000000001E-3</v>
      </c>
      <c r="H29" s="161"/>
      <c r="I29" s="179">
        <v>25</v>
      </c>
      <c r="J29" s="162">
        <f>IFERROR(VLOOKUP(C29,[2]MADRE!A:D,4,0),0)</f>
        <v>24</v>
      </c>
      <c r="K29" s="162">
        <f t="shared" si="0"/>
        <v>600</v>
      </c>
      <c r="L29" s="183">
        <f t="shared" si="1"/>
        <v>1.8</v>
      </c>
      <c r="M29" s="181">
        <f>+IFERROR(VLOOKUP(C29,'Est Madre LK 10-25'!A:C,3),VLOOKUP(C29,'Est Madre CH 10-25'!A:C,3,0))</f>
        <v>1440</v>
      </c>
    </row>
    <row r="30" spans="1:13" ht="18.75" x14ac:dyDescent="0.25">
      <c r="A30" s="165" t="s">
        <v>435</v>
      </c>
      <c r="B30" s="148" t="s">
        <v>23</v>
      </c>
      <c r="C30" s="148">
        <v>864</v>
      </c>
      <c r="D30" s="148">
        <f>+IFERROR(VLOOKUP(C30,'Stock ISIS LK'!A:D,4,0),IFERROR(VLOOKUP(C30,'Stock ISIS CH'!A:D,4,0),0))</f>
        <v>0</v>
      </c>
      <c r="E30" s="162">
        <f t="shared" si="2"/>
        <v>0</v>
      </c>
      <c r="F30" s="162">
        <v>1</v>
      </c>
      <c r="G30" s="163">
        <v>3.0000000000000001E-3</v>
      </c>
      <c r="H30" s="161"/>
      <c r="I30" s="179">
        <v>12</v>
      </c>
      <c r="J30" s="162">
        <f>IFERROR(VLOOKUP(C30,[2]MADRE!A:D,4,0),0)</f>
        <v>12</v>
      </c>
      <c r="K30" s="162">
        <f t="shared" si="0"/>
        <v>144</v>
      </c>
      <c r="L30" s="183">
        <f t="shared" si="1"/>
        <v>0.432</v>
      </c>
      <c r="M30" s="181">
        <f>+IFERROR(VLOOKUP(C30,'Est Madre LK 10-25'!A:C,3),VLOOKUP(C30,'Est Madre CH 10-25'!A:C,3,0))</f>
        <v>2136</v>
      </c>
    </row>
    <row r="31" spans="1:13" ht="18.75" x14ac:dyDescent="0.25">
      <c r="A31" s="165" t="s">
        <v>38</v>
      </c>
      <c r="B31" s="148" t="s">
        <v>36</v>
      </c>
      <c r="C31" s="148">
        <v>515</v>
      </c>
      <c r="D31" s="148">
        <f>+IFERROR(VLOOKUP(C31,'Stock ISIS LK'!A:D,4,0),IFERROR(VLOOKUP(C31,'Stock ISIS CH'!A:D,4,0),0))</f>
        <v>0</v>
      </c>
      <c r="E31" s="162">
        <f t="shared" si="2"/>
        <v>0</v>
      </c>
      <c r="F31" s="162">
        <v>1</v>
      </c>
      <c r="G31" s="163">
        <v>7.4999999999999997E-3</v>
      </c>
      <c r="H31" s="161"/>
      <c r="I31" s="179">
        <v>26.666666666666668</v>
      </c>
      <c r="J31" s="162">
        <f>IFERROR(VLOOKUP(C31,[2]MADRE!A:D,4,0),0)</f>
        <v>12</v>
      </c>
      <c r="K31" s="162">
        <f t="shared" ref="K31:K49" si="3">+I31*J31*F31</f>
        <v>320</v>
      </c>
      <c r="L31" s="183">
        <f t="shared" ref="L31:L44" si="4">+K31*G31</f>
        <v>2.4</v>
      </c>
      <c r="M31" s="181">
        <f>+IFERROR(VLOOKUP(C31,'Est Madre LK 10-25'!A:C,3),VLOOKUP(C31,'Est Madre CH 10-25'!A:C,3,0))</f>
        <v>0</v>
      </c>
    </row>
    <row r="32" spans="1:13" ht="18.75" x14ac:dyDescent="0.25">
      <c r="A32" s="165" t="s">
        <v>38</v>
      </c>
      <c r="B32" s="148" t="s">
        <v>36</v>
      </c>
      <c r="C32" s="148">
        <v>615</v>
      </c>
      <c r="D32" s="148">
        <f>+IFERROR(VLOOKUP(C32,'Stock ISIS LK'!A:D,4,0),IFERROR(VLOOKUP(C32,'Stock ISIS CH'!A:D,4,0),0))</f>
        <v>0</v>
      </c>
      <c r="E32" s="162">
        <f t="shared" si="2"/>
        <v>0</v>
      </c>
      <c r="F32" s="162">
        <v>1</v>
      </c>
      <c r="G32" s="163">
        <v>7.4999999999999997E-3</v>
      </c>
      <c r="H32" s="161"/>
      <c r="I32" s="179">
        <v>19</v>
      </c>
      <c r="J32" s="162">
        <f>IFERROR(VLOOKUP(C32,[2]MADRE!A:D,4,0),0)</f>
        <v>12</v>
      </c>
      <c r="K32" s="162">
        <f t="shared" si="3"/>
        <v>228</v>
      </c>
      <c r="L32" s="183">
        <f t="shared" si="4"/>
        <v>1.71</v>
      </c>
      <c r="M32" s="181">
        <f>+IFERROR(VLOOKUP(C32,'Est Madre LK 10-25'!A:C,3),VLOOKUP(C32,'Est Madre CH 10-25'!A:C,3,0))</f>
        <v>2136</v>
      </c>
    </row>
    <row r="33" spans="1:13 16378:16378" ht="18.75" x14ac:dyDescent="0.25">
      <c r="A33" s="165" t="s">
        <v>39</v>
      </c>
      <c r="B33" s="148" t="s">
        <v>468</v>
      </c>
      <c r="C33" s="148">
        <v>544</v>
      </c>
      <c r="D33" s="148">
        <f>+IFERROR(VLOOKUP(C33,'Stock ISIS LK'!A:D,4,0),IFERROR(VLOOKUP(C33,'Stock ISIS CH'!A:D,4,0),0))</f>
        <v>0</v>
      </c>
      <c r="E33" s="162">
        <f t="shared" si="2"/>
        <v>0</v>
      </c>
      <c r="F33" s="162">
        <v>1</v>
      </c>
      <c r="G33" s="163">
        <v>3.5499999999999997E-2</v>
      </c>
      <c r="H33" s="161"/>
      <c r="I33" s="179">
        <v>466.66666666666669</v>
      </c>
      <c r="J33" s="162">
        <f>IFERROR(VLOOKUP(C33,[2]MADRE!A:D,4,0),0)</f>
        <v>12</v>
      </c>
      <c r="K33" s="162">
        <f t="shared" si="3"/>
        <v>5600</v>
      </c>
      <c r="L33" s="183">
        <f t="shared" si="4"/>
        <v>198.79999999999998</v>
      </c>
      <c r="M33" s="181">
        <f>+IFERROR(VLOOKUP(C33,'Est Madre LK 10-25'!A:C,3),VLOOKUP(C33,'Est Madre CH 10-25'!A:C,3,0))</f>
        <v>1440</v>
      </c>
    </row>
    <row r="34" spans="1:13 16378:16378" ht="18.75" x14ac:dyDescent="0.25">
      <c r="A34" s="165" t="s">
        <v>39</v>
      </c>
      <c r="B34" s="148" t="s">
        <v>468</v>
      </c>
      <c r="C34" s="148">
        <v>802</v>
      </c>
      <c r="D34" s="148">
        <f>+IFERROR(VLOOKUP(C34,'Stock ISIS LK'!A:D,4,0),IFERROR(VLOOKUP(C34,'Stock ISIS CH'!A:D,4,0),0))</f>
        <v>0</v>
      </c>
      <c r="E34" s="162">
        <f t="shared" si="2"/>
        <v>0</v>
      </c>
      <c r="F34" s="162">
        <v>1</v>
      </c>
      <c r="G34" s="163">
        <v>3.5499999999999997E-2</v>
      </c>
      <c r="H34" s="161"/>
      <c r="I34" s="179">
        <v>100</v>
      </c>
      <c r="J34" s="162">
        <f>IFERROR(VLOOKUP(C34,[2]MADRE!A:D,4,0),0)</f>
        <v>12</v>
      </c>
      <c r="K34" s="162">
        <f t="shared" si="3"/>
        <v>1200</v>
      </c>
      <c r="L34" s="183">
        <f t="shared" si="4"/>
        <v>42.599999999999994</v>
      </c>
      <c r="M34" s="181">
        <f>+IFERROR(VLOOKUP(C34,'Est Madre LK 10-25'!A:C,3),VLOOKUP(C34,'Est Madre CH 10-25'!A:C,3,0))</f>
        <v>2136</v>
      </c>
    </row>
    <row r="35" spans="1:13 16378:16378" ht="18.75" x14ac:dyDescent="0.25">
      <c r="A35" s="165" t="s">
        <v>410</v>
      </c>
      <c r="B35" s="148" t="s">
        <v>411</v>
      </c>
      <c r="C35" s="148">
        <v>280</v>
      </c>
      <c r="D35" s="148">
        <f>+IFERROR(VLOOKUP(C35,'Stock ISIS LK'!A:D,4,0),IFERROR(VLOOKUP(C35,'Stock ISIS CH'!A:D,4,0),0))</f>
        <v>0</v>
      </c>
      <c r="E35" s="162">
        <f t="shared" si="2"/>
        <v>0</v>
      </c>
      <c r="F35" s="162">
        <v>1</v>
      </c>
      <c r="G35" s="163"/>
      <c r="H35" s="161"/>
      <c r="I35" s="179">
        <v>100</v>
      </c>
      <c r="J35" s="162">
        <f>IFERROR(VLOOKUP(C35,[2]MADRE!A:D,4,0),0)</f>
        <v>12</v>
      </c>
      <c r="K35" s="162">
        <f t="shared" si="3"/>
        <v>1200</v>
      </c>
      <c r="L35" s="183">
        <f t="shared" si="4"/>
        <v>0</v>
      </c>
      <c r="M35" s="181" t="e">
        <f>+IFERROR(VLOOKUP(C35,'Est Madre LK 10-25'!A:C,3),VLOOKUP(C35,'Est Madre CH 10-25'!A:C,3,0))</f>
        <v>#N/A</v>
      </c>
    </row>
    <row r="36" spans="1:13 16378:16378" ht="18.75" x14ac:dyDescent="0.25">
      <c r="A36" s="165" t="s">
        <v>422</v>
      </c>
      <c r="B36" s="148" t="s">
        <v>370</v>
      </c>
      <c r="C36" s="148">
        <v>546</v>
      </c>
      <c r="D36" s="148">
        <f>+IFERROR(VLOOKUP(C36,'Stock ISIS LK'!A:D,4,0),IFERROR(VLOOKUP(C36,'Stock ISIS CH'!A:D,4,0),0))</f>
        <v>0</v>
      </c>
      <c r="E36" s="162">
        <f t="shared" si="2"/>
        <v>0</v>
      </c>
      <c r="F36" s="162">
        <v>1</v>
      </c>
      <c r="G36" s="163">
        <v>4.0000000000000001E-3</v>
      </c>
      <c r="H36" s="161"/>
      <c r="I36" s="179">
        <v>530</v>
      </c>
      <c r="J36" s="162">
        <f>IFERROR(VLOOKUP(C36,[2]MADRE!A:D,4,0),0)</f>
        <v>12</v>
      </c>
      <c r="K36" s="162">
        <f t="shared" si="3"/>
        <v>6360</v>
      </c>
      <c r="L36" s="183">
        <f t="shared" si="4"/>
        <v>25.44</v>
      </c>
      <c r="M36" s="181">
        <f>+IFERROR(VLOOKUP(C36,'Est Madre LK 10-25'!A:C,3),VLOOKUP(C36,'Est Madre CH 10-25'!A:C,3,0))</f>
        <v>1440</v>
      </c>
    </row>
    <row r="37" spans="1:13 16378:16378" ht="18.75" x14ac:dyDescent="0.25">
      <c r="A37" s="165" t="s">
        <v>422</v>
      </c>
      <c r="B37" s="148" t="s">
        <v>370</v>
      </c>
      <c r="C37" s="148">
        <v>809</v>
      </c>
      <c r="D37" s="148">
        <f>+IFERROR(VLOOKUP(C37,'Stock ISIS LK'!A:D,4,0),IFERROR(VLOOKUP(C37,'Stock ISIS CH'!A:D,4,0),0))</f>
        <v>0</v>
      </c>
      <c r="E37" s="162">
        <f t="shared" si="2"/>
        <v>0</v>
      </c>
      <c r="F37" s="162">
        <v>1</v>
      </c>
      <c r="G37" s="163">
        <v>4.0000000000000001E-3</v>
      </c>
      <c r="H37" s="161"/>
      <c r="I37" s="179">
        <v>135</v>
      </c>
      <c r="J37" s="162">
        <f>IFERROR(VLOOKUP(C37,[2]MADRE!A:D,4,0),0)</f>
        <v>12</v>
      </c>
      <c r="K37" s="162">
        <f t="shared" si="3"/>
        <v>1620</v>
      </c>
      <c r="L37" s="183">
        <f t="shared" si="4"/>
        <v>6.48</v>
      </c>
      <c r="M37" s="181">
        <f>+IFERROR(VLOOKUP(C37,'Est Madre LK 10-25'!A:C,3),VLOOKUP(C37,'Est Madre CH 10-25'!A:C,3,0))</f>
        <v>2136</v>
      </c>
    </row>
    <row r="38" spans="1:13 16378:16378" ht="18.75" x14ac:dyDescent="0.25">
      <c r="A38" s="165" t="s">
        <v>372</v>
      </c>
      <c r="B38" s="148" t="s">
        <v>376</v>
      </c>
      <c r="C38" s="148">
        <v>546</v>
      </c>
      <c r="D38" s="148">
        <f>+IFERROR(VLOOKUP(C38,'Stock ISIS LK'!A:D,4,0),IFERROR(VLOOKUP(C38,'Stock ISIS CH'!A:D,4,0),0))</f>
        <v>0</v>
      </c>
      <c r="E38" s="162">
        <f t="shared" si="2"/>
        <v>0</v>
      </c>
      <c r="F38" s="162">
        <v>2</v>
      </c>
      <c r="G38" s="163">
        <v>1.2180000000000001E-4</v>
      </c>
      <c r="H38" s="161"/>
      <c r="I38" s="179">
        <v>530</v>
      </c>
      <c r="J38" s="162">
        <f>IFERROR(VLOOKUP(C38,[2]MADRE!A:D,4,0),0)</f>
        <v>12</v>
      </c>
      <c r="K38" s="162">
        <f t="shared" si="3"/>
        <v>12720</v>
      </c>
      <c r="L38" s="183">
        <f t="shared" si="4"/>
        <v>1.549296</v>
      </c>
      <c r="M38" s="181">
        <f>+IFERROR(VLOOKUP(C38,'Est Madre LK 10-25'!A:C,3),VLOOKUP(C38,'Est Madre CH 10-25'!A:C,3,0))</f>
        <v>1440</v>
      </c>
    </row>
    <row r="39" spans="1:13 16378:16378" ht="18.75" x14ac:dyDescent="0.25">
      <c r="A39" s="165" t="s">
        <v>372</v>
      </c>
      <c r="B39" s="148" t="s">
        <v>376</v>
      </c>
      <c r="C39" s="148">
        <v>809</v>
      </c>
      <c r="D39" s="148">
        <f>+IFERROR(VLOOKUP(C39,'Stock ISIS LK'!A:D,4,0),IFERROR(VLOOKUP(C39,'Stock ISIS CH'!A:D,4,0),0))</f>
        <v>0</v>
      </c>
      <c r="E39" s="162">
        <f t="shared" si="2"/>
        <v>0</v>
      </c>
      <c r="F39" s="162">
        <v>2</v>
      </c>
      <c r="G39" s="163">
        <v>1.2180000000000001E-4</v>
      </c>
      <c r="H39" s="161"/>
      <c r="I39" s="179">
        <v>135</v>
      </c>
      <c r="J39" s="162">
        <f>IFERROR(VLOOKUP(C39,[2]MADRE!A:D,4,0),0)</f>
        <v>12</v>
      </c>
      <c r="K39" s="162">
        <f t="shared" si="3"/>
        <v>3240</v>
      </c>
      <c r="L39" s="183">
        <f t="shared" si="4"/>
        <v>0.39463200000000004</v>
      </c>
      <c r="M39" s="181">
        <f>+IFERROR(VLOOKUP(C39,'Est Madre LK 10-25'!A:C,3),VLOOKUP(C39,'Est Madre CH 10-25'!A:C,3,0))</f>
        <v>2136</v>
      </c>
    </row>
    <row r="40" spans="1:13 16378:16378" ht="18.75" x14ac:dyDescent="0.25">
      <c r="A40" s="165" t="s">
        <v>424</v>
      </c>
      <c r="B40" s="148" t="s">
        <v>423</v>
      </c>
      <c r="C40" s="148">
        <v>548</v>
      </c>
      <c r="D40" s="148">
        <f>+IFERROR(VLOOKUP(C40,'Stock ISIS LK'!A:D,4,0),IFERROR(VLOOKUP(C40,'Stock ISIS CH'!A:D,4,0),0))</f>
        <v>0</v>
      </c>
      <c r="E40" s="162">
        <f t="shared" si="2"/>
        <v>0</v>
      </c>
      <c r="F40" s="162">
        <v>1</v>
      </c>
      <c r="G40" s="163">
        <v>2.41E-2</v>
      </c>
      <c r="H40" s="161"/>
      <c r="I40" s="179">
        <v>25</v>
      </c>
      <c r="J40" s="162">
        <f>IFERROR(VLOOKUP(C40,[2]MADRE!A:D,4,0),0)</f>
        <v>24</v>
      </c>
      <c r="K40" s="162">
        <f t="shared" si="3"/>
        <v>600</v>
      </c>
      <c r="L40" s="183">
        <f t="shared" si="4"/>
        <v>14.459999999999999</v>
      </c>
      <c r="M40" s="181">
        <f>+IFERROR(VLOOKUP(C40,'Est Madre LK 10-25'!A:C,3),VLOOKUP(C40,'Est Madre CH 10-25'!A:C,3,0))</f>
        <v>1440</v>
      </c>
    </row>
    <row r="41" spans="1:13 16378:16378" ht="18.75" x14ac:dyDescent="0.25">
      <c r="A41" s="165" t="s">
        <v>424</v>
      </c>
      <c r="B41" s="148" t="s">
        <v>423</v>
      </c>
      <c r="C41" s="148">
        <v>864</v>
      </c>
      <c r="D41" s="148">
        <f>+IFERROR(VLOOKUP(C41,'Stock ISIS LK'!A:D,4,0),IFERROR(VLOOKUP(C41,'Stock ISIS CH'!A:D,4,0),0))</f>
        <v>0</v>
      </c>
      <c r="E41" s="162">
        <f t="shared" si="2"/>
        <v>0</v>
      </c>
      <c r="F41" s="162">
        <v>1</v>
      </c>
      <c r="G41" s="163">
        <v>2.41E-2</v>
      </c>
      <c r="H41" s="161"/>
      <c r="I41" s="179">
        <v>12</v>
      </c>
      <c r="J41" s="162">
        <f>IFERROR(VLOOKUP(C41,[2]MADRE!A:D,4,0),0)</f>
        <v>12</v>
      </c>
      <c r="K41" s="162">
        <f t="shared" si="3"/>
        <v>144</v>
      </c>
      <c r="L41" s="183">
        <f t="shared" si="4"/>
        <v>3.4704000000000002</v>
      </c>
      <c r="M41" s="181">
        <f>+IFERROR(VLOOKUP(C41,'Est Madre LK 10-25'!A:C,3),VLOOKUP(C41,'Est Madre CH 10-25'!A:C,3,0))</f>
        <v>2136</v>
      </c>
    </row>
    <row r="42" spans="1:13 16378:16378" ht="18.75" x14ac:dyDescent="0.25">
      <c r="A42" s="165" t="s">
        <v>409</v>
      </c>
      <c r="B42" s="148" t="s">
        <v>405</v>
      </c>
      <c r="C42" s="148">
        <v>57</v>
      </c>
      <c r="D42" s="148">
        <f>+IFERROR(VLOOKUP(C42,'Stock ISIS LK'!A:D,4,0),IFERROR(VLOOKUP(C42,'Stock ISIS CH'!A:D,4,0),0))</f>
        <v>0</v>
      </c>
      <c r="E42" s="162">
        <f t="shared" si="2"/>
        <v>0</v>
      </c>
      <c r="F42" s="162">
        <v>1</v>
      </c>
      <c r="G42" s="163">
        <v>3.15E-3</v>
      </c>
      <c r="H42" s="161"/>
      <c r="I42" s="179">
        <v>100</v>
      </c>
      <c r="J42" s="162">
        <f>IFERROR(VLOOKUP(C42,[2]MADRE!A:D,4,0),0)</f>
        <v>12</v>
      </c>
      <c r="K42" s="162">
        <f t="shared" si="3"/>
        <v>1200</v>
      </c>
      <c r="L42" s="183">
        <f t="shared" si="4"/>
        <v>3.7800000000000002</v>
      </c>
      <c r="M42" s="181" t="e">
        <f>+IFERROR(VLOOKUP(C42,'Est Madre LK 10-25'!A:C,3),VLOOKUP(C42,'Est Madre CH 10-25'!A:C,3,0))</f>
        <v>#N/A</v>
      </c>
    </row>
    <row r="43" spans="1:13 16378:16378" ht="21" x14ac:dyDescent="0.25">
      <c r="A43" s="165" t="s">
        <v>409</v>
      </c>
      <c r="B43" s="148" t="s">
        <v>405</v>
      </c>
      <c r="C43" s="148">
        <v>498</v>
      </c>
      <c r="D43" s="148">
        <f>+IFERROR(VLOOKUP(C43,'Stock ISIS LK'!A:D,4,0),IFERROR(VLOOKUP(C43,'Stock ISIS CH'!A:D,4,0),0))</f>
        <v>0</v>
      </c>
      <c r="E43" s="162">
        <f t="shared" si="2"/>
        <v>0</v>
      </c>
      <c r="F43" s="162">
        <v>1</v>
      </c>
      <c r="G43" s="163">
        <v>3.15E-3</v>
      </c>
      <c r="H43" s="161"/>
      <c r="I43" s="179">
        <v>25</v>
      </c>
      <c r="J43" s="162">
        <f>IFERROR(VLOOKUP(C43,[2]MADRE!A:D,4,0),0)</f>
        <v>12</v>
      </c>
      <c r="K43" s="162">
        <f t="shared" si="3"/>
        <v>300</v>
      </c>
      <c r="L43" s="183">
        <f t="shared" si="4"/>
        <v>0.94500000000000006</v>
      </c>
      <c r="M43" s="181" t="e">
        <f>+IFERROR(VLOOKUP(C43,'Est Madre LK 10-25'!A:C,3),VLOOKUP(C43,'Est Madre CH 10-25'!A:C,3,0))</f>
        <v>#N/A</v>
      </c>
      <c r="XEX43" s="157"/>
    </row>
    <row r="44" spans="1:13 16378:16378" ht="21" x14ac:dyDescent="0.25">
      <c r="A44" s="165" t="s">
        <v>409</v>
      </c>
      <c r="B44" s="148" t="s">
        <v>405</v>
      </c>
      <c r="C44" s="148">
        <v>499</v>
      </c>
      <c r="D44" s="148">
        <f>+IFERROR(VLOOKUP(C44,'Stock ISIS LK'!A:D,4,0),IFERROR(VLOOKUP(C44,'Stock ISIS CH'!A:D,4,0),0))</f>
        <v>0</v>
      </c>
      <c r="E44" s="162">
        <f t="shared" si="2"/>
        <v>0</v>
      </c>
      <c r="F44" s="162">
        <v>1</v>
      </c>
      <c r="G44" s="163">
        <v>3.15E-3</v>
      </c>
      <c r="H44" s="161"/>
      <c r="I44" s="179">
        <v>100</v>
      </c>
      <c r="J44" s="162">
        <f>IFERROR(VLOOKUP(C44,[2]MADRE!A:D,4,0),0)</f>
        <v>12</v>
      </c>
      <c r="K44" s="162">
        <f t="shared" si="3"/>
        <v>1200</v>
      </c>
      <c r="L44" s="183">
        <f t="shared" si="4"/>
        <v>3.7800000000000002</v>
      </c>
      <c r="M44" s="181" t="e">
        <f>+IFERROR(VLOOKUP(C44,'Est Madre LK 10-25'!A:C,3),VLOOKUP(C44,'Est Madre CH 10-25'!A:C,3,0))</f>
        <v>#N/A</v>
      </c>
      <c r="XEX44" s="157"/>
    </row>
    <row r="45" spans="1:13 16378:16378" ht="18.75" x14ac:dyDescent="0.3">
      <c r="A45" s="165" t="s">
        <v>406</v>
      </c>
      <c r="B45" s="68" t="s">
        <v>407</v>
      </c>
      <c r="C45" s="148">
        <v>499</v>
      </c>
      <c r="D45" s="129">
        <f>+IFERROR(VLOOKUP(C45,'Stock ISIS LK'!A:D,4,0),IFERROR(VLOOKUP(C45,'Stock ISIS CH'!A:D,4,0),0))</f>
        <v>0</v>
      </c>
      <c r="E45" s="148">
        <f t="shared" si="2"/>
        <v>0</v>
      </c>
      <c r="F45" s="162">
        <v>1</v>
      </c>
      <c r="G45" s="163">
        <v>5.0000000000000001E-4</v>
      </c>
      <c r="I45" s="226">
        <v>100</v>
      </c>
      <c r="J45" s="162">
        <f>IFERROR(VLOOKUP(C45,[2]MADRE!A:D,4,0),0)</f>
        <v>12</v>
      </c>
      <c r="K45" s="162">
        <f t="shared" si="3"/>
        <v>1200</v>
      </c>
      <c r="L45" s="183">
        <f>+K45*G45</f>
        <v>0.6</v>
      </c>
      <c r="M45" s="227" t="e">
        <f>+IFERROR(VLOOKUP(C45,'Est Madre LK 10-25'!A:C,3),VLOOKUP(C45,'Est Madre CH 10-25'!A:C,3,0))</f>
        <v>#N/A</v>
      </c>
    </row>
    <row r="46" spans="1:13 16378:16378" ht="21" x14ac:dyDescent="0.25">
      <c r="A46" s="165" t="s">
        <v>454</v>
      </c>
      <c r="B46" s="148" t="s">
        <v>456</v>
      </c>
      <c r="C46" s="148">
        <v>323</v>
      </c>
      <c r="D46" s="148">
        <f>+IFERROR(VLOOKUP(C46,'Stock ISIS LK'!A:D,4,0),IFERROR(VLOOKUP(C46,'Stock ISIS CH'!A:D,4,0),0))</f>
        <v>0</v>
      </c>
      <c r="E46" s="162">
        <f t="shared" ref="E46:E47" si="5">+D46*F46*J46</f>
        <v>0</v>
      </c>
      <c r="F46" s="162">
        <v>1</v>
      </c>
      <c r="G46" s="163">
        <v>4.5124999999999998E-2</v>
      </c>
      <c r="H46" s="161"/>
      <c r="I46" s="179">
        <v>20</v>
      </c>
      <c r="J46" s="162">
        <f>IFERROR(VLOOKUP(C46,[2]MADRE!A:D,4,0),0)</f>
        <v>12</v>
      </c>
      <c r="K46" s="162">
        <f t="shared" si="3"/>
        <v>240</v>
      </c>
      <c r="L46" s="183">
        <f t="shared" ref="L46:L49" si="6">+K46*G46</f>
        <v>10.83</v>
      </c>
      <c r="M46" s="181" t="e">
        <f>+IFERROR(VLOOKUP(C46,'Est Madre LK 10-25'!A:C,3),VLOOKUP(C46,'Est Madre CH 10-25'!A:C,3,0))</f>
        <v>#N/A</v>
      </c>
      <c r="XEX46" s="157"/>
    </row>
    <row r="47" spans="1:13 16378:16378" ht="18.75" x14ac:dyDescent="0.3">
      <c r="A47" s="165" t="s">
        <v>454</v>
      </c>
      <c r="B47" s="68" t="s">
        <v>456</v>
      </c>
      <c r="C47" s="148">
        <v>839</v>
      </c>
      <c r="D47" s="129">
        <f>+IFERROR(VLOOKUP(C47,'Stock ISIS LK'!A:D,4,0),IFERROR(VLOOKUP(C47,'Stock ISIS CH'!A:D,4,0),0))</f>
        <v>0</v>
      </c>
      <c r="E47" s="148">
        <f t="shared" si="5"/>
        <v>0</v>
      </c>
      <c r="F47" s="162">
        <v>1</v>
      </c>
      <c r="G47" s="163">
        <v>4.5124999999999998E-2</v>
      </c>
      <c r="I47" s="226">
        <v>40</v>
      </c>
      <c r="J47" s="162">
        <f>IFERROR(VLOOKUP(C47,[2]MADRE!A:D,4,0),0)</f>
        <v>12</v>
      </c>
      <c r="K47" s="162">
        <f t="shared" si="3"/>
        <v>480</v>
      </c>
      <c r="L47" s="183">
        <f t="shared" si="6"/>
        <v>21.66</v>
      </c>
      <c r="M47" s="227">
        <f>+IFERROR(VLOOKUP(C47,'Est Madre LK 10-25'!A:C,3),VLOOKUP(C47,'Est Madre CH 10-25'!A:C,3,0))</f>
        <v>2136</v>
      </c>
    </row>
    <row r="48" spans="1:13 16378:16378" s="228" customFormat="1" ht="18.75" x14ac:dyDescent="0.25">
      <c r="A48" s="165" t="s">
        <v>458</v>
      </c>
      <c r="B48" s="223" t="s">
        <v>425</v>
      </c>
      <c r="C48" s="148">
        <v>312</v>
      </c>
      <c r="D48" s="148">
        <f>+IFERROR(VLOOKUP(C48,'Stock ISIS LK'!A:D,4,0),IFERROR(VLOOKUP(C48,'Stock ISIS CH'!A:D,4,0),0))</f>
        <v>0</v>
      </c>
      <c r="E48" s="148">
        <f t="shared" ref="E48:E49" si="7">+D48*F48*J48</f>
        <v>0</v>
      </c>
      <c r="F48" s="162">
        <v>1</v>
      </c>
      <c r="G48" s="245">
        <v>3.7333333333333336E-2</v>
      </c>
      <c r="I48" s="179">
        <v>27</v>
      </c>
      <c r="J48" s="162">
        <f>IFERROR(VLOOKUP(C48,[2]MADRE!A:D,4,0),0)</f>
        <v>12</v>
      </c>
      <c r="K48" s="162">
        <f t="shared" si="3"/>
        <v>324</v>
      </c>
      <c r="L48" s="183">
        <f t="shared" si="6"/>
        <v>12.096000000000002</v>
      </c>
      <c r="M48" s="229" t="e">
        <f>+IFERROR(VLOOKUP(C48,'Est Madre LK 10-25'!A:C,3),VLOOKUP(C48,'Est Madre CH 10-25'!A:C,3,0))</f>
        <v>#N/A</v>
      </c>
    </row>
    <row r="49" spans="1:13" s="228" customFormat="1" ht="19.5" thickBot="1" x14ac:dyDescent="0.3">
      <c r="A49" s="166" t="s">
        <v>458</v>
      </c>
      <c r="B49" s="225" t="s">
        <v>425</v>
      </c>
      <c r="C49" s="149">
        <v>856</v>
      </c>
      <c r="D49" s="149">
        <f>+IFERROR(VLOOKUP(C49,'Stock ISIS LK'!A:D,4,0),IFERROR(VLOOKUP(C49,'Stock ISIS CH'!A:D,4,0),0))</f>
        <v>0</v>
      </c>
      <c r="E49" s="149">
        <f t="shared" si="7"/>
        <v>0</v>
      </c>
      <c r="F49" s="164">
        <v>1</v>
      </c>
      <c r="G49" s="246">
        <v>3.7333333333333336E-2</v>
      </c>
      <c r="I49" s="224">
        <v>6</v>
      </c>
      <c r="J49" s="164">
        <f>IFERROR(VLOOKUP(C49,[2]MADRE!A:D,4,0),0)</f>
        <v>24</v>
      </c>
      <c r="K49" s="164">
        <f t="shared" si="3"/>
        <v>144</v>
      </c>
      <c r="L49" s="184">
        <f t="shared" si="6"/>
        <v>5.3760000000000003</v>
      </c>
      <c r="M49" s="230">
        <f>+IFERROR(VLOOKUP(C49,'Est Madre LK 10-25'!A:C,3),VLOOKUP(C49,'Est Madre CH 10-25'!A:C,3,0))</f>
        <v>2136</v>
      </c>
    </row>
  </sheetData>
  <autoFilter ref="A3:XEX41" xr:uid="{00000000-0009-0000-0000-00000E000000}"/>
  <mergeCells count="2">
    <mergeCell ref="I1:M2"/>
    <mergeCell ref="A1:G2"/>
  </mergeCells>
  <phoneticPr fontId="31" type="noConversion"/>
  <conditionalFormatting sqref="B45">
    <cfRule type="duplicateValues" dxfId="1" priority="2"/>
  </conditionalFormatting>
  <conditionalFormatting sqref="B47">
    <cfRule type="duplicateValues" dxfId="0" priority="1"/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125" orientation="portrait" r:id="rId1"/>
  <ignoredErrors>
    <ignoredError sqref="E38:E39 E40:E45" evalError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828"/>
  <sheetViews>
    <sheetView topLeftCell="A521" workbookViewId="0">
      <selection activeCell="L544" sqref="L544"/>
    </sheetView>
  </sheetViews>
  <sheetFormatPr baseColWidth="10" defaultRowHeight="15" x14ac:dyDescent="0.25"/>
  <cols>
    <col min="1" max="1" width="6.42578125" style="190" customWidth="1"/>
    <col min="2" max="10" width="11.42578125" style="190"/>
  </cols>
  <sheetData>
    <row r="1" spans="1:10" x14ac:dyDescent="0.25">
      <c r="A1" s="189"/>
      <c r="B1" s="189"/>
      <c r="C1" s="189"/>
      <c r="D1" s="189"/>
      <c r="E1" s="189"/>
      <c r="G1" s="189"/>
      <c r="H1" s="189"/>
      <c r="J1" s="189"/>
    </row>
    <row r="2" spans="1:10" x14ac:dyDescent="0.25">
      <c r="A2" s="189"/>
      <c r="B2" s="189"/>
      <c r="C2" s="189"/>
      <c r="D2" s="191"/>
      <c r="E2" s="191"/>
      <c r="F2" s="191"/>
      <c r="G2" s="191"/>
      <c r="H2" s="191"/>
      <c r="I2" s="191"/>
      <c r="J2" s="191"/>
    </row>
    <row r="3" spans="1:10" x14ac:dyDescent="0.25">
      <c r="A3" s="189"/>
      <c r="B3" s="189"/>
      <c r="C3" s="189"/>
      <c r="D3" s="191"/>
      <c r="E3" s="191"/>
      <c r="F3" s="191"/>
      <c r="G3" s="191"/>
      <c r="H3" s="191"/>
      <c r="I3" s="191"/>
      <c r="J3" s="191"/>
    </row>
    <row r="4" spans="1:10" x14ac:dyDescent="0.25">
      <c r="A4" s="189"/>
      <c r="B4" s="189"/>
      <c r="C4" s="189"/>
      <c r="D4" s="191"/>
      <c r="E4" s="191"/>
      <c r="F4" s="191"/>
      <c r="G4" s="191"/>
      <c r="H4" s="191"/>
      <c r="I4" s="191"/>
      <c r="J4" s="191"/>
    </row>
    <row r="5" spans="1:10" x14ac:dyDescent="0.25">
      <c r="A5" s="189"/>
      <c r="B5" s="189"/>
      <c r="C5" s="189"/>
      <c r="D5" s="191"/>
      <c r="E5" s="191"/>
      <c r="F5" s="191"/>
      <c r="G5" s="191"/>
      <c r="H5" s="191"/>
      <c r="I5" s="191"/>
      <c r="J5" s="191"/>
    </row>
    <row r="6" spans="1:10" x14ac:dyDescent="0.25">
      <c r="A6" s="189"/>
      <c r="B6" s="189"/>
      <c r="C6" s="189"/>
      <c r="D6" s="191"/>
      <c r="E6" s="191"/>
      <c r="F6" s="191"/>
      <c r="G6" s="191"/>
      <c r="H6" s="191"/>
      <c r="I6" s="191"/>
      <c r="J6" s="191"/>
    </row>
    <row r="7" spans="1:10" x14ac:dyDescent="0.25">
      <c r="A7" s="189"/>
      <c r="B7" s="189"/>
      <c r="C7" s="189"/>
      <c r="D7" s="191"/>
      <c r="E7" s="191"/>
      <c r="F7" s="191"/>
      <c r="G7" s="191"/>
      <c r="H7" s="191"/>
      <c r="I7" s="191"/>
      <c r="J7" s="191"/>
    </row>
    <row r="8" spans="1:10" x14ac:dyDescent="0.25">
      <c r="A8" s="189"/>
      <c r="B8" s="189"/>
      <c r="C8" s="189"/>
      <c r="D8" s="191"/>
      <c r="E8" s="191"/>
      <c r="F8" s="191"/>
      <c r="G8" s="191"/>
      <c r="H8" s="191"/>
      <c r="I8" s="191"/>
      <c r="J8" s="191"/>
    </row>
    <row r="9" spans="1:10" x14ac:dyDescent="0.25">
      <c r="A9" s="189"/>
      <c r="B9" s="189"/>
      <c r="C9" s="189"/>
      <c r="D9" s="191"/>
      <c r="E9" s="191"/>
      <c r="F9" s="191"/>
      <c r="G9" s="191"/>
      <c r="H9" s="191"/>
      <c r="I9" s="191"/>
      <c r="J9" s="191"/>
    </row>
    <row r="10" spans="1:10" x14ac:dyDescent="0.25">
      <c r="A10" s="189"/>
      <c r="B10" s="189"/>
      <c r="C10" s="189"/>
      <c r="D10" s="191"/>
      <c r="E10" s="191"/>
      <c r="F10" s="191"/>
      <c r="G10" s="191"/>
      <c r="H10" s="191"/>
      <c r="I10" s="191"/>
      <c r="J10" s="191"/>
    </row>
    <row r="11" spans="1:10" x14ac:dyDescent="0.25">
      <c r="A11" s="189"/>
      <c r="B11" s="189"/>
      <c r="C11" s="189"/>
      <c r="D11" s="191"/>
      <c r="E11" s="191"/>
      <c r="F11" s="191"/>
      <c r="G11" s="191"/>
      <c r="H11" s="191"/>
      <c r="I11" s="191"/>
      <c r="J11" s="191"/>
    </row>
    <row r="12" spans="1:10" x14ac:dyDescent="0.25">
      <c r="A12" s="189"/>
      <c r="B12" s="189"/>
      <c r="C12" s="189"/>
      <c r="D12" s="191"/>
      <c r="E12" s="191"/>
      <c r="F12" s="191"/>
      <c r="G12" s="191"/>
      <c r="H12" s="191"/>
      <c r="I12" s="191"/>
      <c r="J12" s="191"/>
    </row>
    <row r="13" spans="1:10" x14ac:dyDescent="0.25">
      <c r="A13" s="189"/>
      <c r="B13" s="189"/>
      <c r="C13" s="189"/>
      <c r="D13" s="191"/>
      <c r="E13" s="191"/>
      <c r="F13" s="191"/>
      <c r="G13" s="191"/>
      <c r="H13" s="191"/>
      <c r="I13" s="191"/>
      <c r="J13" s="191"/>
    </row>
    <row r="14" spans="1:10" x14ac:dyDescent="0.25">
      <c r="A14" s="189"/>
      <c r="B14" s="189"/>
      <c r="C14" s="189"/>
      <c r="D14" s="191"/>
      <c r="E14" s="191"/>
      <c r="F14" s="191"/>
      <c r="G14" s="191"/>
      <c r="H14" s="191"/>
      <c r="I14" s="191"/>
      <c r="J14" s="191"/>
    </row>
    <row r="15" spans="1:10" x14ac:dyDescent="0.25">
      <c r="A15" s="189"/>
      <c r="B15" s="189"/>
      <c r="C15" s="189"/>
      <c r="D15" s="191"/>
      <c r="E15" s="191"/>
      <c r="F15" s="191"/>
      <c r="G15" s="191"/>
      <c r="H15" s="191"/>
      <c r="I15" s="191"/>
      <c r="J15" s="191"/>
    </row>
    <row r="16" spans="1:10" x14ac:dyDescent="0.25">
      <c r="A16" s="189"/>
      <c r="B16" s="189"/>
      <c r="C16" s="189"/>
      <c r="D16" s="191"/>
      <c r="E16" s="191"/>
      <c r="F16" s="191"/>
      <c r="G16" s="191"/>
      <c r="H16" s="191"/>
      <c r="I16" s="191"/>
      <c r="J16" s="191"/>
    </row>
    <row r="17" spans="1:10" x14ac:dyDescent="0.25">
      <c r="A17" s="189"/>
      <c r="B17" s="189"/>
      <c r="C17" s="189"/>
      <c r="D17" s="191"/>
      <c r="E17" s="191"/>
      <c r="F17" s="191"/>
      <c r="G17" s="191"/>
      <c r="H17" s="191"/>
      <c r="I17" s="191"/>
      <c r="J17" s="191"/>
    </row>
    <row r="18" spans="1:10" x14ac:dyDescent="0.25">
      <c r="A18" s="189"/>
      <c r="B18" s="189"/>
      <c r="C18" s="189"/>
      <c r="D18" s="191"/>
      <c r="E18" s="191"/>
      <c r="F18" s="191"/>
      <c r="G18" s="191"/>
      <c r="H18" s="191"/>
      <c r="I18" s="191"/>
      <c r="J18" s="191"/>
    </row>
    <row r="19" spans="1:10" x14ac:dyDescent="0.25">
      <c r="A19" s="189"/>
      <c r="B19" s="189"/>
      <c r="C19" s="189"/>
      <c r="D19" s="191"/>
      <c r="E19" s="191"/>
      <c r="F19" s="191"/>
      <c r="G19" s="191"/>
      <c r="H19" s="191"/>
      <c r="I19" s="191"/>
      <c r="J19" s="191"/>
    </row>
    <row r="20" spans="1:10" x14ac:dyDescent="0.25">
      <c r="A20" s="189"/>
      <c r="B20" s="189"/>
      <c r="C20" s="189"/>
      <c r="D20" s="191"/>
      <c r="E20" s="191"/>
      <c r="F20" s="191"/>
      <c r="G20" s="191"/>
      <c r="H20" s="191"/>
      <c r="I20" s="191"/>
      <c r="J20" s="191"/>
    </row>
    <row r="21" spans="1:10" x14ac:dyDescent="0.25">
      <c r="A21" s="189"/>
      <c r="B21" s="189"/>
      <c r="C21" s="189"/>
      <c r="D21" s="191"/>
      <c r="E21" s="191"/>
      <c r="F21" s="191"/>
      <c r="G21" s="191"/>
      <c r="H21" s="191"/>
      <c r="I21" s="191"/>
      <c r="J21" s="191"/>
    </row>
    <row r="22" spans="1:10" x14ac:dyDescent="0.25">
      <c r="A22" s="189"/>
      <c r="B22" s="189"/>
      <c r="C22" s="189"/>
      <c r="D22" s="191"/>
      <c r="E22" s="191"/>
      <c r="F22" s="191"/>
      <c r="G22" s="191"/>
      <c r="H22" s="191"/>
      <c r="I22" s="191"/>
      <c r="J22" s="191"/>
    </row>
    <row r="23" spans="1:10" x14ac:dyDescent="0.25">
      <c r="A23" s="189"/>
      <c r="B23" s="189"/>
      <c r="C23" s="189"/>
      <c r="D23" s="191"/>
      <c r="E23" s="191"/>
      <c r="F23" s="191"/>
      <c r="G23" s="191"/>
      <c r="H23" s="191"/>
      <c r="I23" s="191"/>
      <c r="J23" s="191"/>
    </row>
    <row r="24" spans="1:10" x14ac:dyDescent="0.25">
      <c r="A24" s="189"/>
      <c r="B24" s="189"/>
      <c r="C24" s="189"/>
      <c r="D24" s="191"/>
      <c r="E24" s="191"/>
      <c r="F24" s="191"/>
      <c r="G24" s="191"/>
      <c r="H24" s="191"/>
      <c r="I24" s="191"/>
      <c r="J24" s="191"/>
    </row>
    <row r="25" spans="1:10" x14ac:dyDescent="0.25">
      <c r="A25" s="189"/>
      <c r="B25" s="189"/>
      <c r="C25" s="189"/>
      <c r="D25" s="191"/>
      <c r="E25" s="191"/>
      <c r="F25" s="191"/>
      <c r="G25" s="191"/>
      <c r="H25" s="191"/>
      <c r="I25" s="191"/>
      <c r="J25" s="191"/>
    </row>
    <row r="26" spans="1:10" x14ac:dyDescent="0.25">
      <c r="A26" s="189"/>
      <c r="B26" s="189"/>
      <c r="C26" s="189"/>
      <c r="D26" s="191"/>
      <c r="E26" s="191"/>
      <c r="F26" s="191"/>
      <c r="G26" s="191"/>
      <c r="H26" s="191"/>
      <c r="I26" s="191"/>
      <c r="J26" s="191"/>
    </row>
    <row r="27" spans="1:10" x14ac:dyDescent="0.25">
      <c r="A27" s="189"/>
      <c r="B27" s="189"/>
      <c r="C27" s="189"/>
      <c r="D27" s="191"/>
      <c r="E27" s="191"/>
      <c r="F27" s="191"/>
      <c r="G27" s="191"/>
      <c r="H27" s="191"/>
      <c r="I27" s="191"/>
      <c r="J27" s="191"/>
    </row>
    <row r="28" spans="1:10" x14ac:dyDescent="0.25">
      <c r="A28" s="189"/>
      <c r="B28" s="189"/>
      <c r="C28" s="189"/>
      <c r="D28" s="191"/>
      <c r="E28" s="191"/>
      <c r="F28" s="191"/>
      <c r="G28" s="191"/>
      <c r="H28" s="191"/>
      <c r="I28" s="191"/>
      <c r="J28" s="191"/>
    </row>
    <row r="29" spans="1:10" x14ac:dyDescent="0.25">
      <c r="A29" s="189"/>
      <c r="B29" s="189"/>
      <c r="C29" s="189"/>
      <c r="D29" s="191"/>
      <c r="E29" s="191"/>
      <c r="F29" s="191"/>
      <c r="G29" s="191"/>
      <c r="H29" s="191"/>
      <c r="I29" s="191"/>
      <c r="J29" s="191"/>
    </row>
    <row r="30" spans="1:10" x14ac:dyDescent="0.25">
      <c r="A30" s="189"/>
      <c r="B30" s="189"/>
      <c r="C30" s="189"/>
      <c r="D30" s="191"/>
      <c r="E30" s="191"/>
      <c r="F30" s="191"/>
      <c r="G30" s="191"/>
      <c r="H30" s="191"/>
      <c r="I30" s="191"/>
      <c r="J30" s="191"/>
    </row>
    <row r="31" spans="1:10" x14ac:dyDescent="0.25">
      <c r="A31" s="189"/>
      <c r="B31" s="189"/>
      <c r="C31" s="189"/>
      <c r="D31" s="191"/>
      <c r="E31" s="191"/>
      <c r="F31" s="191"/>
      <c r="G31" s="191"/>
      <c r="H31" s="191"/>
      <c r="I31" s="191"/>
      <c r="J31" s="191"/>
    </row>
    <row r="32" spans="1:10" x14ac:dyDescent="0.25">
      <c r="A32" s="189"/>
      <c r="B32" s="189"/>
      <c r="C32" s="189"/>
      <c r="D32" s="191"/>
      <c r="E32" s="191"/>
      <c r="F32" s="191"/>
      <c r="G32" s="191"/>
      <c r="H32" s="191"/>
      <c r="I32" s="191"/>
      <c r="J32" s="191"/>
    </row>
    <row r="33" spans="1:10" x14ac:dyDescent="0.25">
      <c r="A33" s="189"/>
      <c r="B33" s="189"/>
      <c r="C33" s="189"/>
      <c r="D33" s="191"/>
      <c r="E33" s="191"/>
      <c r="F33" s="191"/>
      <c r="G33" s="191"/>
      <c r="H33" s="191"/>
      <c r="I33" s="191"/>
      <c r="J33" s="191"/>
    </row>
    <row r="34" spans="1:10" x14ac:dyDescent="0.25">
      <c r="A34" s="189"/>
      <c r="B34" s="189"/>
      <c r="C34" s="189"/>
      <c r="D34" s="191"/>
      <c r="E34" s="191"/>
      <c r="F34" s="191"/>
      <c r="G34" s="191"/>
      <c r="H34" s="191"/>
      <c r="I34" s="191"/>
      <c r="J34" s="191"/>
    </row>
    <row r="35" spans="1:10" x14ac:dyDescent="0.25">
      <c r="A35" s="189"/>
      <c r="B35" s="189"/>
      <c r="C35" s="189"/>
      <c r="D35" s="191"/>
      <c r="E35" s="191"/>
      <c r="F35" s="191"/>
      <c r="G35" s="191"/>
      <c r="H35" s="191"/>
      <c r="I35" s="191"/>
      <c r="J35" s="191"/>
    </row>
    <row r="36" spans="1:10" x14ac:dyDescent="0.25">
      <c r="A36" s="189"/>
      <c r="B36" s="189"/>
      <c r="C36" s="189"/>
      <c r="D36" s="191"/>
      <c r="E36" s="191"/>
      <c r="F36" s="191"/>
      <c r="G36" s="191"/>
      <c r="H36" s="191"/>
      <c r="I36" s="191"/>
      <c r="J36" s="191"/>
    </row>
    <row r="37" spans="1:10" x14ac:dyDescent="0.25">
      <c r="A37" s="189"/>
      <c r="B37" s="189"/>
      <c r="C37" s="189"/>
      <c r="D37" s="191"/>
      <c r="E37" s="191"/>
      <c r="F37" s="191"/>
      <c r="G37" s="191"/>
      <c r="H37" s="191"/>
      <c r="I37" s="191"/>
      <c r="J37" s="191"/>
    </row>
    <row r="38" spans="1:10" x14ac:dyDescent="0.25">
      <c r="A38" s="189"/>
      <c r="B38" s="189"/>
      <c r="C38" s="189"/>
      <c r="D38" s="191"/>
      <c r="E38" s="191"/>
      <c r="F38" s="191"/>
      <c r="G38" s="191"/>
      <c r="H38" s="191"/>
      <c r="I38" s="191"/>
      <c r="J38" s="191"/>
    </row>
    <row r="39" spans="1:10" x14ac:dyDescent="0.25">
      <c r="A39" s="189"/>
      <c r="B39" s="189"/>
      <c r="C39" s="189"/>
      <c r="D39" s="191"/>
      <c r="E39" s="191"/>
      <c r="F39" s="191"/>
      <c r="G39" s="191"/>
      <c r="H39" s="191"/>
      <c r="I39" s="191"/>
      <c r="J39" s="191"/>
    </row>
    <row r="40" spans="1:10" x14ac:dyDescent="0.25">
      <c r="A40" s="189"/>
      <c r="B40" s="189"/>
      <c r="C40" s="189"/>
      <c r="D40" s="191"/>
      <c r="E40" s="191"/>
      <c r="F40" s="191"/>
      <c r="G40" s="191"/>
      <c r="H40" s="191"/>
      <c r="I40" s="191"/>
      <c r="J40" s="191"/>
    </row>
    <row r="41" spans="1:10" x14ac:dyDescent="0.25">
      <c r="A41" s="189"/>
      <c r="B41" s="189"/>
      <c r="C41" s="189"/>
      <c r="D41" s="191"/>
      <c r="E41" s="191"/>
      <c r="F41" s="191"/>
      <c r="G41" s="191"/>
      <c r="H41" s="191"/>
      <c r="I41" s="191"/>
      <c r="J41" s="191"/>
    </row>
    <row r="42" spans="1:10" x14ac:dyDescent="0.25">
      <c r="A42" s="189"/>
      <c r="B42" s="189"/>
      <c r="C42" s="189"/>
      <c r="D42" s="191"/>
      <c r="E42" s="191"/>
      <c r="F42" s="191"/>
      <c r="G42" s="191"/>
      <c r="H42" s="191"/>
      <c r="I42" s="191"/>
      <c r="J42" s="191"/>
    </row>
    <row r="43" spans="1:10" x14ac:dyDescent="0.25">
      <c r="A43" s="189"/>
      <c r="B43" s="189"/>
      <c r="C43" s="189"/>
      <c r="D43" s="191"/>
      <c r="E43" s="191"/>
      <c r="F43" s="191"/>
      <c r="G43" s="191"/>
      <c r="H43" s="191"/>
      <c r="I43" s="191"/>
      <c r="J43" s="191"/>
    </row>
    <row r="44" spans="1:10" x14ac:dyDescent="0.25">
      <c r="A44" s="189"/>
      <c r="B44" s="189"/>
      <c r="C44" s="189"/>
      <c r="D44" s="191"/>
      <c r="E44" s="191"/>
      <c r="F44" s="191"/>
      <c r="G44" s="191"/>
      <c r="H44" s="191"/>
      <c r="I44" s="191"/>
      <c r="J44" s="191"/>
    </row>
    <row r="45" spans="1:10" x14ac:dyDescent="0.25">
      <c r="A45" s="189"/>
      <c r="B45" s="189"/>
      <c r="C45" s="189"/>
      <c r="D45" s="191"/>
      <c r="E45" s="191"/>
      <c r="F45" s="191"/>
      <c r="G45" s="191"/>
      <c r="H45" s="191"/>
      <c r="I45" s="191"/>
      <c r="J45" s="191"/>
    </row>
    <row r="46" spans="1:10" x14ac:dyDescent="0.25">
      <c r="A46" s="189"/>
      <c r="B46" s="189"/>
      <c r="C46" s="189"/>
      <c r="D46" s="191"/>
      <c r="E46" s="191"/>
      <c r="F46" s="191"/>
      <c r="G46" s="191"/>
      <c r="H46" s="191"/>
      <c r="I46" s="191"/>
      <c r="J46" s="191"/>
    </row>
    <row r="47" spans="1:10" x14ac:dyDescent="0.25">
      <c r="A47" s="189"/>
      <c r="B47" s="189"/>
      <c r="C47" s="189"/>
      <c r="D47" s="191"/>
      <c r="E47" s="191"/>
      <c r="F47" s="191"/>
      <c r="G47" s="191"/>
      <c r="H47" s="191"/>
      <c r="I47" s="191"/>
      <c r="J47" s="191"/>
    </row>
    <row r="48" spans="1:10" x14ac:dyDescent="0.25">
      <c r="A48" s="189"/>
      <c r="B48" s="189"/>
      <c r="C48" s="189"/>
      <c r="D48" s="191"/>
      <c r="E48" s="191"/>
      <c r="F48" s="191"/>
      <c r="G48" s="191"/>
      <c r="H48" s="191"/>
      <c r="I48" s="191"/>
      <c r="J48" s="191"/>
    </row>
    <row r="49" spans="1:10" x14ac:dyDescent="0.25">
      <c r="A49" s="189"/>
      <c r="B49" s="189"/>
      <c r="C49" s="189"/>
      <c r="D49" s="191"/>
      <c r="E49" s="191"/>
      <c r="F49" s="191"/>
      <c r="G49" s="191"/>
      <c r="H49" s="191"/>
      <c r="I49" s="191"/>
      <c r="J49" s="191"/>
    </row>
    <row r="50" spans="1:10" x14ac:dyDescent="0.25">
      <c r="A50" s="189"/>
      <c r="B50" s="189"/>
      <c r="C50" s="189"/>
      <c r="D50" s="191"/>
      <c r="E50" s="191"/>
      <c r="F50" s="191"/>
      <c r="G50" s="191"/>
      <c r="H50" s="191"/>
      <c r="I50" s="191"/>
      <c r="J50" s="191"/>
    </row>
    <row r="51" spans="1:10" x14ac:dyDescent="0.25">
      <c r="A51" s="189"/>
      <c r="B51" s="189"/>
      <c r="C51" s="189"/>
      <c r="D51" s="191"/>
      <c r="E51" s="191"/>
      <c r="F51" s="191"/>
      <c r="G51" s="191"/>
      <c r="H51" s="191"/>
      <c r="I51" s="191"/>
      <c r="J51" s="191"/>
    </row>
    <row r="52" spans="1:10" x14ac:dyDescent="0.25">
      <c r="A52" s="189"/>
      <c r="B52" s="189"/>
      <c r="C52" s="189"/>
      <c r="D52" s="191"/>
      <c r="E52" s="191"/>
      <c r="F52" s="191"/>
      <c r="G52" s="191"/>
      <c r="H52" s="191"/>
      <c r="I52" s="191"/>
      <c r="J52" s="191"/>
    </row>
    <row r="53" spans="1:10" x14ac:dyDescent="0.25">
      <c r="A53" s="189"/>
      <c r="B53" s="189"/>
      <c r="C53" s="189"/>
      <c r="D53" s="191"/>
      <c r="E53" s="191"/>
      <c r="F53" s="191"/>
      <c r="G53" s="191"/>
      <c r="H53" s="191"/>
      <c r="I53" s="191"/>
      <c r="J53" s="191"/>
    </row>
    <row r="54" spans="1:10" x14ac:dyDescent="0.25">
      <c r="A54" s="189"/>
      <c r="B54" s="189"/>
      <c r="C54" s="189"/>
      <c r="D54" s="191"/>
      <c r="E54" s="191"/>
      <c r="F54" s="191"/>
      <c r="G54" s="191"/>
      <c r="H54" s="191"/>
      <c r="I54" s="191"/>
      <c r="J54" s="191"/>
    </row>
    <row r="55" spans="1:10" x14ac:dyDescent="0.25">
      <c r="A55" s="189"/>
      <c r="B55" s="189"/>
      <c r="C55" s="189"/>
      <c r="D55" s="191"/>
      <c r="E55" s="191"/>
      <c r="F55" s="191"/>
      <c r="G55" s="191"/>
      <c r="H55" s="191"/>
      <c r="I55" s="191"/>
      <c r="J55" s="191"/>
    </row>
    <row r="56" spans="1:10" x14ac:dyDescent="0.25">
      <c r="A56" s="189"/>
      <c r="B56" s="189"/>
      <c r="C56" s="189"/>
      <c r="D56" s="191"/>
      <c r="E56" s="191"/>
      <c r="F56" s="191"/>
      <c r="G56" s="191"/>
      <c r="H56" s="191"/>
      <c r="I56" s="191"/>
      <c r="J56" s="191"/>
    </row>
    <row r="57" spans="1:10" x14ac:dyDescent="0.25">
      <c r="A57" s="189"/>
      <c r="B57" s="189"/>
      <c r="C57" s="189"/>
      <c r="D57" s="191"/>
      <c r="E57" s="191"/>
      <c r="F57" s="191"/>
      <c r="G57" s="191"/>
      <c r="H57" s="191"/>
      <c r="I57" s="191"/>
      <c r="J57" s="191"/>
    </row>
    <row r="58" spans="1:10" x14ac:dyDescent="0.25">
      <c r="A58" s="189"/>
      <c r="B58" s="189"/>
      <c r="C58" s="189"/>
      <c r="D58" s="191"/>
      <c r="E58" s="191"/>
      <c r="F58" s="191"/>
      <c r="G58" s="191"/>
      <c r="H58" s="191"/>
      <c r="I58" s="191"/>
      <c r="J58" s="191"/>
    </row>
    <row r="59" spans="1:10" x14ac:dyDescent="0.25">
      <c r="A59" s="189"/>
      <c r="B59" s="189"/>
      <c r="C59" s="189"/>
      <c r="D59" s="191"/>
      <c r="E59" s="191"/>
      <c r="F59" s="191"/>
      <c r="G59" s="191"/>
      <c r="H59" s="191"/>
      <c r="I59" s="191"/>
      <c r="J59" s="191"/>
    </row>
    <row r="60" spans="1:10" x14ac:dyDescent="0.25">
      <c r="A60" s="189"/>
      <c r="B60" s="189"/>
      <c r="C60" s="189"/>
      <c r="D60" s="191"/>
      <c r="E60" s="191"/>
      <c r="F60" s="191"/>
      <c r="G60" s="191"/>
      <c r="H60" s="191"/>
      <c r="I60" s="191"/>
      <c r="J60" s="191"/>
    </row>
    <row r="61" spans="1:10" x14ac:dyDescent="0.25">
      <c r="A61" s="189"/>
      <c r="B61" s="189"/>
      <c r="C61" s="189"/>
      <c r="D61" s="191"/>
      <c r="E61" s="191"/>
      <c r="F61" s="191"/>
      <c r="G61" s="191"/>
      <c r="H61" s="191"/>
      <c r="I61" s="191"/>
      <c r="J61" s="191"/>
    </row>
    <row r="62" spans="1:10" x14ac:dyDescent="0.25">
      <c r="A62" s="189"/>
      <c r="B62" s="189"/>
      <c r="C62" s="189"/>
      <c r="D62" s="191"/>
      <c r="E62" s="191"/>
      <c r="F62" s="191"/>
      <c r="G62" s="191"/>
      <c r="H62" s="191"/>
      <c r="I62" s="191"/>
      <c r="J62" s="191"/>
    </row>
    <row r="63" spans="1:10" x14ac:dyDescent="0.25">
      <c r="A63" s="189"/>
      <c r="B63" s="189"/>
      <c r="C63" s="189"/>
      <c r="D63" s="191"/>
      <c r="E63" s="191"/>
      <c r="F63" s="191"/>
      <c r="G63" s="191"/>
      <c r="H63" s="191"/>
      <c r="I63" s="191"/>
      <c r="J63" s="191"/>
    </row>
    <row r="64" spans="1:10" x14ac:dyDescent="0.25">
      <c r="A64" s="189"/>
      <c r="B64" s="189"/>
      <c r="C64" s="189"/>
      <c r="D64" s="191"/>
      <c r="E64" s="191"/>
      <c r="F64" s="191"/>
      <c r="G64" s="191"/>
      <c r="H64" s="191"/>
      <c r="I64" s="191"/>
      <c r="J64" s="191"/>
    </row>
    <row r="65" spans="1:10" x14ac:dyDescent="0.25">
      <c r="A65" s="189"/>
      <c r="B65" s="189"/>
      <c r="C65" s="189"/>
      <c r="D65" s="191"/>
      <c r="E65" s="191"/>
      <c r="F65" s="191"/>
      <c r="G65" s="191"/>
      <c r="H65" s="191"/>
      <c r="I65" s="191"/>
      <c r="J65" s="191"/>
    </row>
    <row r="66" spans="1:10" x14ac:dyDescent="0.25">
      <c r="A66" s="189"/>
      <c r="B66" s="189"/>
      <c r="C66" s="189"/>
      <c r="D66" s="191"/>
      <c r="E66" s="191"/>
      <c r="F66" s="191"/>
      <c r="G66" s="191"/>
      <c r="H66" s="191"/>
      <c r="I66" s="191"/>
      <c r="J66" s="191"/>
    </row>
    <row r="67" spans="1:10" x14ac:dyDescent="0.25">
      <c r="A67" s="189"/>
      <c r="B67" s="189"/>
      <c r="C67" s="189"/>
      <c r="D67" s="191"/>
      <c r="E67" s="191"/>
      <c r="F67" s="191"/>
      <c r="G67" s="191"/>
      <c r="H67" s="191"/>
      <c r="I67" s="191"/>
      <c r="J67" s="191"/>
    </row>
    <row r="68" spans="1:10" x14ac:dyDescent="0.25">
      <c r="A68" s="189"/>
      <c r="B68" s="189"/>
      <c r="C68" s="189"/>
      <c r="D68" s="191"/>
      <c r="E68" s="191"/>
      <c r="F68" s="191"/>
      <c r="G68" s="191"/>
      <c r="H68" s="191"/>
      <c r="I68" s="191"/>
      <c r="J68" s="191"/>
    </row>
    <row r="69" spans="1:10" x14ac:dyDescent="0.25">
      <c r="A69" s="189"/>
      <c r="B69" s="189"/>
      <c r="C69" s="189"/>
      <c r="D69" s="191"/>
      <c r="E69" s="191"/>
      <c r="F69" s="191"/>
      <c r="G69" s="191"/>
      <c r="H69" s="191"/>
      <c r="I69" s="191"/>
      <c r="J69" s="191"/>
    </row>
    <row r="70" spans="1:10" x14ac:dyDescent="0.25">
      <c r="A70" s="189"/>
      <c r="B70" s="189"/>
      <c r="C70" s="189"/>
      <c r="D70" s="191"/>
      <c r="E70" s="191"/>
      <c r="F70" s="191"/>
      <c r="G70" s="191"/>
      <c r="H70" s="191"/>
      <c r="I70" s="191"/>
      <c r="J70" s="191"/>
    </row>
    <row r="71" spans="1:10" x14ac:dyDescent="0.25">
      <c r="A71" s="189"/>
      <c r="B71" s="189"/>
      <c r="C71" s="189"/>
      <c r="D71" s="191"/>
      <c r="E71" s="191"/>
      <c r="F71" s="191"/>
      <c r="G71" s="191"/>
      <c r="H71" s="191"/>
      <c r="I71" s="191"/>
      <c r="J71" s="191"/>
    </row>
    <row r="72" spans="1:10" x14ac:dyDescent="0.25">
      <c r="A72" s="189"/>
      <c r="B72" s="189"/>
      <c r="C72" s="189"/>
      <c r="D72" s="191"/>
      <c r="E72" s="191"/>
      <c r="F72" s="191"/>
      <c r="G72" s="191"/>
      <c r="H72" s="191"/>
      <c r="I72" s="191"/>
      <c r="J72" s="191"/>
    </row>
    <row r="73" spans="1:10" x14ac:dyDescent="0.25">
      <c r="A73" s="189"/>
      <c r="B73" s="189"/>
      <c r="C73" s="189"/>
      <c r="D73" s="191"/>
      <c r="E73" s="191"/>
      <c r="F73" s="191"/>
      <c r="G73" s="191"/>
      <c r="H73" s="191"/>
      <c r="I73" s="191"/>
      <c r="J73" s="191"/>
    </row>
    <row r="74" spans="1:10" x14ac:dyDescent="0.25">
      <c r="A74" s="189"/>
      <c r="B74" s="189"/>
      <c r="C74" s="189"/>
      <c r="D74" s="191"/>
      <c r="E74" s="191"/>
      <c r="F74" s="191"/>
      <c r="G74" s="191"/>
      <c r="H74" s="191"/>
      <c r="I74" s="191"/>
      <c r="J74" s="191"/>
    </row>
    <row r="75" spans="1:10" x14ac:dyDescent="0.25">
      <c r="A75" s="189"/>
      <c r="B75" s="189"/>
      <c r="C75" s="189"/>
      <c r="D75" s="191"/>
      <c r="E75" s="191"/>
      <c r="F75" s="191"/>
      <c r="G75" s="191"/>
      <c r="H75" s="191"/>
      <c r="I75" s="191"/>
      <c r="J75" s="191"/>
    </row>
    <row r="76" spans="1:10" x14ac:dyDescent="0.25">
      <c r="A76" s="189"/>
      <c r="B76" s="189"/>
      <c r="C76" s="189"/>
      <c r="D76" s="191"/>
      <c r="E76" s="191"/>
      <c r="F76" s="191"/>
      <c r="G76" s="191"/>
      <c r="H76" s="191"/>
      <c r="I76" s="191"/>
      <c r="J76" s="191"/>
    </row>
    <row r="77" spans="1:10" x14ac:dyDescent="0.25">
      <c r="A77" s="189"/>
      <c r="B77" s="189"/>
      <c r="C77" s="189"/>
      <c r="D77" s="191"/>
      <c r="E77" s="191"/>
      <c r="F77" s="191"/>
      <c r="G77" s="191"/>
      <c r="H77" s="191"/>
      <c r="I77" s="191"/>
      <c r="J77" s="191"/>
    </row>
    <row r="78" spans="1:10" x14ac:dyDescent="0.25">
      <c r="A78" s="189"/>
      <c r="B78" s="189"/>
      <c r="C78" s="189"/>
      <c r="D78" s="191"/>
      <c r="E78" s="191"/>
      <c r="F78" s="191"/>
      <c r="G78" s="191"/>
      <c r="H78" s="191"/>
      <c r="I78" s="191"/>
      <c r="J78" s="191"/>
    </row>
    <row r="79" spans="1:10" x14ac:dyDescent="0.25">
      <c r="A79" s="189"/>
      <c r="B79" s="189"/>
      <c r="C79" s="189"/>
      <c r="D79" s="191"/>
      <c r="E79" s="191"/>
      <c r="F79" s="191"/>
      <c r="G79" s="191"/>
      <c r="H79" s="191"/>
      <c r="I79" s="191"/>
      <c r="J79" s="191"/>
    </row>
    <row r="80" spans="1:10" x14ac:dyDescent="0.25">
      <c r="A80" s="189"/>
      <c r="B80" s="189"/>
      <c r="C80" s="189"/>
      <c r="D80" s="191"/>
      <c r="E80" s="191"/>
      <c r="F80" s="191"/>
      <c r="G80" s="191"/>
      <c r="H80" s="191"/>
      <c r="I80" s="191"/>
      <c r="J80" s="191"/>
    </row>
    <row r="81" spans="1:10" x14ac:dyDescent="0.25">
      <c r="A81" s="189"/>
      <c r="B81" s="189"/>
      <c r="C81" s="189"/>
      <c r="D81" s="191"/>
      <c r="E81" s="191"/>
      <c r="F81" s="191"/>
      <c r="G81" s="191"/>
      <c r="H81" s="191"/>
      <c r="I81" s="191"/>
      <c r="J81" s="191"/>
    </row>
    <row r="82" spans="1:10" x14ac:dyDescent="0.25">
      <c r="A82" s="189"/>
      <c r="B82" s="189"/>
      <c r="C82" s="189"/>
      <c r="D82" s="191"/>
      <c r="E82" s="191"/>
      <c r="F82" s="191"/>
      <c r="G82" s="191"/>
      <c r="H82" s="191"/>
      <c r="I82" s="191"/>
      <c r="J82" s="191"/>
    </row>
    <row r="83" spans="1:10" x14ac:dyDescent="0.25">
      <c r="A83" s="189"/>
      <c r="B83" s="189"/>
      <c r="C83" s="189"/>
      <c r="D83" s="191"/>
      <c r="E83" s="191"/>
      <c r="F83" s="191"/>
      <c r="G83" s="191"/>
      <c r="H83" s="191"/>
      <c r="I83" s="191"/>
      <c r="J83" s="191"/>
    </row>
    <row r="84" spans="1:10" x14ac:dyDescent="0.25">
      <c r="A84" s="189"/>
      <c r="B84" s="189"/>
      <c r="C84" s="189"/>
      <c r="D84" s="191"/>
      <c r="E84" s="191"/>
      <c r="F84" s="191"/>
      <c r="G84" s="191"/>
      <c r="H84" s="191"/>
      <c r="I84" s="191"/>
      <c r="J84" s="191"/>
    </row>
    <row r="85" spans="1:10" x14ac:dyDescent="0.25">
      <c r="A85" s="189"/>
      <c r="B85" s="189"/>
      <c r="C85" s="189"/>
      <c r="D85" s="191"/>
      <c r="E85" s="191"/>
      <c r="F85" s="191"/>
      <c r="G85" s="191"/>
      <c r="H85" s="191"/>
      <c r="I85" s="191"/>
      <c r="J85" s="191"/>
    </row>
    <row r="86" spans="1:10" x14ac:dyDescent="0.25">
      <c r="A86" s="189"/>
      <c r="B86" s="189"/>
      <c r="C86" s="189"/>
      <c r="D86" s="191"/>
      <c r="E86" s="191"/>
      <c r="F86" s="191"/>
      <c r="G86" s="191"/>
      <c r="H86" s="191"/>
      <c r="I86" s="191"/>
      <c r="J86" s="191"/>
    </row>
    <row r="87" spans="1:10" x14ac:dyDescent="0.25">
      <c r="A87" s="189"/>
      <c r="B87" s="189"/>
      <c r="C87" s="189"/>
      <c r="D87" s="191"/>
      <c r="E87" s="191"/>
      <c r="F87" s="191"/>
      <c r="G87" s="191"/>
      <c r="H87" s="191"/>
      <c r="I87" s="191"/>
      <c r="J87" s="191"/>
    </row>
    <row r="88" spans="1:10" x14ac:dyDescent="0.25">
      <c r="A88" s="189"/>
      <c r="B88" s="189"/>
      <c r="C88" s="189"/>
      <c r="D88" s="191"/>
      <c r="E88" s="191"/>
      <c r="F88" s="191"/>
      <c r="G88" s="191"/>
      <c r="H88" s="191"/>
      <c r="I88" s="191"/>
      <c r="J88" s="191"/>
    </row>
    <row r="89" spans="1:10" x14ac:dyDescent="0.25">
      <c r="A89" s="189"/>
      <c r="B89" s="189"/>
      <c r="C89" s="189"/>
      <c r="D89" s="191"/>
      <c r="E89" s="191"/>
      <c r="F89" s="191"/>
      <c r="G89" s="191"/>
      <c r="H89" s="191"/>
      <c r="I89" s="191"/>
      <c r="J89" s="191"/>
    </row>
    <row r="90" spans="1:10" x14ac:dyDescent="0.25">
      <c r="A90" s="189"/>
      <c r="B90" s="189"/>
      <c r="C90" s="189"/>
      <c r="D90" s="191"/>
      <c r="E90" s="191"/>
      <c r="F90" s="191"/>
      <c r="G90" s="191"/>
      <c r="H90" s="191"/>
      <c r="I90" s="191"/>
      <c r="J90" s="191"/>
    </row>
    <row r="91" spans="1:10" x14ac:dyDescent="0.25">
      <c r="A91" s="189"/>
      <c r="B91" s="189"/>
      <c r="C91" s="189"/>
      <c r="D91" s="191"/>
      <c r="E91" s="191"/>
      <c r="F91" s="191"/>
      <c r="G91" s="191"/>
      <c r="H91" s="191"/>
      <c r="I91" s="191"/>
      <c r="J91" s="191"/>
    </row>
    <row r="92" spans="1:10" x14ac:dyDescent="0.25">
      <c r="A92" s="189"/>
      <c r="B92" s="189"/>
      <c r="C92" s="189"/>
      <c r="D92" s="191"/>
      <c r="E92" s="191"/>
      <c r="F92" s="191"/>
      <c r="G92" s="191"/>
      <c r="H92" s="191"/>
      <c r="I92" s="191"/>
      <c r="J92" s="191"/>
    </row>
    <row r="93" spans="1:10" x14ac:dyDescent="0.25">
      <c r="A93" s="189"/>
      <c r="B93" s="189"/>
      <c r="C93" s="189"/>
      <c r="D93" s="191"/>
      <c r="E93" s="191"/>
      <c r="F93" s="191"/>
      <c r="G93" s="191"/>
      <c r="H93" s="191"/>
      <c r="I93" s="191"/>
      <c r="J93" s="191"/>
    </row>
    <row r="94" spans="1:10" x14ac:dyDescent="0.25">
      <c r="A94" s="189"/>
      <c r="B94" s="189"/>
      <c r="C94" s="189"/>
      <c r="D94" s="191"/>
      <c r="E94" s="191"/>
      <c r="F94" s="191"/>
      <c r="G94" s="191"/>
      <c r="H94" s="191"/>
      <c r="I94" s="191"/>
      <c r="J94" s="191"/>
    </row>
    <row r="95" spans="1:10" x14ac:dyDescent="0.25">
      <c r="A95" s="189"/>
      <c r="B95" s="189"/>
      <c r="C95" s="189"/>
      <c r="D95" s="191"/>
      <c r="E95" s="191"/>
      <c r="F95" s="191"/>
      <c r="G95" s="191"/>
      <c r="H95" s="191"/>
      <c r="I95" s="191"/>
      <c r="J95" s="191"/>
    </row>
    <row r="96" spans="1:10" x14ac:dyDescent="0.25">
      <c r="A96" s="189"/>
      <c r="B96" s="189"/>
      <c r="C96" s="189"/>
      <c r="D96" s="191"/>
      <c r="E96" s="191"/>
      <c r="F96" s="191"/>
      <c r="G96" s="191"/>
      <c r="H96" s="191"/>
      <c r="I96" s="191"/>
      <c r="J96" s="191"/>
    </row>
    <row r="97" spans="1:10" x14ac:dyDescent="0.25">
      <c r="A97" s="189"/>
      <c r="B97" s="189"/>
      <c r="C97" s="189"/>
      <c r="D97" s="191"/>
      <c r="E97" s="191"/>
      <c r="F97" s="191"/>
      <c r="G97" s="191"/>
      <c r="H97" s="191"/>
      <c r="I97" s="191"/>
      <c r="J97" s="191"/>
    </row>
    <row r="98" spans="1:10" x14ac:dyDescent="0.25">
      <c r="A98" s="189"/>
      <c r="B98" s="189"/>
      <c r="C98" s="189"/>
      <c r="D98" s="191"/>
      <c r="E98" s="191"/>
      <c r="F98" s="191"/>
      <c r="G98" s="191"/>
      <c r="H98" s="191"/>
      <c r="I98" s="191"/>
      <c r="J98" s="191"/>
    </row>
    <row r="99" spans="1:10" x14ac:dyDescent="0.25">
      <c r="A99" s="189"/>
      <c r="B99" s="189"/>
      <c r="C99" s="189"/>
      <c r="D99" s="191"/>
      <c r="E99" s="191"/>
      <c r="F99" s="191"/>
      <c r="G99" s="191"/>
      <c r="H99" s="191"/>
      <c r="I99" s="191"/>
      <c r="J99" s="191"/>
    </row>
    <row r="100" spans="1:10" x14ac:dyDescent="0.25">
      <c r="A100" s="189"/>
      <c r="B100" s="189"/>
      <c r="C100" s="189"/>
      <c r="D100" s="191"/>
      <c r="E100" s="191"/>
      <c r="F100" s="191"/>
      <c r="G100" s="191"/>
      <c r="H100" s="191"/>
      <c r="I100" s="191"/>
      <c r="J100" s="191"/>
    </row>
    <row r="101" spans="1:10" x14ac:dyDescent="0.25">
      <c r="A101" s="189"/>
      <c r="B101" s="189"/>
      <c r="C101" s="189"/>
      <c r="D101" s="191"/>
      <c r="E101" s="191"/>
      <c r="F101" s="191"/>
      <c r="G101" s="191"/>
      <c r="H101" s="191"/>
      <c r="I101" s="191"/>
      <c r="J101" s="191"/>
    </row>
    <row r="102" spans="1:10" x14ac:dyDescent="0.25">
      <c r="A102" s="189"/>
      <c r="B102" s="189"/>
      <c r="C102" s="189"/>
      <c r="D102" s="191"/>
      <c r="E102" s="191"/>
      <c r="F102" s="191"/>
      <c r="G102" s="191"/>
      <c r="H102" s="191"/>
      <c r="I102" s="191"/>
      <c r="J102" s="191"/>
    </row>
    <row r="103" spans="1:10" x14ac:dyDescent="0.25">
      <c r="A103" s="189"/>
      <c r="B103" s="189"/>
      <c r="C103" s="189"/>
      <c r="D103" s="191"/>
      <c r="E103" s="191"/>
      <c r="F103" s="191"/>
      <c r="G103" s="191"/>
      <c r="H103" s="191"/>
      <c r="I103" s="191"/>
      <c r="J103" s="191"/>
    </row>
    <row r="104" spans="1:10" x14ac:dyDescent="0.25">
      <c r="A104" s="189"/>
      <c r="B104" s="189"/>
      <c r="C104" s="189"/>
      <c r="D104" s="191"/>
      <c r="E104" s="191"/>
      <c r="F104" s="191"/>
      <c r="G104" s="191"/>
      <c r="H104" s="191"/>
      <c r="I104" s="191"/>
      <c r="J104" s="191"/>
    </row>
    <row r="105" spans="1:10" x14ac:dyDescent="0.25">
      <c r="A105" s="189"/>
      <c r="B105" s="189"/>
      <c r="C105" s="189"/>
      <c r="D105" s="191"/>
      <c r="E105" s="191"/>
      <c r="F105" s="191"/>
      <c r="G105" s="191"/>
      <c r="H105" s="191"/>
      <c r="I105" s="191"/>
      <c r="J105" s="191"/>
    </row>
    <row r="106" spans="1:10" x14ac:dyDescent="0.25">
      <c r="A106" s="189"/>
      <c r="B106" s="189"/>
      <c r="C106" s="189"/>
      <c r="D106" s="191"/>
      <c r="E106" s="191"/>
      <c r="F106" s="191"/>
      <c r="G106" s="191"/>
      <c r="H106" s="191"/>
      <c r="I106" s="191"/>
      <c r="J106" s="191"/>
    </row>
    <row r="107" spans="1:10" x14ac:dyDescent="0.25">
      <c r="A107" s="189"/>
      <c r="B107" s="189"/>
      <c r="C107" s="189"/>
      <c r="D107" s="191"/>
      <c r="E107" s="191"/>
      <c r="F107" s="191"/>
      <c r="G107" s="191"/>
      <c r="H107" s="191"/>
      <c r="I107" s="191"/>
      <c r="J107" s="191"/>
    </row>
    <row r="108" spans="1:10" x14ac:dyDescent="0.25">
      <c r="A108" s="189"/>
      <c r="B108" s="189"/>
      <c r="C108" s="189"/>
      <c r="D108" s="191"/>
      <c r="E108" s="191"/>
      <c r="F108" s="191"/>
      <c r="G108" s="191"/>
      <c r="H108" s="191"/>
      <c r="I108" s="191"/>
      <c r="J108" s="191"/>
    </row>
    <row r="109" spans="1:10" x14ac:dyDescent="0.25">
      <c r="A109" s="189"/>
      <c r="B109" s="189"/>
      <c r="C109" s="189"/>
      <c r="D109" s="191"/>
      <c r="E109" s="191"/>
      <c r="F109" s="191"/>
      <c r="G109" s="191"/>
      <c r="H109" s="191"/>
      <c r="I109" s="191"/>
      <c r="J109" s="191"/>
    </row>
    <row r="110" spans="1:10" x14ac:dyDescent="0.25">
      <c r="A110" s="189"/>
      <c r="B110" s="189"/>
      <c r="C110" s="189"/>
      <c r="D110" s="191"/>
      <c r="E110" s="191"/>
      <c r="F110" s="191"/>
      <c r="G110" s="191"/>
      <c r="H110" s="191"/>
      <c r="I110" s="191"/>
      <c r="J110" s="191"/>
    </row>
    <row r="111" spans="1:10" x14ac:dyDescent="0.25">
      <c r="A111" s="189"/>
      <c r="B111" s="189"/>
      <c r="C111" s="189"/>
      <c r="D111" s="191"/>
      <c r="E111" s="191"/>
      <c r="F111" s="191"/>
      <c r="G111" s="191"/>
      <c r="H111" s="191"/>
      <c r="I111" s="191"/>
      <c r="J111" s="191"/>
    </row>
    <row r="112" spans="1:10" x14ac:dyDescent="0.25">
      <c r="A112" s="189"/>
      <c r="B112" s="189"/>
      <c r="C112" s="189"/>
      <c r="D112" s="191"/>
      <c r="E112" s="191"/>
      <c r="F112" s="191"/>
      <c r="G112" s="191"/>
      <c r="H112" s="191"/>
      <c r="I112" s="191"/>
      <c r="J112" s="191"/>
    </row>
    <row r="113" spans="1:10" x14ac:dyDescent="0.25">
      <c r="A113" s="189"/>
      <c r="B113" s="189"/>
      <c r="C113" s="189"/>
      <c r="D113" s="191"/>
      <c r="E113" s="191"/>
      <c r="F113" s="191"/>
      <c r="G113" s="191"/>
      <c r="H113" s="191"/>
      <c r="I113" s="191"/>
      <c r="J113" s="191"/>
    </row>
    <row r="114" spans="1:10" x14ac:dyDescent="0.25">
      <c r="A114" s="189"/>
      <c r="B114" s="189"/>
      <c r="C114" s="189"/>
      <c r="D114" s="191"/>
      <c r="E114" s="191"/>
      <c r="F114" s="191"/>
      <c r="G114" s="191"/>
      <c r="H114" s="191"/>
      <c r="I114" s="191"/>
      <c r="J114" s="191"/>
    </row>
    <row r="115" spans="1:10" x14ac:dyDescent="0.25">
      <c r="A115" s="189"/>
      <c r="B115" s="189"/>
      <c r="C115" s="189"/>
      <c r="D115" s="191"/>
      <c r="E115" s="191"/>
      <c r="F115" s="191"/>
      <c r="G115" s="191"/>
      <c r="H115" s="191"/>
      <c r="I115" s="191"/>
      <c r="J115" s="191"/>
    </row>
    <row r="116" spans="1:10" x14ac:dyDescent="0.25">
      <c r="A116" s="189"/>
      <c r="B116" s="189"/>
      <c r="C116" s="189"/>
      <c r="D116" s="191"/>
      <c r="E116" s="191"/>
      <c r="F116" s="191"/>
      <c r="G116" s="191"/>
      <c r="H116" s="191"/>
      <c r="I116" s="191"/>
      <c r="J116" s="191"/>
    </row>
    <row r="117" spans="1:10" x14ac:dyDescent="0.25">
      <c r="A117" s="189"/>
      <c r="B117" s="189"/>
      <c r="C117" s="189"/>
      <c r="D117" s="191"/>
      <c r="E117" s="191"/>
      <c r="F117" s="191"/>
      <c r="G117" s="191"/>
      <c r="H117" s="191"/>
      <c r="I117" s="191"/>
      <c r="J117" s="191"/>
    </row>
    <row r="118" spans="1:10" x14ac:dyDescent="0.25">
      <c r="A118" s="189"/>
      <c r="B118" s="189"/>
      <c r="C118" s="189"/>
      <c r="D118" s="191"/>
      <c r="E118" s="191"/>
      <c r="F118" s="191"/>
      <c r="G118" s="191"/>
      <c r="H118" s="191"/>
      <c r="I118" s="191"/>
      <c r="J118" s="191"/>
    </row>
    <row r="119" spans="1:10" x14ac:dyDescent="0.25">
      <c r="A119" s="189"/>
      <c r="B119" s="189"/>
      <c r="C119" s="189"/>
      <c r="D119" s="191"/>
      <c r="E119" s="191"/>
      <c r="F119" s="191"/>
      <c r="G119" s="191"/>
      <c r="H119" s="191"/>
      <c r="I119" s="191"/>
      <c r="J119" s="191"/>
    </row>
    <row r="120" spans="1:10" x14ac:dyDescent="0.25">
      <c r="A120" s="189"/>
      <c r="B120" s="189"/>
      <c r="C120" s="189"/>
      <c r="D120" s="191"/>
      <c r="E120" s="191"/>
      <c r="F120" s="191"/>
      <c r="G120" s="191"/>
      <c r="H120" s="191"/>
      <c r="I120" s="191"/>
      <c r="J120" s="191"/>
    </row>
    <row r="121" spans="1:10" x14ac:dyDescent="0.25">
      <c r="A121" s="189"/>
      <c r="B121" s="189"/>
      <c r="C121" s="189"/>
      <c r="D121" s="191"/>
      <c r="E121" s="191"/>
      <c r="F121" s="191"/>
      <c r="G121" s="191"/>
      <c r="H121" s="191"/>
      <c r="I121" s="191"/>
      <c r="J121" s="191"/>
    </row>
    <row r="122" spans="1:10" x14ac:dyDescent="0.25">
      <c r="A122" s="189"/>
      <c r="B122" s="189"/>
      <c r="C122" s="189"/>
      <c r="D122" s="191"/>
      <c r="E122" s="191"/>
      <c r="F122" s="191"/>
      <c r="G122" s="191"/>
      <c r="H122" s="191"/>
      <c r="I122" s="191"/>
      <c r="J122" s="191"/>
    </row>
    <row r="123" spans="1:10" x14ac:dyDescent="0.25">
      <c r="A123" s="189"/>
      <c r="B123" s="189"/>
      <c r="C123" s="189"/>
      <c r="D123" s="191"/>
      <c r="E123" s="191"/>
      <c r="F123" s="191"/>
      <c r="G123" s="191"/>
      <c r="H123" s="191"/>
      <c r="I123" s="191"/>
      <c r="J123" s="191"/>
    </row>
    <row r="124" spans="1:10" x14ac:dyDescent="0.25">
      <c r="A124" s="189"/>
      <c r="B124" s="189"/>
      <c r="C124" s="189"/>
      <c r="D124" s="191"/>
      <c r="E124" s="191"/>
      <c r="F124" s="191"/>
      <c r="G124" s="191"/>
      <c r="H124" s="191"/>
      <c r="I124" s="191"/>
      <c r="J124" s="191"/>
    </row>
    <row r="125" spans="1:10" x14ac:dyDescent="0.25">
      <c r="A125" s="189"/>
      <c r="B125" s="189"/>
      <c r="C125" s="189"/>
      <c r="D125" s="191"/>
      <c r="E125" s="191"/>
      <c r="F125" s="191"/>
      <c r="G125" s="191"/>
      <c r="H125" s="191"/>
      <c r="I125" s="191"/>
      <c r="J125" s="191"/>
    </row>
    <row r="126" spans="1:10" x14ac:dyDescent="0.25">
      <c r="A126" s="189"/>
      <c r="B126" s="189"/>
      <c r="C126" s="189"/>
      <c r="D126" s="191"/>
      <c r="E126" s="191"/>
      <c r="F126" s="191"/>
      <c r="G126" s="191"/>
      <c r="H126" s="191"/>
      <c r="I126" s="191"/>
      <c r="J126" s="191"/>
    </row>
    <row r="127" spans="1:10" x14ac:dyDescent="0.25">
      <c r="A127" s="189"/>
      <c r="B127" s="189"/>
      <c r="C127" s="189"/>
      <c r="D127" s="191"/>
      <c r="E127" s="191"/>
      <c r="F127" s="191"/>
      <c r="G127" s="191"/>
      <c r="H127" s="191"/>
      <c r="I127" s="191"/>
      <c r="J127" s="191"/>
    </row>
    <row r="128" spans="1:10" x14ac:dyDescent="0.25">
      <c r="A128" s="189"/>
      <c r="B128" s="189"/>
      <c r="C128" s="189"/>
      <c r="D128" s="191"/>
      <c r="E128" s="191"/>
      <c r="F128" s="191"/>
      <c r="G128" s="191"/>
      <c r="H128" s="191"/>
      <c r="I128" s="191"/>
      <c r="J128" s="191"/>
    </row>
    <row r="129" spans="1:10" x14ac:dyDescent="0.25">
      <c r="A129" s="189"/>
      <c r="B129" s="189"/>
      <c r="C129" s="189"/>
      <c r="D129" s="191"/>
      <c r="E129" s="191"/>
      <c r="F129" s="191"/>
      <c r="G129" s="191"/>
      <c r="H129" s="191"/>
      <c r="I129" s="191"/>
      <c r="J129" s="191"/>
    </row>
    <row r="130" spans="1:10" x14ac:dyDescent="0.25">
      <c r="A130" s="189"/>
      <c r="B130" s="189"/>
      <c r="C130" s="189"/>
      <c r="D130" s="191"/>
      <c r="E130" s="191"/>
      <c r="F130" s="191"/>
      <c r="G130" s="191"/>
      <c r="H130" s="191"/>
      <c r="I130" s="191"/>
      <c r="J130" s="191"/>
    </row>
    <row r="131" spans="1:10" x14ac:dyDescent="0.25">
      <c r="A131" s="189"/>
      <c r="B131" s="189"/>
      <c r="C131" s="189"/>
      <c r="D131" s="191"/>
      <c r="E131" s="191"/>
      <c r="F131" s="191"/>
      <c r="G131" s="191"/>
      <c r="H131" s="191"/>
      <c r="I131" s="191"/>
      <c r="J131" s="191"/>
    </row>
    <row r="132" spans="1:10" x14ac:dyDescent="0.25">
      <c r="A132" s="189"/>
      <c r="B132" s="189"/>
      <c r="C132" s="189"/>
      <c r="D132" s="191"/>
      <c r="E132" s="191"/>
      <c r="F132" s="191"/>
      <c r="G132" s="191"/>
      <c r="H132" s="191"/>
      <c r="I132" s="191"/>
      <c r="J132" s="191"/>
    </row>
    <row r="133" spans="1:10" x14ac:dyDescent="0.25">
      <c r="A133" s="189"/>
      <c r="B133" s="189"/>
      <c r="C133" s="189"/>
      <c r="D133" s="191"/>
      <c r="E133" s="191"/>
      <c r="F133" s="191"/>
      <c r="G133" s="191"/>
      <c r="H133" s="191"/>
      <c r="I133" s="191"/>
      <c r="J133" s="191"/>
    </row>
    <row r="134" spans="1:10" x14ac:dyDescent="0.25">
      <c r="A134" s="189"/>
      <c r="B134" s="189"/>
      <c r="C134" s="189"/>
      <c r="D134" s="191"/>
      <c r="E134" s="191"/>
      <c r="F134" s="191"/>
      <c r="G134" s="191"/>
      <c r="H134" s="191"/>
      <c r="I134" s="191"/>
      <c r="J134" s="191"/>
    </row>
    <row r="135" spans="1:10" x14ac:dyDescent="0.25">
      <c r="A135" s="189"/>
      <c r="B135" s="189"/>
      <c r="C135" s="189"/>
      <c r="D135" s="191"/>
      <c r="E135" s="191"/>
      <c r="F135" s="191"/>
      <c r="G135" s="191"/>
      <c r="H135" s="191"/>
      <c r="I135" s="191"/>
      <c r="J135" s="191"/>
    </row>
    <row r="136" spans="1:10" x14ac:dyDescent="0.25">
      <c r="A136" s="189"/>
      <c r="B136" s="189"/>
      <c r="C136" s="189"/>
      <c r="D136" s="191"/>
      <c r="E136" s="191"/>
      <c r="F136" s="191"/>
      <c r="G136" s="191"/>
      <c r="H136" s="191"/>
      <c r="I136" s="191"/>
      <c r="J136" s="191"/>
    </row>
    <row r="137" spans="1:10" x14ac:dyDescent="0.25">
      <c r="A137" s="189"/>
      <c r="B137" s="189"/>
      <c r="C137" s="189"/>
      <c r="D137" s="191"/>
      <c r="E137" s="191"/>
      <c r="F137" s="191"/>
      <c r="G137" s="191"/>
      <c r="H137" s="191"/>
      <c r="I137" s="191"/>
      <c r="J137" s="191"/>
    </row>
    <row r="138" spans="1:10" x14ac:dyDescent="0.25">
      <c r="A138" s="189"/>
      <c r="B138" s="189"/>
      <c r="C138" s="189"/>
      <c r="D138" s="191"/>
      <c r="E138" s="191"/>
      <c r="F138" s="191"/>
      <c r="G138" s="191"/>
      <c r="H138" s="191"/>
      <c r="I138" s="191"/>
      <c r="J138" s="191"/>
    </row>
    <row r="139" spans="1:10" x14ac:dyDescent="0.25">
      <c r="A139" s="189"/>
      <c r="B139" s="189"/>
      <c r="C139" s="189"/>
      <c r="D139" s="191"/>
      <c r="E139" s="191"/>
      <c r="F139" s="191"/>
      <c r="G139" s="191"/>
      <c r="H139" s="191"/>
      <c r="I139" s="191"/>
      <c r="J139" s="191"/>
    </row>
    <row r="140" spans="1:10" x14ac:dyDescent="0.25">
      <c r="A140" s="189"/>
      <c r="B140" s="189"/>
      <c r="C140" s="189"/>
      <c r="D140" s="191"/>
      <c r="E140" s="191"/>
      <c r="F140" s="191"/>
      <c r="G140" s="191"/>
      <c r="H140" s="191"/>
      <c r="I140" s="191"/>
      <c r="J140" s="191"/>
    </row>
    <row r="141" spans="1:10" x14ac:dyDescent="0.25">
      <c r="A141" s="189"/>
      <c r="B141" s="189"/>
      <c r="C141" s="189"/>
      <c r="D141" s="191"/>
      <c r="E141" s="191"/>
      <c r="F141" s="191"/>
      <c r="G141" s="191"/>
      <c r="H141" s="191"/>
      <c r="I141" s="191"/>
      <c r="J141" s="191"/>
    </row>
    <row r="142" spans="1:10" x14ac:dyDescent="0.25">
      <c r="A142" s="189"/>
      <c r="B142" s="189"/>
      <c r="C142" s="189"/>
      <c r="D142" s="191"/>
      <c r="E142" s="191"/>
      <c r="F142" s="191"/>
      <c r="G142" s="191"/>
      <c r="H142" s="191"/>
      <c r="I142" s="191"/>
      <c r="J142" s="191"/>
    </row>
    <row r="143" spans="1:10" x14ac:dyDescent="0.25">
      <c r="A143" s="189"/>
      <c r="B143" s="189"/>
      <c r="C143" s="189"/>
      <c r="D143" s="191"/>
      <c r="E143" s="191"/>
      <c r="F143" s="191"/>
      <c r="G143" s="191"/>
      <c r="H143" s="191"/>
      <c r="I143" s="191"/>
      <c r="J143" s="191"/>
    </row>
    <row r="144" spans="1:10" x14ac:dyDescent="0.25">
      <c r="A144" s="189"/>
      <c r="B144" s="189"/>
      <c r="C144" s="189"/>
      <c r="D144" s="191"/>
      <c r="E144" s="191"/>
      <c r="F144" s="191"/>
      <c r="G144" s="191"/>
      <c r="H144" s="191"/>
      <c r="I144" s="191"/>
      <c r="J144" s="191"/>
    </row>
    <row r="145" spans="1:10" x14ac:dyDescent="0.25">
      <c r="A145" s="189"/>
      <c r="B145" s="189"/>
      <c r="C145" s="189"/>
      <c r="D145" s="191"/>
      <c r="E145" s="191"/>
      <c r="F145" s="191"/>
      <c r="G145" s="191"/>
      <c r="H145" s="191"/>
      <c r="I145" s="191"/>
      <c r="J145" s="191"/>
    </row>
    <row r="146" spans="1:10" x14ac:dyDescent="0.25">
      <c r="A146" s="189"/>
      <c r="B146" s="189"/>
      <c r="C146" s="189"/>
      <c r="D146" s="191"/>
      <c r="E146" s="191"/>
      <c r="F146" s="191"/>
      <c r="G146" s="191"/>
      <c r="H146" s="191"/>
      <c r="I146" s="191"/>
      <c r="J146" s="191"/>
    </row>
    <row r="147" spans="1:10" x14ac:dyDescent="0.25">
      <c r="A147" s="189"/>
      <c r="B147" s="189"/>
      <c r="C147" s="189"/>
      <c r="D147" s="191"/>
      <c r="E147" s="191"/>
      <c r="F147" s="191"/>
      <c r="G147" s="191"/>
      <c r="H147" s="191"/>
      <c r="I147" s="191"/>
      <c r="J147" s="191"/>
    </row>
    <row r="148" spans="1:10" x14ac:dyDescent="0.25">
      <c r="A148" s="189"/>
      <c r="B148" s="189"/>
      <c r="C148" s="189"/>
      <c r="D148" s="191"/>
      <c r="E148" s="191"/>
      <c r="F148" s="191"/>
      <c r="G148" s="191"/>
      <c r="H148" s="191"/>
      <c r="I148" s="191"/>
      <c r="J148" s="191"/>
    </row>
    <row r="149" spans="1:10" x14ac:dyDescent="0.25">
      <c r="A149" s="189"/>
      <c r="B149" s="189"/>
      <c r="C149" s="189"/>
      <c r="D149" s="191"/>
      <c r="E149" s="191"/>
      <c r="F149" s="191"/>
      <c r="G149" s="191"/>
      <c r="H149" s="191"/>
      <c r="I149" s="191"/>
      <c r="J149" s="191"/>
    </row>
    <row r="150" spans="1:10" x14ac:dyDescent="0.25">
      <c r="A150" s="189"/>
      <c r="B150" s="189"/>
      <c r="C150" s="189"/>
      <c r="D150" s="191"/>
      <c r="E150" s="191"/>
      <c r="F150" s="191"/>
      <c r="G150" s="191"/>
      <c r="H150" s="191"/>
      <c r="I150" s="191"/>
      <c r="J150" s="191"/>
    </row>
    <row r="151" spans="1:10" x14ac:dyDescent="0.25">
      <c r="A151" s="189"/>
      <c r="B151" s="189"/>
      <c r="C151" s="189"/>
      <c r="D151" s="191"/>
      <c r="E151" s="191"/>
      <c r="F151" s="191"/>
      <c r="G151" s="191"/>
      <c r="H151" s="191"/>
      <c r="I151" s="191"/>
      <c r="J151" s="191"/>
    </row>
    <row r="152" spans="1:10" x14ac:dyDescent="0.25">
      <c r="A152" s="189"/>
      <c r="B152" s="189"/>
      <c r="C152" s="189"/>
      <c r="D152" s="191"/>
      <c r="E152" s="191"/>
      <c r="F152" s="191"/>
      <c r="G152" s="191"/>
      <c r="H152" s="191"/>
      <c r="I152" s="191"/>
      <c r="J152" s="191"/>
    </row>
    <row r="153" spans="1:10" x14ac:dyDescent="0.25">
      <c r="A153" s="189"/>
      <c r="B153" s="189"/>
      <c r="C153" s="189"/>
      <c r="D153" s="191"/>
      <c r="E153" s="191"/>
      <c r="F153" s="191"/>
      <c r="G153" s="191"/>
      <c r="H153" s="191"/>
      <c r="I153" s="191"/>
      <c r="J153" s="191"/>
    </row>
    <row r="154" spans="1:10" x14ac:dyDescent="0.25">
      <c r="A154" s="189"/>
      <c r="B154" s="189"/>
      <c r="C154" s="189"/>
      <c r="D154" s="191"/>
      <c r="E154" s="191"/>
      <c r="F154" s="191"/>
      <c r="G154" s="191"/>
      <c r="H154" s="191"/>
      <c r="I154" s="191"/>
      <c r="J154" s="191"/>
    </row>
    <row r="155" spans="1:10" x14ac:dyDescent="0.25">
      <c r="A155" s="189"/>
      <c r="B155" s="189"/>
      <c r="C155" s="189"/>
      <c r="D155" s="191"/>
      <c r="E155" s="191"/>
      <c r="F155" s="191"/>
      <c r="G155" s="191"/>
      <c r="H155" s="191"/>
      <c r="I155" s="191"/>
      <c r="J155" s="191"/>
    </row>
    <row r="156" spans="1:10" x14ac:dyDescent="0.25">
      <c r="A156" s="189"/>
      <c r="B156" s="189"/>
      <c r="C156" s="189"/>
      <c r="D156" s="191"/>
      <c r="E156" s="191"/>
      <c r="F156" s="191"/>
      <c r="G156" s="191"/>
      <c r="H156" s="191"/>
      <c r="I156" s="191"/>
      <c r="J156" s="191"/>
    </row>
    <row r="157" spans="1:10" x14ac:dyDescent="0.25">
      <c r="A157" s="189"/>
      <c r="B157" s="189"/>
      <c r="C157" s="189"/>
      <c r="D157" s="191"/>
      <c r="E157" s="191"/>
      <c r="F157" s="191"/>
      <c r="G157" s="191"/>
      <c r="H157" s="191"/>
      <c r="I157" s="191"/>
      <c r="J157" s="191"/>
    </row>
    <row r="158" spans="1:10" x14ac:dyDescent="0.25">
      <c r="A158" s="189"/>
      <c r="B158" s="189"/>
      <c r="C158" s="189"/>
      <c r="D158" s="191"/>
      <c r="E158" s="191"/>
      <c r="F158" s="191"/>
      <c r="G158" s="191"/>
      <c r="H158" s="191"/>
      <c r="I158" s="191"/>
      <c r="J158" s="191"/>
    </row>
    <row r="159" spans="1:10" x14ac:dyDescent="0.25">
      <c r="A159" s="189"/>
      <c r="B159" s="189"/>
      <c r="C159" s="189"/>
      <c r="D159" s="191"/>
      <c r="E159" s="191"/>
      <c r="F159" s="191"/>
      <c r="G159" s="191"/>
      <c r="H159" s="191"/>
      <c r="I159" s="191"/>
      <c r="J159" s="191"/>
    </row>
    <row r="160" spans="1:10" x14ac:dyDescent="0.25">
      <c r="A160" s="189"/>
      <c r="B160" s="189"/>
      <c r="C160" s="189"/>
      <c r="D160" s="191"/>
      <c r="E160" s="191"/>
      <c r="F160" s="191"/>
      <c r="G160" s="191"/>
      <c r="H160" s="191"/>
      <c r="I160" s="191"/>
      <c r="J160" s="191"/>
    </row>
    <row r="161" spans="1:10" x14ac:dyDescent="0.25">
      <c r="A161" s="189"/>
      <c r="B161" s="189"/>
      <c r="C161" s="189"/>
      <c r="D161" s="191"/>
      <c r="E161" s="191"/>
      <c r="F161" s="191"/>
      <c r="G161" s="191"/>
      <c r="H161" s="191"/>
      <c r="I161" s="191"/>
      <c r="J161" s="191"/>
    </row>
    <row r="162" spans="1:10" x14ac:dyDescent="0.25">
      <c r="A162" s="189"/>
      <c r="B162" s="189"/>
      <c r="C162" s="189"/>
      <c r="D162" s="191"/>
      <c r="E162" s="191"/>
      <c r="F162" s="191"/>
      <c r="G162" s="191"/>
      <c r="H162" s="191"/>
      <c r="I162" s="191"/>
      <c r="J162" s="191"/>
    </row>
    <row r="163" spans="1:10" x14ac:dyDescent="0.25">
      <c r="A163" s="189"/>
      <c r="B163" s="189"/>
      <c r="C163" s="189"/>
      <c r="D163" s="191"/>
      <c r="E163" s="191"/>
      <c r="F163" s="191"/>
      <c r="G163" s="191"/>
      <c r="H163" s="191"/>
      <c r="I163" s="191"/>
      <c r="J163" s="191"/>
    </row>
    <row r="164" spans="1:10" x14ac:dyDescent="0.25">
      <c r="A164" s="189"/>
      <c r="B164" s="189"/>
      <c r="C164" s="189"/>
      <c r="D164" s="191"/>
      <c r="E164" s="191"/>
      <c r="F164" s="191"/>
      <c r="G164" s="191"/>
      <c r="H164" s="191"/>
      <c r="I164" s="191"/>
      <c r="J164" s="191"/>
    </row>
    <row r="165" spans="1:10" x14ac:dyDescent="0.25">
      <c r="A165" s="189"/>
      <c r="B165" s="189"/>
      <c r="C165" s="189"/>
      <c r="D165" s="191"/>
      <c r="E165" s="191"/>
      <c r="F165" s="191"/>
      <c r="G165" s="191"/>
      <c r="H165" s="191"/>
      <c r="I165" s="191"/>
      <c r="J165" s="191"/>
    </row>
    <row r="166" spans="1:10" x14ac:dyDescent="0.25">
      <c r="A166" s="189"/>
      <c r="B166" s="189"/>
      <c r="C166" s="189"/>
      <c r="D166" s="191"/>
      <c r="E166" s="191"/>
      <c r="F166" s="191"/>
      <c r="G166" s="191"/>
      <c r="H166" s="191"/>
      <c r="I166" s="191"/>
      <c r="J166" s="191"/>
    </row>
    <row r="167" spans="1:10" x14ac:dyDescent="0.25">
      <c r="A167" s="189"/>
      <c r="B167" s="189"/>
      <c r="C167" s="189"/>
      <c r="D167" s="191"/>
      <c r="E167" s="191"/>
      <c r="F167" s="191"/>
      <c r="G167" s="191"/>
      <c r="H167" s="191"/>
      <c r="I167" s="191"/>
      <c r="J167" s="191"/>
    </row>
    <row r="168" spans="1:10" x14ac:dyDescent="0.25">
      <c r="A168" s="189"/>
      <c r="B168" s="189"/>
      <c r="C168" s="189"/>
      <c r="D168" s="191"/>
      <c r="E168" s="191"/>
      <c r="F168" s="191"/>
      <c r="G168" s="191"/>
      <c r="H168" s="191"/>
      <c r="I168" s="191"/>
      <c r="J168" s="191"/>
    </row>
    <row r="169" spans="1:10" x14ac:dyDescent="0.25">
      <c r="A169" s="189"/>
      <c r="B169" s="189"/>
      <c r="C169" s="189"/>
      <c r="D169" s="191"/>
      <c r="E169" s="191"/>
      <c r="F169" s="191"/>
      <c r="G169" s="191"/>
      <c r="H169" s="191"/>
      <c r="I169" s="191"/>
      <c r="J169" s="191"/>
    </row>
    <row r="170" spans="1:10" x14ac:dyDescent="0.25">
      <c r="A170" s="189"/>
      <c r="B170" s="189"/>
      <c r="C170" s="189"/>
      <c r="D170" s="191"/>
      <c r="E170" s="191"/>
      <c r="F170" s="191"/>
      <c r="G170" s="191"/>
      <c r="H170" s="191"/>
      <c r="I170" s="191"/>
      <c r="J170" s="191"/>
    </row>
    <row r="171" spans="1:10" x14ac:dyDescent="0.25">
      <c r="A171" s="189"/>
      <c r="B171" s="189"/>
      <c r="C171" s="189"/>
      <c r="D171" s="191"/>
      <c r="E171" s="191"/>
      <c r="F171" s="191"/>
      <c r="G171" s="191"/>
      <c r="H171" s="191"/>
      <c r="I171" s="191"/>
      <c r="J171" s="191"/>
    </row>
    <row r="172" spans="1:10" x14ac:dyDescent="0.25">
      <c r="A172" s="189"/>
      <c r="B172" s="189"/>
      <c r="C172" s="189"/>
      <c r="D172" s="191"/>
      <c r="E172" s="191"/>
      <c r="F172" s="191"/>
      <c r="G172" s="191"/>
      <c r="H172" s="191"/>
      <c r="I172" s="191"/>
      <c r="J172" s="191"/>
    </row>
    <row r="173" spans="1:10" x14ac:dyDescent="0.25">
      <c r="A173" s="189"/>
      <c r="B173" s="189"/>
      <c r="C173" s="189"/>
      <c r="D173" s="191"/>
      <c r="E173" s="191"/>
      <c r="F173" s="191"/>
      <c r="G173" s="191"/>
      <c r="H173" s="191"/>
      <c r="I173" s="191"/>
      <c r="J173" s="191"/>
    </row>
    <row r="174" spans="1:10" x14ac:dyDescent="0.25">
      <c r="A174" s="189"/>
      <c r="B174" s="189"/>
      <c r="C174" s="189"/>
      <c r="D174" s="191"/>
      <c r="E174" s="191"/>
      <c r="F174" s="191"/>
      <c r="G174" s="191"/>
      <c r="H174" s="191"/>
      <c r="I174" s="191"/>
      <c r="J174" s="191"/>
    </row>
    <row r="175" spans="1:10" x14ac:dyDescent="0.25">
      <c r="A175" s="189"/>
      <c r="B175" s="189"/>
      <c r="C175" s="189"/>
      <c r="D175" s="191"/>
      <c r="E175" s="191"/>
      <c r="F175" s="191"/>
      <c r="G175" s="191"/>
      <c r="H175" s="191"/>
      <c r="I175" s="191"/>
      <c r="J175" s="191"/>
    </row>
    <row r="176" spans="1:10" x14ac:dyDescent="0.25">
      <c r="A176" s="189"/>
      <c r="B176" s="189"/>
      <c r="C176" s="189"/>
      <c r="D176" s="191"/>
      <c r="E176" s="191"/>
      <c r="F176" s="191"/>
      <c r="G176" s="191"/>
      <c r="H176" s="191"/>
      <c r="I176" s="191"/>
      <c r="J176" s="191"/>
    </row>
    <row r="177" spans="1:10" x14ac:dyDescent="0.25">
      <c r="A177" s="189"/>
      <c r="B177" s="189"/>
      <c r="C177" s="189"/>
      <c r="D177" s="191"/>
      <c r="E177" s="191"/>
      <c r="F177" s="191"/>
      <c r="G177" s="191"/>
      <c r="H177" s="191"/>
      <c r="I177" s="191"/>
      <c r="J177" s="191"/>
    </row>
    <row r="178" spans="1:10" x14ac:dyDescent="0.25">
      <c r="A178" s="189"/>
      <c r="B178" s="189"/>
      <c r="C178" s="189"/>
      <c r="D178" s="191"/>
      <c r="E178" s="191"/>
      <c r="F178" s="191"/>
      <c r="G178" s="191"/>
      <c r="H178" s="191"/>
      <c r="I178" s="191"/>
      <c r="J178" s="191"/>
    </row>
    <row r="179" spans="1:10" x14ac:dyDescent="0.25">
      <c r="A179" s="189"/>
      <c r="B179" s="189"/>
      <c r="C179" s="189"/>
      <c r="D179" s="191"/>
      <c r="E179" s="191"/>
      <c r="F179" s="191"/>
      <c r="G179" s="191"/>
      <c r="H179" s="191"/>
      <c r="I179" s="191"/>
      <c r="J179" s="191"/>
    </row>
    <row r="180" spans="1:10" x14ac:dyDescent="0.25">
      <c r="A180" s="189"/>
      <c r="B180" s="189"/>
      <c r="C180" s="189"/>
      <c r="D180" s="191"/>
      <c r="E180" s="191"/>
      <c r="F180" s="191"/>
      <c r="G180" s="191"/>
      <c r="H180" s="191"/>
      <c r="I180" s="191"/>
      <c r="J180" s="191"/>
    </row>
    <row r="181" spans="1:10" x14ac:dyDescent="0.25">
      <c r="A181" s="189"/>
      <c r="B181" s="189"/>
      <c r="C181" s="189"/>
      <c r="D181" s="191"/>
      <c r="E181" s="191"/>
      <c r="F181" s="191"/>
      <c r="G181" s="191"/>
      <c r="H181" s="191"/>
      <c r="I181" s="191"/>
      <c r="J181" s="191"/>
    </row>
    <row r="182" spans="1:10" x14ac:dyDescent="0.25">
      <c r="A182" s="189"/>
      <c r="B182" s="189"/>
      <c r="C182" s="189"/>
      <c r="D182" s="191"/>
      <c r="E182" s="191"/>
      <c r="F182" s="191"/>
      <c r="G182" s="191"/>
      <c r="H182" s="191"/>
      <c r="I182" s="191"/>
      <c r="J182" s="191"/>
    </row>
    <row r="183" spans="1:10" x14ac:dyDescent="0.25">
      <c r="A183" s="189"/>
      <c r="B183" s="189"/>
      <c r="C183" s="189"/>
      <c r="D183" s="191"/>
      <c r="E183" s="191"/>
      <c r="F183" s="191"/>
      <c r="G183" s="191"/>
      <c r="H183" s="191"/>
      <c r="I183" s="191"/>
      <c r="J183" s="191"/>
    </row>
    <row r="184" spans="1:10" x14ac:dyDescent="0.25">
      <c r="A184" s="189"/>
      <c r="B184" s="189"/>
      <c r="C184" s="189"/>
      <c r="D184" s="191"/>
      <c r="E184" s="191"/>
      <c r="F184" s="191"/>
      <c r="G184" s="191"/>
      <c r="H184" s="191"/>
      <c r="I184" s="191"/>
      <c r="J184" s="191"/>
    </row>
    <row r="185" spans="1:10" x14ac:dyDescent="0.25">
      <c r="A185" s="189"/>
      <c r="B185" s="189"/>
      <c r="C185" s="189"/>
      <c r="D185" s="191"/>
      <c r="E185" s="191"/>
      <c r="F185" s="191"/>
      <c r="G185" s="191"/>
      <c r="H185" s="191"/>
      <c r="I185" s="191"/>
      <c r="J185" s="191"/>
    </row>
    <row r="186" spans="1:10" x14ac:dyDescent="0.25">
      <c r="A186" s="189"/>
      <c r="B186" s="189"/>
      <c r="C186" s="189"/>
      <c r="D186" s="191"/>
      <c r="E186" s="191"/>
      <c r="F186" s="191"/>
      <c r="G186" s="191"/>
      <c r="H186" s="191"/>
      <c r="I186" s="191"/>
      <c r="J186" s="191"/>
    </row>
    <row r="187" spans="1:10" x14ac:dyDescent="0.25">
      <c r="A187" s="189"/>
      <c r="B187" s="189"/>
      <c r="C187" s="189"/>
      <c r="D187" s="191"/>
      <c r="E187" s="191"/>
      <c r="F187" s="191"/>
      <c r="G187" s="191"/>
      <c r="H187" s="191"/>
      <c r="I187" s="191"/>
      <c r="J187" s="191"/>
    </row>
    <row r="188" spans="1:10" x14ac:dyDescent="0.25">
      <c r="A188" s="189"/>
      <c r="B188" s="189"/>
      <c r="C188" s="189"/>
      <c r="D188" s="191"/>
      <c r="E188" s="191"/>
      <c r="F188" s="191"/>
      <c r="G188" s="191"/>
      <c r="H188" s="191"/>
      <c r="I188" s="191"/>
      <c r="J188" s="191"/>
    </row>
    <row r="189" spans="1:10" x14ac:dyDescent="0.25">
      <c r="A189" s="189"/>
      <c r="B189" s="189"/>
      <c r="C189" s="189"/>
      <c r="D189" s="191"/>
      <c r="E189" s="191"/>
      <c r="F189" s="191"/>
      <c r="G189" s="191"/>
      <c r="H189" s="191"/>
      <c r="I189" s="191"/>
      <c r="J189" s="191"/>
    </row>
    <row r="190" spans="1:10" x14ac:dyDescent="0.25">
      <c r="A190" s="189"/>
      <c r="B190" s="189"/>
      <c r="C190" s="189"/>
      <c r="D190" s="191"/>
      <c r="E190" s="191"/>
      <c r="F190" s="191"/>
      <c r="G190" s="191"/>
      <c r="H190" s="191"/>
      <c r="I190" s="191"/>
      <c r="J190" s="191"/>
    </row>
    <row r="191" spans="1:10" x14ac:dyDescent="0.25">
      <c r="A191" s="189"/>
      <c r="B191" s="189"/>
      <c r="C191" s="189"/>
      <c r="D191" s="191"/>
      <c r="E191" s="191"/>
      <c r="F191" s="191"/>
      <c r="G191" s="191"/>
      <c r="H191" s="191"/>
      <c r="I191" s="191"/>
      <c r="J191" s="191"/>
    </row>
    <row r="192" spans="1:10" x14ac:dyDescent="0.25">
      <c r="A192" s="189"/>
      <c r="B192" s="189"/>
      <c r="C192" s="189"/>
      <c r="D192" s="191"/>
      <c r="E192" s="191"/>
      <c r="F192" s="191"/>
      <c r="G192" s="191"/>
      <c r="H192" s="191"/>
      <c r="I192" s="191"/>
      <c r="J192" s="191"/>
    </row>
    <row r="193" spans="1:10" x14ac:dyDescent="0.25">
      <c r="A193" s="189"/>
      <c r="B193" s="189"/>
      <c r="C193" s="189"/>
      <c r="D193" s="191"/>
      <c r="E193" s="191"/>
      <c r="F193" s="191"/>
      <c r="G193" s="191"/>
      <c r="H193" s="191"/>
      <c r="I193" s="191"/>
      <c r="J193" s="191"/>
    </row>
    <row r="194" spans="1:10" x14ac:dyDescent="0.25">
      <c r="A194" s="189"/>
      <c r="B194" s="189"/>
      <c r="C194" s="189"/>
      <c r="D194" s="191"/>
      <c r="E194" s="191"/>
      <c r="F194" s="191"/>
      <c r="G194" s="191"/>
      <c r="H194" s="191"/>
      <c r="I194" s="191"/>
      <c r="J194" s="191"/>
    </row>
    <row r="195" spans="1:10" x14ac:dyDescent="0.25">
      <c r="A195" s="189"/>
      <c r="B195" s="189"/>
      <c r="C195" s="189"/>
      <c r="D195" s="191"/>
      <c r="E195" s="191"/>
      <c r="F195" s="191"/>
      <c r="G195" s="191"/>
      <c r="H195" s="191"/>
      <c r="I195" s="191"/>
      <c r="J195" s="191"/>
    </row>
    <row r="196" spans="1:10" x14ac:dyDescent="0.25">
      <c r="A196" s="189"/>
      <c r="B196" s="189"/>
      <c r="C196" s="189"/>
      <c r="D196" s="191"/>
      <c r="E196" s="191"/>
      <c r="F196" s="191"/>
      <c r="G196" s="191"/>
      <c r="H196" s="191"/>
      <c r="I196" s="191"/>
      <c r="J196" s="191"/>
    </row>
    <row r="197" spans="1:10" x14ac:dyDescent="0.25">
      <c r="A197" s="189"/>
      <c r="B197" s="189"/>
      <c r="C197" s="189"/>
      <c r="D197" s="191"/>
      <c r="E197" s="191"/>
      <c r="F197" s="191"/>
      <c r="G197" s="191"/>
      <c r="H197" s="191"/>
      <c r="I197" s="191"/>
      <c r="J197" s="191"/>
    </row>
    <row r="198" spans="1:10" x14ac:dyDescent="0.25">
      <c r="A198" s="189"/>
      <c r="B198" s="189"/>
      <c r="C198" s="189"/>
      <c r="D198" s="191"/>
      <c r="E198" s="191"/>
      <c r="F198" s="191"/>
      <c r="G198" s="191"/>
      <c r="H198" s="191"/>
      <c r="I198" s="191"/>
      <c r="J198" s="191"/>
    </row>
    <row r="199" spans="1:10" x14ac:dyDescent="0.25">
      <c r="A199" s="189"/>
      <c r="B199" s="189"/>
      <c r="C199" s="189"/>
      <c r="D199" s="191"/>
      <c r="E199" s="191"/>
      <c r="F199" s="191"/>
      <c r="G199" s="191"/>
      <c r="H199" s="191"/>
      <c r="I199" s="191"/>
      <c r="J199" s="191"/>
    </row>
    <row r="200" spans="1:10" x14ac:dyDescent="0.25">
      <c r="A200" s="189"/>
      <c r="B200" s="189"/>
      <c r="C200" s="189"/>
      <c r="D200" s="191"/>
      <c r="E200" s="191"/>
      <c r="F200" s="191"/>
      <c r="G200" s="191"/>
      <c r="H200" s="191"/>
      <c r="I200" s="191"/>
      <c r="J200" s="191"/>
    </row>
    <row r="201" spans="1:10" x14ac:dyDescent="0.25">
      <c r="A201" s="189"/>
      <c r="B201" s="189"/>
      <c r="C201" s="189"/>
      <c r="D201" s="191"/>
      <c r="E201" s="191"/>
      <c r="F201" s="191"/>
      <c r="G201" s="191"/>
      <c r="H201" s="191"/>
      <c r="I201" s="191"/>
      <c r="J201" s="191"/>
    </row>
    <row r="202" spans="1:10" x14ac:dyDescent="0.25">
      <c r="A202" s="189"/>
      <c r="B202" s="189"/>
      <c r="C202" s="189"/>
      <c r="D202" s="191"/>
      <c r="E202" s="191"/>
      <c r="F202" s="191"/>
      <c r="G202" s="191"/>
      <c r="H202" s="191"/>
      <c r="I202" s="191"/>
      <c r="J202" s="191"/>
    </row>
    <row r="203" spans="1:10" x14ac:dyDescent="0.25">
      <c r="A203" s="189"/>
      <c r="B203" s="189"/>
      <c r="C203" s="189"/>
      <c r="D203" s="191"/>
      <c r="E203" s="191"/>
      <c r="F203" s="191"/>
      <c r="G203" s="191"/>
      <c r="H203" s="191"/>
      <c r="I203" s="191"/>
      <c r="J203" s="191"/>
    </row>
    <row r="204" spans="1:10" x14ac:dyDescent="0.25">
      <c r="A204" s="189"/>
      <c r="B204" s="189"/>
      <c r="C204" s="189"/>
      <c r="D204" s="191"/>
      <c r="E204" s="191"/>
      <c r="F204" s="191"/>
      <c r="G204" s="191"/>
      <c r="H204" s="191"/>
      <c r="I204" s="191"/>
      <c r="J204" s="191"/>
    </row>
    <row r="205" spans="1:10" x14ac:dyDescent="0.25">
      <c r="A205" s="189"/>
      <c r="B205" s="189"/>
      <c r="C205" s="189"/>
      <c r="D205" s="191"/>
      <c r="E205" s="191"/>
      <c r="F205" s="191"/>
      <c r="G205" s="191"/>
      <c r="H205" s="191"/>
      <c r="I205" s="191"/>
      <c r="J205" s="191"/>
    </row>
    <row r="206" spans="1:10" x14ac:dyDescent="0.25">
      <c r="A206" s="189"/>
      <c r="B206" s="189"/>
      <c r="C206" s="189"/>
      <c r="D206" s="191"/>
      <c r="E206" s="191"/>
      <c r="F206" s="191"/>
      <c r="G206" s="191"/>
      <c r="H206" s="191"/>
      <c r="I206" s="191"/>
      <c r="J206" s="191"/>
    </row>
    <row r="207" spans="1:10" x14ac:dyDescent="0.25">
      <c r="A207" s="189"/>
      <c r="B207" s="189"/>
      <c r="C207" s="189"/>
      <c r="D207" s="191"/>
      <c r="E207" s="191"/>
      <c r="F207" s="191"/>
      <c r="G207" s="191"/>
      <c r="H207" s="191"/>
      <c r="I207" s="191"/>
      <c r="J207" s="191"/>
    </row>
    <row r="208" spans="1:10" x14ac:dyDescent="0.25">
      <c r="A208" s="189"/>
      <c r="B208" s="189"/>
      <c r="C208" s="189"/>
      <c r="D208" s="191"/>
      <c r="E208" s="191"/>
      <c r="F208" s="191"/>
      <c r="G208" s="191"/>
      <c r="H208" s="191"/>
      <c r="I208" s="191"/>
      <c r="J208" s="191"/>
    </row>
    <row r="209" spans="1:10" x14ac:dyDescent="0.25">
      <c r="A209" s="189"/>
      <c r="B209" s="189"/>
      <c r="C209" s="189"/>
      <c r="D209" s="191"/>
      <c r="E209" s="191"/>
      <c r="F209" s="191"/>
      <c r="G209" s="191"/>
      <c r="H209" s="191"/>
      <c r="I209" s="191"/>
      <c r="J209" s="191"/>
    </row>
    <row r="210" spans="1:10" x14ac:dyDescent="0.25">
      <c r="A210" s="189"/>
      <c r="B210" s="189"/>
      <c r="C210" s="189"/>
      <c r="D210" s="191"/>
      <c r="E210" s="191"/>
      <c r="F210" s="191"/>
      <c r="G210" s="191"/>
      <c r="H210" s="191"/>
      <c r="I210" s="191"/>
      <c r="J210" s="191"/>
    </row>
    <row r="211" spans="1:10" x14ac:dyDescent="0.25">
      <c r="A211" s="189"/>
      <c r="B211" s="189"/>
      <c r="C211" s="189"/>
      <c r="D211" s="191"/>
      <c r="E211" s="191"/>
      <c r="F211" s="191"/>
      <c r="G211" s="191"/>
      <c r="H211" s="191"/>
      <c r="I211" s="191"/>
      <c r="J211" s="191"/>
    </row>
    <row r="212" spans="1:10" x14ac:dyDescent="0.25">
      <c r="A212" s="189"/>
      <c r="B212" s="189"/>
      <c r="C212" s="189"/>
      <c r="D212" s="191"/>
      <c r="E212" s="191"/>
      <c r="F212" s="191"/>
      <c r="G212" s="191"/>
      <c r="H212" s="191"/>
      <c r="I212" s="191"/>
      <c r="J212" s="191"/>
    </row>
    <row r="213" spans="1:10" x14ac:dyDescent="0.25">
      <c r="A213" s="189"/>
      <c r="B213" s="189"/>
      <c r="C213" s="189"/>
      <c r="D213" s="191"/>
      <c r="E213" s="191"/>
      <c r="F213" s="191"/>
      <c r="G213" s="191"/>
      <c r="H213" s="191"/>
      <c r="I213" s="191"/>
      <c r="J213" s="191"/>
    </row>
    <row r="214" spans="1:10" x14ac:dyDescent="0.25">
      <c r="A214" s="189"/>
      <c r="B214" s="189"/>
      <c r="C214" s="189"/>
      <c r="D214" s="191"/>
      <c r="E214" s="191"/>
      <c r="F214" s="191"/>
      <c r="G214" s="191"/>
      <c r="H214" s="191"/>
      <c r="I214" s="191"/>
      <c r="J214" s="191"/>
    </row>
    <row r="215" spans="1:10" x14ac:dyDescent="0.25">
      <c r="A215" s="189"/>
      <c r="B215" s="189"/>
      <c r="C215" s="189"/>
      <c r="D215" s="191"/>
      <c r="E215" s="191"/>
      <c r="F215" s="191"/>
      <c r="G215" s="191"/>
      <c r="H215" s="191"/>
      <c r="I215" s="191"/>
      <c r="J215" s="191"/>
    </row>
    <row r="216" spans="1:10" x14ac:dyDescent="0.25">
      <c r="A216" s="189"/>
      <c r="B216" s="189"/>
      <c r="C216" s="189"/>
      <c r="D216" s="191"/>
      <c r="E216" s="191"/>
      <c r="F216" s="191"/>
      <c r="G216" s="191"/>
      <c r="H216" s="191"/>
      <c r="I216" s="191"/>
      <c r="J216" s="191"/>
    </row>
    <row r="217" spans="1:10" x14ac:dyDescent="0.25">
      <c r="A217" s="189"/>
      <c r="B217" s="189"/>
      <c r="C217" s="189"/>
      <c r="D217" s="191"/>
      <c r="E217" s="191"/>
      <c r="F217" s="191"/>
      <c r="G217" s="191"/>
      <c r="H217" s="191"/>
      <c r="I217" s="191"/>
      <c r="J217" s="191"/>
    </row>
    <row r="218" spans="1:10" x14ac:dyDescent="0.25">
      <c r="A218" s="189"/>
      <c r="B218" s="189"/>
      <c r="C218" s="189"/>
      <c r="D218" s="191"/>
      <c r="E218" s="191"/>
      <c r="F218" s="191"/>
      <c r="G218" s="191"/>
      <c r="H218" s="191"/>
      <c r="I218" s="191"/>
      <c r="J218" s="191"/>
    </row>
    <row r="219" spans="1:10" x14ac:dyDescent="0.25">
      <c r="A219" s="189"/>
      <c r="B219" s="189"/>
      <c r="C219" s="189"/>
      <c r="D219" s="191"/>
      <c r="E219" s="191"/>
      <c r="F219" s="191"/>
      <c r="G219" s="191"/>
      <c r="H219" s="191"/>
      <c r="I219" s="191"/>
      <c r="J219" s="191"/>
    </row>
    <row r="220" spans="1:10" x14ac:dyDescent="0.25">
      <c r="A220" s="189"/>
      <c r="B220" s="189"/>
      <c r="C220" s="189"/>
      <c r="D220" s="191"/>
      <c r="E220" s="191"/>
      <c r="F220" s="191"/>
      <c r="G220" s="191"/>
      <c r="H220" s="191"/>
      <c r="I220" s="191"/>
      <c r="J220" s="191"/>
    </row>
    <row r="221" spans="1:10" x14ac:dyDescent="0.25">
      <c r="A221" s="189"/>
      <c r="B221" s="189"/>
      <c r="C221" s="189"/>
      <c r="D221" s="191"/>
      <c r="E221" s="191"/>
      <c r="F221" s="191"/>
      <c r="G221" s="191"/>
      <c r="H221" s="191"/>
      <c r="I221" s="191"/>
      <c r="J221" s="191"/>
    </row>
    <row r="222" spans="1:10" x14ac:dyDescent="0.25">
      <c r="A222" s="189"/>
      <c r="B222" s="189"/>
      <c r="C222" s="189"/>
      <c r="D222" s="191"/>
      <c r="E222" s="191"/>
      <c r="F222" s="191"/>
      <c r="G222" s="191"/>
      <c r="H222" s="191"/>
      <c r="I222" s="191"/>
      <c r="J222" s="191"/>
    </row>
    <row r="223" spans="1:10" x14ac:dyDescent="0.25">
      <c r="A223" s="189"/>
      <c r="B223" s="189"/>
      <c r="C223" s="189"/>
      <c r="D223" s="191"/>
      <c r="E223" s="191"/>
      <c r="F223" s="191"/>
      <c r="G223" s="191"/>
      <c r="H223" s="191"/>
      <c r="I223" s="191"/>
      <c r="J223" s="191"/>
    </row>
    <row r="224" spans="1:10" x14ac:dyDescent="0.25">
      <c r="A224" s="189"/>
      <c r="B224" s="189"/>
      <c r="C224" s="189"/>
      <c r="D224" s="191"/>
      <c r="E224" s="191"/>
      <c r="F224" s="191"/>
      <c r="G224" s="191"/>
      <c r="H224" s="191"/>
      <c r="I224" s="191"/>
      <c r="J224" s="191"/>
    </row>
    <row r="225" spans="1:10" x14ac:dyDescent="0.25">
      <c r="A225" s="189"/>
      <c r="B225" s="189"/>
      <c r="C225" s="189"/>
      <c r="D225" s="191"/>
      <c r="E225" s="191"/>
      <c r="F225" s="191"/>
      <c r="G225" s="191"/>
      <c r="H225" s="191"/>
      <c r="I225" s="191"/>
      <c r="J225" s="191"/>
    </row>
    <row r="226" spans="1:10" x14ac:dyDescent="0.25">
      <c r="A226" s="189"/>
      <c r="B226" s="189"/>
      <c r="C226" s="189"/>
      <c r="D226" s="191"/>
      <c r="E226" s="191"/>
      <c r="F226" s="191"/>
      <c r="G226" s="191"/>
      <c r="H226" s="191"/>
      <c r="I226" s="191"/>
      <c r="J226" s="191"/>
    </row>
    <row r="227" spans="1:10" x14ac:dyDescent="0.25">
      <c r="A227" s="189"/>
      <c r="B227" s="189"/>
      <c r="C227" s="189"/>
      <c r="D227" s="191"/>
      <c r="E227" s="191"/>
      <c r="F227" s="191"/>
      <c r="G227" s="191"/>
      <c r="H227" s="191"/>
      <c r="I227" s="191"/>
      <c r="J227" s="191"/>
    </row>
    <row r="228" spans="1:10" x14ac:dyDescent="0.25">
      <c r="A228" s="189"/>
      <c r="B228" s="189"/>
      <c r="C228" s="189"/>
      <c r="D228" s="191"/>
      <c r="E228" s="191"/>
      <c r="F228" s="191"/>
      <c r="G228" s="191"/>
      <c r="H228" s="191"/>
      <c r="I228" s="191"/>
      <c r="J228" s="191"/>
    </row>
    <row r="229" spans="1:10" x14ac:dyDescent="0.25">
      <c r="A229" s="189"/>
      <c r="B229" s="189"/>
      <c r="C229" s="189"/>
      <c r="D229" s="191"/>
      <c r="E229" s="191"/>
      <c r="F229" s="191"/>
      <c r="G229" s="191"/>
      <c r="H229" s="191"/>
      <c r="I229" s="191"/>
      <c r="J229" s="191"/>
    </row>
    <row r="230" spans="1:10" x14ac:dyDescent="0.25">
      <c r="A230" s="189"/>
      <c r="B230" s="189"/>
      <c r="C230" s="189"/>
      <c r="D230" s="191"/>
      <c r="E230" s="191"/>
      <c r="F230" s="191"/>
      <c r="G230" s="191"/>
      <c r="H230" s="191"/>
      <c r="I230" s="191"/>
      <c r="J230" s="191"/>
    </row>
    <row r="231" spans="1:10" x14ac:dyDescent="0.25">
      <c r="A231" s="189"/>
      <c r="B231" s="189"/>
      <c r="C231" s="189"/>
      <c r="D231" s="191"/>
      <c r="E231" s="191"/>
      <c r="F231" s="191"/>
      <c r="G231" s="191"/>
      <c r="H231" s="191"/>
      <c r="I231" s="191"/>
      <c r="J231" s="191"/>
    </row>
    <row r="232" spans="1:10" x14ac:dyDescent="0.25">
      <c r="A232" s="189"/>
      <c r="B232" s="189"/>
      <c r="C232" s="189"/>
      <c r="D232" s="191"/>
      <c r="E232" s="191"/>
      <c r="F232" s="191"/>
      <c r="G232" s="191"/>
      <c r="H232" s="191"/>
      <c r="I232" s="191"/>
      <c r="J232" s="191"/>
    </row>
    <row r="233" spans="1:10" x14ac:dyDescent="0.25">
      <c r="A233" s="189"/>
      <c r="B233" s="189"/>
      <c r="C233" s="189"/>
      <c r="D233" s="191"/>
      <c r="E233" s="191"/>
      <c r="F233" s="191"/>
      <c r="G233" s="191"/>
      <c r="H233" s="191"/>
      <c r="I233" s="191"/>
      <c r="J233" s="191"/>
    </row>
    <row r="234" spans="1:10" x14ac:dyDescent="0.25">
      <c r="A234" s="189"/>
      <c r="B234" s="189"/>
      <c r="C234" s="189"/>
      <c r="D234" s="191"/>
      <c r="E234" s="191"/>
      <c r="F234" s="191"/>
      <c r="G234" s="191"/>
      <c r="H234" s="191"/>
      <c r="I234" s="191"/>
      <c r="J234" s="191"/>
    </row>
    <row r="235" spans="1:10" x14ac:dyDescent="0.25">
      <c r="A235" s="189"/>
      <c r="B235" s="189"/>
      <c r="C235" s="189"/>
      <c r="D235" s="191"/>
      <c r="E235" s="191"/>
      <c r="F235" s="191"/>
      <c r="G235" s="191"/>
      <c r="H235" s="191"/>
      <c r="I235" s="191"/>
      <c r="J235" s="191"/>
    </row>
    <row r="236" spans="1:10" x14ac:dyDescent="0.25">
      <c r="A236" s="189"/>
      <c r="B236" s="189"/>
      <c r="C236" s="189"/>
      <c r="D236" s="191"/>
      <c r="E236" s="191"/>
      <c r="F236" s="191"/>
      <c r="G236" s="191"/>
      <c r="H236" s="191"/>
      <c r="I236" s="191"/>
      <c r="J236" s="191"/>
    </row>
    <row r="237" spans="1:10" x14ac:dyDescent="0.25">
      <c r="A237" s="189"/>
      <c r="B237" s="189"/>
      <c r="C237" s="189"/>
      <c r="D237" s="191"/>
      <c r="E237" s="191"/>
      <c r="F237" s="191"/>
      <c r="G237" s="191"/>
      <c r="H237" s="191"/>
      <c r="I237" s="191"/>
      <c r="J237" s="191"/>
    </row>
    <row r="238" spans="1:10" x14ac:dyDescent="0.25">
      <c r="A238" s="189"/>
      <c r="B238" s="189"/>
      <c r="C238" s="189"/>
      <c r="D238" s="191"/>
      <c r="E238" s="191"/>
      <c r="F238" s="191"/>
      <c r="G238" s="191"/>
      <c r="H238" s="191"/>
      <c r="I238" s="191"/>
      <c r="J238" s="191"/>
    </row>
    <row r="239" spans="1:10" x14ac:dyDescent="0.25">
      <c r="A239" s="189"/>
      <c r="B239" s="189"/>
      <c r="C239" s="189"/>
      <c r="D239" s="191"/>
      <c r="E239" s="191"/>
      <c r="F239" s="191"/>
      <c r="G239" s="191"/>
      <c r="H239" s="191"/>
      <c r="I239" s="191"/>
      <c r="J239" s="191"/>
    </row>
    <row r="240" spans="1:10" x14ac:dyDescent="0.25">
      <c r="A240" s="189"/>
      <c r="B240" s="189"/>
      <c r="C240" s="189"/>
      <c r="D240" s="191"/>
      <c r="E240" s="191"/>
      <c r="F240" s="191"/>
      <c r="G240" s="191"/>
      <c r="H240" s="191"/>
      <c r="I240" s="191"/>
      <c r="J240" s="191"/>
    </row>
    <row r="241" spans="1:10" x14ac:dyDescent="0.25">
      <c r="A241" s="189"/>
      <c r="B241" s="189"/>
      <c r="C241" s="189"/>
      <c r="D241" s="191"/>
      <c r="E241" s="191"/>
      <c r="F241" s="191"/>
      <c r="G241" s="191"/>
      <c r="H241" s="191"/>
      <c r="I241" s="191"/>
      <c r="J241" s="191"/>
    </row>
    <row r="242" spans="1:10" x14ac:dyDescent="0.25">
      <c r="A242" s="189"/>
      <c r="B242" s="189"/>
      <c r="C242" s="189"/>
      <c r="D242" s="191"/>
      <c r="E242" s="191"/>
      <c r="F242" s="191"/>
      <c r="G242" s="191"/>
      <c r="H242" s="191"/>
      <c r="I242" s="191"/>
      <c r="J242" s="191"/>
    </row>
    <row r="243" spans="1:10" x14ac:dyDescent="0.25">
      <c r="A243" s="189"/>
      <c r="B243" s="189"/>
      <c r="C243" s="189"/>
      <c r="D243" s="191"/>
      <c r="E243" s="191"/>
      <c r="F243" s="191"/>
      <c r="G243" s="191"/>
      <c r="H243" s="191"/>
      <c r="I243" s="191"/>
      <c r="J243" s="191"/>
    </row>
    <row r="244" spans="1:10" x14ac:dyDescent="0.25">
      <c r="A244" s="189"/>
      <c r="B244" s="189"/>
      <c r="C244" s="189"/>
      <c r="D244" s="191"/>
      <c r="E244" s="191"/>
      <c r="F244" s="191"/>
      <c r="G244" s="191"/>
      <c r="H244" s="191"/>
      <c r="I244" s="191"/>
      <c r="J244" s="191"/>
    </row>
    <row r="245" spans="1:10" x14ac:dyDescent="0.25">
      <c r="A245" s="189"/>
      <c r="B245" s="189"/>
      <c r="C245" s="189"/>
      <c r="D245" s="191"/>
      <c r="E245" s="191"/>
      <c r="F245" s="191"/>
      <c r="G245" s="191"/>
      <c r="H245" s="191"/>
      <c r="I245" s="191"/>
      <c r="J245" s="191"/>
    </row>
    <row r="246" spans="1:10" x14ac:dyDescent="0.25">
      <c r="A246" s="189"/>
      <c r="B246" s="189"/>
      <c r="C246" s="189"/>
      <c r="D246" s="191"/>
      <c r="E246" s="191"/>
      <c r="F246" s="191"/>
      <c r="G246" s="191"/>
      <c r="H246" s="191"/>
      <c r="I246" s="191"/>
      <c r="J246" s="191"/>
    </row>
    <row r="247" spans="1:10" x14ac:dyDescent="0.25">
      <c r="A247" s="189"/>
      <c r="B247" s="189"/>
      <c r="C247" s="189"/>
      <c r="D247" s="191"/>
      <c r="E247" s="191"/>
      <c r="F247" s="191"/>
      <c r="G247" s="191"/>
      <c r="H247" s="191"/>
      <c r="I247" s="191"/>
      <c r="J247" s="191"/>
    </row>
    <row r="248" spans="1:10" x14ac:dyDescent="0.25">
      <c r="A248" s="189"/>
      <c r="B248" s="189"/>
      <c r="C248" s="189"/>
      <c r="D248" s="191"/>
      <c r="E248" s="191"/>
      <c r="F248" s="191"/>
      <c r="G248" s="191"/>
      <c r="H248" s="191"/>
      <c r="I248" s="191"/>
      <c r="J248" s="191"/>
    </row>
    <row r="249" spans="1:10" x14ac:dyDescent="0.25">
      <c r="A249" s="189"/>
      <c r="B249" s="189"/>
      <c r="C249" s="189"/>
      <c r="D249" s="191"/>
      <c r="E249" s="191"/>
      <c r="F249" s="191"/>
      <c r="G249" s="191"/>
      <c r="H249" s="191"/>
      <c r="I249" s="191"/>
      <c r="J249" s="191"/>
    </row>
    <row r="250" spans="1:10" x14ac:dyDescent="0.25">
      <c r="A250" s="189"/>
      <c r="B250" s="189"/>
      <c r="C250" s="189"/>
      <c r="D250" s="191"/>
      <c r="E250" s="191"/>
      <c r="F250" s="191"/>
      <c r="G250" s="191"/>
      <c r="H250" s="191"/>
      <c r="I250" s="191"/>
      <c r="J250" s="191"/>
    </row>
    <row r="251" spans="1:10" x14ac:dyDescent="0.25">
      <c r="A251" s="189"/>
      <c r="B251" s="189"/>
      <c r="C251" s="189"/>
      <c r="D251" s="191"/>
      <c r="E251" s="191"/>
      <c r="F251" s="191"/>
      <c r="G251" s="191"/>
      <c r="H251" s="191"/>
      <c r="I251" s="191"/>
      <c r="J251" s="191"/>
    </row>
    <row r="252" spans="1:10" x14ac:dyDescent="0.25">
      <c r="A252" s="189"/>
      <c r="B252" s="189"/>
      <c r="C252" s="189"/>
      <c r="D252" s="191"/>
      <c r="E252" s="191"/>
      <c r="F252" s="191"/>
      <c r="G252" s="191"/>
      <c r="H252" s="191"/>
      <c r="I252" s="191"/>
      <c r="J252" s="191"/>
    </row>
    <row r="253" spans="1:10" x14ac:dyDescent="0.25">
      <c r="A253" s="189"/>
      <c r="B253" s="189"/>
      <c r="C253" s="189"/>
      <c r="D253" s="191"/>
      <c r="E253" s="191"/>
      <c r="F253" s="191"/>
      <c r="G253" s="191"/>
      <c r="H253" s="191"/>
      <c r="I253" s="191"/>
      <c r="J253" s="191"/>
    </row>
    <row r="254" spans="1:10" x14ac:dyDescent="0.25">
      <c r="A254" s="189"/>
      <c r="B254" s="189"/>
      <c r="C254" s="189"/>
      <c r="D254" s="191"/>
      <c r="E254" s="191"/>
      <c r="F254" s="191"/>
      <c r="G254" s="191"/>
      <c r="H254" s="191"/>
      <c r="I254" s="191"/>
      <c r="J254" s="191"/>
    </row>
    <row r="255" spans="1:10" x14ac:dyDescent="0.25">
      <c r="A255" s="189"/>
      <c r="B255" s="189"/>
      <c r="C255" s="189"/>
      <c r="D255" s="191"/>
      <c r="E255" s="191"/>
      <c r="F255" s="191"/>
      <c r="G255" s="191"/>
      <c r="H255" s="191"/>
      <c r="I255" s="191"/>
      <c r="J255" s="191"/>
    </row>
    <row r="256" spans="1:10" x14ac:dyDescent="0.25">
      <c r="A256" s="189"/>
      <c r="B256" s="189"/>
      <c r="C256" s="189"/>
      <c r="D256" s="191"/>
      <c r="E256" s="191"/>
      <c r="F256" s="191"/>
      <c r="G256" s="191"/>
      <c r="H256" s="191"/>
      <c r="I256" s="191"/>
      <c r="J256" s="191"/>
    </row>
    <row r="257" spans="1:10" x14ac:dyDescent="0.25">
      <c r="A257" s="189"/>
      <c r="B257" s="189"/>
      <c r="C257" s="189"/>
      <c r="D257" s="191"/>
      <c r="E257" s="191"/>
      <c r="F257" s="191"/>
      <c r="G257" s="191"/>
      <c r="H257" s="191"/>
      <c r="I257" s="191"/>
      <c r="J257" s="191"/>
    </row>
    <row r="258" spans="1:10" x14ac:dyDescent="0.25">
      <c r="A258" s="189"/>
      <c r="B258" s="189"/>
      <c r="C258" s="189"/>
      <c r="D258" s="191"/>
      <c r="E258" s="191"/>
      <c r="F258" s="191"/>
      <c r="G258" s="191"/>
      <c r="H258" s="191"/>
      <c r="I258" s="191"/>
      <c r="J258" s="191"/>
    </row>
    <row r="259" spans="1:10" x14ac:dyDescent="0.25">
      <c r="A259" s="189"/>
      <c r="B259" s="189"/>
      <c r="C259" s="189"/>
      <c r="D259" s="191"/>
      <c r="E259" s="191"/>
      <c r="F259" s="191"/>
      <c r="G259" s="191"/>
      <c r="H259" s="191"/>
      <c r="I259" s="191"/>
      <c r="J259" s="191"/>
    </row>
    <row r="260" spans="1:10" x14ac:dyDescent="0.25">
      <c r="A260" s="189"/>
      <c r="B260" s="189"/>
      <c r="C260" s="189"/>
      <c r="D260" s="191"/>
      <c r="E260" s="191"/>
      <c r="F260" s="191"/>
      <c r="G260" s="191"/>
      <c r="H260" s="191"/>
      <c r="I260" s="191"/>
      <c r="J260" s="191"/>
    </row>
    <row r="261" spans="1:10" x14ac:dyDescent="0.25">
      <c r="A261" s="189"/>
      <c r="B261" s="189"/>
      <c r="C261" s="189"/>
      <c r="D261" s="191"/>
      <c r="E261" s="191"/>
      <c r="F261" s="191"/>
      <c r="G261" s="191"/>
      <c r="H261" s="191"/>
      <c r="I261" s="191"/>
      <c r="J261" s="191"/>
    </row>
    <row r="262" spans="1:10" x14ac:dyDescent="0.25">
      <c r="A262" s="189"/>
      <c r="B262" s="189"/>
      <c r="C262" s="189"/>
      <c r="D262" s="191"/>
      <c r="E262" s="191"/>
      <c r="F262" s="191"/>
      <c r="G262" s="191"/>
      <c r="H262" s="191"/>
      <c r="I262" s="191"/>
      <c r="J262" s="191"/>
    </row>
    <row r="263" spans="1:10" x14ac:dyDescent="0.25">
      <c r="A263" s="189"/>
      <c r="B263" s="189"/>
      <c r="C263" s="189"/>
      <c r="D263" s="191"/>
      <c r="E263" s="191"/>
      <c r="F263" s="191"/>
      <c r="G263" s="191"/>
      <c r="H263" s="191"/>
      <c r="I263" s="191"/>
      <c r="J263" s="191"/>
    </row>
    <row r="264" spans="1:10" x14ac:dyDescent="0.25">
      <c r="A264" s="189"/>
      <c r="B264" s="189"/>
      <c r="C264" s="189"/>
      <c r="D264" s="191"/>
      <c r="E264" s="191"/>
      <c r="F264" s="191"/>
      <c r="G264" s="191"/>
      <c r="H264" s="191"/>
      <c r="I264" s="191"/>
      <c r="J264" s="191"/>
    </row>
    <row r="265" spans="1:10" x14ac:dyDescent="0.25">
      <c r="A265" s="189"/>
      <c r="B265" s="189"/>
      <c r="C265" s="189"/>
      <c r="D265" s="191"/>
      <c r="E265" s="191"/>
      <c r="F265" s="191"/>
      <c r="G265" s="191"/>
      <c r="H265" s="191"/>
      <c r="I265" s="191"/>
      <c r="J265" s="191"/>
    </row>
    <row r="266" spans="1:10" x14ac:dyDescent="0.25">
      <c r="A266" s="189"/>
      <c r="B266" s="189"/>
      <c r="C266" s="189"/>
      <c r="D266" s="191"/>
      <c r="E266" s="191"/>
      <c r="F266" s="191"/>
      <c r="G266" s="191"/>
      <c r="H266" s="191"/>
      <c r="I266" s="191"/>
      <c r="J266" s="191"/>
    </row>
    <row r="267" spans="1:10" x14ac:dyDescent="0.25">
      <c r="A267" s="189"/>
      <c r="B267" s="189"/>
      <c r="C267" s="189"/>
      <c r="D267" s="191"/>
      <c r="E267" s="191"/>
      <c r="F267" s="191"/>
      <c r="G267" s="191"/>
      <c r="H267" s="191"/>
      <c r="I267" s="191"/>
      <c r="J267" s="191"/>
    </row>
    <row r="268" spans="1:10" x14ac:dyDescent="0.25">
      <c r="A268" s="189"/>
      <c r="B268" s="189"/>
      <c r="C268" s="189"/>
      <c r="D268" s="191"/>
      <c r="E268" s="191"/>
      <c r="F268" s="191"/>
      <c r="G268" s="191"/>
      <c r="H268" s="191"/>
      <c r="I268" s="191"/>
      <c r="J268" s="191"/>
    </row>
    <row r="269" spans="1:10" x14ac:dyDescent="0.25">
      <c r="A269" s="189"/>
      <c r="B269" s="189"/>
      <c r="C269" s="189"/>
      <c r="D269" s="191"/>
      <c r="E269" s="191"/>
      <c r="F269" s="191"/>
      <c r="G269" s="191"/>
      <c r="H269" s="191"/>
      <c r="I269" s="191"/>
      <c r="J269" s="191"/>
    </row>
    <row r="270" spans="1:10" x14ac:dyDescent="0.25">
      <c r="A270" s="189"/>
      <c r="B270" s="189"/>
      <c r="C270" s="189"/>
      <c r="D270" s="191"/>
      <c r="E270" s="191"/>
      <c r="F270" s="191"/>
      <c r="G270" s="191"/>
      <c r="H270" s="191"/>
      <c r="I270" s="191"/>
      <c r="J270" s="191"/>
    </row>
    <row r="271" spans="1:10" x14ac:dyDescent="0.25">
      <c r="A271" s="189"/>
      <c r="B271" s="189"/>
      <c r="C271" s="189"/>
      <c r="D271" s="191"/>
      <c r="E271" s="191"/>
      <c r="F271" s="191"/>
      <c r="G271" s="191"/>
      <c r="H271" s="191"/>
      <c r="I271" s="191"/>
      <c r="J271" s="191"/>
    </row>
    <row r="272" spans="1:10" x14ac:dyDescent="0.25">
      <c r="A272" s="189"/>
      <c r="B272" s="189"/>
      <c r="C272" s="189"/>
      <c r="D272" s="191"/>
      <c r="E272" s="191"/>
      <c r="F272" s="191"/>
      <c r="G272" s="191"/>
      <c r="H272" s="191"/>
      <c r="I272" s="191"/>
      <c r="J272" s="191"/>
    </row>
    <row r="273" spans="1:10" x14ac:dyDescent="0.25">
      <c r="A273" s="189"/>
      <c r="B273" s="189"/>
      <c r="C273" s="189"/>
      <c r="D273" s="191"/>
      <c r="E273" s="191"/>
      <c r="F273" s="191"/>
      <c r="G273" s="191"/>
      <c r="H273" s="191"/>
      <c r="I273" s="191"/>
      <c r="J273" s="191"/>
    </row>
    <row r="274" spans="1:10" x14ac:dyDescent="0.25">
      <c r="A274" s="189"/>
      <c r="B274" s="189"/>
      <c r="C274" s="189"/>
      <c r="D274" s="191"/>
      <c r="E274" s="191"/>
      <c r="F274" s="191"/>
      <c r="G274" s="191"/>
      <c r="H274" s="191"/>
      <c r="I274" s="191"/>
      <c r="J274" s="191"/>
    </row>
    <row r="275" spans="1:10" x14ac:dyDescent="0.25">
      <c r="A275" s="189"/>
      <c r="B275" s="189"/>
      <c r="C275" s="189"/>
      <c r="D275" s="191"/>
      <c r="E275" s="191"/>
      <c r="F275" s="191"/>
      <c r="G275" s="191"/>
      <c r="H275" s="191"/>
      <c r="I275" s="191"/>
      <c r="J275" s="191"/>
    </row>
    <row r="276" spans="1:10" x14ac:dyDescent="0.25">
      <c r="A276" s="189"/>
      <c r="B276" s="189"/>
      <c r="C276" s="189"/>
      <c r="D276" s="191"/>
      <c r="E276" s="191"/>
      <c r="F276" s="191"/>
      <c r="G276" s="191"/>
      <c r="H276" s="191"/>
      <c r="I276" s="191"/>
      <c r="J276" s="191"/>
    </row>
    <row r="277" spans="1:10" x14ac:dyDescent="0.25">
      <c r="A277" s="189"/>
      <c r="B277" s="189"/>
      <c r="C277" s="189"/>
      <c r="D277" s="191"/>
      <c r="E277" s="191"/>
      <c r="F277" s="191"/>
      <c r="G277" s="191"/>
      <c r="H277" s="191"/>
      <c r="I277" s="191"/>
      <c r="J277" s="191"/>
    </row>
    <row r="278" spans="1:10" x14ac:dyDescent="0.25">
      <c r="A278" s="189"/>
      <c r="B278" s="189"/>
      <c r="C278" s="189"/>
      <c r="D278" s="191"/>
      <c r="E278" s="191"/>
      <c r="F278" s="191"/>
      <c r="G278" s="191"/>
      <c r="H278" s="191"/>
      <c r="I278" s="191"/>
      <c r="J278" s="191"/>
    </row>
    <row r="279" spans="1:10" x14ac:dyDescent="0.25">
      <c r="A279" s="189"/>
      <c r="B279" s="189"/>
      <c r="C279" s="189"/>
      <c r="D279" s="191"/>
      <c r="E279" s="191"/>
      <c r="F279" s="191"/>
      <c r="G279" s="191"/>
      <c r="H279" s="191"/>
      <c r="I279" s="191"/>
      <c r="J279" s="191"/>
    </row>
    <row r="280" spans="1:10" x14ac:dyDescent="0.25">
      <c r="A280" s="189"/>
      <c r="B280" s="189"/>
      <c r="C280" s="189"/>
      <c r="D280" s="191"/>
      <c r="E280" s="191"/>
      <c r="F280" s="191"/>
      <c r="G280" s="191"/>
      <c r="H280" s="191"/>
      <c r="I280" s="191"/>
      <c r="J280" s="191"/>
    </row>
    <row r="281" spans="1:10" x14ac:dyDescent="0.25">
      <c r="A281" s="189"/>
      <c r="B281" s="189"/>
      <c r="C281" s="189"/>
      <c r="D281" s="191"/>
      <c r="E281" s="191"/>
      <c r="F281" s="191"/>
      <c r="G281" s="191"/>
      <c r="H281" s="191"/>
      <c r="I281" s="191"/>
      <c r="J281" s="191"/>
    </row>
    <row r="282" spans="1:10" x14ac:dyDescent="0.25">
      <c r="A282" s="189"/>
      <c r="B282" s="189"/>
      <c r="C282" s="189"/>
      <c r="D282" s="191"/>
      <c r="E282" s="191"/>
      <c r="F282" s="191"/>
      <c r="G282" s="191"/>
      <c r="H282" s="191"/>
      <c r="I282" s="191"/>
      <c r="J282" s="191"/>
    </row>
    <row r="283" spans="1:10" x14ac:dyDescent="0.25">
      <c r="A283" s="189"/>
      <c r="B283" s="189"/>
      <c r="C283" s="189"/>
      <c r="D283" s="191"/>
      <c r="E283" s="191"/>
      <c r="F283" s="191"/>
      <c r="G283" s="191"/>
      <c r="H283" s="191"/>
      <c r="I283" s="191"/>
      <c r="J283" s="191"/>
    </row>
    <row r="284" spans="1:10" x14ac:dyDescent="0.25">
      <c r="A284" s="189"/>
      <c r="B284" s="189"/>
      <c r="C284" s="189"/>
      <c r="D284" s="191"/>
      <c r="E284" s="191"/>
      <c r="F284" s="191"/>
      <c r="G284" s="191"/>
      <c r="H284" s="191"/>
      <c r="I284" s="191"/>
      <c r="J284" s="191"/>
    </row>
    <row r="285" spans="1:10" x14ac:dyDescent="0.25">
      <c r="A285" s="189"/>
      <c r="B285" s="189"/>
      <c r="C285" s="189"/>
      <c r="D285" s="191"/>
      <c r="E285" s="191"/>
      <c r="F285" s="191"/>
      <c r="G285" s="191"/>
      <c r="H285" s="191"/>
      <c r="I285" s="191"/>
      <c r="J285" s="191"/>
    </row>
    <row r="286" spans="1:10" x14ac:dyDescent="0.25">
      <c r="A286" s="189"/>
      <c r="B286" s="189"/>
      <c r="C286" s="189"/>
      <c r="D286" s="191"/>
      <c r="E286" s="191"/>
      <c r="F286" s="191"/>
      <c r="G286" s="191"/>
      <c r="H286" s="191"/>
      <c r="I286" s="191"/>
      <c r="J286" s="191"/>
    </row>
    <row r="287" spans="1:10" x14ac:dyDescent="0.25">
      <c r="A287" s="189"/>
      <c r="B287" s="189"/>
      <c r="C287" s="189"/>
      <c r="D287" s="191"/>
      <c r="E287" s="191"/>
      <c r="F287" s="191"/>
      <c r="G287" s="191"/>
      <c r="H287" s="191"/>
      <c r="I287" s="191"/>
      <c r="J287" s="191"/>
    </row>
    <row r="288" spans="1:10" x14ac:dyDescent="0.25">
      <c r="A288" s="189"/>
      <c r="B288" s="189"/>
      <c r="C288" s="189"/>
      <c r="D288" s="191"/>
      <c r="E288" s="191"/>
      <c r="F288" s="191"/>
      <c r="G288" s="191"/>
      <c r="H288" s="191"/>
      <c r="I288" s="191"/>
      <c r="J288" s="191"/>
    </row>
    <row r="289" spans="1:10" x14ac:dyDescent="0.25">
      <c r="A289" s="189"/>
      <c r="B289" s="189"/>
      <c r="C289" s="189"/>
      <c r="D289" s="191"/>
      <c r="E289" s="191"/>
      <c r="F289" s="191"/>
      <c r="G289" s="191"/>
      <c r="H289" s="191"/>
      <c r="I289" s="191"/>
      <c r="J289" s="191"/>
    </row>
    <row r="290" spans="1:10" x14ac:dyDescent="0.25">
      <c r="A290" s="189"/>
      <c r="B290" s="189"/>
      <c r="C290" s="189"/>
      <c r="D290" s="191"/>
      <c r="E290" s="191"/>
      <c r="F290" s="191"/>
      <c r="G290" s="191"/>
      <c r="H290" s="191"/>
      <c r="I290" s="191"/>
      <c r="J290" s="191"/>
    </row>
    <row r="291" spans="1:10" x14ac:dyDescent="0.25">
      <c r="A291" s="189"/>
      <c r="B291" s="189"/>
      <c r="C291" s="189"/>
      <c r="D291" s="191"/>
      <c r="E291" s="191"/>
      <c r="F291" s="191"/>
      <c r="G291" s="191"/>
      <c r="H291" s="191"/>
      <c r="I291" s="191"/>
      <c r="J291" s="191"/>
    </row>
    <row r="292" spans="1:10" x14ac:dyDescent="0.25">
      <c r="A292" s="189"/>
      <c r="B292" s="189"/>
      <c r="C292" s="189"/>
      <c r="D292" s="191"/>
      <c r="E292" s="191"/>
      <c r="F292" s="191"/>
      <c r="G292" s="191"/>
      <c r="H292" s="191"/>
      <c r="I292" s="191"/>
      <c r="J292" s="191"/>
    </row>
    <row r="293" spans="1:10" x14ac:dyDescent="0.25">
      <c r="A293" s="189"/>
      <c r="B293" s="189"/>
      <c r="C293" s="189"/>
      <c r="D293" s="191"/>
      <c r="E293" s="191"/>
      <c r="F293" s="191"/>
      <c r="G293" s="191"/>
      <c r="H293" s="191"/>
      <c r="I293" s="191"/>
      <c r="J293" s="191"/>
    </row>
    <row r="294" spans="1:10" x14ac:dyDescent="0.25">
      <c r="A294" s="189"/>
      <c r="B294" s="189"/>
      <c r="C294" s="189"/>
      <c r="D294" s="191"/>
      <c r="E294" s="191"/>
      <c r="F294" s="191"/>
      <c r="G294" s="191"/>
      <c r="H294" s="191"/>
      <c r="I294" s="191"/>
      <c r="J294" s="191"/>
    </row>
    <row r="295" spans="1:10" x14ac:dyDescent="0.25">
      <c r="A295" s="189"/>
      <c r="B295" s="189"/>
      <c r="C295" s="189"/>
      <c r="D295" s="191"/>
      <c r="E295" s="191"/>
      <c r="F295" s="191"/>
      <c r="G295" s="191"/>
      <c r="H295" s="191"/>
      <c r="I295" s="191"/>
      <c r="J295" s="191"/>
    </row>
    <row r="296" spans="1:10" x14ac:dyDescent="0.25">
      <c r="A296" s="189"/>
      <c r="B296" s="189"/>
      <c r="C296" s="189"/>
      <c r="D296" s="191"/>
      <c r="E296" s="191"/>
      <c r="F296" s="191"/>
      <c r="G296" s="191"/>
      <c r="H296" s="191"/>
      <c r="I296" s="191"/>
      <c r="J296" s="191"/>
    </row>
    <row r="297" spans="1:10" x14ac:dyDescent="0.25">
      <c r="A297" s="189"/>
      <c r="B297" s="189"/>
      <c r="C297" s="189"/>
      <c r="D297" s="191"/>
      <c r="E297" s="191"/>
      <c r="F297" s="191"/>
      <c r="G297" s="191"/>
      <c r="H297" s="191"/>
      <c r="I297" s="191"/>
      <c r="J297" s="191"/>
    </row>
    <row r="298" spans="1:10" x14ac:dyDescent="0.25">
      <c r="A298" s="189"/>
      <c r="B298" s="189"/>
      <c r="C298" s="189"/>
      <c r="D298" s="191"/>
      <c r="E298" s="191"/>
      <c r="F298" s="191"/>
      <c r="G298" s="191"/>
      <c r="H298" s="191"/>
      <c r="I298" s="191"/>
      <c r="J298" s="191"/>
    </row>
    <row r="299" spans="1:10" x14ac:dyDescent="0.25">
      <c r="A299" s="189"/>
      <c r="B299" s="189"/>
      <c r="C299" s="189"/>
      <c r="D299" s="191"/>
      <c r="E299" s="191"/>
      <c r="F299" s="191"/>
      <c r="G299" s="191"/>
      <c r="H299" s="191"/>
      <c r="I299" s="191"/>
      <c r="J299" s="191"/>
    </row>
    <row r="300" spans="1:10" x14ac:dyDescent="0.25">
      <c r="A300" s="189"/>
      <c r="B300" s="189"/>
      <c r="C300" s="189"/>
      <c r="D300" s="191"/>
      <c r="E300" s="191"/>
      <c r="F300" s="191"/>
      <c r="G300" s="191"/>
      <c r="H300" s="191"/>
      <c r="I300" s="191"/>
      <c r="J300" s="191"/>
    </row>
    <row r="301" spans="1:10" x14ac:dyDescent="0.25">
      <c r="A301" s="189"/>
      <c r="B301" s="189"/>
      <c r="C301" s="189"/>
      <c r="D301" s="191"/>
      <c r="E301" s="191"/>
      <c r="F301" s="191"/>
      <c r="G301" s="191"/>
      <c r="H301" s="191"/>
      <c r="I301" s="191"/>
      <c r="J301" s="191"/>
    </row>
    <row r="302" spans="1:10" x14ac:dyDescent="0.25">
      <c r="A302" s="189"/>
      <c r="B302" s="189"/>
      <c r="C302" s="189"/>
      <c r="D302" s="191"/>
      <c r="E302" s="191"/>
      <c r="F302" s="191"/>
      <c r="G302" s="191"/>
      <c r="H302" s="191"/>
      <c r="I302" s="191"/>
      <c r="J302" s="191"/>
    </row>
    <row r="303" spans="1:10" x14ac:dyDescent="0.25">
      <c r="A303" s="189"/>
      <c r="B303" s="189"/>
      <c r="C303" s="189"/>
      <c r="D303" s="191"/>
      <c r="E303" s="191"/>
      <c r="F303" s="191"/>
      <c r="G303" s="191"/>
      <c r="H303" s="191"/>
      <c r="I303" s="191"/>
      <c r="J303" s="191"/>
    </row>
    <row r="304" spans="1:10" x14ac:dyDescent="0.25">
      <c r="A304" s="189"/>
      <c r="B304" s="189"/>
      <c r="C304" s="189"/>
      <c r="D304" s="191"/>
      <c r="E304" s="191"/>
      <c r="F304" s="191"/>
      <c r="G304" s="191"/>
      <c r="H304" s="191"/>
      <c r="I304" s="191"/>
      <c r="J304" s="191"/>
    </row>
    <row r="305" spans="1:10" x14ac:dyDescent="0.25">
      <c r="A305" s="189"/>
      <c r="B305" s="189"/>
      <c r="C305" s="189"/>
      <c r="D305" s="191"/>
      <c r="E305" s="191"/>
      <c r="F305" s="191"/>
      <c r="G305" s="191"/>
      <c r="H305" s="191"/>
      <c r="I305" s="191"/>
      <c r="J305" s="191"/>
    </row>
    <row r="306" spans="1:10" x14ac:dyDescent="0.25">
      <c r="A306" s="189"/>
      <c r="B306" s="189"/>
      <c r="C306" s="189"/>
      <c r="D306" s="191"/>
      <c r="E306" s="191"/>
      <c r="F306" s="191"/>
      <c r="G306" s="191"/>
      <c r="H306" s="191"/>
      <c r="I306" s="191"/>
      <c r="J306" s="191"/>
    </row>
    <row r="307" spans="1:10" x14ac:dyDescent="0.25">
      <c r="A307" s="189"/>
      <c r="B307" s="189"/>
      <c r="C307" s="189"/>
      <c r="D307" s="191"/>
      <c r="E307" s="191"/>
      <c r="F307" s="191"/>
      <c r="G307" s="191"/>
      <c r="H307" s="191"/>
      <c r="I307" s="191"/>
      <c r="J307" s="191"/>
    </row>
    <row r="308" spans="1:10" x14ac:dyDescent="0.25">
      <c r="A308" s="189"/>
      <c r="B308" s="189"/>
      <c r="C308" s="189"/>
      <c r="D308" s="191"/>
      <c r="E308" s="191"/>
      <c r="F308" s="191"/>
      <c r="G308" s="191"/>
      <c r="H308" s="191"/>
      <c r="I308" s="191"/>
      <c r="J308" s="191"/>
    </row>
    <row r="309" spans="1:10" x14ac:dyDescent="0.25">
      <c r="A309" s="189"/>
      <c r="B309" s="189"/>
      <c r="C309" s="189"/>
      <c r="D309" s="191"/>
      <c r="E309" s="191"/>
      <c r="F309" s="191"/>
      <c r="G309" s="191"/>
      <c r="H309" s="191"/>
      <c r="I309" s="191"/>
      <c r="J309" s="191"/>
    </row>
    <row r="310" spans="1:10" x14ac:dyDescent="0.25">
      <c r="A310" s="189"/>
      <c r="B310" s="189"/>
      <c r="C310" s="189"/>
      <c r="D310" s="191"/>
      <c r="E310" s="191"/>
      <c r="F310" s="191"/>
      <c r="G310" s="191"/>
      <c r="H310" s="191"/>
      <c r="I310" s="191"/>
      <c r="J310" s="191"/>
    </row>
    <row r="311" spans="1:10" x14ac:dyDescent="0.25">
      <c r="A311" s="189"/>
      <c r="B311" s="189"/>
      <c r="C311" s="189"/>
      <c r="D311" s="191"/>
      <c r="E311" s="191"/>
      <c r="F311" s="191"/>
      <c r="G311" s="191"/>
      <c r="H311" s="191"/>
      <c r="I311" s="191"/>
      <c r="J311" s="191"/>
    </row>
    <row r="312" spans="1:10" x14ac:dyDescent="0.25">
      <c r="A312" s="189"/>
      <c r="B312" s="189"/>
      <c r="C312" s="189"/>
      <c r="D312" s="191"/>
      <c r="E312" s="191"/>
      <c r="F312" s="191"/>
      <c r="G312" s="191"/>
      <c r="H312" s="191"/>
      <c r="I312" s="191"/>
      <c r="J312" s="191"/>
    </row>
    <row r="313" spans="1:10" x14ac:dyDescent="0.25">
      <c r="A313" s="189"/>
      <c r="B313" s="189"/>
      <c r="C313" s="189"/>
      <c r="D313" s="191"/>
      <c r="E313" s="191"/>
      <c r="F313" s="191"/>
      <c r="G313" s="191"/>
      <c r="H313" s="191"/>
      <c r="I313" s="191"/>
      <c r="J313" s="191"/>
    </row>
    <row r="314" spans="1:10" x14ac:dyDescent="0.25">
      <c r="A314" s="189"/>
      <c r="B314" s="189"/>
      <c r="C314" s="189"/>
      <c r="D314" s="191"/>
      <c r="E314" s="191"/>
      <c r="F314" s="191"/>
      <c r="G314" s="191"/>
      <c r="H314" s="191"/>
      <c r="I314" s="191"/>
      <c r="J314" s="191"/>
    </row>
    <row r="315" spans="1:10" x14ac:dyDescent="0.25">
      <c r="A315" s="189"/>
      <c r="B315" s="189"/>
      <c r="C315" s="189"/>
      <c r="D315" s="191"/>
      <c r="E315" s="191"/>
      <c r="F315" s="191"/>
      <c r="G315" s="191"/>
      <c r="H315" s="191"/>
      <c r="I315" s="191"/>
      <c r="J315" s="191"/>
    </row>
    <row r="316" spans="1:10" x14ac:dyDescent="0.25">
      <c r="A316" s="189"/>
      <c r="B316" s="189"/>
      <c r="C316" s="189"/>
      <c r="D316" s="191"/>
      <c r="E316" s="191"/>
      <c r="F316" s="191"/>
      <c r="G316" s="191"/>
      <c r="H316" s="191"/>
      <c r="I316" s="191"/>
      <c r="J316" s="191"/>
    </row>
    <row r="317" spans="1:10" x14ac:dyDescent="0.25">
      <c r="A317" s="189"/>
      <c r="B317" s="189"/>
      <c r="C317" s="189"/>
      <c r="D317" s="191"/>
      <c r="E317" s="191"/>
      <c r="F317" s="191"/>
      <c r="G317" s="191"/>
      <c r="H317" s="191"/>
      <c r="I317" s="191"/>
      <c r="J317" s="191"/>
    </row>
    <row r="318" spans="1:10" x14ac:dyDescent="0.25">
      <c r="A318" s="189"/>
      <c r="B318" s="189"/>
      <c r="C318" s="189"/>
      <c r="D318" s="191"/>
      <c r="E318" s="191"/>
      <c r="F318" s="191"/>
      <c r="G318" s="191"/>
      <c r="H318" s="191"/>
      <c r="I318" s="191"/>
      <c r="J318" s="191"/>
    </row>
    <row r="319" spans="1:10" x14ac:dyDescent="0.25">
      <c r="A319" s="189"/>
      <c r="B319" s="189"/>
      <c r="C319" s="189"/>
      <c r="D319" s="191"/>
      <c r="E319" s="191"/>
      <c r="F319" s="191"/>
      <c r="G319" s="191"/>
      <c r="H319" s="191"/>
      <c r="I319" s="191"/>
      <c r="J319" s="191"/>
    </row>
    <row r="320" spans="1:10" x14ac:dyDescent="0.25">
      <c r="A320" s="189"/>
      <c r="B320" s="189"/>
      <c r="C320" s="189"/>
      <c r="D320" s="191"/>
      <c r="E320" s="191"/>
      <c r="F320" s="191"/>
      <c r="G320" s="191"/>
      <c r="H320" s="191"/>
      <c r="I320" s="191"/>
      <c r="J320" s="191"/>
    </row>
    <row r="321" spans="1:10" x14ac:dyDescent="0.25">
      <c r="A321" s="189"/>
      <c r="B321" s="189"/>
      <c r="C321" s="189"/>
      <c r="D321" s="191"/>
      <c r="E321" s="191"/>
      <c r="F321" s="191"/>
      <c r="G321" s="191"/>
      <c r="H321" s="191"/>
      <c r="I321" s="191"/>
      <c r="J321" s="191"/>
    </row>
    <row r="322" spans="1:10" x14ac:dyDescent="0.25">
      <c r="A322" s="189"/>
      <c r="B322" s="189"/>
      <c r="C322" s="189"/>
      <c r="D322" s="191"/>
      <c r="E322" s="191"/>
      <c r="F322" s="191"/>
      <c r="G322" s="191"/>
      <c r="H322" s="191"/>
      <c r="I322" s="191"/>
      <c r="J322" s="191"/>
    </row>
    <row r="323" spans="1:10" x14ac:dyDescent="0.25">
      <c r="A323" s="189"/>
      <c r="B323" s="189"/>
      <c r="C323" s="189"/>
      <c r="D323" s="191"/>
      <c r="E323" s="191"/>
      <c r="F323" s="191"/>
      <c r="G323" s="191"/>
      <c r="H323" s="191"/>
      <c r="I323" s="191"/>
      <c r="J323" s="191"/>
    </row>
    <row r="324" spans="1:10" x14ac:dyDescent="0.25">
      <c r="A324" s="189"/>
      <c r="B324" s="189"/>
      <c r="C324" s="189"/>
      <c r="D324" s="191"/>
      <c r="E324" s="191"/>
      <c r="F324" s="191"/>
      <c r="G324" s="191"/>
      <c r="H324" s="191"/>
      <c r="I324" s="191"/>
      <c r="J324" s="191"/>
    </row>
    <row r="325" spans="1:10" x14ac:dyDescent="0.25">
      <c r="A325" s="189"/>
      <c r="B325" s="189"/>
      <c r="C325" s="189"/>
      <c r="D325" s="191"/>
      <c r="E325" s="191"/>
      <c r="F325" s="191"/>
      <c r="G325" s="191"/>
      <c r="H325" s="191"/>
      <c r="I325" s="191"/>
      <c r="J325" s="191"/>
    </row>
    <row r="326" spans="1:10" x14ac:dyDescent="0.25">
      <c r="A326" s="189"/>
      <c r="B326" s="189"/>
      <c r="C326" s="189"/>
      <c r="D326" s="191"/>
      <c r="E326" s="191"/>
      <c r="F326" s="191"/>
      <c r="G326" s="191"/>
      <c r="H326" s="191"/>
      <c r="I326" s="191"/>
      <c r="J326" s="191"/>
    </row>
    <row r="327" spans="1:10" x14ac:dyDescent="0.25">
      <c r="A327" s="189"/>
      <c r="B327" s="189"/>
      <c r="C327" s="189"/>
      <c r="D327" s="191"/>
      <c r="E327" s="191"/>
      <c r="F327" s="191"/>
      <c r="G327" s="191"/>
      <c r="H327" s="191"/>
      <c r="I327" s="191"/>
      <c r="J327" s="191"/>
    </row>
    <row r="328" spans="1:10" x14ac:dyDescent="0.25">
      <c r="A328" s="189"/>
      <c r="B328" s="189"/>
      <c r="C328" s="189"/>
      <c r="D328" s="191"/>
      <c r="E328" s="191"/>
      <c r="F328" s="191"/>
      <c r="G328" s="191"/>
      <c r="H328" s="191"/>
      <c r="I328" s="191"/>
      <c r="J328" s="191"/>
    </row>
    <row r="329" spans="1:10" x14ac:dyDescent="0.25">
      <c r="A329" s="189"/>
      <c r="B329" s="189"/>
      <c r="C329" s="189"/>
      <c r="D329" s="191"/>
      <c r="E329" s="191"/>
      <c r="F329" s="191"/>
      <c r="G329" s="191"/>
      <c r="H329" s="191"/>
      <c r="I329" s="191"/>
      <c r="J329" s="191"/>
    </row>
    <row r="330" spans="1:10" x14ac:dyDescent="0.25">
      <c r="A330" s="189"/>
      <c r="B330" s="189"/>
      <c r="C330" s="189"/>
      <c r="D330" s="191"/>
      <c r="E330" s="191"/>
      <c r="F330" s="191"/>
      <c r="G330" s="191"/>
      <c r="H330" s="191"/>
      <c r="I330" s="191"/>
      <c r="J330" s="191"/>
    </row>
    <row r="331" spans="1:10" x14ac:dyDescent="0.25">
      <c r="A331" s="189"/>
      <c r="B331" s="189"/>
      <c r="C331" s="189"/>
      <c r="D331" s="191"/>
      <c r="E331" s="191"/>
      <c r="F331" s="191"/>
      <c r="G331" s="191"/>
      <c r="H331" s="191"/>
      <c r="I331" s="191"/>
      <c r="J331" s="191"/>
    </row>
    <row r="332" spans="1:10" x14ac:dyDescent="0.25">
      <c r="A332" s="189"/>
      <c r="B332" s="189"/>
      <c r="C332" s="189"/>
      <c r="D332" s="191"/>
      <c r="E332" s="191"/>
      <c r="F332" s="191"/>
      <c r="G332" s="191"/>
      <c r="H332" s="191"/>
      <c r="I332" s="191"/>
      <c r="J332" s="191"/>
    </row>
    <row r="333" spans="1:10" x14ac:dyDescent="0.25">
      <c r="A333" s="189"/>
      <c r="B333" s="189"/>
      <c r="C333" s="189"/>
      <c r="D333" s="191"/>
      <c r="E333" s="191"/>
      <c r="F333" s="191"/>
      <c r="G333" s="191"/>
      <c r="H333" s="191"/>
      <c r="I333" s="191"/>
      <c r="J333" s="191"/>
    </row>
    <row r="334" spans="1:10" x14ac:dyDescent="0.25">
      <c r="A334" s="189"/>
      <c r="B334" s="189"/>
      <c r="C334" s="189"/>
      <c r="D334" s="191"/>
      <c r="E334" s="191"/>
      <c r="F334" s="191"/>
      <c r="G334" s="191"/>
      <c r="H334" s="191"/>
      <c r="I334" s="191"/>
      <c r="J334" s="191"/>
    </row>
    <row r="335" spans="1:10" x14ac:dyDescent="0.25">
      <c r="A335" s="189"/>
      <c r="B335" s="189"/>
      <c r="C335" s="189"/>
      <c r="D335" s="191"/>
      <c r="E335" s="191"/>
      <c r="F335" s="191"/>
      <c r="G335" s="191"/>
      <c r="H335" s="191"/>
      <c r="I335" s="191"/>
      <c r="J335" s="191"/>
    </row>
    <row r="336" spans="1:10" x14ac:dyDescent="0.25">
      <c r="A336" s="189"/>
      <c r="B336" s="189"/>
      <c r="C336" s="189"/>
      <c r="D336" s="191"/>
      <c r="E336" s="191"/>
      <c r="F336" s="191"/>
      <c r="G336" s="191"/>
      <c r="H336" s="191"/>
      <c r="I336" s="191"/>
      <c r="J336" s="191"/>
    </row>
    <row r="337" spans="1:10" x14ac:dyDescent="0.25">
      <c r="A337" s="189"/>
      <c r="B337" s="189"/>
      <c r="C337" s="189"/>
      <c r="D337" s="191"/>
      <c r="E337" s="191"/>
      <c r="F337" s="191"/>
      <c r="G337" s="191"/>
      <c r="H337" s="191"/>
      <c r="I337" s="191"/>
      <c r="J337" s="191"/>
    </row>
    <row r="338" spans="1:10" x14ac:dyDescent="0.25">
      <c r="A338" s="189"/>
      <c r="B338" s="189"/>
      <c r="C338" s="189"/>
      <c r="D338" s="191"/>
      <c r="E338" s="191"/>
      <c r="F338" s="191"/>
      <c r="G338" s="191"/>
      <c r="H338" s="191"/>
      <c r="I338" s="191"/>
      <c r="J338" s="191"/>
    </row>
    <row r="339" spans="1:10" x14ac:dyDescent="0.25">
      <c r="A339" s="189"/>
      <c r="B339" s="189"/>
      <c r="C339" s="189"/>
      <c r="D339" s="191"/>
      <c r="E339" s="191"/>
      <c r="F339" s="191"/>
      <c r="G339" s="191"/>
      <c r="H339" s="191"/>
      <c r="I339" s="191"/>
      <c r="J339" s="191"/>
    </row>
    <row r="340" spans="1:10" x14ac:dyDescent="0.25">
      <c r="A340" s="189"/>
      <c r="B340" s="189"/>
      <c r="C340" s="189"/>
      <c r="D340" s="191"/>
      <c r="E340" s="191"/>
      <c r="F340" s="191"/>
      <c r="G340" s="191"/>
      <c r="H340" s="191"/>
      <c r="I340" s="191"/>
      <c r="J340" s="191"/>
    </row>
    <row r="341" spans="1:10" x14ac:dyDescent="0.25">
      <c r="A341" s="189"/>
      <c r="B341" s="189"/>
      <c r="C341" s="189"/>
      <c r="D341" s="191"/>
      <c r="E341" s="191"/>
      <c r="F341" s="191"/>
      <c r="G341" s="191"/>
      <c r="H341" s="191"/>
      <c r="I341" s="191"/>
      <c r="J341" s="191"/>
    </row>
    <row r="342" spans="1:10" x14ac:dyDescent="0.25">
      <c r="A342" s="189"/>
      <c r="B342" s="189"/>
      <c r="C342" s="189"/>
      <c r="D342" s="191"/>
      <c r="E342" s="191"/>
      <c r="F342" s="191"/>
      <c r="G342" s="191"/>
      <c r="H342" s="191"/>
      <c r="I342" s="191"/>
      <c r="J342" s="191"/>
    </row>
    <row r="343" spans="1:10" x14ac:dyDescent="0.25">
      <c r="A343" s="189"/>
      <c r="B343" s="189"/>
      <c r="C343" s="189"/>
      <c r="D343" s="191"/>
      <c r="E343" s="191"/>
      <c r="F343" s="191"/>
      <c r="G343" s="191"/>
      <c r="H343" s="191"/>
      <c r="I343" s="191"/>
      <c r="J343" s="191"/>
    </row>
    <row r="344" spans="1:10" x14ac:dyDescent="0.25">
      <c r="A344" s="189"/>
      <c r="B344" s="189"/>
      <c r="C344" s="189"/>
      <c r="D344" s="191"/>
      <c r="E344" s="191"/>
      <c r="F344" s="191"/>
      <c r="G344" s="191"/>
      <c r="H344" s="191"/>
      <c r="I344" s="191"/>
      <c r="J344" s="191"/>
    </row>
    <row r="345" spans="1:10" x14ac:dyDescent="0.25">
      <c r="A345" s="189"/>
      <c r="B345" s="189"/>
      <c r="C345" s="189"/>
      <c r="D345" s="191"/>
      <c r="E345" s="191"/>
      <c r="F345" s="191"/>
      <c r="G345" s="191"/>
      <c r="H345" s="191"/>
      <c r="I345" s="191"/>
      <c r="J345" s="191"/>
    </row>
    <row r="346" spans="1:10" x14ac:dyDescent="0.25">
      <c r="A346" s="189"/>
      <c r="B346" s="189"/>
      <c r="C346" s="189"/>
      <c r="D346" s="191"/>
      <c r="E346" s="191"/>
      <c r="F346" s="191"/>
      <c r="G346" s="191"/>
      <c r="H346" s="191"/>
      <c r="I346" s="191"/>
      <c r="J346" s="191"/>
    </row>
    <row r="347" spans="1:10" x14ac:dyDescent="0.25">
      <c r="A347" s="189"/>
      <c r="B347" s="189"/>
      <c r="C347" s="189"/>
      <c r="D347" s="191"/>
      <c r="E347" s="191"/>
      <c r="F347" s="191"/>
      <c r="G347" s="191"/>
      <c r="H347" s="191"/>
      <c r="I347" s="191"/>
      <c r="J347" s="191"/>
    </row>
    <row r="348" spans="1:10" x14ac:dyDescent="0.25">
      <c r="A348" s="189"/>
      <c r="B348" s="189"/>
      <c r="C348" s="189"/>
      <c r="D348" s="191"/>
      <c r="E348" s="191"/>
      <c r="F348" s="191"/>
      <c r="G348" s="191"/>
      <c r="H348" s="191"/>
      <c r="I348" s="191"/>
      <c r="J348" s="191"/>
    </row>
    <row r="349" spans="1:10" x14ac:dyDescent="0.25">
      <c r="A349" s="189"/>
      <c r="B349" s="189"/>
      <c r="C349" s="189"/>
      <c r="D349" s="191"/>
      <c r="E349" s="191"/>
      <c r="F349" s="191"/>
      <c r="G349" s="191"/>
      <c r="H349" s="191"/>
      <c r="I349" s="191"/>
      <c r="J349" s="191"/>
    </row>
    <row r="350" spans="1:10" x14ac:dyDescent="0.25">
      <c r="A350" s="189"/>
      <c r="B350" s="189"/>
      <c r="C350" s="189"/>
      <c r="D350" s="191"/>
      <c r="E350" s="191"/>
      <c r="F350" s="191"/>
      <c r="G350" s="191"/>
      <c r="H350" s="191"/>
      <c r="I350" s="191"/>
      <c r="J350" s="191"/>
    </row>
    <row r="351" spans="1:10" x14ac:dyDescent="0.25">
      <c r="A351" s="189"/>
      <c r="B351" s="189"/>
      <c r="C351" s="189"/>
      <c r="D351" s="191"/>
      <c r="E351" s="191"/>
      <c r="F351" s="191"/>
      <c r="G351" s="191"/>
      <c r="H351" s="191"/>
      <c r="I351" s="191"/>
      <c r="J351" s="191"/>
    </row>
    <row r="352" spans="1:10" x14ac:dyDescent="0.25">
      <c r="A352" s="189"/>
      <c r="B352" s="189"/>
      <c r="C352" s="189"/>
      <c r="D352" s="191"/>
      <c r="E352" s="191"/>
      <c r="F352" s="191"/>
      <c r="G352" s="191"/>
      <c r="H352" s="191"/>
      <c r="I352" s="191"/>
      <c r="J352" s="191"/>
    </row>
    <row r="353" spans="1:10" x14ac:dyDescent="0.25">
      <c r="A353" s="189"/>
      <c r="B353" s="189"/>
      <c r="C353" s="189"/>
      <c r="D353" s="191"/>
      <c r="E353" s="191"/>
      <c r="F353" s="191"/>
      <c r="G353" s="191"/>
      <c r="H353" s="191"/>
      <c r="I353" s="191"/>
      <c r="J353" s="191"/>
    </row>
    <row r="354" spans="1:10" x14ac:dyDescent="0.25">
      <c r="A354" s="189"/>
      <c r="B354" s="189"/>
      <c r="C354" s="189"/>
      <c r="D354" s="191"/>
      <c r="E354" s="191"/>
      <c r="F354" s="191"/>
      <c r="G354" s="191"/>
      <c r="H354" s="191"/>
      <c r="I354" s="191"/>
      <c r="J354" s="191"/>
    </row>
    <row r="355" spans="1:10" x14ac:dyDescent="0.25">
      <c r="A355" s="189"/>
      <c r="B355" s="189"/>
      <c r="C355" s="189"/>
      <c r="D355" s="191"/>
      <c r="E355" s="191"/>
      <c r="F355" s="191"/>
      <c r="G355" s="191"/>
      <c r="H355" s="191"/>
      <c r="I355" s="191"/>
      <c r="J355" s="191"/>
    </row>
    <row r="356" spans="1:10" x14ac:dyDescent="0.25">
      <c r="A356" s="189"/>
      <c r="B356" s="189"/>
      <c r="C356" s="189"/>
      <c r="D356" s="191"/>
      <c r="E356" s="191"/>
      <c r="F356" s="191"/>
      <c r="G356" s="191"/>
      <c r="H356" s="191"/>
      <c r="I356" s="191"/>
      <c r="J356" s="191"/>
    </row>
    <row r="357" spans="1:10" x14ac:dyDescent="0.25">
      <c r="A357" s="189"/>
      <c r="B357" s="189"/>
      <c r="C357" s="189"/>
      <c r="D357" s="191"/>
      <c r="E357" s="191"/>
      <c r="F357" s="191"/>
      <c r="G357" s="191"/>
      <c r="H357" s="191"/>
      <c r="I357" s="191"/>
      <c r="J357" s="191"/>
    </row>
    <row r="358" spans="1:10" x14ac:dyDescent="0.25">
      <c r="A358" s="189"/>
      <c r="B358" s="189"/>
      <c r="C358" s="189"/>
      <c r="D358" s="191"/>
      <c r="E358" s="191"/>
      <c r="F358" s="191"/>
      <c r="G358" s="191"/>
      <c r="H358" s="191"/>
      <c r="I358" s="191"/>
      <c r="J358" s="191"/>
    </row>
    <row r="359" spans="1:10" x14ac:dyDescent="0.25">
      <c r="A359" s="189"/>
      <c r="B359" s="189"/>
      <c r="C359" s="189"/>
      <c r="D359" s="191"/>
      <c r="E359" s="191"/>
      <c r="F359" s="191"/>
      <c r="G359" s="191"/>
      <c r="H359" s="191"/>
      <c r="I359" s="191"/>
      <c r="J359" s="191"/>
    </row>
    <row r="360" spans="1:10" x14ac:dyDescent="0.25">
      <c r="A360" s="189"/>
      <c r="B360" s="189"/>
      <c r="C360" s="189"/>
      <c r="D360" s="191"/>
      <c r="E360" s="191"/>
      <c r="F360" s="191"/>
      <c r="G360" s="191"/>
      <c r="H360" s="191"/>
      <c r="I360" s="191"/>
      <c r="J360" s="191"/>
    </row>
    <row r="361" spans="1:10" x14ac:dyDescent="0.25">
      <c r="A361" s="189"/>
      <c r="B361" s="189"/>
      <c r="C361" s="189"/>
      <c r="D361" s="191"/>
      <c r="E361" s="191"/>
      <c r="F361" s="191"/>
      <c r="G361" s="191"/>
      <c r="H361" s="191"/>
      <c r="I361" s="191"/>
      <c r="J361" s="191"/>
    </row>
    <row r="362" spans="1:10" x14ac:dyDescent="0.25">
      <c r="A362" s="189"/>
      <c r="B362" s="189"/>
      <c r="C362" s="189"/>
      <c r="D362" s="191"/>
      <c r="E362" s="191"/>
      <c r="F362" s="191"/>
      <c r="G362" s="191"/>
      <c r="H362" s="191"/>
      <c r="I362" s="191"/>
      <c r="J362" s="191"/>
    </row>
    <row r="363" spans="1:10" x14ac:dyDescent="0.25">
      <c r="A363" s="189"/>
      <c r="B363" s="189"/>
      <c r="C363" s="189"/>
      <c r="D363" s="191"/>
      <c r="E363" s="191"/>
      <c r="F363" s="191"/>
      <c r="G363" s="191"/>
      <c r="H363" s="191"/>
      <c r="I363" s="191"/>
      <c r="J363" s="191"/>
    </row>
    <row r="364" spans="1:10" x14ac:dyDescent="0.25">
      <c r="A364" s="189"/>
      <c r="B364" s="189"/>
      <c r="C364" s="189"/>
      <c r="D364" s="191"/>
      <c r="E364" s="191"/>
      <c r="F364" s="191"/>
      <c r="G364" s="191"/>
      <c r="H364" s="191"/>
      <c r="I364" s="191"/>
      <c r="J364" s="191"/>
    </row>
    <row r="365" spans="1:10" x14ac:dyDescent="0.25">
      <c r="A365" s="189"/>
      <c r="B365" s="189"/>
      <c r="C365" s="189"/>
      <c r="D365" s="191"/>
      <c r="E365" s="191"/>
      <c r="F365" s="191"/>
      <c r="G365" s="191"/>
      <c r="H365" s="191"/>
      <c r="I365" s="191"/>
      <c r="J365" s="191"/>
    </row>
    <row r="366" spans="1:10" x14ac:dyDescent="0.25">
      <c r="A366" s="189"/>
      <c r="B366" s="189"/>
      <c r="C366" s="189"/>
      <c r="D366" s="191"/>
      <c r="E366" s="191"/>
      <c r="F366" s="191"/>
      <c r="G366" s="191"/>
      <c r="H366" s="191"/>
      <c r="I366" s="191"/>
      <c r="J366" s="191"/>
    </row>
    <row r="367" spans="1:10" x14ac:dyDescent="0.25">
      <c r="A367" s="189"/>
      <c r="B367" s="189"/>
      <c r="C367" s="189"/>
      <c r="D367" s="191"/>
      <c r="E367" s="191"/>
      <c r="F367" s="191"/>
      <c r="G367" s="191"/>
      <c r="H367" s="191"/>
      <c r="I367" s="191"/>
      <c r="J367" s="191"/>
    </row>
    <row r="368" spans="1:10" x14ac:dyDescent="0.25">
      <c r="A368" s="189"/>
      <c r="B368" s="189"/>
      <c r="C368" s="189"/>
      <c r="D368" s="191"/>
      <c r="E368" s="191"/>
      <c r="F368" s="191"/>
      <c r="G368" s="191"/>
      <c r="H368" s="191"/>
      <c r="I368" s="191"/>
      <c r="J368" s="191"/>
    </row>
    <row r="369" spans="1:10" x14ac:dyDescent="0.25">
      <c r="A369" s="189"/>
      <c r="B369" s="189"/>
      <c r="C369" s="189"/>
      <c r="D369" s="191"/>
      <c r="E369" s="191"/>
      <c r="F369" s="191"/>
      <c r="G369" s="191"/>
      <c r="H369" s="191"/>
      <c r="I369" s="191"/>
      <c r="J369" s="191"/>
    </row>
    <row r="370" spans="1:10" x14ac:dyDescent="0.25">
      <c r="A370" s="189"/>
      <c r="B370" s="189"/>
      <c r="C370" s="189"/>
      <c r="D370" s="191"/>
      <c r="E370" s="191"/>
      <c r="F370" s="191"/>
      <c r="G370" s="191"/>
      <c r="H370" s="191"/>
      <c r="I370" s="191"/>
      <c r="J370" s="191"/>
    </row>
    <row r="371" spans="1:10" x14ac:dyDescent="0.25">
      <c r="A371" s="189"/>
      <c r="B371" s="189"/>
      <c r="C371" s="189"/>
      <c r="D371" s="191"/>
      <c r="E371" s="191"/>
      <c r="F371" s="191"/>
      <c r="G371" s="191"/>
      <c r="H371" s="191"/>
      <c r="I371" s="191"/>
      <c r="J371" s="191"/>
    </row>
    <row r="372" spans="1:10" x14ac:dyDescent="0.25">
      <c r="A372" s="189"/>
      <c r="B372" s="189"/>
      <c r="C372" s="189"/>
      <c r="D372" s="191"/>
      <c r="E372" s="191"/>
      <c r="F372" s="191"/>
      <c r="G372" s="191"/>
      <c r="H372" s="191"/>
      <c r="I372" s="191"/>
      <c r="J372" s="191"/>
    </row>
    <row r="373" spans="1:10" x14ac:dyDescent="0.25">
      <c r="A373" s="189"/>
      <c r="B373" s="189"/>
      <c r="C373" s="189"/>
      <c r="D373" s="191"/>
      <c r="E373" s="191"/>
      <c r="F373" s="191"/>
      <c r="G373" s="191"/>
      <c r="H373" s="191"/>
      <c r="I373" s="191"/>
      <c r="J373" s="191"/>
    </row>
    <row r="374" spans="1:10" x14ac:dyDescent="0.25">
      <c r="A374" s="189"/>
      <c r="B374" s="189"/>
      <c r="C374" s="189"/>
      <c r="D374" s="191"/>
      <c r="E374" s="191"/>
      <c r="F374" s="191"/>
      <c r="G374" s="191"/>
      <c r="H374" s="191"/>
      <c r="I374" s="191"/>
      <c r="J374" s="191"/>
    </row>
    <row r="375" spans="1:10" x14ac:dyDescent="0.25">
      <c r="A375" s="189"/>
      <c r="B375" s="189"/>
      <c r="C375" s="189"/>
      <c r="D375" s="191"/>
      <c r="E375" s="191"/>
      <c r="F375" s="191"/>
      <c r="G375" s="191"/>
      <c r="H375" s="191"/>
      <c r="I375" s="191"/>
      <c r="J375" s="191"/>
    </row>
    <row r="376" spans="1:10" x14ac:dyDescent="0.25">
      <c r="A376" s="189"/>
      <c r="B376" s="189"/>
      <c r="C376" s="189"/>
      <c r="D376" s="191"/>
      <c r="E376" s="191"/>
      <c r="F376" s="191"/>
      <c r="G376" s="191"/>
      <c r="H376" s="191"/>
      <c r="I376" s="191"/>
      <c r="J376" s="191"/>
    </row>
    <row r="377" spans="1:10" x14ac:dyDescent="0.25">
      <c r="A377" s="189"/>
      <c r="B377" s="189"/>
      <c r="C377" s="189"/>
      <c r="D377" s="191"/>
      <c r="E377" s="191"/>
      <c r="F377" s="191"/>
      <c r="G377" s="191"/>
      <c r="H377" s="191"/>
      <c r="I377" s="191"/>
      <c r="J377" s="191"/>
    </row>
    <row r="378" spans="1:10" x14ac:dyDescent="0.25">
      <c r="A378" s="189"/>
      <c r="B378" s="189"/>
      <c r="C378" s="189"/>
      <c r="D378" s="191"/>
      <c r="E378" s="191"/>
      <c r="F378" s="191"/>
      <c r="G378" s="191"/>
      <c r="H378" s="191"/>
      <c r="I378" s="191"/>
      <c r="J378" s="191"/>
    </row>
    <row r="379" spans="1:10" x14ac:dyDescent="0.25">
      <c r="A379" s="189"/>
      <c r="B379" s="189"/>
      <c r="C379" s="189"/>
      <c r="D379" s="191"/>
      <c r="E379" s="191"/>
      <c r="F379" s="191"/>
      <c r="G379" s="191"/>
      <c r="H379" s="191"/>
      <c r="I379" s="191"/>
      <c r="J379" s="191"/>
    </row>
    <row r="380" spans="1:10" x14ac:dyDescent="0.25">
      <c r="A380" s="189"/>
      <c r="B380" s="189"/>
      <c r="C380" s="189"/>
      <c r="D380" s="191"/>
      <c r="E380" s="191"/>
      <c r="F380" s="191"/>
      <c r="G380" s="191"/>
      <c r="H380" s="191"/>
      <c r="I380" s="191"/>
      <c r="J380" s="191"/>
    </row>
    <row r="381" spans="1:10" x14ac:dyDescent="0.25">
      <c r="A381" s="189"/>
      <c r="B381" s="189"/>
      <c r="C381" s="189"/>
      <c r="D381" s="191"/>
      <c r="E381" s="191"/>
      <c r="F381" s="191"/>
      <c r="G381" s="191"/>
      <c r="H381" s="191"/>
      <c r="I381" s="191"/>
      <c r="J381" s="191"/>
    </row>
    <row r="382" spans="1:10" x14ac:dyDescent="0.25">
      <c r="A382" s="189"/>
      <c r="B382" s="189"/>
      <c r="C382" s="189"/>
      <c r="D382" s="191"/>
      <c r="E382" s="191"/>
      <c r="F382" s="191"/>
      <c r="G382" s="191"/>
      <c r="H382" s="191"/>
      <c r="I382" s="191"/>
      <c r="J382" s="191"/>
    </row>
    <row r="383" spans="1:10" x14ac:dyDescent="0.25">
      <c r="A383" s="189"/>
      <c r="B383" s="189"/>
      <c r="C383" s="189"/>
      <c r="D383" s="191"/>
      <c r="E383" s="191"/>
      <c r="F383" s="191"/>
      <c r="G383" s="191"/>
      <c r="H383" s="191"/>
      <c r="I383" s="191"/>
      <c r="J383" s="191"/>
    </row>
    <row r="384" spans="1:10" x14ac:dyDescent="0.25">
      <c r="A384" s="189"/>
      <c r="B384" s="189"/>
      <c r="C384" s="189"/>
      <c r="D384" s="191"/>
      <c r="E384" s="191"/>
      <c r="F384" s="191"/>
      <c r="G384" s="191"/>
      <c r="H384" s="191"/>
      <c r="I384" s="191"/>
      <c r="J384" s="191"/>
    </row>
    <row r="385" spans="1:10" x14ac:dyDescent="0.25">
      <c r="A385" s="189"/>
      <c r="B385" s="189"/>
      <c r="C385" s="189"/>
      <c r="D385" s="191"/>
      <c r="E385" s="191"/>
      <c r="F385" s="191"/>
      <c r="G385" s="191"/>
      <c r="H385" s="191"/>
      <c r="I385" s="191"/>
      <c r="J385" s="191"/>
    </row>
    <row r="386" spans="1:10" x14ac:dyDescent="0.25">
      <c r="A386" s="189"/>
      <c r="B386" s="189"/>
      <c r="C386" s="189"/>
      <c r="D386" s="191"/>
      <c r="E386" s="191"/>
      <c r="F386" s="191"/>
      <c r="G386" s="191"/>
      <c r="H386" s="191"/>
      <c r="I386" s="191"/>
      <c r="J386" s="191"/>
    </row>
    <row r="387" spans="1:10" x14ac:dyDescent="0.25">
      <c r="A387" s="189"/>
      <c r="B387" s="189"/>
      <c r="C387" s="189"/>
      <c r="D387" s="191"/>
      <c r="E387" s="191"/>
      <c r="F387" s="191"/>
      <c r="G387" s="191"/>
      <c r="H387" s="191"/>
      <c r="I387" s="191"/>
      <c r="J387" s="191"/>
    </row>
    <row r="388" spans="1:10" x14ac:dyDescent="0.25">
      <c r="A388" s="189"/>
      <c r="B388" s="189"/>
      <c r="C388" s="189"/>
      <c r="D388" s="191"/>
      <c r="E388" s="191"/>
      <c r="F388" s="191"/>
      <c r="G388" s="191"/>
      <c r="H388" s="191"/>
      <c r="I388" s="191"/>
      <c r="J388" s="191"/>
    </row>
    <row r="389" spans="1:10" x14ac:dyDescent="0.25">
      <c r="A389" s="189"/>
      <c r="B389" s="189"/>
      <c r="C389" s="189"/>
      <c r="D389" s="191"/>
      <c r="E389" s="191"/>
      <c r="F389" s="191"/>
      <c r="G389" s="191"/>
      <c r="H389" s="191"/>
      <c r="I389" s="191"/>
      <c r="J389" s="191"/>
    </row>
    <row r="390" spans="1:10" x14ac:dyDescent="0.25">
      <c r="A390" s="189"/>
      <c r="B390" s="189"/>
      <c r="C390" s="189"/>
      <c r="D390" s="191"/>
      <c r="E390" s="191"/>
      <c r="F390" s="191"/>
      <c r="G390" s="191"/>
      <c r="H390" s="191"/>
      <c r="I390" s="191"/>
      <c r="J390" s="191"/>
    </row>
    <row r="391" spans="1:10" x14ac:dyDescent="0.25">
      <c r="A391" s="189"/>
      <c r="B391" s="189"/>
      <c r="C391" s="189"/>
      <c r="D391" s="191"/>
      <c r="E391" s="191"/>
      <c r="F391" s="191"/>
      <c r="G391" s="191"/>
      <c r="H391" s="191"/>
      <c r="I391" s="191"/>
      <c r="J391" s="191"/>
    </row>
    <row r="392" spans="1:10" x14ac:dyDescent="0.25">
      <c r="A392" s="189"/>
      <c r="B392" s="189"/>
      <c r="C392" s="189"/>
      <c r="D392" s="191"/>
      <c r="E392" s="191"/>
      <c r="F392" s="191"/>
      <c r="G392" s="191"/>
      <c r="H392" s="191"/>
      <c r="I392" s="191"/>
      <c r="J392" s="191"/>
    </row>
    <row r="393" spans="1:10" x14ac:dyDescent="0.25">
      <c r="A393" s="189"/>
      <c r="B393" s="189"/>
      <c r="C393" s="189"/>
      <c r="D393" s="191"/>
      <c r="E393" s="191"/>
      <c r="F393" s="191"/>
      <c r="G393" s="191"/>
      <c r="H393" s="191"/>
      <c r="I393" s="191"/>
      <c r="J393" s="191"/>
    </row>
    <row r="394" spans="1:10" x14ac:dyDescent="0.25">
      <c r="A394" s="189"/>
      <c r="B394" s="189"/>
      <c r="C394" s="189"/>
      <c r="D394" s="191"/>
      <c r="E394" s="191"/>
      <c r="F394" s="191"/>
      <c r="G394" s="191"/>
      <c r="H394" s="191"/>
      <c r="I394" s="191"/>
      <c r="J394" s="191"/>
    </row>
    <row r="395" spans="1:10" x14ac:dyDescent="0.25">
      <c r="A395" s="189"/>
      <c r="B395" s="189"/>
      <c r="C395" s="189"/>
      <c r="D395" s="191"/>
      <c r="E395" s="191"/>
      <c r="F395" s="191"/>
      <c r="G395" s="191"/>
      <c r="H395" s="191"/>
      <c r="I395" s="191"/>
      <c r="J395" s="191"/>
    </row>
    <row r="396" spans="1:10" x14ac:dyDescent="0.25">
      <c r="A396" s="189"/>
      <c r="B396" s="189"/>
      <c r="C396" s="189"/>
      <c r="D396" s="191"/>
      <c r="E396" s="191"/>
      <c r="F396" s="191"/>
      <c r="G396" s="191"/>
      <c r="H396" s="191"/>
      <c r="I396" s="191"/>
      <c r="J396" s="191"/>
    </row>
    <row r="397" spans="1:10" x14ac:dyDescent="0.25">
      <c r="A397" s="189"/>
      <c r="B397" s="189"/>
      <c r="C397" s="189"/>
      <c r="D397" s="191"/>
      <c r="E397" s="191"/>
      <c r="F397" s="191"/>
      <c r="G397" s="191"/>
      <c r="H397" s="191"/>
      <c r="I397" s="191"/>
      <c r="J397" s="191"/>
    </row>
    <row r="398" spans="1:10" x14ac:dyDescent="0.25">
      <c r="A398" s="189"/>
      <c r="B398" s="189"/>
      <c r="C398" s="189"/>
      <c r="D398" s="191"/>
      <c r="E398" s="191"/>
      <c r="F398" s="191"/>
      <c r="G398" s="191"/>
      <c r="H398" s="191"/>
      <c r="I398" s="191"/>
      <c r="J398" s="191"/>
    </row>
    <row r="399" spans="1:10" x14ac:dyDescent="0.25">
      <c r="A399" s="189"/>
      <c r="B399" s="189"/>
      <c r="C399" s="189"/>
      <c r="D399" s="191"/>
      <c r="E399" s="191"/>
      <c r="F399" s="191"/>
      <c r="G399" s="191"/>
      <c r="H399" s="191"/>
      <c r="I399" s="191"/>
      <c r="J399" s="191"/>
    </row>
    <row r="400" spans="1:10" x14ac:dyDescent="0.25">
      <c r="A400" s="189"/>
      <c r="B400" s="189"/>
      <c r="C400" s="189"/>
      <c r="D400" s="191"/>
      <c r="E400" s="191"/>
      <c r="F400" s="191"/>
      <c r="G400" s="191"/>
      <c r="H400" s="191"/>
      <c r="I400" s="191"/>
      <c r="J400" s="191"/>
    </row>
    <row r="401" spans="1:10" x14ac:dyDescent="0.25">
      <c r="A401" s="189"/>
      <c r="B401" s="189"/>
      <c r="C401" s="189"/>
      <c r="D401" s="191"/>
      <c r="E401" s="191"/>
      <c r="F401" s="191"/>
      <c r="G401" s="191"/>
      <c r="H401" s="191"/>
      <c r="I401" s="191"/>
      <c r="J401" s="191"/>
    </row>
    <row r="402" spans="1:10" x14ac:dyDescent="0.25">
      <c r="A402" s="189"/>
      <c r="B402" s="189"/>
      <c r="C402" s="189"/>
      <c r="D402" s="191"/>
      <c r="E402" s="191"/>
      <c r="F402" s="191"/>
      <c r="G402" s="191"/>
      <c r="H402" s="191"/>
      <c r="I402" s="191"/>
      <c r="J402" s="191"/>
    </row>
    <row r="403" spans="1:10" x14ac:dyDescent="0.25">
      <c r="A403" s="189"/>
      <c r="B403" s="189"/>
      <c r="C403" s="189"/>
      <c r="D403" s="191"/>
      <c r="E403" s="191"/>
      <c r="F403" s="191"/>
      <c r="G403" s="191"/>
      <c r="H403" s="191"/>
      <c r="I403" s="191"/>
      <c r="J403" s="191"/>
    </row>
    <row r="404" spans="1:10" x14ac:dyDescent="0.25">
      <c r="A404" s="189"/>
      <c r="B404" s="189"/>
      <c r="C404" s="189"/>
      <c r="D404" s="191"/>
      <c r="E404" s="191"/>
      <c r="F404" s="191"/>
      <c r="G404" s="191"/>
      <c r="H404" s="191"/>
      <c r="I404" s="191"/>
      <c r="J404" s="191"/>
    </row>
    <row r="405" spans="1:10" x14ac:dyDescent="0.25">
      <c r="A405" s="189"/>
      <c r="B405" s="189"/>
      <c r="C405" s="189"/>
      <c r="D405" s="191"/>
      <c r="E405" s="191"/>
      <c r="F405" s="191"/>
      <c r="G405" s="191"/>
      <c r="H405" s="191"/>
      <c r="I405" s="191"/>
      <c r="J405" s="191"/>
    </row>
    <row r="406" spans="1:10" x14ac:dyDescent="0.25">
      <c r="A406" s="189"/>
      <c r="B406" s="189"/>
      <c r="C406" s="189"/>
      <c r="D406" s="191"/>
      <c r="E406" s="191"/>
      <c r="F406" s="191"/>
      <c r="G406" s="191"/>
      <c r="H406" s="191"/>
      <c r="I406" s="191"/>
      <c r="J406" s="191"/>
    </row>
    <row r="407" spans="1:10" x14ac:dyDescent="0.25">
      <c r="A407" s="189"/>
      <c r="B407" s="189"/>
      <c r="C407" s="189"/>
      <c r="D407" s="191"/>
      <c r="E407" s="191"/>
      <c r="F407" s="191"/>
      <c r="G407" s="191"/>
      <c r="H407" s="191"/>
      <c r="I407" s="191"/>
      <c r="J407" s="191"/>
    </row>
    <row r="408" spans="1:10" x14ac:dyDescent="0.25">
      <c r="A408" s="189"/>
      <c r="B408" s="189"/>
      <c r="C408" s="189"/>
      <c r="D408" s="191"/>
      <c r="E408" s="191"/>
      <c r="F408" s="191"/>
      <c r="G408" s="191"/>
      <c r="H408" s="191"/>
      <c r="I408" s="191"/>
      <c r="J408" s="191"/>
    </row>
    <row r="409" spans="1:10" x14ac:dyDescent="0.25">
      <c r="A409" s="189"/>
      <c r="B409" s="189"/>
      <c r="C409" s="189"/>
      <c r="D409" s="191"/>
      <c r="E409" s="191"/>
      <c r="F409" s="191"/>
      <c r="G409" s="191"/>
      <c r="H409" s="191"/>
      <c r="I409" s="191"/>
      <c r="J409" s="191"/>
    </row>
    <row r="410" spans="1:10" x14ac:dyDescent="0.25">
      <c r="A410" s="189"/>
      <c r="B410" s="189"/>
      <c r="C410" s="189"/>
      <c r="D410" s="191"/>
      <c r="E410" s="191"/>
      <c r="F410" s="191"/>
      <c r="G410" s="191"/>
      <c r="H410" s="191"/>
      <c r="I410" s="191"/>
      <c r="J410" s="191"/>
    </row>
    <row r="411" spans="1:10" x14ac:dyDescent="0.25">
      <c r="A411" s="189"/>
      <c r="B411" s="189"/>
      <c r="C411" s="189"/>
      <c r="D411" s="191"/>
      <c r="E411" s="191"/>
      <c r="F411" s="191"/>
      <c r="G411" s="191"/>
      <c r="H411" s="191"/>
      <c r="I411" s="191"/>
      <c r="J411" s="191"/>
    </row>
    <row r="412" spans="1:10" x14ac:dyDescent="0.25">
      <c r="A412" s="189"/>
      <c r="B412" s="189"/>
      <c r="C412" s="189"/>
      <c r="D412" s="191"/>
      <c r="E412" s="191"/>
      <c r="F412" s="191"/>
      <c r="G412" s="191"/>
      <c r="H412" s="191"/>
      <c r="I412" s="191"/>
      <c r="J412" s="191"/>
    </row>
    <row r="413" spans="1:10" x14ac:dyDescent="0.25">
      <c r="A413" s="189"/>
      <c r="B413" s="189"/>
      <c r="C413" s="189"/>
      <c r="D413" s="191"/>
      <c r="E413" s="191"/>
      <c r="F413" s="191"/>
      <c r="G413" s="191"/>
      <c r="H413" s="191"/>
      <c r="I413" s="191"/>
      <c r="J413" s="191"/>
    </row>
    <row r="414" spans="1:10" x14ac:dyDescent="0.25">
      <c r="A414" s="189"/>
      <c r="B414" s="189"/>
      <c r="C414" s="189"/>
      <c r="D414" s="191"/>
      <c r="E414" s="191"/>
      <c r="F414" s="191"/>
      <c r="G414" s="191"/>
      <c r="H414" s="191"/>
      <c r="I414" s="191"/>
      <c r="J414" s="191"/>
    </row>
    <row r="415" spans="1:10" x14ac:dyDescent="0.25">
      <c r="A415" s="189"/>
      <c r="B415" s="189"/>
      <c r="C415" s="189"/>
      <c r="D415" s="191"/>
      <c r="E415" s="191"/>
      <c r="F415" s="191"/>
      <c r="G415" s="191"/>
      <c r="H415" s="191"/>
      <c r="I415" s="191"/>
      <c r="J415" s="191"/>
    </row>
    <row r="416" spans="1:10" x14ac:dyDescent="0.25">
      <c r="A416" s="189"/>
      <c r="B416" s="189"/>
      <c r="C416" s="189"/>
      <c r="D416" s="191"/>
      <c r="E416" s="191"/>
      <c r="F416" s="191"/>
      <c r="G416" s="191"/>
      <c r="H416" s="191"/>
      <c r="I416" s="191"/>
      <c r="J416" s="191"/>
    </row>
    <row r="417" spans="1:10" x14ac:dyDescent="0.25">
      <c r="A417" s="189"/>
      <c r="B417" s="189"/>
      <c r="C417" s="189"/>
      <c r="D417" s="191"/>
      <c r="E417" s="191"/>
      <c r="F417" s="191"/>
      <c r="G417" s="191"/>
      <c r="H417" s="191"/>
      <c r="I417" s="191"/>
      <c r="J417" s="191"/>
    </row>
    <row r="418" spans="1:10" x14ac:dyDescent="0.25">
      <c r="A418" s="189"/>
      <c r="B418" s="189"/>
      <c r="C418" s="189"/>
      <c r="D418" s="191"/>
      <c r="E418" s="191"/>
      <c r="F418" s="191"/>
      <c r="G418" s="191"/>
      <c r="H418" s="191"/>
      <c r="I418" s="191"/>
      <c r="J418" s="191"/>
    </row>
    <row r="419" spans="1:10" x14ac:dyDescent="0.25">
      <c r="A419" s="189"/>
      <c r="B419" s="189"/>
      <c r="C419" s="189"/>
      <c r="D419" s="191"/>
      <c r="E419" s="191"/>
      <c r="F419" s="191"/>
      <c r="G419" s="191"/>
      <c r="H419" s="191"/>
      <c r="I419" s="191"/>
      <c r="J419" s="191"/>
    </row>
    <row r="420" spans="1:10" x14ac:dyDescent="0.25">
      <c r="A420" s="189"/>
      <c r="B420" s="189"/>
      <c r="C420" s="189"/>
      <c r="D420" s="191"/>
      <c r="E420" s="191"/>
      <c r="F420" s="191"/>
      <c r="G420" s="191"/>
      <c r="H420" s="191"/>
      <c r="I420" s="191"/>
      <c r="J420" s="191"/>
    </row>
    <row r="421" spans="1:10" x14ac:dyDescent="0.25">
      <c r="A421" s="189"/>
      <c r="B421" s="189"/>
      <c r="C421" s="189"/>
      <c r="D421" s="191"/>
      <c r="E421" s="191"/>
      <c r="F421" s="191"/>
      <c r="G421" s="191"/>
      <c r="H421" s="191"/>
      <c r="I421" s="191"/>
      <c r="J421" s="191"/>
    </row>
    <row r="422" spans="1:10" x14ac:dyDescent="0.25">
      <c r="A422" s="189"/>
      <c r="B422" s="189"/>
      <c r="C422" s="189"/>
      <c r="D422" s="191"/>
      <c r="E422" s="191"/>
      <c r="F422" s="191"/>
      <c r="G422" s="191"/>
      <c r="H422" s="191"/>
      <c r="I422" s="191"/>
      <c r="J422" s="191"/>
    </row>
    <row r="423" spans="1:10" x14ac:dyDescent="0.25">
      <c r="A423" s="189"/>
      <c r="B423" s="189"/>
      <c r="C423" s="189"/>
      <c r="D423" s="191"/>
      <c r="E423" s="191"/>
      <c r="F423" s="191"/>
      <c r="G423" s="191"/>
      <c r="H423" s="191"/>
      <c r="I423" s="191"/>
      <c r="J423" s="191"/>
    </row>
    <row r="424" spans="1:10" x14ac:dyDescent="0.25">
      <c r="A424" s="189"/>
      <c r="B424" s="189"/>
      <c r="C424" s="189"/>
      <c r="D424" s="191"/>
      <c r="E424" s="191"/>
      <c r="F424" s="191"/>
      <c r="G424" s="191"/>
      <c r="H424" s="191"/>
      <c r="I424" s="191"/>
      <c r="J424" s="191"/>
    </row>
    <row r="425" spans="1:10" x14ac:dyDescent="0.25">
      <c r="A425" s="189"/>
      <c r="B425" s="189"/>
      <c r="C425" s="189"/>
      <c r="D425" s="191"/>
      <c r="E425" s="191"/>
      <c r="F425" s="191"/>
      <c r="G425" s="191"/>
      <c r="H425" s="191"/>
      <c r="I425" s="191"/>
      <c r="J425" s="191"/>
    </row>
    <row r="426" spans="1:10" x14ac:dyDescent="0.25">
      <c r="A426" s="189"/>
      <c r="B426" s="189"/>
      <c r="C426" s="189"/>
      <c r="D426" s="191"/>
      <c r="E426" s="191"/>
      <c r="F426" s="191"/>
      <c r="G426" s="191"/>
      <c r="H426" s="191"/>
      <c r="I426" s="191"/>
      <c r="J426" s="191"/>
    </row>
    <row r="427" spans="1:10" x14ac:dyDescent="0.25">
      <c r="A427" s="189"/>
      <c r="B427" s="189"/>
      <c r="C427" s="189"/>
      <c r="D427" s="191"/>
      <c r="E427" s="191"/>
      <c r="F427" s="191"/>
      <c r="G427" s="191"/>
      <c r="H427" s="191"/>
      <c r="I427" s="191"/>
      <c r="J427" s="191"/>
    </row>
    <row r="428" spans="1:10" x14ac:dyDescent="0.25">
      <c r="A428" s="189"/>
      <c r="B428" s="189"/>
      <c r="C428" s="189"/>
      <c r="D428" s="191"/>
      <c r="E428" s="191"/>
      <c r="F428" s="191"/>
      <c r="G428" s="191"/>
      <c r="H428" s="191"/>
      <c r="I428" s="191"/>
      <c r="J428" s="191"/>
    </row>
    <row r="429" spans="1:10" x14ac:dyDescent="0.25">
      <c r="A429" s="189"/>
      <c r="B429" s="189"/>
      <c r="C429" s="189"/>
      <c r="D429" s="191"/>
      <c r="E429" s="191"/>
      <c r="F429" s="191"/>
      <c r="G429" s="191"/>
      <c r="H429" s="191"/>
      <c r="I429" s="191"/>
      <c r="J429" s="191"/>
    </row>
    <row r="430" spans="1:10" x14ac:dyDescent="0.25">
      <c r="A430" s="189"/>
      <c r="B430" s="189"/>
      <c r="C430" s="189"/>
      <c r="D430" s="191"/>
      <c r="E430" s="191"/>
      <c r="F430" s="191"/>
      <c r="G430" s="191"/>
      <c r="H430" s="191"/>
      <c r="I430" s="191"/>
      <c r="J430" s="191"/>
    </row>
    <row r="431" spans="1:10" x14ac:dyDescent="0.25">
      <c r="A431" s="189"/>
      <c r="B431" s="189"/>
      <c r="C431" s="189"/>
      <c r="D431" s="191"/>
      <c r="E431" s="191"/>
      <c r="F431" s="191"/>
      <c r="G431" s="191"/>
      <c r="H431" s="191"/>
      <c r="I431" s="191"/>
      <c r="J431" s="191"/>
    </row>
    <row r="432" spans="1:10" x14ac:dyDescent="0.25">
      <c r="A432" s="189"/>
      <c r="B432" s="189"/>
      <c r="C432" s="189"/>
      <c r="D432" s="191"/>
      <c r="E432" s="191"/>
      <c r="F432" s="191"/>
      <c r="G432" s="191"/>
      <c r="H432" s="191"/>
      <c r="I432" s="191"/>
      <c r="J432" s="191"/>
    </row>
    <row r="433" spans="1:10" x14ac:dyDescent="0.25">
      <c r="A433" s="189"/>
      <c r="B433" s="189"/>
      <c r="C433" s="189"/>
      <c r="D433" s="191"/>
      <c r="E433" s="191"/>
      <c r="F433" s="191"/>
      <c r="G433" s="191"/>
      <c r="H433" s="191"/>
      <c r="I433" s="191"/>
      <c r="J433" s="191"/>
    </row>
    <row r="434" spans="1:10" x14ac:dyDescent="0.25">
      <c r="A434" s="189"/>
      <c r="B434" s="189"/>
      <c r="C434" s="189"/>
      <c r="D434" s="191"/>
      <c r="E434" s="191"/>
      <c r="F434" s="191"/>
      <c r="G434" s="191"/>
      <c r="H434" s="191"/>
      <c r="I434" s="191"/>
      <c r="J434" s="191"/>
    </row>
    <row r="435" spans="1:10" x14ac:dyDescent="0.25">
      <c r="A435" s="189"/>
      <c r="B435" s="189"/>
      <c r="C435" s="189"/>
      <c r="D435" s="191"/>
      <c r="E435" s="191"/>
      <c r="F435" s="191"/>
      <c r="G435" s="191"/>
      <c r="H435" s="191"/>
      <c r="I435" s="191"/>
      <c r="J435" s="191"/>
    </row>
    <row r="436" spans="1:10" x14ac:dyDescent="0.25">
      <c r="A436" s="189"/>
      <c r="B436" s="189"/>
      <c r="C436" s="189"/>
      <c r="D436" s="191"/>
      <c r="E436" s="191"/>
      <c r="F436" s="191"/>
      <c r="G436" s="191"/>
      <c r="H436" s="191"/>
      <c r="I436" s="191"/>
      <c r="J436" s="191"/>
    </row>
    <row r="437" spans="1:10" x14ac:dyDescent="0.25">
      <c r="A437" s="189"/>
      <c r="B437" s="189"/>
      <c r="C437" s="189"/>
      <c r="D437" s="191"/>
      <c r="E437" s="191"/>
      <c r="F437" s="191"/>
      <c r="G437" s="191"/>
      <c r="H437" s="191"/>
      <c r="I437" s="191"/>
      <c r="J437" s="191"/>
    </row>
    <row r="438" spans="1:10" x14ac:dyDescent="0.25">
      <c r="A438" s="189"/>
      <c r="B438" s="189"/>
      <c r="C438" s="189"/>
      <c r="D438" s="191"/>
      <c r="E438" s="191"/>
      <c r="F438" s="191"/>
      <c r="G438" s="191"/>
      <c r="H438" s="191"/>
      <c r="I438" s="191"/>
      <c r="J438" s="191"/>
    </row>
    <row r="439" spans="1:10" x14ac:dyDescent="0.25">
      <c r="A439" s="189"/>
      <c r="B439" s="189"/>
      <c r="C439" s="189"/>
      <c r="D439" s="191"/>
      <c r="E439" s="191"/>
      <c r="F439" s="191"/>
      <c r="G439" s="191"/>
      <c r="H439" s="191"/>
      <c r="I439" s="191"/>
      <c r="J439" s="191"/>
    </row>
    <row r="440" spans="1:10" x14ac:dyDescent="0.25">
      <c r="A440" s="189"/>
      <c r="B440" s="189"/>
      <c r="C440" s="189"/>
      <c r="D440" s="191"/>
      <c r="E440" s="191"/>
      <c r="F440" s="191"/>
      <c r="G440" s="191"/>
      <c r="H440" s="191"/>
      <c r="I440" s="191"/>
      <c r="J440" s="191"/>
    </row>
    <row r="441" spans="1:10" x14ac:dyDescent="0.25">
      <c r="A441" s="189"/>
      <c r="B441" s="189"/>
      <c r="C441" s="189"/>
      <c r="D441" s="191"/>
      <c r="E441" s="191"/>
      <c r="F441" s="191"/>
      <c r="G441" s="191"/>
      <c r="H441" s="191"/>
      <c r="I441" s="191"/>
      <c r="J441" s="191"/>
    </row>
    <row r="442" spans="1:10" x14ac:dyDescent="0.25">
      <c r="A442" s="189"/>
      <c r="B442" s="189"/>
      <c r="C442" s="189"/>
      <c r="D442" s="191"/>
      <c r="E442" s="191"/>
      <c r="F442" s="191"/>
      <c r="G442" s="191"/>
      <c r="H442" s="191"/>
      <c r="I442" s="191"/>
      <c r="J442" s="191"/>
    </row>
    <row r="443" spans="1:10" x14ac:dyDescent="0.25">
      <c r="A443" s="189"/>
      <c r="B443" s="189"/>
      <c r="C443" s="189"/>
      <c r="D443" s="191"/>
      <c r="E443" s="191"/>
      <c r="F443" s="191"/>
      <c r="G443" s="191"/>
      <c r="H443" s="191"/>
      <c r="I443" s="191"/>
      <c r="J443" s="191"/>
    </row>
    <row r="444" spans="1:10" x14ac:dyDescent="0.25">
      <c r="A444" s="189"/>
      <c r="B444" s="189"/>
      <c r="C444" s="189"/>
      <c r="D444" s="191"/>
      <c r="E444" s="191"/>
      <c r="F444" s="191"/>
      <c r="G444" s="191"/>
      <c r="H444" s="191"/>
      <c r="I444" s="191"/>
      <c r="J444" s="191"/>
    </row>
    <row r="445" spans="1:10" x14ac:dyDescent="0.25">
      <c r="A445" s="189"/>
      <c r="B445" s="189"/>
      <c r="C445" s="189"/>
      <c r="D445" s="191"/>
      <c r="E445" s="191"/>
      <c r="F445" s="191"/>
      <c r="G445" s="191"/>
      <c r="H445" s="191"/>
      <c r="I445" s="191"/>
      <c r="J445" s="191"/>
    </row>
    <row r="446" spans="1:10" x14ac:dyDescent="0.25">
      <c r="A446" s="189"/>
      <c r="B446" s="189"/>
      <c r="C446" s="189"/>
      <c r="D446" s="191"/>
      <c r="E446" s="191"/>
      <c r="F446" s="191"/>
      <c r="G446" s="191"/>
      <c r="H446" s="191"/>
      <c r="I446" s="191"/>
      <c r="J446" s="191"/>
    </row>
    <row r="447" spans="1:10" x14ac:dyDescent="0.25">
      <c r="A447" s="189"/>
      <c r="B447" s="189"/>
      <c r="C447" s="189"/>
      <c r="D447" s="191"/>
      <c r="E447" s="191"/>
      <c r="F447" s="191"/>
      <c r="G447" s="191"/>
      <c r="H447" s="191"/>
      <c r="I447" s="191"/>
      <c r="J447" s="191"/>
    </row>
    <row r="448" spans="1:10" x14ac:dyDescent="0.25">
      <c r="A448" s="189"/>
      <c r="B448" s="189"/>
      <c r="C448" s="189"/>
      <c r="D448" s="191"/>
      <c r="E448" s="191"/>
      <c r="F448" s="191"/>
      <c r="G448" s="191"/>
      <c r="H448" s="191"/>
      <c r="I448" s="191"/>
      <c r="J448" s="191"/>
    </row>
    <row r="449" spans="1:10" x14ac:dyDescent="0.25">
      <c r="A449" s="189"/>
      <c r="B449" s="189"/>
      <c r="C449" s="189"/>
      <c r="D449" s="191"/>
      <c r="E449" s="191"/>
      <c r="F449" s="191"/>
      <c r="G449" s="191"/>
      <c r="H449" s="191"/>
      <c r="I449" s="191"/>
      <c r="J449" s="191"/>
    </row>
    <row r="450" spans="1:10" x14ac:dyDescent="0.25">
      <c r="A450" s="189"/>
      <c r="B450" s="189"/>
      <c r="C450" s="189"/>
      <c r="D450" s="191"/>
      <c r="E450" s="191"/>
      <c r="F450" s="191"/>
      <c r="G450" s="191"/>
      <c r="H450" s="191"/>
      <c r="I450" s="191"/>
      <c r="J450" s="191"/>
    </row>
    <row r="451" spans="1:10" x14ac:dyDescent="0.25">
      <c r="A451" s="189"/>
      <c r="B451" s="189"/>
      <c r="C451" s="189"/>
      <c r="D451" s="191"/>
      <c r="E451" s="191"/>
      <c r="F451" s="191"/>
      <c r="G451" s="191"/>
      <c r="H451" s="191"/>
      <c r="I451" s="191"/>
      <c r="J451" s="191"/>
    </row>
    <row r="452" spans="1:10" x14ac:dyDescent="0.25">
      <c r="A452" s="189"/>
      <c r="B452" s="189"/>
      <c r="C452" s="189"/>
      <c r="D452" s="191"/>
      <c r="E452" s="191"/>
      <c r="F452" s="191"/>
      <c r="G452" s="191"/>
      <c r="H452" s="191"/>
      <c r="I452" s="191"/>
      <c r="J452" s="191"/>
    </row>
    <row r="453" spans="1:10" x14ac:dyDescent="0.25">
      <c r="A453" s="189"/>
      <c r="B453" s="189"/>
      <c r="C453" s="189"/>
      <c r="D453" s="191"/>
      <c r="E453" s="191"/>
      <c r="F453" s="191"/>
      <c r="G453" s="191"/>
      <c r="H453" s="191"/>
      <c r="I453" s="191"/>
      <c r="J453" s="191"/>
    </row>
    <row r="454" spans="1:10" x14ac:dyDescent="0.25">
      <c r="A454" s="189"/>
      <c r="B454" s="189"/>
      <c r="C454" s="189"/>
      <c r="D454" s="191"/>
      <c r="E454" s="191"/>
      <c r="F454" s="191"/>
      <c r="G454" s="191"/>
      <c r="H454" s="191"/>
      <c r="I454" s="191"/>
      <c r="J454" s="191"/>
    </row>
    <row r="455" spans="1:10" x14ac:dyDescent="0.25">
      <c r="A455" s="189"/>
      <c r="B455" s="189"/>
      <c r="C455" s="189"/>
      <c r="D455" s="191"/>
      <c r="E455" s="191"/>
      <c r="F455" s="191"/>
      <c r="G455" s="191"/>
      <c r="H455" s="191"/>
      <c r="I455" s="191"/>
      <c r="J455" s="191"/>
    </row>
    <row r="456" spans="1:10" x14ac:dyDescent="0.25">
      <c r="A456" s="189"/>
      <c r="B456" s="189"/>
      <c r="C456" s="189"/>
      <c r="D456" s="191"/>
      <c r="E456" s="191"/>
      <c r="F456" s="191"/>
      <c r="G456" s="191"/>
      <c r="H456" s="191"/>
      <c r="I456" s="191"/>
      <c r="J456" s="191"/>
    </row>
    <row r="457" spans="1:10" x14ac:dyDescent="0.25">
      <c r="A457" s="189"/>
      <c r="B457" s="189"/>
      <c r="C457" s="189"/>
      <c r="D457" s="191"/>
      <c r="E457" s="191"/>
      <c r="F457" s="191"/>
      <c r="G457" s="191"/>
      <c r="H457" s="191"/>
      <c r="I457" s="191"/>
      <c r="J457" s="191"/>
    </row>
    <row r="458" spans="1:10" x14ac:dyDescent="0.25">
      <c r="A458" s="189"/>
      <c r="B458" s="189"/>
      <c r="C458" s="189"/>
      <c r="D458" s="191"/>
      <c r="E458" s="191"/>
      <c r="F458" s="191"/>
      <c r="G458" s="191"/>
      <c r="H458" s="191"/>
      <c r="I458" s="191"/>
      <c r="J458" s="191"/>
    </row>
    <row r="459" spans="1:10" x14ac:dyDescent="0.25">
      <c r="A459" s="189"/>
      <c r="B459" s="189"/>
      <c r="C459" s="189"/>
      <c r="D459" s="191"/>
      <c r="E459" s="191"/>
      <c r="F459" s="191"/>
      <c r="G459" s="191"/>
      <c r="H459" s="191"/>
      <c r="I459" s="191"/>
      <c r="J459" s="191"/>
    </row>
    <row r="460" spans="1:10" x14ac:dyDescent="0.25">
      <c r="A460" s="189"/>
      <c r="B460" s="189"/>
      <c r="C460" s="189"/>
      <c r="D460" s="191"/>
      <c r="E460" s="191"/>
      <c r="F460" s="191"/>
      <c r="G460" s="191"/>
      <c r="H460" s="191"/>
      <c r="I460" s="191"/>
      <c r="J460" s="191"/>
    </row>
    <row r="461" spans="1:10" x14ac:dyDescent="0.25">
      <c r="A461" s="189"/>
      <c r="B461" s="189"/>
      <c r="C461" s="189"/>
      <c r="D461" s="191"/>
      <c r="E461" s="191"/>
      <c r="F461" s="191"/>
      <c r="G461" s="191"/>
      <c r="H461" s="191"/>
      <c r="I461" s="191"/>
      <c r="J461" s="191"/>
    </row>
    <row r="462" spans="1:10" x14ac:dyDescent="0.25">
      <c r="A462" s="189"/>
      <c r="B462" s="189"/>
      <c r="C462" s="189"/>
      <c r="D462" s="191"/>
      <c r="E462" s="191"/>
      <c r="F462" s="191"/>
      <c r="G462" s="191"/>
      <c r="H462" s="191"/>
      <c r="I462" s="191"/>
      <c r="J462" s="191"/>
    </row>
    <row r="463" spans="1:10" x14ac:dyDescent="0.25">
      <c r="A463" s="189"/>
      <c r="B463" s="189"/>
      <c r="C463" s="189"/>
      <c r="D463" s="191"/>
      <c r="E463" s="191"/>
      <c r="F463" s="191"/>
      <c r="G463" s="191"/>
      <c r="H463" s="191"/>
      <c r="I463" s="191"/>
      <c r="J463" s="191"/>
    </row>
    <row r="464" spans="1:10" x14ac:dyDescent="0.25">
      <c r="A464" s="189"/>
      <c r="B464" s="189"/>
      <c r="C464" s="189"/>
      <c r="D464" s="191"/>
      <c r="E464" s="191"/>
      <c r="F464" s="191"/>
      <c r="G464" s="191"/>
      <c r="H464" s="191"/>
      <c r="I464" s="191"/>
      <c r="J464" s="191"/>
    </row>
    <row r="465" spans="1:10" x14ac:dyDescent="0.25">
      <c r="A465" s="189"/>
      <c r="B465" s="189"/>
      <c r="C465" s="189"/>
      <c r="D465" s="191"/>
      <c r="E465" s="191"/>
      <c r="F465" s="191"/>
      <c r="G465" s="191"/>
      <c r="H465" s="191"/>
      <c r="I465" s="191"/>
      <c r="J465" s="191"/>
    </row>
    <row r="466" spans="1:10" x14ac:dyDescent="0.25">
      <c r="A466" s="189"/>
      <c r="B466" s="189"/>
      <c r="C466" s="189"/>
      <c r="D466" s="191"/>
      <c r="E466" s="191"/>
      <c r="F466" s="191"/>
      <c r="G466" s="191"/>
      <c r="H466" s="191"/>
      <c r="I466" s="191"/>
      <c r="J466" s="191"/>
    </row>
    <row r="467" spans="1:10" x14ac:dyDescent="0.25">
      <c r="A467" s="189"/>
      <c r="B467" s="189"/>
      <c r="C467" s="189"/>
      <c r="D467" s="191"/>
      <c r="E467" s="191"/>
      <c r="F467" s="191"/>
      <c r="G467" s="191"/>
      <c r="H467" s="191"/>
      <c r="I467" s="191"/>
      <c r="J467" s="191"/>
    </row>
    <row r="468" spans="1:10" x14ac:dyDescent="0.25">
      <c r="A468" s="189"/>
      <c r="B468" s="189"/>
      <c r="C468" s="189"/>
      <c r="D468" s="191"/>
      <c r="E468" s="191"/>
      <c r="F468" s="191"/>
      <c r="G468" s="191"/>
      <c r="H468" s="191"/>
      <c r="I468" s="191"/>
      <c r="J468" s="191"/>
    </row>
    <row r="469" spans="1:10" x14ac:dyDescent="0.25">
      <c r="A469" s="189"/>
      <c r="B469" s="189"/>
      <c r="C469" s="189"/>
      <c r="D469" s="191"/>
      <c r="E469" s="191"/>
      <c r="F469" s="191"/>
      <c r="G469" s="191"/>
      <c r="H469" s="191"/>
      <c r="I469" s="191"/>
      <c r="J469" s="191"/>
    </row>
    <row r="470" spans="1:10" x14ac:dyDescent="0.25">
      <c r="A470" s="189"/>
      <c r="B470" s="189"/>
      <c r="C470" s="189"/>
      <c r="D470" s="191"/>
      <c r="E470" s="191"/>
      <c r="F470" s="191"/>
      <c r="G470" s="191"/>
      <c r="H470" s="191"/>
      <c r="I470" s="191"/>
      <c r="J470" s="191"/>
    </row>
    <row r="471" spans="1:10" x14ac:dyDescent="0.25">
      <c r="A471" s="189"/>
      <c r="B471" s="189"/>
      <c r="C471" s="189"/>
      <c r="D471" s="191"/>
      <c r="E471" s="191"/>
      <c r="F471" s="191"/>
      <c r="G471" s="191"/>
      <c r="H471" s="191"/>
      <c r="I471" s="191"/>
      <c r="J471" s="191"/>
    </row>
    <row r="472" spans="1:10" x14ac:dyDescent="0.25">
      <c r="A472" s="189"/>
      <c r="B472" s="189"/>
      <c r="C472" s="189"/>
      <c r="D472" s="191"/>
      <c r="E472" s="191"/>
      <c r="F472" s="191"/>
      <c r="G472" s="191"/>
      <c r="H472" s="191"/>
      <c r="I472" s="191"/>
      <c r="J472" s="191"/>
    </row>
    <row r="473" spans="1:10" x14ac:dyDescent="0.25">
      <c r="A473" s="189"/>
      <c r="B473" s="189"/>
      <c r="C473" s="189"/>
      <c r="D473" s="191"/>
      <c r="E473" s="191"/>
      <c r="F473" s="191"/>
      <c r="G473" s="191"/>
      <c r="H473" s="191"/>
      <c r="I473" s="191"/>
      <c r="J473" s="191"/>
    </row>
    <row r="474" spans="1:10" x14ac:dyDescent="0.25">
      <c r="A474" s="189"/>
      <c r="B474" s="189"/>
      <c r="C474" s="189"/>
      <c r="D474" s="191"/>
      <c r="E474" s="191"/>
      <c r="F474" s="191"/>
      <c r="G474" s="191"/>
      <c r="H474" s="191"/>
      <c r="I474" s="191"/>
      <c r="J474" s="191"/>
    </row>
    <row r="475" spans="1:10" x14ac:dyDescent="0.25">
      <c r="A475" s="189"/>
      <c r="B475" s="189"/>
      <c r="C475" s="189"/>
      <c r="D475" s="191"/>
      <c r="E475" s="191"/>
      <c r="F475" s="191"/>
      <c r="G475" s="191"/>
      <c r="H475" s="191"/>
      <c r="I475" s="191"/>
      <c r="J475" s="191"/>
    </row>
    <row r="476" spans="1:10" x14ac:dyDescent="0.25">
      <c r="A476" s="189"/>
      <c r="B476" s="189"/>
      <c r="C476" s="189"/>
      <c r="D476" s="191"/>
      <c r="E476" s="191"/>
      <c r="F476" s="191"/>
      <c r="G476" s="191"/>
      <c r="H476" s="191"/>
      <c r="I476" s="191"/>
      <c r="J476" s="191"/>
    </row>
    <row r="477" spans="1:10" x14ac:dyDescent="0.25">
      <c r="A477" s="189"/>
      <c r="B477" s="189"/>
      <c r="C477" s="189"/>
      <c r="D477" s="191"/>
      <c r="E477" s="191"/>
      <c r="F477" s="191"/>
      <c r="G477" s="191"/>
      <c r="H477" s="191"/>
      <c r="I477" s="191"/>
      <c r="J477" s="191"/>
    </row>
    <row r="478" spans="1:10" x14ac:dyDescent="0.25">
      <c r="A478" s="189"/>
      <c r="B478" s="189"/>
      <c r="C478" s="189"/>
      <c r="D478" s="191"/>
      <c r="E478" s="191"/>
      <c r="F478" s="191"/>
      <c r="G478" s="191"/>
      <c r="H478" s="191"/>
      <c r="I478" s="191"/>
      <c r="J478" s="191"/>
    </row>
    <row r="479" spans="1:10" x14ac:dyDescent="0.25">
      <c r="A479" s="189"/>
      <c r="B479" s="189"/>
      <c r="C479" s="189"/>
      <c r="D479" s="191"/>
      <c r="E479" s="191"/>
      <c r="F479" s="191"/>
      <c r="G479" s="191"/>
      <c r="H479" s="191"/>
      <c r="I479" s="191"/>
      <c r="J479" s="191"/>
    </row>
    <row r="480" spans="1:10" x14ac:dyDescent="0.25">
      <c r="A480" s="189"/>
      <c r="B480" s="189"/>
      <c r="C480" s="189"/>
      <c r="D480" s="191"/>
      <c r="E480" s="191"/>
      <c r="F480" s="191"/>
      <c r="G480" s="191"/>
      <c r="H480" s="191"/>
      <c r="I480" s="191"/>
      <c r="J480" s="191"/>
    </row>
    <row r="481" spans="1:10" x14ac:dyDescent="0.25">
      <c r="A481" s="189"/>
      <c r="B481" s="189"/>
      <c r="C481" s="189"/>
      <c r="D481" s="191"/>
      <c r="E481" s="191"/>
      <c r="F481" s="191"/>
      <c r="G481" s="191"/>
      <c r="H481" s="191"/>
      <c r="I481" s="191"/>
      <c r="J481" s="191"/>
    </row>
    <row r="482" spans="1:10" x14ac:dyDescent="0.25">
      <c r="A482" s="189"/>
      <c r="B482" s="189"/>
      <c r="C482" s="189"/>
      <c r="D482" s="191"/>
      <c r="E482" s="191"/>
      <c r="F482" s="191"/>
      <c r="G482" s="191"/>
      <c r="H482" s="191"/>
      <c r="I482" s="191"/>
      <c r="J482" s="191"/>
    </row>
    <row r="483" spans="1:10" x14ac:dyDescent="0.25">
      <c r="A483" s="189"/>
      <c r="B483" s="189"/>
      <c r="C483" s="189"/>
      <c r="D483" s="191"/>
      <c r="E483" s="191"/>
      <c r="F483" s="191"/>
      <c r="G483" s="191"/>
      <c r="H483" s="191"/>
      <c r="I483" s="191"/>
      <c r="J483" s="191"/>
    </row>
    <row r="484" spans="1:10" x14ac:dyDescent="0.25">
      <c r="A484" s="189"/>
      <c r="B484" s="189"/>
      <c r="C484" s="189"/>
      <c r="D484" s="191"/>
      <c r="E484" s="191"/>
      <c r="F484" s="191"/>
      <c r="G484" s="191"/>
      <c r="H484" s="191"/>
      <c r="I484" s="191"/>
      <c r="J484" s="191"/>
    </row>
    <row r="485" spans="1:10" x14ac:dyDescent="0.25">
      <c r="A485" s="189"/>
      <c r="B485" s="189"/>
      <c r="C485" s="189"/>
      <c r="D485" s="191"/>
      <c r="E485" s="191"/>
      <c r="F485" s="191"/>
      <c r="G485" s="191"/>
      <c r="H485" s="191"/>
      <c r="I485" s="191"/>
      <c r="J485" s="191"/>
    </row>
    <row r="486" spans="1:10" x14ac:dyDescent="0.25">
      <c r="A486" s="189"/>
      <c r="B486" s="189"/>
      <c r="C486" s="189"/>
      <c r="D486" s="191"/>
      <c r="E486" s="191"/>
      <c r="F486" s="191"/>
      <c r="G486" s="191"/>
      <c r="H486" s="191"/>
      <c r="I486" s="191"/>
      <c r="J486" s="191"/>
    </row>
    <row r="487" spans="1:10" x14ac:dyDescent="0.25">
      <c r="A487" s="189"/>
      <c r="B487" s="189"/>
      <c r="C487" s="189"/>
      <c r="D487" s="191"/>
      <c r="E487" s="191"/>
      <c r="F487" s="191"/>
      <c r="G487" s="191"/>
      <c r="H487" s="191"/>
      <c r="I487" s="191"/>
      <c r="J487" s="191"/>
    </row>
    <row r="488" spans="1:10" x14ac:dyDescent="0.25">
      <c r="A488" s="189"/>
      <c r="B488" s="189"/>
      <c r="C488" s="189"/>
      <c r="D488" s="191"/>
      <c r="E488" s="191"/>
      <c r="F488" s="191"/>
      <c r="G488" s="191"/>
      <c r="H488" s="191"/>
      <c r="I488" s="191"/>
      <c r="J488" s="191"/>
    </row>
    <row r="489" spans="1:10" x14ac:dyDescent="0.25">
      <c r="A489" s="189"/>
      <c r="B489" s="189"/>
      <c r="C489" s="189"/>
      <c r="D489" s="191"/>
      <c r="E489" s="191"/>
      <c r="F489" s="191"/>
      <c r="G489" s="191"/>
      <c r="H489" s="191"/>
      <c r="I489" s="191"/>
      <c r="J489" s="191"/>
    </row>
    <row r="490" spans="1:10" x14ac:dyDescent="0.25">
      <c r="A490" s="189"/>
      <c r="B490" s="189"/>
      <c r="C490" s="189"/>
      <c r="D490" s="191"/>
      <c r="E490" s="191"/>
      <c r="F490" s="191"/>
      <c r="G490" s="191"/>
      <c r="H490" s="191"/>
      <c r="I490" s="191"/>
      <c r="J490" s="191"/>
    </row>
    <row r="491" spans="1:10" x14ac:dyDescent="0.25">
      <c r="A491" s="189"/>
      <c r="B491" s="189"/>
      <c r="C491" s="189"/>
      <c r="D491" s="191"/>
      <c r="E491" s="191"/>
      <c r="F491" s="191"/>
      <c r="G491" s="191"/>
      <c r="H491" s="191"/>
      <c r="I491" s="191"/>
      <c r="J491" s="191"/>
    </row>
    <row r="492" spans="1:10" x14ac:dyDescent="0.25">
      <c r="A492" s="189"/>
      <c r="B492" s="189"/>
      <c r="C492" s="189"/>
      <c r="D492" s="191"/>
      <c r="E492" s="191"/>
      <c r="F492" s="191"/>
      <c r="G492" s="191"/>
      <c r="H492" s="191"/>
      <c r="I492" s="191"/>
      <c r="J492" s="191"/>
    </row>
    <row r="493" spans="1:10" x14ac:dyDescent="0.25">
      <c r="A493" s="189"/>
      <c r="B493" s="189"/>
      <c r="C493" s="189"/>
      <c r="D493" s="191"/>
      <c r="E493" s="191"/>
      <c r="F493" s="191"/>
      <c r="G493" s="191"/>
      <c r="H493" s="191"/>
      <c r="I493" s="191"/>
      <c r="J493" s="191"/>
    </row>
    <row r="494" spans="1:10" x14ac:dyDescent="0.25">
      <c r="A494" s="189"/>
      <c r="B494" s="189"/>
      <c r="C494" s="189"/>
      <c r="D494" s="191"/>
      <c r="E494" s="191"/>
      <c r="F494" s="191"/>
      <c r="G494" s="191"/>
      <c r="H494" s="191"/>
      <c r="I494" s="191"/>
      <c r="J494" s="191"/>
    </row>
    <row r="495" spans="1:10" x14ac:dyDescent="0.25">
      <c r="A495" s="189"/>
      <c r="B495" s="189"/>
      <c r="C495" s="189"/>
      <c r="D495" s="191"/>
      <c r="E495" s="191"/>
      <c r="F495" s="191"/>
      <c r="G495" s="191"/>
      <c r="H495" s="191"/>
      <c r="I495" s="191"/>
      <c r="J495" s="191"/>
    </row>
    <row r="496" spans="1:10" x14ac:dyDescent="0.25">
      <c r="A496" s="189"/>
      <c r="B496" s="189"/>
      <c r="C496" s="189"/>
      <c r="D496" s="191"/>
      <c r="E496" s="191"/>
      <c r="F496" s="191"/>
      <c r="G496" s="191"/>
      <c r="H496" s="191"/>
      <c r="I496" s="191"/>
      <c r="J496" s="191"/>
    </row>
    <row r="497" spans="1:10" x14ac:dyDescent="0.25">
      <c r="A497" s="189"/>
      <c r="B497" s="189"/>
      <c r="C497" s="189"/>
      <c r="D497" s="191"/>
      <c r="E497" s="191"/>
      <c r="F497" s="191"/>
      <c r="G497" s="191"/>
      <c r="H497" s="191"/>
      <c r="I497" s="191"/>
      <c r="J497" s="191"/>
    </row>
    <row r="498" spans="1:10" x14ac:dyDescent="0.25">
      <c r="A498" s="189"/>
      <c r="B498" s="189"/>
      <c r="C498" s="189"/>
      <c r="D498" s="191"/>
      <c r="E498" s="191"/>
      <c r="F498" s="191"/>
      <c r="G498" s="191"/>
      <c r="H498" s="191"/>
      <c r="I498" s="191"/>
      <c r="J498" s="191"/>
    </row>
    <row r="499" spans="1:10" x14ac:dyDescent="0.25">
      <c r="A499" s="189"/>
      <c r="B499" s="189"/>
      <c r="C499" s="189"/>
      <c r="D499" s="191"/>
      <c r="E499" s="191"/>
      <c r="F499" s="191"/>
      <c r="G499" s="191"/>
      <c r="H499" s="191"/>
      <c r="I499" s="191"/>
      <c r="J499" s="191"/>
    </row>
    <row r="500" spans="1:10" x14ac:dyDescent="0.25">
      <c r="A500" s="189"/>
      <c r="B500" s="189"/>
      <c r="C500" s="189"/>
      <c r="D500" s="191"/>
      <c r="E500" s="191"/>
      <c r="F500" s="191"/>
      <c r="G500" s="191"/>
      <c r="H500" s="191"/>
      <c r="I500" s="191"/>
      <c r="J500" s="191"/>
    </row>
    <row r="501" spans="1:10" x14ac:dyDescent="0.25">
      <c r="A501" s="189"/>
      <c r="B501" s="189"/>
      <c r="C501" s="189"/>
      <c r="D501" s="191"/>
      <c r="E501" s="191"/>
      <c r="F501" s="191"/>
      <c r="G501" s="191"/>
      <c r="H501" s="191"/>
      <c r="I501" s="191"/>
      <c r="J501" s="191"/>
    </row>
    <row r="502" spans="1:10" x14ac:dyDescent="0.25">
      <c r="A502" s="189"/>
      <c r="B502" s="189"/>
      <c r="C502" s="189"/>
      <c r="D502" s="191"/>
      <c r="E502" s="191"/>
      <c r="F502" s="191"/>
      <c r="G502" s="191"/>
      <c r="H502" s="191"/>
      <c r="I502" s="191"/>
      <c r="J502" s="191"/>
    </row>
    <row r="503" spans="1:10" x14ac:dyDescent="0.25">
      <c r="A503" s="189"/>
      <c r="B503" s="189"/>
      <c r="C503" s="189"/>
      <c r="D503" s="191"/>
      <c r="E503" s="191"/>
      <c r="F503" s="191"/>
      <c r="G503" s="191"/>
      <c r="H503" s="191"/>
      <c r="I503" s="191"/>
      <c r="J503" s="191"/>
    </row>
    <row r="504" spans="1:10" x14ac:dyDescent="0.25">
      <c r="A504" s="189"/>
      <c r="B504" s="189"/>
      <c r="C504" s="189"/>
      <c r="D504" s="191"/>
      <c r="E504" s="191"/>
      <c r="F504" s="191"/>
      <c r="G504" s="191"/>
      <c r="H504" s="191"/>
      <c r="I504" s="191"/>
      <c r="J504" s="191"/>
    </row>
    <row r="505" spans="1:10" x14ac:dyDescent="0.25">
      <c r="A505" s="189"/>
      <c r="B505" s="189"/>
      <c r="C505" s="189"/>
      <c r="D505" s="191"/>
      <c r="E505" s="191"/>
      <c r="F505" s="191"/>
      <c r="G505" s="191"/>
      <c r="H505" s="191"/>
      <c r="I505" s="191"/>
      <c r="J505" s="191"/>
    </row>
    <row r="506" spans="1:10" x14ac:dyDescent="0.25">
      <c r="A506" s="189"/>
      <c r="B506" s="189"/>
      <c r="C506" s="189"/>
      <c r="D506" s="191"/>
      <c r="E506" s="191"/>
      <c r="F506" s="191"/>
      <c r="G506" s="191"/>
      <c r="H506" s="191"/>
      <c r="I506" s="191"/>
      <c r="J506" s="191"/>
    </row>
    <row r="507" spans="1:10" x14ac:dyDescent="0.25">
      <c r="A507" s="189"/>
      <c r="B507" s="189"/>
      <c r="C507" s="189"/>
      <c r="D507" s="191"/>
      <c r="E507" s="191"/>
      <c r="F507" s="191"/>
      <c r="G507" s="191"/>
      <c r="H507" s="191"/>
      <c r="I507" s="191"/>
      <c r="J507" s="191"/>
    </row>
    <row r="508" spans="1:10" x14ac:dyDescent="0.25">
      <c r="A508" s="189"/>
      <c r="B508" s="189"/>
      <c r="C508" s="189"/>
      <c r="D508" s="191"/>
      <c r="E508" s="191"/>
      <c r="F508" s="191"/>
      <c r="G508" s="191"/>
      <c r="H508" s="191"/>
      <c r="I508" s="191"/>
      <c r="J508" s="191"/>
    </row>
    <row r="509" spans="1:10" x14ac:dyDescent="0.25">
      <c r="A509" s="189"/>
      <c r="B509" s="189"/>
      <c r="C509" s="189"/>
      <c r="D509" s="191"/>
      <c r="E509" s="191"/>
      <c r="F509" s="191"/>
      <c r="G509" s="191"/>
      <c r="H509" s="191"/>
      <c r="I509" s="191"/>
      <c r="J509" s="191"/>
    </row>
    <row r="510" spans="1:10" x14ac:dyDescent="0.25">
      <c r="A510" s="189"/>
      <c r="B510" s="189"/>
      <c r="C510" s="189"/>
      <c r="D510" s="191"/>
      <c r="E510" s="191"/>
      <c r="F510" s="191"/>
      <c r="G510" s="191"/>
      <c r="H510" s="191"/>
      <c r="I510" s="191"/>
      <c r="J510" s="191"/>
    </row>
    <row r="511" spans="1:10" x14ac:dyDescent="0.25">
      <c r="A511" s="189"/>
      <c r="B511" s="189"/>
      <c r="C511" s="189"/>
      <c r="D511" s="191"/>
      <c r="E511" s="191"/>
      <c r="F511" s="191"/>
      <c r="G511" s="191"/>
      <c r="H511" s="191"/>
      <c r="I511" s="191"/>
      <c r="J511" s="191"/>
    </row>
    <row r="512" spans="1:10" x14ac:dyDescent="0.25">
      <c r="A512" s="189"/>
      <c r="B512" s="189"/>
      <c r="C512" s="189"/>
      <c r="D512" s="191"/>
      <c r="E512" s="191"/>
      <c r="F512" s="191"/>
      <c r="G512" s="191"/>
      <c r="H512" s="191"/>
      <c r="I512" s="191"/>
      <c r="J512" s="191"/>
    </row>
    <row r="513" spans="1:10" x14ac:dyDescent="0.25">
      <c r="A513" s="189"/>
      <c r="B513" s="189"/>
      <c r="C513" s="189"/>
      <c r="D513" s="191"/>
      <c r="E513" s="191"/>
      <c r="F513" s="191"/>
      <c r="G513" s="191"/>
      <c r="H513" s="191"/>
      <c r="I513" s="191"/>
      <c r="J513" s="191"/>
    </row>
    <row r="514" spans="1:10" x14ac:dyDescent="0.25">
      <c r="A514" s="189"/>
      <c r="B514" s="189"/>
      <c r="C514" s="189"/>
      <c r="D514" s="191"/>
      <c r="E514" s="191"/>
      <c r="F514" s="191"/>
      <c r="G514" s="191"/>
      <c r="H514" s="191"/>
      <c r="I514" s="191"/>
      <c r="J514" s="191"/>
    </row>
    <row r="515" spans="1:10" x14ac:dyDescent="0.25">
      <c r="A515" s="189"/>
      <c r="B515" s="189"/>
      <c r="C515" s="189"/>
      <c r="D515" s="191"/>
      <c r="E515" s="191"/>
      <c r="F515" s="191"/>
      <c r="G515" s="191"/>
      <c r="H515" s="191"/>
      <c r="I515" s="191"/>
      <c r="J515" s="191"/>
    </row>
    <row r="516" spans="1:10" x14ac:dyDescent="0.25">
      <c r="A516" s="189"/>
      <c r="B516" s="189"/>
      <c r="C516" s="189"/>
      <c r="D516" s="191"/>
      <c r="E516" s="191"/>
      <c r="F516" s="191"/>
      <c r="G516" s="191"/>
      <c r="H516" s="191"/>
      <c r="I516" s="191"/>
      <c r="J516" s="191"/>
    </row>
    <row r="517" spans="1:10" x14ac:dyDescent="0.25">
      <c r="A517" s="189"/>
      <c r="B517" s="189"/>
      <c r="C517" s="189"/>
      <c r="D517" s="191"/>
      <c r="E517" s="191"/>
      <c r="F517" s="191"/>
      <c r="G517" s="191"/>
      <c r="H517" s="191"/>
      <c r="I517" s="191"/>
      <c r="J517" s="191"/>
    </row>
    <row r="518" spans="1:10" x14ac:dyDescent="0.25">
      <c r="A518" s="189"/>
      <c r="B518" s="189"/>
      <c r="C518" s="189"/>
      <c r="D518" s="191"/>
      <c r="E518" s="191"/>
      <c r="F518" s="191"/>
      <c r="G518" s="191"/>
      <c r="H518" s="191"/>
      <c r="I518" s="191"/>
      <c r="J518" s="191"/>
    </row>
    <row r="519" spans="1:10" x14ac:dyDescent="0.25">
      <c r="A519" s="189"/>
      <c r="B519" s="189"/>
      <c r="C519" s="189"/>
      <c r="D519" s="191"/>
      <c r="E519" s="191"/>
      <c r="F519" s="191"/>
      <c r="G519" s="191"/>
      <c r="H519" s="191"/>
      <c r="I519" s="191"/>
      <c r="J519" s="191"/>
    </row>
    <row r="520" spans="1:10" x14ac:dyDescent="0.25">
      <c r="A520" s="189"/>
      <c r="B520" s="189"/>
      <c r="C520" s="189"/>
      <c r="D520" s="191"/>
      <c r="E520" s="191"/>
      <c r="F520" s="191"/>
      <c r="G520" s="191"/>
      <c r="H520" s="191"/>
      <c r="I520" s="191"/>
      <c r="J520" s="191"/>
    </row>
    <row r="521" spans="1:10" x14ac:dyDescent="0.25">
      <c r="A521" s="189"/>
      <c r="B521" s="189"/>
      <c r="C521" s="189"/>
      <c r="D521" s="191"/>
      <c r="E521" s="191"/>
      <c r="F521" s="191"/>
      <c r="G521" s="191"/>
      <c r="H521" s="191"/>
      <c r="I521" s="191"/>
      <c r="J521" s="191"/>
    </row>
    <row r="522" spans="1:10" x14ac:dyDescent="0.25">
      <c r="A522" s="189"/>
      <c r="B522" s="189"/>
      <c r="C522" s="189"/>
      <c r="D522" s="191"/>
      <c r="E522" s="191"/>
      <c r="F522" s="191"/>
      <c r="G522" s="191"/>
      <c r="H522" s="191"/>
      <c r="I522" s="191"/>
      <c r="J522" s="191"/>
    </row>
    <row r="523" spans="1:10" x14ac:dyDescent="0.25">
      <c r="A523" s="189"/>
      <c r="B523" s="189"/>
      <c r="C523" s="189"/>
      <c r="D523" s="191"/>
      <c r="E523" s="191"/>
      <c r="F523" s="191"/>
      <c r="G523" s="191"/>
      <c r="H523" s="191"/>
      <c r="I523" s="191"/>
      <c r="J523" s="191"/>
    </row>
    <row r="524" spans="1:10" x14ac:dyDescent="0.25">
      <c r="A524" s="189"/>
      <c r="B524" s="189"/>
      <c r="C524" s="189"/>
      <c r="D524" s="191"/>
      <c r="E524" s="191"/>
      <c r="F524" s="191"/>
      <c r="G524" s="191"/>
      <c r="H524" s="191"/>
      <c r="I524" s="191"/>
      <c r="J524" s="191"/>
    </row>
    <row r="525" spans="1:10" x14ac:dyDescent="0.25">
      <c r="A525" s="189"/>
      <c r="B525" s="189"/>
      <c r="C525" s="189"/>
      <c r="D525" s="191"/>
      <c r="E525" s="191"/>
      <c r="F525" s="191"/>
      <c r="G525" s="191"/>
      <c r="H525" s="191"/>
      <c r="I525" s="191"/>
      <c r="J525" s="191"/>
    </row>
    <row r="526" spans="1:10" x14ac:dyDescent="0.25">
      <c r="A526" s="189"/>
      <c r="B526" s="189"/>
      <c r="C526" s="189"/>
      <c r="D526" s="191"/>
      <c r="E526" s="191"/>
      <c r="F526" s="191"/>
      <c r="G526" s="191"/>
      <c r="H526" s="191"/>
      <c r="I526" s="191"/>
      <c r="J526" s="191"/>
    </row>
    <row r="527" spans="1:10" x14ac:dyDescent="0.25">
      <c r="A527" s="189"/>
      <c r="B527" s="189"/>
      <c r="C527" s="189"/>
      <c r="D527" s="191"/>
      <c r="E527" s="191"/>
      <c r="F527" s="191"/>
      <c r="G527" s="191"/>
      <c r="H527" s="191"/>
      <c r="I527" s="191"/>
      <c r="J527" s="191"/>
    </row>
    <row r="528" spans="1:10" x14ac:dyDescent="0.25">
      <c r="A528" s="189"/>
      <c r="B528" s="189"/>
      <c r="C528" s="189"/>
      <c r="D528" s="191"/>
      <c r="E528" s="191"/>
      <c r="F528" s="191"/>
      <c r="G528" s="191"/>
      <c r="H528" s="191"/>
      <c r="I528" s="191"/>
      <c r="J528" s="191"/>
    </row>
    <row r="529" spans="1:10" x14ac:dyDescent="0.25">
      <c r="A529" s="189"/>
      <c r="B529" s="189"/>
      <c r="C529" s="189"/>
      <c r="D529" s="191"/>
      <c r="E529" s="191"/>
      <c r="F529" s="191"/>
      <c r="G529" s="191"/>
      <c r="H529" s="191"/>
      <c r="I529" s="191"/>
      <c r="J529" s="191"/>
    </row>
    <row r="530" spans="1:10" x14ac:dyDescent="0.25">
      <c r="A530" s="189"/>
      <c r="B530" s="189"/>
      <c r="C530" s="189"/>
      <c r="D530" s="191"/>
      <c r="E530" s="191"/>
      <c r="F530" s="191"/>
      <c r="G530" s="191"/>
      <c r="H530" s="191"/>
      <c r="I530" s="191"/>
      <c r="J530" s="191"/>
    </row>
    <row r="531" spans="1:10" x14ac:dyDescent="0.25">
      <c r="A531" s="189"/>
      <c r="B531" s="189"/>
      <c r="C531" s="189"/>
      <c r="D531" s="191"/>
      <c r="E531" s="191"/>
      <c r="F531" s="191"/>
      <c r="G531" s="191"/>
      <c r="H531" s="191"/>
      <c r="I531" s="191"/>
      <c r="J531" s="191"/>
    </row>
    <row r="532" spans="1:10" x14ac:dyDescent="0.25">
      <c r="A532" s="189"/>
      <c r="B532" s="189"/>
      <c r="C532" s="189"/>
      <c r="D532" s="191"/>
      <c r="E532" s="191"/>
      <c r="F532" s="191"/>
      <c r="G532" s="191"/>
      <c r="H532" s="191"/>
      <c r="I532" s="191"/>
      <c r="J532" s="191"/>
    </row>
    <row r="533" spans="1:10" x14ac:dyDescent="0.25">
      <c r="A533" s="189"/>
      <c r="B533" s="189"/>
      <c r="C533" s="189"/>
      <c r="D533" s="191"/>
      <c r="E533" s="191"/>
      <c r="F533" s="191"/>
      <c r="G533" s="191"/>
      <c r="H533" s="191"/>
      <c r="I533" s="191"/>
      <c r="J533" s="191"/>
    </row>
    <row r="534" spans="1:10" x14ac:dyDescent="0.25">
      <c r="A534" s="189"/>
      <c r="B534" s="189"/>
      <c r="C534" s="189"/>
      <c r="D534" s="191"/>
      <c r="E534" s="191"/>
      <c r="F534" s="191"/>
      <c r="G534" s="191"/>
      <c r="H534" s="191"/>
      <c r="I534" s="191"/>
      <c r="J534" s="191"/>
    </row>
    <row r="535" spans="1:10" x14ac:dyDescent="0.25">
      <c r="A535" s="189"/>
      <c r="B535" s="189"/>
      <c r="C535" s="189"/>
      <c r="D535" s="191"/>
      <c r="E535" s="191"/>
      <c r="F535" s="191"/>
      <c r="G535" s="191"/>
      <c r="H535" s="191"/>
      <c r="I535" s="191"/>
      <c r="J535" s="191"/>
    </row>
    <row r="536" spans="1:10" x14ac:dyDescent="0.25">
      <c r="A536" s="189"/>
      <c r="B536" s="189"/>
      <c r="C536" s="189"/>
      <c r="D536" s="191"/>
      <c r="E536" s="191"/>
      <c r="F536" s="191"/>
      <c r="G536" s="191"/>
      <c r="H536" s="191"/>
      <c r="I536" s="191"/>
      <c r="J536" s="191"/>
    </row>
    <row r="537" spans="1:10" x14ac:dyDescent="0.25">
      <c r="A537" s="189"/>
      <c r="B537" s="189"/>
      <c r="C537" s="189"/>
      <c r="D537" s="191"/>
      <c r="E537" s="191"/>
      <c r="F537" s="191"/>
      <c r="G537" s="191"/>
      <c r="H537" s="191"/>
      <c r="I537" s="191"/>
      <c r="J537" s="191"/>
    </row>
    <row r="538" spans="1:10" x14ac:dyDescent="0.25">
      <c r="A538" s="189"/>
      <c r="B538" s="189"/>
      <c r="C538" s="189"/>
      <c r="D538" s="191"/>
      <c r="E538" s="191"/>
      <c r="F538" s="191"/>
      <c r="G538" s="191"/>
      <c r="H538" s="191"/>
      <c r="I538" s="191"/>
      <c r="J538" s="191"/>
    </row>
    <row r="539" spans="1:10" x14ac:dyDescent="0.25">
      <c r="A539" s="189"/>
      <c r="B539" s="189"/>
      <c r="C539" s="189"/>
      <c r="D539" s="191"/>
      <c r="E539" s="191"/>
      <c r="F539" s="191"/>
      <c r="G539" s="191"/>
      <c r="H539" s="191"/>
      <c r="I539" s="191"/>
      <c r="J539" s="191"/>
    </row>
    <row r="540" spans="1:10" x14ac:dyDescent="0.25">
      <c r="A540" s="189"/>
      <c r="B540" s="189"/>
      <c r="C540" s="189"/>
      <c r="D540" s="191"/>
      <c r="E540" s="191"/>
      <c r="F540" s="191"/>
      <c r="G540" s="191"/>
      <c r="H540" s="191"/>
      <c r="I540" s="191"/>
      <c r="J540" s="191"/>
    </row>
    <row r="541" spans="1:10" x14ac:dyDescent="0.25">
      <c r="A541" s="189"/>
      <c r="B541" s="189"/>
      <c r="C541" s="189"/>
      <c r="D541" s="191"/>
      <c r="E541" s="191"/>
      <c r="F541" s="191"/>
      <c r="G541" s="191"/>
      <c r="H541" s="191"/>
      <c r="I541" s="191"/>
      <c r="J541" s="191"/>
    </row>
    <row r="542" spans="1:10" x14ac:dyDescent="0.25">
      <c r="A542" s="189"/>
      <c r="B542" s="189"/>
      <c r="C542" s="189"/>
      <c r="D542" s="191"/>
      <c r="E542" s="191"/>
      <c r="F542" s="191"/>
      <c r="G542" s="191"/>
      <c r="H542" s="191"/>
      <c r="I542" s="191"/>
      <c r="J542" s="191"/>
    </row>
    <row r="543" spans="1:10" x14ac:dyDescent="0.25">
      <c r="A543" s="189"/>
      <c r="B543" s="189"/>
      <c r="C543" s="189"/>
      <c r="D543" s="191"/>
      <c r="E543" s="191"/>
      <c r="F543" s="191"/>
      <c r="G543" s="191"/>
      <c r="H543" s="191"/>
      <c r="I543" s="191"/>
      <c r="J543" s="191"/>
    </row>
    <row r="544" spans="1:10" x14ac:dyDescent="0.25">
      <c r="A544" s="189"/>
      <c r="B544" s="189"/>
      <c r="C544" s="189"/>
      <c r="D544" s="191"/>
      <c r="E544" s="191"/>
      <c r="F544" s="191"/>
      <c r="G544" s="191"/>
      <c r="H544" s="191"/>
      <c r="I544" s="191"/>
      <c r="J544" s="191"/>
    </row>
    <row r="545" spans="1:10" x14ac:dyDescent="0.25">
      <c r="A545" s="189"/>
      <c r="B545" s="189"/>
      <c r="C545" s="189"/>
      <c r="D545" s="191"/>
      <c r="E545" s="191"/>
      <c r="F545" s="191"/>
      <c r="G545" s="191"/>
      <c r="H545" s="191"/>
      <c r="I545" s="191"/>
      <c r="J545" s="191"/>
    </row>
    <row r="546" spans="1:10" x14ac:dyDescent="0.25">
      <c r="A546" s="189"/>
      <c r="B546" s="189"/>
      <c r="C546" s="189"/>
      <c r="D546" s="191"/>
      <c r="E546" s="191"/>
      <c r="F546" s="191"/>
      <c r="G546" s="191"/>
      <c r="H546" s="191"/>
      <c r="I546" s="191"/>
      <c r="J546" s="191"/>
    </row>
    <row r="547" spans="1:10" x14ac:dyDescent="0.25">
      <c r="A547" s="189"/>
      <c r="B547" s="189"/>
      <c r="C547" s="189"/>
      <c r="D547" s="191"/>
      <c r="E547" s="191"/>
      <c r="F547" s="191"/>
      <c r="G547" s="191"/>
      <c r="H547" s="191"/>
      <c r="I547" s="191"/>
      <c r="J547" s="191"/>
    </row>
    <row r="548" spans="1:10" x14ac:dyDescent="0.25">
      <c r="A548" s="189"/>
      <c r="B548" s="189"/>
      <c r="C548" s="189"/>
      <c r="D548" s="191"/>
      <c r="E548" s="191"/>
      <c r="F548" s="191"/>
      <c r="G548" s="191"/>
      <c r="H548" s="191"/>
      <c r="I548" s="191"/>
      <c r="J548" s="191"/>
    </row>
    <row r="549" spans="1:10" x14ac:dyDescent="0.25">
      <c r="A549" s="189"/>
      <c r="B549" s="189"/>
      <c r="C549" s="189"/>
      <c r="D549" s="191"/>
      <c r="E549" s="191"/>
      <c r="F549" s="191"/>
      <c r="G549" s="191"/>
      <c r="H549" s="191"/>
      <c r="I549" s="191"/>
      <c r="J549" s="191"/>
    </row>
    <row r="550" spans="1:10" x14ac:dyDescent="0.25">
      <c r="A550" s="189"/>
      <c r="B550" s="189"/>
      <c r="C550" s="189"/>
      <c r="D550" s="191"/>
      <c r="E550" s="191"/>
      <c r="F550" s="191"/>
      <c r="G550" s="191"/>
      <c r="H550" s="191"/>
      <c r="I550" s="191"/>
      <c r="J550" s="191"/>
    </row>
    <row r="551" spans="1:10" x14ac:dyDescent="0.25">
      <c r="A551" s="189"/>
      <c r="B551" s="189"/>
      <c r="C551" s="189"/>
      <c r="D551" s="191"/>
      <c r="E551" s="191"/>
      <c r="F551" s="191"/>
      <c r="G551" s="191"/>
      <c r="H551" s="191"/>
      <c r="I551" s="191"/>
      <c r="J551" s="191"/>
    </row>
    <row r="552" spans="1:10" x14ac:dyDescent="0.25">
      <c r="A552" s="189"/>
      <c r="B552" s="189"/>
      <c r="C552" s="189"/>
      <c r="D552" s="191"/>
      <c r="E552" s="191"/>
      <c r="F552" s="191"/>
      <c r="G552" s="191"/>
      <c r="H552" s="191"/>
      <c r="I552" s="191"/>
      <c r="J552" s="191"/>
    </row>
    <row r="553" spans="1:10" x14ac:dyDescent="0.25">
      <c r="A553" s="189"/>
      <c r="B553" s="189"/>
      <c r="C553" s="189"/>
      <c r="D553" s="191"/>
      <c r="E553" s="191"/>
      <c r="F553" s="191"/>
      <c r="G553" s="191"/>
      <c r="H553" s="191"/>
      <c r="I553" s="191"/>
      <c r="J553" s="191"/>
    </row>
    <row r="554" spans="1:10" x14ac:dyDescent="0.25">
      <c r="A554" s="189"/>
      <c r="B554" s="189"/>
      <c r="C554" s="189"/>
      <c r="D554" s="191"/>
      <c r="E554" s="191"/>
      <c r="F554" s="191"/>
      <c r="G554" s="191"/>
      <c r="H554" s="191"/>
      <c r="I554" s="191"/>
      <c r="J554" s="191"/>
    </row>
    <row r="555" spans="1:10" x14ac:dyDescent="0.25">
      <c r="A555" s="189"/>
      <c r="B555" s="189"/>
      <c r="C555" s="189"/>
      <c r="D555" s="191"/>
      <c r="E555" s="191"/>
      <c r="F555" s="191"/>
      <c r="G555" s="191"/>
      <c r="H555" s="191"/>
      <c r="I555" s="191"/>
      <c r="J555" s="191"/>
    </row>
    <row r="556" spans="1:10" x14ac:dyDescent="0.25">
      <c r="A556" s="189"/>
      <c r="B556" s="189"/>
      <c r="C556" s="189"/>
      <c r="D556" s="191"/>
      <c r="E556" s="191"/>
      <c r="F556" s="191"/>
      <c r="G556" s="191"/>
      <c r="H556" s="191"/>
      <c r="I556" s="191"/>
      <c r="J556" s="191"/>
    </row>
    <row r="557" spans="1:10" x14ac:dyDescent="0.25">
      <c r="A557" s="189"/>
      <c r="B557" s="189"/>
      <c r="C557" s="189"/>
      <c r="D557" s="191"/>
      <c r="E557" s="191"/>
      <c r="F557" s="191"/>
      <c r="G557" s="191"/>
      <c r="H557" s="191"/>
      <c r="I557" s="191"/>
      <c r="J557" s="191"/>
    </row>
    <row r="558" spans="1:10" x14ac:dyDescent="0.25">
      <c r="A558" s="189"/>
      <c r="B558" s="189"/>
      <c r="C558" s="189"/>
      <c r="D558" s="191"/>
      <c r="E558" s="191"/>
      <c r="F558" s="191"/>
      <c r="G558" s="191"/>
      <c r="H558" s="191"/>
      <c r="I558" s="191"/>
      <c r="J558" s="191"/>
    </row>
    <row r="559" spans="1:10" x14ac:dyDescent="0.25">
      <c r="A559" s="189"/>
      <c r="B559" s="189"/>
      <c r="C559" s="189"/>
      <c r="D559" s="191"/>
      <c r="E559" s="191"/>
      <c r="F559" s="191"/>
      <c r="G559" s="191"/>
      <c r="H559" s="191"/>
      <c r="I559" s="191"/>
      <c r="J559" s="191"/>
    </row>
    <row r="560" spans="1:10" x14ac:dyDescent="0.25">
      <c r="A560" s="189"/>
      <c r="B560" s="189"/>
      <c r="C560" s="189"/>
      <c r="D560" s="191"/>
      <c r="E560" s="191"/>
      <c r="F560" s="191"/>
      <c r="G560" s="191"/>
      <c r="H560" s="191"/>
      <c r="I560" s="191"/>
      <c r="J560" s="191"/>
    </row>
    <row r="561" spans="1:10" x14ac:dyDescent="0.25">
      <c r="A561" s="189"/>
      <c r="B561" s="189"/>
      <c r="C561" s="189"/>
      <c r="D561" s="191"/>
      <c r="E561" s="191"/>
      <c r="F561" s="191"/>
      <c r="G561" s="191"/>
      <c r="H561" s="191"/>
      <c r="I561" s="191"/>
      <c r="J561" s="191"/>
    </row>
    <row r="562" spans="1:10" x14ac:dyDescent="0.25">
      <c r="A562" s="189"/>
      <c r="B562" s="189"/>
      <c r="C562" s="189"/>
      <c r="D562" s="191"/>
      <c r="E562" s="191"/>
      <c r="F562" s="191"/>
      <c r="G562" s="191"/>
      <c r="H562" s="191"/>
      <c r="I562" s="191"/>
      <c r="J562" s="191"/>
    </row>
    <row r="563" spans="1:10" x14ac:dyDescent="0.25">
      <c r="A563" s="189"/>
      <c r="B563" s="189"/>
      <c r="C563" s="189"/>
      <c r="D563" s="191"/>
      <c r="E563" s="191"/>
      <c r="F563" s="191"/>
      <c r="G563" s="191"/>
      <c r="H563" s="191"/>
      <c r="I563" s="191"/>
      <c r="J563" s="191"/>
    </row>
    <row r="564" spans="1:10" x14ac:dyDescent="0.25">
      <c r="A564" s="189"/>
      <c r="B564" s="189"/>
      <c r="C564" s="189"/>
      <c r="D564" s="191"/>
      <c r="E564" s="191"/>
      <c r="F564" s="191"/>
      <c r="G564" s="191"/>
      <c r="H564" s="191"/>
      <c r="I564" s="191"/>
      <c r="J564" s="191"/>
    </row>
    <row r="565" spans="1:10" x14ac:dyDescent="0.25">
      <c r="A565" s="189"/>
      <c r="B565" s="189"/>
      <c r="C565" s="189"/>
      <c r="D565" s="191"/>
      <c r="E565" s="191"/>
      <c r="F565" s="191"/>
      <c r="G565" s="191"/>
      <c r="H565" s="191"/>
      <c r="I565" s="191"/>
      <c r="J565" s="191"/>
    </row>
    <row r="566" spans="1:10" x14ac:dyDescent="0.25">
      <c r="A566" s="189"/>
      <c r="B566" s="189"/>
      <c r="C566" s="189"/>
      <c r="D566" s="191"/>
      <c r="E566" s="191"/>
      <c r="F566" s="191"/>
      <c r="G566" s="191"/>
      <c r="H566" s="191"/>
      <c r="I566" s="191"/>
      <c r="J566" s="191"/>
    </row>
    <row r="567" spans="1:10" x14ac:dyDescent="0.25">
      <c r="A567" s="189"/>
      <c r="B567" s="189"/>
      <c r="C567" s="189"/>
      <c r="D567" s="191"/>
      <c r="E567" s="191"/>
      <c r="F567" s="191"/>
      <c r="G567" s="191"/>
      <c r="H567" s="191"/>
      <c r="I567" s="191"/>
      <c r="J567" s="191"/>
    </row>
    <row r="568" spans="1:10" x14ac:dyDescent="0.25">
      <c r="A568" s="189"/>
      <c r="B568" s="189"/>
      <c r="C568" s="189"/>
      <c r="D568" s="191"/>
      <c r="E568" s="191"/>
      <c r="F568" s="191"/>
      <c r="G568" s="191"/>
      <c r="H568" s="191"/>
      <c r="I568" s="191"/>
      <c r="J568" s="191"/>
    </row>
    <row r="569" spans="1:10" x14ac:dyDescent="0.25">
      <c r="A569" s="189"/>
      <c r="B569" s="189"/>
      <c r="C569" s="189"/>
      <c r="D569" s="191"/>
      <c r="E569" s="191"/>
      <c r="F569" s="191"/>
      <c r="G569" s="191"/>
      <c r="H569" s="191"/>
      <c r="I569" s="191"/>
      <c r="J569" s="191"/>
    </row>
    <row r="570" spans="1:10" x14ac:dyDescent="0.25">
      <c r="A570" s="189"/>
      <c r="B570" s="189"/>
      <c r="C570" s="189"/>
      <c r="D570" s="191"/>
      <c r="E570" s="191"/>
      <c r="F570" s="191"/>
      <c r="G570" s="191"/>
      <c r="H570" s="191"/>
      <c r="I570" s="191"/>
      <c r="J570" s="191"/>
    </row>
    <row r="571" spans="1:10" x14ac:dyDescent="0.25">
      <c r="A571" s="189"/>
      <c r="B571" s="189"/>
      <c r="C571" s="189"/>
      <c r="D571" s="191"/>
      <c r="E571" s="191"/>
      <c r="F571" s="191"/>
      <c r="G571" s="191"/>
      <c r="H571" s="191"/>
      <c r="I571" s="191"/>
      <c r="J571" s="191"/>
    </row>
    <row r="572" spans="1:10" x14ac:dyDescent="0.25">
      <c r="A572" s="189"/>
      <c r="B572" s="189"/>
      <c r="C572" s="189"/>
      <c r="D572" s="191"/>
      <c r="E572" s="191"/>
      <c r="F572" s="191"/>
      <c r="G572" s="191"/>
      <c r="H572" s="191"/>
      <c r="I572" s="191"/>
      <c r="J572" s="191"/>
    </row>
    <row r="573" spans="1:10" x14ac:dyDescent="0.25">
      <c r="A573" s="189"/>
      <c r="B573" s="189"/>
      <c r="C573" s="189"/>
      <c r="D573" s="191"/>
      <c r="E573" s="191"/>
      <c r="F573" s="191"/>
      <c r="G573" s="191"/>
      <c r="H573" s="191"/>
      <c r="I573" s="191"/>
      <c r="J573" s="191"/>
    </row>
    <row r="574" spans="1:10" x14ac:dyDescent="0.25">
      <c r="A574" s="189"/>
      <c r="B574" s="189"/>
      <c r="C574" s="189"/>
      <c r="D574" s="191"/>
      <c r="E574" s="191"/>
      <c r="F574" s="191"/>
      <c r="G574" s="191"/>
      <c r="H574" s="191"/>
      <c r="I574" s="191"/>
      <c r="J574" s="191"/>
    </row>
    <row r="575" spans="1:10" x14ac:dyDescent="0.25">
      <c r="A575" s="189"/>
      <c r="B575" s="189"/>
      <c r="C575" s="189"/>
      <c r="D575" s="191"/>
      <c r="E575" s="191"/>
      <c r="F575" s="191"/>
      <c r="G575" s="191"/>
      <c r="H575" s="191"/>
      <c r="I575" s="191"/>
      <c r="J575" s="191"/>
    </row>
    <row r="576" spans="1:10" x14ac:dyDescent="0.25">
      <c r="A576" s="189"/>
      <c r="B576" s="189"/>
      <c r="C576" s="189"/>
      <c r="D576" s="191"/>
      <c r="E576" s="191"/>
      <c r="F576" s="191"/>
      <c r="G576" s="191"/>
      <c r="H576" s="191"/>
      <c r="I576" s="191"/>
      <c r="J576" s="191"/>
    </row>
    <row r="577" spans="1:10" x14ac:dyDescent="0.25">
      <c r="A577" s="189"/>
      <c r="B577" s="189"/>
      <c r="C577" s="189"/>
      <c r="D577" s="191"/>
      <c r="E577" s="191"/>
      <c r="F577" s="191"/>
      <c r="G577" s="191"/>
      <c r="H577" s="191"/>
      <c r="I577" s="191"/>
      <c r="J577" s="191"/>
    </row>
    <row r="578" spans="1:10" x14ac:dyDescent="0.25">
      <c r="A578" s="189"/>
      <c r="B578" s="189"/>
      <c r="C578" s="189"/>
      <c r="D578" s="191"/>
      <c r="E578" s="191"/>
      <c r="F578" s="191"/>
      <c r="G578" s="191"/>
      <c r="H578" s="191"/>
      <c r="I578" s="191"/>
      <c r="J578" s="191"/>
    </row>
    <row r="579" spans="1:10" x14ac:dyDescent="0.25">
      <c r="A579" s="189"/>
      <c r="B579" s="189"/>
      <c r="C579" s="189"/>
      <c r="D579" s="191"/>
      <c r="E579" s="191"/>
      <c r="F579" s="191"/>
      <c r="G579" s="191"/>
      <c r="H579" s="191"/>
      <c r="I579" s="191"/>
      <c r="J579" s="191"/>
    </row>
    <row r="580" spans="1:10" x14ac:dyDescent="0.25">
      <c r="A580" s="189"/>
      <c r="B580" s="189"/>
      <c r="C580" s="189"/>
      <c r="D580" s="191"/>
      <c r="E580" s="191"/>
      <c r="F580" s="191"/>
      <c r="G580" s="191"/>
      <c r="H580" s="191"/>
      <c r="I580" s="191"/>
      <c r="J580" s="191"/>
    </row>
    <row r="581" spans="1:10" x14ac:dyDescent="0.25">
      <c r="A581" s="189"/>
      <c r="B581" s="189"/>
      <c r="C581" s="189"/>
      <c r="D581" s="191"/>
      <c r="E581" s="191"/>
      <c r="F581" s="191"/>
      <c r="G581" s="191"/>
      <c r="H581" s="191"/>
      <c r="I581" s="191"/>
      <c r="J581" s="191"/>
    </row>
    <row r="582" spans="1:10" x14ac:dyDescent="0.25">
      <c r="A582" s="189"/>
      <c r="B582" s="189"/>
      <c r="C582" s="189"/>
      <c r="D582" s="191"/>
      <c r="E582" s="191"/>
      <c r="F582" s="191"/>
      <c r="G582" s="191"/>
      <c r="H582" s="191"/>
      <c r="I582" s="191"/>
      <c r="J582" s="191"/>
    </row>
    <row r="583" spans="1:10" x14ac:dyDescent="0.25">
      <c r="A583" s="189"/>
      <c r="B583" s="189"/>
      <c r="C583" s="189"/>
      <c r="D583" s="191"/>
      <c r="E583" s="191"/>
      <c r="F583" s="191"/>
      <c r="G583" s="191"/>
      <c r="H583" s="191"/>
      <c r="I583" s="191"/>
      <c r="J583" s="191"/>
    </row>
    <row r="584" spans="1:10" x14ac:dyDescent="0.25">
      <c r="A584" s="189"/>
      <c r="B584" s="189"/>
      <c r="C584" s="189"/>
      <c r="D584" s="191"/>
      <c r="E584" s="191"/>
      <c r="F584" s="191"/>
      <c r="G584" s="191"/>
      <c r="H584" s="191"/>
      <c r="I584" s="191"/>
      <c r="J584" s="191"/>
    </row>
    <row r="585" spans="1:10" x14ac:dyDescent="0.25">
      <c r="A585" s="189"/>
      <c r="B585" s="189"/>
      <c r="C585" s="189"/>
      <c r="D585" s="191"/>
      <c r="E585" s="191"/>
      <c r="F585" s="191"/>
      <c r="G585" s="191"/>
      <c r="H585" s="191"/>
      <c r="I585" s="191"/>
      <c r="J585" s="191"/>
    </row>
    <row r="586" spans="1:10" x14ac:dyDescent="0.25">
      <c r="A586" s="189"/>
      <c r="B586" s="189"/>
      <c r="C586" s="189"/>
      <c r="D586" s="191"/>
      <c r="E586" s="191"/>
      <c r="F586" s="191"/>
      <c r="G586" s="191"/>
      <c r="H586" s="191"/>
      <c r="I586" s="191"/>
      <c r="J586" s="191"/>
    </row>
    <row r="587" spans="1:10" x14ac:dyDescent="0.25">
      <c r="A587" s="189"/>
      <c r="B587" s="189"/>
      <c r="C587" s="189"/>
      <c r="D587" s="191"/>
      <c r="E587" s="191"/>
      <c r="F587" s="191"/>
      <c r="G587" s="191"/>
      <c r="H587" s="191"/>
      <c r="I587" s="191"/>
      <c r="J587" s="191"/>
    </row>
    <row r="588" spans="1:10" x14ac:dyDescent="0.25">
      <c r="A588" s="189"/>
      <c r="B588" s="189"/>
      <c r="C588" s="189"/>
      <c r="D588" s="191"/>
      <c r="E588" s="191"/>
      <c r="F588" s="191"/>
      <c r="G588" s="191"/>
      <c r="H588" s="191"/>
      <c r="I588" s="191"/>
      <c r="J588" s="191"/>
    </row>
    <row r="589" spans="1:10" x14ac:dyDescent="0.25">
      <c r="A589" s="189"/>
      <c r="B589" s="189"/>
      <c r="C589" s="189"/>
      <c r="D589" s="191"/>
      <c r="E589" s="191"/>
      <c r="F589" s="191"/>
      <c r="G589" s="191"/>
      <c r="H589" s="191"/>
      <c r="I589" s="191"/>
      <c r="J589" s="191"/>
    </row>
    <row r="590" spans="1:10" x14ac:dyDescent="0.25">
      <c r="A590" s="189"/>
      <c r="B590" s="189"/>
      <c r="C590" s="189"/>
      <c r="D590" s="191"/>
      <c r="E590" s="191"/>
      <c r="F590" s="191"/>
      <c r="G590" s="191"/>
      <c r="H590" s="191"/>
      <c r="I590" s="191"/>
      <c r="J590" s="191"/>
    </row>
    <row r="591" spans="1:10" x14ac:dyDescent="0.25">
      <c r="A591" s="189"/>
      <c r="B591" s="189"/>
      <c r="C591" s="189"/>
      <c r="D591" s="191"/>
      <c r="E591" s="191"/>
      <c r="F591" s="191"/>
      <c r="G591" s="191"/>
      <c r="H591" s="191"/>
      <c r="I591" s="191"/>
      <c r="J591" s="191"/>
    </row>
    <row r="592" spans="1:10" x14ac:dyDescent="0.25">
      <c r="A592" s="189"/>
      <c r="B592" s="189"/>
      <c r="C592" s="189"/>
      <c r="D592" s="191"/>
      <c r="E592" s="191"/>
      <c r="F592" s="191"/>
      <c r="G592" s="191"/>
      <c r="H592" s="191"/>
      <c r="I592" s="191"/>
      <c r="J592" s="191"/>
    </row>
    <row r="593" spans="1:10" x14ac:dyDescent="0.25">
      <c r="A593" s="189"/>
      <c r="B593" s="189"/>
      <c r="C593" s="189"/>
      <c r="D593" s="191"/>
      <c r="E593" s="191"/>
      <c r="F593" s="191"/>
      <c r="G593" s="191"/>
      <c r="H593" s="191"/>
      <c r="I593" s="191"/>
      <c r="J593" s="191"/>
    </row>
    <row r="594" spans="1:10" x14ac:dyDescent="0.25">
      <c r="A594" s="189"/>
      <c r="B594" s="189"/>
      <c r="C594" s="189"/>
      <c r="D594" s="191"/>
      <c r="E594" s="191"/>
      <c r="F594" s="191"/>
      <c r="G594" s="191"/>
      <c r="H594" s="191"/>
      <c r="I594" s="191"/>
      <c r="J594" s="191"/>
    </row>
    <row r="595" spans="1:10" x14ac:dyDescent="0.25">
      <c r="A595" s="189"/>
      <c r="B595" s="189"/>
      <c r="C595" s="189"/>
      <c r="D595" s="191"/>
      <c r="E595" s="191"/>
      <c r="F595" s="191"/>
      <c r="G595" s="191"/>
      <c r="H595" s="191"/>
      <c r="I595" s="191"/>
      <c r="J595" s="191"/>
    </row>
    <row r="596" spans="1:10" x14ac:dyDescent="0.25">
      <c r="A596" s="189"/>
      <c r="B596" s="189"/>
      <c r="C596" s="189"/>
      <c r="D596" s="191"/>
      <c r="E596" s="191"/>
      <c r="F596" s="191"/>
      <c r="G596" s="191"/>
      <c r="H596" s="191"/>
      <c r="I596" s="191"/>
      <c r="J596" s="191"/>
    </row>
    <row r="597" spans="1:10" x14ac:dyDescent="0.25">
      <c r="A597" s="189"/>
      <c r="B597" s="189"/>
      <c r="C597" s="189"/>
      <c r="D597" s="191"/>
      <c r="E597" s="191"/>
      <c r="F597" s="191"/>
      <c r="G597" s="191"/>
      <c r="H597" s="191"/>
      <c r="I597" s="191"/>
      <c r="J597" s="191"/>
    </row>
    <row r="598" spans="1:10" x14ac:dyDescent="0.25">
      <c r="A598" s="189"/>
      <c r="B598" s="189"/>
      <c r="C598" s="189"/>
      <c r="D598" s="191"/>
      <c r="E598" s="191"/>
      <c r="F598" s="191"/>
      <c r="G598" s="191"/>
      <c r="H598" s="191"/>
      <c r="I598" s="191"/>
      <c r="J598" s="191"/>
    </row>
    <row r="599" spans="1:10" x14ac:dyDescent="0.25">
      <c r="A599" s="189"/>
      <c r="B599" s="189"/>
      <c r="C599" s="189"/>
      <c r="D599" s="191"/>
      <c r="E599" s="191"/>
      <c r="F599" s="191"/>
      <c r="G599" s="191"/>
      <c r="H599" s="191"/>
      <c r="I599" s="191"/>
      <c r="J599" s="191"/>
    </row>
    <row r="600" spans="1:10" x14ac:dyDescent="0.25">
      <c r="A600" s="189"/>
      <c r="B600" s="189"/>
      <c r="C600" s="189"/>
      <c r="D600" s="191"/>
      <c r="E600" s="191"/>
      <c r="F600" s="191"/>
      <c r="G600" s="191"/>
      <c r="H600" s="191"/>
      <c r="I600" s="191"/>
      <c r="J600" s="191"/>
    </row>
    <row r="601" spans="1:10" x14ac:dyDescent="0.25">
      <c r="A601" s="189"/>
      <c r="B601" s="189"/>
      <c r="C601" s="189"/>
      <c r="D601" s="191"/>
      <c r="E601" s="191"/>
      <c r="F601" s="191"/>
      <c r="G601" s="191"/>
      <c r="H601" s="191"/>
      <c r="I601" s="191"/>
      <c r="J601" s="191"/>
    </row>
    <row r="602" spans="1:10" x14ac:dyDescent="0.25">
      <c r="A602" s="189"/>
      <c r="B602" s="189"/>
      <c r="C602" s="189"/>
      <c r="D602" s="191"/>
      <c r="E602" s="191"/>
      <c r="F602" s="191"/>
      <c r="G602" s="191"/>
      <c r="H602" s="191"/>
      <c r="I602" s="191"/>
      <c r="J602" s="191"/>
    </row>
    <row r="603" spans="1:10" x14ac:dyDescent="0.25">
      <c r="A603" s="189"/>
      <c r="B603" s="189"/>
      <c r="C603" s="189"/>
      <c r="D603" s="191"/>
      <c r="E603" s="191"/>
      <c r="F603" s="191"/>
      <c r="G603" s="191"/>
      <c r="H603" s="191"/>
      <c r="I603" s="191"/>
      <c r="J603" s="191"/>
    </row>
    <row r="604" spans="1:10" x14ac:dyDescent="0.25">
      <c r="A604" s="189"/>
      <c r="B604" s="189"/>
      <c r="C604" s="189"/>
      <c r="D604" s="191"/>
      <c r="E604" s="191"/>
      <c r="F604" s="191"/>
      <c r="G604" s="191"/>
      <c r="H604" s="191"/>
      <c r="I604" s="191"/>
      <c r="J604" s="191"/>
    </row>
    <row r="605" spans="1:10" x14ac:dyDescent="0.25">
      <c r="A605" s="189"/>
      <c r="B605" s="189"/>
      <c r="C605" s="189"/>
      <c r="D605" s="191"/>
      <c r="E605" s="191"/>
      <c r="F605" s="191"/>
      <c r="G605" s="191"/>
      <c r="H605" s="191"/>
      <c r="I605" s="191"/>
      <c r="J605" s="191"/>
    </row>
    <row r="606" spans="1:10" x14ac:dyDescent="0.25">
      <c r="A606" s="189"/>
      <c r="B606" s="189"/>
      <c r="C606" s="189"/>
      <c r="D606" s="191"/>
      <c r="E606" s="191"/>
      <c r="F606" s="191"/>
      <c r="G606" s="191"/>
      <c r="H606" s="191"/>
      <c r="I606" s="191"/>
      <c r="J606" s="191"/>
    </row>
    <row r="607" spans="1:10" x14ac:dyDescent="0.25">
      <c r="A607" s="189"/>
      <c r="B607" s="189"/>
      <c r="C607" s="189"/>
      <c r="D607" s="191"/>
      <c r="E607" s="191"/>
      <c r="F607" s="191"/>
      <c r="G607" s="191"/>
      <c r="H607" s="191"/>
      <c r="I607" s="191"/>
      <c r="J607" s="191"/>
    </row>
    <row r="608" spans="1:10" x14ac:dyDescent="0.25">
      <c r="A608" s="189"/>
      <c r="B608" s="189"/>
      <c r="C608" s="189"/>
      <c r="D608" s="191"/>
      <c r="E608" s="191"/>
      <c r="F608" s="191"/>
      <c r="G608" s="191"/>
      <c r="H608" s="191"/>
      <c r="I608" s="191"/>
      <c r="J608" s="191"/>
    </row>
    <row r="609" spans="1:10" x14ac:dyDescent="0.25">
      <c r="A609" s="189"/>
      <c r="B609" s="189"/>
      <c r="C609" s="189"/>
      <c r="D609" s="191"/>
      <c r="E609" s="191"/>
      <c r="F609" s="191"/>
      <c r="G609" s="191"/>
      <c r="H609" s="191"/>
      <c r="I609" s="191"/>
      <c r="J609" s="191"/>
    </row>
    <row r="610" spans="1:10" x14ac:dyDescent="0.25">
      <c r="A610" s="189"/>
      <c r="B610" s="189"/>
      <c r="C610" s="189"/>
      <c r="D610" s="191"/>
      <c r="E610" s="191"/>
      <c r="F610" s="191"/>
      <c r="G610" s="191"/>
      <c r="H610" s="191"/>
      <c r="I610" s="191"/>
      <c r="J610" s="191"/>
    </row>
    <row r="611" spans="1:10" x14ac:dyDescent="0.25">
      <c r="A611" s="189"/>
      <c r="B611" s="189"/>
      <c r="C611" s="189"/>
      <c r="D611" s="191"/>
      <c r="E611" s="191"/>
      <c r="F611" s="191"/>
      <c r="G611" s="191"/>
      <c r="H611" s="191"/>
      <c r="I611" s="191"/>
      <c r="J611" s="191"/>
    </row>
    <row r="612" spans="1:10" x14ac:dyDescent="0.25">
      <c r="A612" s="189"/>
      <c r="B612" s="189"/>
      <c r="C612" s="189"/>
      <c r="D612" s="191"/>
      <c r="E612" s="191"/>
      <c r="F612" s="191"/>
      <c r="G612" s="191"/>
      <c r="H612" s="191"/>
      <c r="I612" s="191"/>
      <c r="J612" s="191"/>
    </row>
    <row r="613" spans="1:10" x14ac:dyDescent="0.25">
      <c r="A613" s="189"/>
      <c r="B613" s="189"/>
      <c r="C613" s="189"/>
      <c r="D613" s="191"/>
      <c r="E613" s="191"/>
      <c r="F613" s="191"/>
      <c r="G613" s="191"/>
      <c r="H613" s="191"/>
      <c r="I613" s="191"/>
      <c r="J613" s="191"/>
    </row>
    <row r="614" spans="1:10" x14ac:dyDescent="0.25">
      <c r="A614" s="189"/>
      <c r="B614" s="189"/>
      <c r="C614" s="189"/>
      <c r="D614" s="191"/>
      <c r="E614" s="191"/>
      <c r="F614" s="191"/>
      <c r="G614" s="191"/>
      <c r="H614" s="191"/>
      <c r="I614" s="191"/>
      <c r="J614" s="191"/>
    </row>
    <row r="615" spans="1:10" x14ac:dyDescent="0.25">
      <c r="A615" s="189"/>
      <c r="B615" s="189"/>
      <c r="C615" s="189"/>
      <c r="D615" s="191"/>
      <c r="E615" s="191"/>
      <c r="F615" s="191"/>
      <c r="G615" s="191"/>
      <c r="H615" s="191"/>
      <c r="I615" s="191"/>
      <c r="J615" s="191"/>
    </row>
    <row r="616" spans="1:10" x14ac:dyDescent="0.25">
      <c r="A616" s="189"/>
      <c r="B616" s="189"/>
      <c r="C616" s="189"/>
      <c r="D616" s="191"/>
      <c r="E616" s="191"/>
      <c r="F616" s="191"/>
      <c r="G616" s="191"/>
      <c r="H616" s="191"/>
      <c r="I616" s="191"/>
      <c r="J616" s="191"/>
    </row>
    <row r="617" spans="1:10" x14ac:dyDescent="0.25">
      <c r="A617" s="189"/>
      <c r="B617" s="189"/>
      <c r="C617" s="189"/>
      <c r="D617" s="191"/>
      <c r="E617" s="191"/>
      <c r="F617" s="191"/>
      <c r="G617" s="191"/>
      <c r="H617" s="191"/>
      <c r="I617" s="191"/>
      <c r="J617" s="191"/>
    </row>
    <row r="618" spans="1:10" x14ac:dyDescent="0.25">
      <c r="A618" s="189"/>
      <c r="B618" s="189"/>
      <c r="C618" s="189"/>
      <c r="D618" s="191"/>
      <c r="E618" s="191"/>
      <c r="F618" s="191"/>
      <c r="G618" s="191"/>
      <c r="H618" s="191"/>
      <c r="I618" s="191"/>
      <c r="J618" s="191"/>
    </row>
    <row r="619" spans="1:10" x14ac:dyDescent="0.25">
      <c r="A619" s="189"/>
      <c r="B619" s="189"/>
      <c r="C619" s="189"/>
      <c r="D619" s="191"/>
      <c r="E619" s="191"/>
      <c r="F619" s="191"/>
      <c r="G619" s="191"/>
      <c r="H619" s="191"/>
      <c r="I619" s="191"/>
      <c r="J619" s="191"/>
    </row>
    <row r="620" spans="1:10" x14ac:dyDescent="0.25">
      <c r="A620" s="189"/>
      <c r="B620" s="189"/>
      <c r="C620" s="189"/>
      <c r="D620" s="191"/>
      <c r="E620" s="191"/>
      <c r="F620" s="191"/>
      <c r="G620" s="191"/>
      <c r="H620" s="191"/>
      <c r="I620" s="191"/>
      <c r="J620" s="191"/>
    </row>
    <row r="621" spans="1:10" x14ac:dyDescent="0.25">
      <c r="A621" s="189"/>
      <c r="B621" s="189"/>
      <c r="C621" s="189"/>
      <c r="D621" s="191"/>
      <c r="E621" s="191"/>
      <c r="F621" s="191"/>
      <c r="G621" s="191"/>
      <c r="H621" s="191"/>
      <c r="I621" s="191"/>
      <c r="J621" s="191"/>
    </row>
    <row r="622" spans="1:10" x14ac:dyDescent="0.25">
      <c r="A622" s="189"/>
      <c r="B622" s="189"/>
      <c r="C622" s="189"/>
      <c r="D622" s="191"/>
      <c r="E622" s="191"/>
      <c r="F622" s="191"/>
      <c r="G622" s="191"/>
      <c r="H622" s="191"/>
      <c r="I622" s="191"/>
      <c r="J622" s="191"/>
    </row>
    <row r="623" spans="1:10" x14ac:dyDescent="0.25">
      <c r="A623" s="189"/>
      <c r="B623" s="189"/>
      <c r="C623" s="189"/>
      <c r="D623" s="191"/>
      <c r="E623" s="191"/>
      <c r="F623" s="191"/>
      <c r="G623" s="191"/>
      <c r="H623" s="191"/>
      <c r="I623" s="191"/>
      <c r="J623" s="191"/>
    </row>
    <row r="624" spans="1:10" x14ac:dyDescent="0.25">
      <c r="A624" s="189"/>
      <c r="B624" s="189"/>
      <c r="C624" s="189"/>
      <c r="D624" s="191"/>
      <c r="E624" s="191"/>
      <c r="F624" s="191"/>
      <c r="G624" s="191"/>
      <c r="H624" s="191"/>
      <c r="I624" s="191"/>
      <c r="J624" s="191"/>
    </row>
    <row r="625" spans="1:10" x14ac:dyDescent="0.25">
      <c r="A625" s="189"/>
      <c r="B625" s="189"/>
      <c r="C625" s="189"/>
      <c r="D625" s="191"/>
      <c r="E625" s="191"/>
      <c r="F625" s="191"/>
      <c r="G625" s="191"/>
      <c r="H625" s="191"/>
      <c r="I625" s="191"/>
      <c r="J625" s="191"/>
    </row>
    <row r="626" spans="1:10" x14ac:dyDescent="0.25">
      <c r="A626" s="189"/>
      <c r="B626" s="189"/>
      <c r="C626" s="189"/>
      <c r="D626" s="191"/>
      <c r="E626" s="191"/>
      <c r="F626" s="191"/>
      <c r="G626" s="191"/>
      <c r="H626" s="191"/>
      <c r="I626" s="191"/>
      <c r="J626" s="191"/>
    </row>
    <row r="627" spans="1:10" x14ac:dyDescent="0.25">
      <c r="A627" s="189"/>
      <c r="B627" s="189"/>
      <c r="C627" s="189"/>
      <c r="D627" s="191"/>
      <c r="E627" s="191"/>
      <c r="F627" s="191"/>
      <c r="G627" s="191"/>
      <c r="H627" s="191"/>
      <c r="I627" s="191"/>
      <c r="J627" s="191"/>
    </row>
    <row r="628" spans="1:10" x14ac:dyDescent="0.25">
      <c r="A628" s="189"/>
      <c r="B628" s="189"/>
      <c r="C628" s="189"/>
      <c r="D628" s="191"/>
      <c r="E628" s="191"/>
      <c r="F628" s="191"/>
      <c r="G628" s="191"/>
      <c r="H628" s="191"/>
      <c r="I628" s="191"/>
      <c r="J628" s="191"/>
    </row>
    <row r="629" spans="1:10" x14ac:dyDescent="0.25">
      <c r="A629" s="189"/>
      <c r="B629" s="189"/>
      <c r="C629" s="189"/>
      <c r="D629" s="191"/>
      <c r="E629" s="191"/>
      <c r="F629" s="191"/>
      <c r="G629" s="191"/>
      <c r="H629" s="191"/>
      <c r="I629" s="191"/>
      <c r="J629" s="191"/>
    </row>
    <row r="630" spans="1:10" x14ac:dyDescent="0.25">
      <c r="A630" s="189"/>
      <c r="B630" s="189"/>
      <c r="C630" s="189"/>
      <c r="D630" s="191"/>
      <c r="E630" s="191"/>
      <c r="F630" s="191"/>
      <c r="G630" s="191"/>
      <c r="H630" s="191"/>
      <c r="I630" s="191"/>
      <c r="J630" s="191"/>
    </row>
    <row r="631" spans="1:10" x14ac:dyDescent="0.25">
      <c r="A631" s="189"/>
      <c r="B631" s="189"/>
      <c r="C631" s="189"/>
      <c r="D631" s="191"/>
      <c r="E631" s="191"/>
      <c r="F631" s="191"/>
      <c r="G631" s="191"/>
      <c r="H631" s="191"/>
      <c r="I631" s="191"/>
      <c r="J631" s="191"/>
    </row>
    <row r="632" spans="1:10" x14ac:dyDescent="0.25">
      <c r="A632" s="189"/>
      <c r="B632" s="189"/>
      <c r="C632" s="189"/>
      <c r="D632" s="191"/>
      <c r="E632" s="191"/>
      <c r="F632" s="191"/>
      <c r="G632" s="191"/>
      <c r="H632" s="191"/>
      <c r="I632" s="191"/>
      <c r="J632" s="191"/>
    </row>
    <row r="633" spans="1:10" x14ac:dyDescent="0.25">
      <c r="A633" s="189"/>
      <c r="B633" s="189"/>
      <c r="C633" s="189"/>
      <c r="D633" s="191"/>
      <c r="E633" s="191"/>
      <c r="F633" s="191"/>
      <c r="G633" s="191"/>
      <c r="H633" s="191"/>
      <c r="I633" s="191"/>
      <c r="J633" s="191"/>
    </row>
    <row r="634" spans="1:10" x14ac:dyDescent="0.25">
      <c r="A634" s="189"/>
      <c r="B634" s="189"/>
      <c r="C634" s="189"/>
      <c r="D634" s="191"/>
      <c r="E634" s="191"/>
      <c r="F634" s="191"/>
      <c r="G634" s="191"/>
      <c r="H634" s="191"/>
      <c r="I634" s="191"/>
      <c r="J634" s="191"/>
    </row>
    <row r="635" spans="1:10" x14ac:dyDescent="0.25">
      <c r="A635" s="189"/>
      <c r="B635" s="189"/>
      <c r="C635" s="189"/>
      <c r="D635" s="191"/>
      <c r="E635" s="191"/>
      <c r="F635" s="191"/>
      <c r="G635" s="191"/>
      <c r="H635" s="191"/>
      <c r="I635" s="191"/>
      <c r="J635" s="191"/>
    </row>
    <row r="636" spans="1:10" x14ac:dyDescent="0.25">
      <c r="A636" s="189"/>
      <c r="B636" s="189"/>
      <c r="C636" s="189"/>
      <c r="D636" s="191"/>
      <c r="E636" s="191"/>
      <c r="F636" s="191"/>
      <c r="G636" s="191"/>
      <c r="H636" s="191"/>
      <c r="I636" s="191"/>
      <c r="J636" s="191"/>
    </row>
    <row r="637" spans="1:10" x14ac:dyDescent="0.25">
      <c r="A637" s="189"/>
      <c r="B637" s="189"/>
      <c r="C637" s="189"/>
      <c r="D637" s="191"/>
      <c r="E637" s="191"/>
      <c r="F637" s="191"/>
      <c r="G637" s="191"/>
      <c r="H637" s="191"/>
      <c r="I637" s="191"/>
      <c r="J637" s="191"/>
    </row>
    <row r="638" spans="1:10" x14ac:dyDescent="0.25">
      <c r="A638" s="189"/>
      <c r="B638" s="189"/>
      <c r="C638" s="189"/>
      <c r="D638" s="191"/>
      <c r="E638" s="191"/>
      <c r="F638" s="191"/>
      <c r="G638" s="191"/>
      <c r="H638" s="191"/>
      <c r="I638" s="191"/>
      <c r="J638" s="191"/>
    </row>
    <row r="639" spans="1:10" x14ac:dyDescent="0.25">
      <c r="A639" s="189"/>
      <c r="B639" s="189"/>
      <c r="C639" s="189"/>
      <c r="D639" s="191"/>
      <c r="E639" s="191"/>
      <c r="F639" s="191"/>
      <c r="G639" s="191"/>
      <c r="H639" s="191"/>
      <c r="I639" s="191"/>
      <c r="J639" s="191"/>
    </row>
    <row r="640" spans="1:10" x14ac:dyDescent="0.25">
      <c r="A640" s="189"/>
      <c r="B640" s="189"/>
      <c r="C640" s="189"/>
      <c r="D640" s="191"/>
      <c r="E640" s="191"/>
      <c r="F640" s="191"/>
      <c r="G640" s="191"/>
      <c r="H640" s="191"/>
      <c r="I640" s="191"/>
      <c r="J640" s="191"/>
    </row>
    <row r="641" spans="1:10" x14ac:dyDescent="0.25">
      <c r="A641" s="189"/>
      <c r="B641" s="189"/>
      <c r="C641" s="189"/>
      <c r="D641" s="191"/>
      <c r="E641" s="191"/>
      <c r="F641" s="191"/>
      <c r="G641" s="191"/>
      <c r="H641" s="191"/>
      <c r="I641" s="191"/>
      <c r="J641" s="191"/>
    </row>
    <row r="642" spans="1:10" x14ac:dyDescent="0.25">
      <c r="A642" s="189"/>
      <c r="B642" s="189"/>
      <c r="C642" s="189"/>
      <c r="D642" s="191"/>
      <c r="E642" s="191"/>
      <c r="F642" s="191"/>
      <c r="G642" s="191"/>
      <c r="H642" s="191"/>
      <c r="I642" s="191"/>
      <c r="J642" s="191"/>
    </row>
    <row r="643" spans="1:10" x14ac:dyDescent="0.25">
      <c r="A643" s="189"/>
      <c r="B643" s="189"/>
      <c r="C643" s="189"/>
      <c r="D643" s="191"/>
      <c r="E643" s="191"/>
      <c r="F643" s="191"/>
      <c r="G643" s="191"/>
      <c r="H643" s="191"/>
      <c r="I643" s="191"/>
      <c r="J643" s="191"/>
    </row>
    <row r="644" spans="1:10" x14ac:dyDescent="0.25">
      <c r="A644" s="189"/>
      <c r="B644" s="189"/>
      <c r="C644" s="189"/>
      <c r="D644" s="191"/>
      <c r="E644" s="191"/>
      <c r="F644" s="191"/>
      <c r="G644" s="191"/>
      <c r="H644" s="191"/>
      <c r="I644" s="191"/>
      <c r="J644" s="191"/>
    </row>
    <row r="645" spans="1:10" x14ac:dyDescent="0.25">
      <c r="A645" s="189"/>
      <c r="B645" s="189"/>
      <c r="C645" s="189"/>
      <c r="D645" s="191"/>
      <c r="E645" s="191"/>
      <c r="F645" s="191"/>
      <c r="G645" s="191"/>
      <c r="H645" s="191"/>
      <c r="I645" s="191"/>
      <c r="J645" s="191"/>
    </row>
    <row r="646" spans="1:10" x14ac:dyDescent="0.25">
      <c r="A646" s="189"/>
      <c r="B646" s="189"/>
      <c r="C646" s="189"/>
      <c r="D646" s="191"/>
      <c r="E646" s="191"/>
      <c r="F646" s="191"/>
      <c r="G646" s="191"/>
      <c r="H646" s="191"/>
      <c r="I646" s="191"/>
      <c r="J646" s="191"/>
    </row>
    <row r="647" spans="1:10" x14ac:dyDescent="0.25">
      <c r="A647" s="189"/>
      <c r="B647" s="189"/>
      <c r="C647" s="189"/>
      <c r="D647" s="191"/>
      <c r="E647" s="191"/>
      <c r="F647" s="191"/>
      <c r="G647" s="191"/>
      <c r="H647" s="191"/>
      <c r="I647" s="191"/>
      <c r="J647" s="191"/>
    </row>
    <row r="648" spans="1:10" x14ac:dyDescent="0.25">
      <c r="A648" s="189"/>
      <c r="B648" s="189"/>
      <c r="C648" s="189"/>
      <c r="D648" s="191"/>
      <c r="E648" s="191"/>
      <c r="F648" s="191"/>
      <c r="G648" s="191"/>
      <c r="H648" s="191"/>
      <c r="I648" s="191"/>
      <c r="J648" s="191"/>
    </row>
    <row r="649" spans="1:10" x14ac:dyDescent="0.25">
      <c r="A649" s="189"/>
      <c r="B649" s="189"/>
      <c r="C649" s="189"/>
      <c r="D649" s="191"/>
      <c r="E649" s="191"/>
      <c r="F649" s="191"/>
      <c r="G649" s="191"/>
      <c r="H649" s="191"/>
      <c r="I649" s="191"/>
      <c r="J649" s="191"/>
    </row>
    <row r="650" spans="1:10" x14ac:dyDescent="0.25">
      <c r="A650" s="189"/>
      <c r="B650" s="189"/>
      <c r="C650" s="189"/>
      <c r="D650" s="191"/>
      <c r="E650" s="191"/>
      <c r="F650" s="191"/>
      <c r="G650" s="191"/>
      <c r="H650" s="191"/>
      <c r="I650" s="191"/>
      <c r="J650" s="191"/>
    </row>
    <row r="651" spans="1:10" x14ac:dyDescent="0.25">
      <c r="A651" s="189"/>
      <c r="B651" s="189"/>
      <c r="C651" s="189"/>
      <c r="D651" s="191"/>
      <c r="E651" s="191"/>
      <c r="F651" s="191"/>
      <c r="G651" s="191"/>
      <c r="H651" s="191"/>
      <c r="I651" s="191"/>
      <c r="J651" s="191"/>
    </row>
    <row r="652" spans="1:10" x14ac:dyDescent="0.25">
      <c r="A652" s="189"/>
      <c r="B652" s="189"/>
      <c r="C652" s="189"/>
      <c r="D652" s="191"/>
      <c r="E652" s="191"/>
      <c r="F652" s="191"/>
      <c r="G652" s="191"/>
      <c r="H652" s="191"/>
      <c r="I652" s="191"/>
      <c r="J652" s="191"/>
    </row>
    <row r="653" spans="1:10" x14ac:dyDescent="0.25">
      <c r="A653" s="189"/>
      <c r="B653" s="189"/>
      <c r="C653" s="189"/>
      <c r="D653" s="191"/>
      <c r="E653" s="191"/>
      <c r="F653" s="191"/>
      <c r="G653" s="191"/>
      <c r="H653" s="191"/>
      <c r="I653" s="191"/>
      <c r="J653" s="191"/>
    </row>
    <row r="654" spans="1:10" x14ac:dyDescent="0.25">
      <c r="A654" s="189"/>
      <c r="B654" s="189"/>
      <c r="C654" s="189"/>
      <c r="D654" s="191"/>
      <c r="E654" s="191"/>
      <c r="F654" s="191"/>
      <c r="G654" s="191"/>
      <c r="H654" s="191"/>
      <c r="I654" s="191"/>
      <c r="J654" s="191"/>
    </row>
    <row r="655" spans="1:10" x14ac:dyDescent="0.25">
      <c r="A655" s="189"/>
      <c r="B655" s="189"/>
      <c r="C655" s="189"/>
      <c r="D655" s="191"/>
      <c r="E655" s="191"/>
      <c r="F655" s="191"/>
      <c r="G655" s="191"/>
      <c r="H655" s="191"/>
      <c r="I655" s="191"/>
      <c r="J655" s="191"/>
    </row>
    <row r="656" spans="1:10" x14ac:dyDescent="0.25">
      <c r="A656" s="189"/>
      <c r="B656" s="189"/>
      <c r="C656" s="189"/>
      <c r="D656" s="191"/>
      <c r="E656" s="191"/>
      <c r="F656" s="191"/>
      <c r="G656" s="191"/>
      <c r="H656" s="191"/>
      <c r="I656" s="191"/>
      <c r="J656" s="191"/>
    </row>
    <row r="657" spans="1:10" x14ac:dyDescent="0.25">
      <c r="A657" s="189"/>
      <c r="B657" s="189"/>
      <c r="C657" s="189"/>
      <c r="D657" s="191"/>
      <c r="E657" s="191"/>
      <c r="F657" s="191"/>
      <c r="G657" s="191"/>
      <c r="H657" s="191"/>
      <c r="I657" s="191"/>
      <c r="J657" s="191"/>
    </row>
    <row r="658" spans="1:10" x14ac:dyDescent="0.25">
      <c r="A658" s="189"/>
      <c r="B658" s="189"/>
      <c r="C658" s="189"/>
      <c r="D658" s="191"/>
      <c r="E658" s="191"/>
      <c r="F658" s="191"/>
      <c r="G658" s="191"/>
      <c r="H658" s="191"/>
      <c r="I658" s="191"/>
      <c r="J658" s="191"/>
    </row>
    <row r="659" spans="1:10" x14ac:dyDescent="0.25">
      <c r="A659" s="189"/>
      <c r="B659" s="189"/>
      <c r="C659" s="189"/>
      <c r="D659" s="191"/>
      <c r="E659" s="191"/>
      <c r="F659" s="191"/>
      <c r="G659" s="191"/>
      <c r="H659" s="191"/>
      <c r="I659" s="191"/>
      <c r="J659" s="191"/>
    </row>
    <row r="660" spans="1:10" x14ac:dyDescent="0.25">
      <c r="A660" s="189"/>
      <c r="B660" s="189"/>
      <c r="C660" s="189"/>
      <c r="D660" s="191"/>
      <c r="E660" s="191"/>
      <c r="F660" s="191"/>
      <c r="G660" s="191"/>
      <c r="H660" s="191"/>
      <c r="I660" s="191"/>
      <c r="J660" s="191"/>
    </row>
    <row r="661" spans="1:10" x14ac:dyDescent="0.25">
      <c r="A661" s="189"/>
      <c r="B661" s="189"/>
      <c r="C661" s="189"/>
      <c r="D661" s="191"/>
      <c r="E661" s="191"/>
      <c r="F661" s="191"/>
      <c r="G661" s="191"/>
      <c r="H661" s="191"/>
      <c r="I661" s="191"/>
      <c r="J661" s="191"/>
    </row>
    <row r="662" spans="1:10" x14ac:dyDescent="0.25">
      <c r="A662" s="189"/>
      <c r="B662" s="189"/>
      <c r="C662" s="189"/>
      <c r="D662" s="191"/>
      <c r="E662" s="191"/>
      <c r="F662" s="191"/>
      <c r="G662" s="191"/>
      <c r="H662" s="191"/>
      <c r="I662" s="191"/>
      <c r="J662" s="191"/>
    </row>
    <row r="663" spans="1:10" x14ac:dyDescent="0.25">
      <c r="A663" s="189"/>
      <c r="B663" s="189"/>
      <c r="C663" s="189"/>
      <c r="D663" s="191"/>
      <c r="E663" s="191"/>
      <c r="F663" s="191"/>
      <c r="G663" s="191"/>
      <c r="H663" s="191"/>
      <c r="I663" s="191"/>
      <c r="J663" s="191"/>
    </row>
    <row r="664" spans="1:10" x14ac:dyDescent="0.25">
      <c r="A664" s="189"/>
      <c r="B664" s="189"/>
      <c r="C664" s="189"/>
      <c r="D664" s="191"/>
      <c r="E664" s="191"/>
      <c r="F664" s="191"/>
      <c r="G664" s="191"/>
      <c r="H664" s="191"/>
      <c r="I664" s="191"/>
      <c r="J664" s="191"/>
    </row>
    <row r="665" spans="1:10" x14ac:dyDescent="0.25">
      <c r="A665" s="189"/>
      <c r="B665" s="189"/>
      <c r="C665" s="189"/>
      <c r="D665" s="191"/>
      <c r="E665" s="191"/>
      <c r="F665" s="191"/>
      <c r="G665" s="191"/>
      <c r="H665" s="191"/>
      <c r="I665" s="191"/>
      <c r="J665" s="191"/>
    </row>
    <row r="666" spans="1:10" x14ac:dyDescent="0.25">
      <c r="A666" s="189"/>
      <c r="B666" s="189"/>
      <c r="C666" s="189"/>
      <c r="D666" s="191"/>
      <c r="E666" s="191"/>
      <c r="F666" s="191"/>
      <c r="G666" s="191"/>
      <c r="H666" s="191"/>
      <c r="I666" s="191"/>
      <c r="J666" s="191"/>
    </row>
    <row r="667" spans="1:10" x14ac:dyDescent="0.25">
      <c r="A667" s="189"/>
      <c r="B667" s="189"/>
      <c r="C667" s="189"/>
      <c r="D667" s="191"/>
      <c r="E667" s="191"/>
      <c r="F667" s="191"/>
      <c r="G667" s="191"/>
      <c r="H667" s="191"/>
      <c r="I667" s="191"/>
      <c r="J667" s="191"/>
    </row>
    <row r="668" spans="1:10" x14ac:dyDescent="0.25">
      <c r="A668" s="189"/>
      <c r="B668" s="189"/>
      <c r="C668" s="189"/>
      <c r="D668" s="191"/>
      <c r="E668" s="191"/>
      <c r="F668" s="191"/>
      <c r="G668" s="191"/>
      <c r="H668" s="191"/>
      <c r="I668" s="191"/>
      <c r="J668" s="191"/>
    </row>
    <row r="669" spans="1:10" x14ac:dyDescent="0.25">
      <c r="A669" s="189"/>
      <c r="B669" s="189"/>
      <c r="C669" s="189"/>
      <c r="D669" s="191"/>
      <c r="E669" s="191"/>
      <c r="F669" s="191"/>
      <c r="G669" s="191"/>
      <c r="H669" s="191"/>
      <c r="I669" s="191"/>
      <c r="J669" s="191"/>
    </row>
    <row r="670" spans="1:10" x14ac:dyDescent="0.25">
      <c r="A670" s="189"/>
      <c r="B670" s="189"/>
      <c r="C670" s="189"/>
      <c r="D670" s="191"/>
      <c r="E670" s="191"/>
      <c r="F670" s="191"/>
      <c r="G670" s="191"/>
      <c r="H670" s="191"/>
      <c r="I670" s="191"/>
      <c r="J670" s="191"/>
    </row>
    <row r="671" spans="1:10" x14ac:dyDescent="0.25">
      <c r="A671" s="189"/>
      <c r="B671" s="189"/>
      <c r="C671" s="189"/>
      <c r="D671" s="191"/>
      <c r="E671" s="191"/>
      <c r="F671" s="191"/>
      <c r="G671" s="191"/>
      <c r="H671" s="191"/>
      <c r="I671" s="191"/>
      <c r="J671" s="191"/>
    </row>
    <row r="672" spans="1:10" x14ac:dyDescent="0.25">
      <c r="A672" s="189"/>
      <c r="B672" s="189"/>
      <c r="C672" s="189"/>
      <c r="D672" s="191"/>
      <c r="E672" s="191"/>
      <c r="F672" s="191"/>
      <c r="G672" s="191"/>
      <c r="H672" s="191"/>
      <c r="I672" s="191"/>
      <c r="J672" s="191"/>
    </row>
    <row r="673" spans="1:10" x14ac:dyDescent="0.25">
      <c r="A673" s="189"/>
      <c r="B673" s="189"/>
      <c r="C673" s="189"/>
      <c r="D673" s="191"/>
      <c r="E673" s="191"/>
      <c r="F673" s="191"/>
      <c r="G673" s="191"/>
      <c r="H673" s="191"/>
      <c r="I673" s="191"/>
      <c r="J673" s="191"/>
    </row>
    <row r="674" spans="1:10" x14ac:dyDescent="0.25">
      <c r="A674" s="189"/>
      <c r="B674" s="189"/>
      <c r="C674" s="189"/>
      <c r="D674" s="191"/>
      <c r="E674" s="191"/>
      <c r="F674" s="191"/>
      <c r="G674" s="191"/>
      <c r="H674" s="191"/>
      <c r="I674" s="191"/>
      <c r="J674" s="191"/>
    </row>
    <row r="675" spans="1:10" x14ac:dyDescent="0.25">
      <c r="A675" s="189"/>
      <c r="B675" s="189"/>
      <c r="C675" s="189"/>
      <c r="D675" s="191"/>
      <c r="E675" s="191"/>
      <c r="F675" s="191"/>
      <c r="G675" s="191"/>
      <c r="H675" s="191"/>
      <c r="I675" s="191"/>
      <c r="J675" s="191"/>
    </row>
    <row r="676" spans="1:10" x14ac:dyDescent="0.25">
      <c r="A676" s="189"/>
      <c r="B676" s="189"/>
      <c r="C676" s="189"/>
      <c r="D676" s="191"/>
      <c r="E676" s="191"/>
      <c r="F676" s="191"/>
      <c r="G676" s="191"/>
      <c r="H676" s="191"/>
      <c r="I676" s="191"/>
      <c r="J676" s="191"/>
    </row>
    <row r="677" spans="1:10" x14ac:dyDescent="0.25">
      <c r="A677" s="189"/>
      <c r="B677" s="189"/>
      <c r="C677" s="189"/>
      <c r="D677" s="191"/>
      <c r="E677" s="191"/>
      <c r="F677" s="191"/>
      <c r="G677" s="191"/>
      <c r="H677" s="191"/>
      <c r="I677" s="191"/>
      <c r="J677" s="191"/>
    </row>
    <row r="678" spans="1:10" x14ac:dyDescent="0.25">
      <c r="A678" s="189"/>
      <c r="B678" s="189"/>
      <c r="C678" s="189"/>
      <c r="D678" s="191"/>
      <c r="E678" s="191"/>
      <c r="F678" s="191"/>
      <c r="G678" s="191"/>
      <c r="H678" s="191"/>
      <c r="I678" s="191"/>
      <c r="J678" s="191"/>
    </row>
    <row r="679" spans="1:10" x14ac:dyDescent="0.25">
      <c r="A679" s="189"/>
      <c r="B679" s="189"/>
      <c r="C679" s="189"/>
      <c r="D679" s="191"/>
      <c r="E679" s="191"/>
      <c r="F679" s="191"/>
      <c r="G679" s="191"/>
      <c r="H679" s="191"/>
      <c r="I679" s="191"/>
      <c r="J679" s="191"/>
    </row>
    <row r="680" spans="1:10" x14ac:dyDescent="0.25">
      <c r="A680" s="189"/>
      <c r="B680" s="189"/>
      <c r="C680" s="189"/>
      <c r="D680" s="191"/>
      <c r="E680" s="191"/>
      <c r="F680" s="191"/>
      <c r="G680" s="191"/>
      <c r="H680" s="191"/>
      <c r="I680" s="191"/>
      <c r="J680" s="191"/>
    </row>
    <row r="681" spans="1:10" x14ac:dyDescent="0.25">
      <c r="A681" s="189"/>
      <c r="B681" s="189"/>
      <c r="C681" s="189"/>
      <c r="D681" s="191"/>
      <c r="E681" s="191"/>
      <c r="F681" s="191"/>
      <c r="G681" s="191"/>
      <c r="H681" s="191"/>
      <c r="I681" s="191"/>
      <c r="J681" s="191"/>
    </row>
    <row r="682" spans="1:10" x14ac:dyDescent="0.25">
      <c r="A682" s="189"/>
      <c r="B682" s="189"/>
      <c r="C682" s="189"/>
      <c r="D682" s="191"/>
      <c r="E682" s="191"/>
      <c r="F682" s="191"/>
      <c r="G682" s="191"/>
      <c r="H682" s="191"/>
      <c r="I682" s="191"/>
      <c r="J682" s="191"/>
    </row>
    <row r="683" spans="1:10" x14ac:dyDescent="0.25">
      <c r="A683" s="189"/>
      <c r="B683" s="189"/>
      <c r="C683" s="189"/>
      <c r="D683" s="191"/>
      <c r="E683" s="191"/>
      <c r="F683" s="191"/>
      <c r="G683" s="191"/>
      <c r="H683" s="191"/>
      <c r="I683" s="191"/>
      <c r="J683" s="191"/>
    </row>
    <row r="684" spans="1:10" x14ac:dyDescent="0.25">
      <c r="A684" s="189"/>
      <c r="B684" s="189"/>
      <c r="C684" s="189"/>
      <c r="D684" s="191"/>
      <c r="E684" s="191"/>
      <c r="F684" s="191"/>
      <c r="G684" s="191"/>
      <c r="H684" s="191"/>
      <c r="I684" s="191"/>
      <c r="J684" s="191"/>
    </row>
    <row r="685" spans="1:10" x14ac:dyDescent="0.25">
      <c r="A685" s="189"/>
      <c r="B685" s="189"/>
      <c r="C685" s="189"/>
      <c r="D685" s="191"/>
      <c r="E685" s="191"/>
      <c r="F685" s="191"/>
      <c r="G685" s="191"/>
      <c r="H685" s="191"/>
      <c r="I685" s="191"/>
      <c r="J685" s="191"/>
    </row>
    <row r="686" spans="1:10" x14ac:dyDescent="0.25">
      <c r="A686" s="189"/>
      <c r="B686" s="189"/>
      <c r="C686" s="189"/>
      <c r="D686" s="191"/>
      <c r="E686" s="191"/>
      <c r="F686" s="191"/>
      <c r="G686" s="191"/>
      <c r="H686" s="191"/>
      <c r="I686" s="191"/>
      <c r="J686" s="191"/>
    </row>
    <row r="687" spans="1:10" x14ac:dyDescent="0.25">
      <c r="A687" s="189"/>
      <c r="B687" s="189"/>
      <c r="C687" s="189"/>
      <c r="D687" s="191"/>
      <c r="E687" s="191"/>
      <c r="F687" s="191"/>
      <c r="G687" s="191"/>
      <c r="H687" s="191"/>
      <c r="I687" s="191"/>
      <c r="J687" s="191"/>
    </row>
    <row r="688" spans="1:10" x14ac:dyDescent="0.25">
      <c r="A688" s="189"/>
      <c r="B688" s="189"/>
      <c r="C688" s="189"/>
      <c r="D688" s="191"/>
      <c r="E688" s="191"/>
      <c r="F688" s="191"/>
      <c r="G688" s="191"/>
      <c r="H688" s="191"/>
      <c r="I688" s="191"/>
      <c r="J688" s="191"/>
    </row>
    <row r="689" spans="1:10" x14ac:dyDescent="0.25">
      <c r="A689" s="189"/>
      <c r="B689" s="189"/>
      <c r="C689" s="189"/>
      <c r="D689" s="191"/>
      <c r="E689" s="191"/>
      <c r="F689" s="191"/>
      <c r="G689" s="191"/>
      <c r="H689" s="191"/>
      <c r="I689" s="191"/>
      <c r="J689" s="191"/>
    </row>
    <row r="690" spans="1:10" x14ac:dyDescent="0.25">
      <c r="A690" s="189"/>
      <c r="B690" s="189"/>
      <c r="C690" s="189"/>
      <c r="D690" s="191"/>
      <c r="E690" s="191"/>
      <c r="F690" s="191"/>
      <c r="G690" s="191"/>
      <c r="H690" s="191"/>
      <c r="I690" s="191"/>
      <c r="J690" s="191"/>
    </row>
    <row r="691" spans="1:10" x14ac:dyDescent="0.25">
      <c r="A691" s="189"/>
      <c r="B691" s="189"/>
      <c r="C691" s="189"/>
      <c r="D691" s="191"/>
      <c r="E691" s="191"/>
      <c r="F691" s="191"/>
      <c r="G691" s="191"/>
      <c r="H691" s="191"/>
      <c r="I691" s="191"/>
      <c r="J691" s="191"/>
    </row>
    <row r="692" spans="1:10" x14ac:dyDescent="0.25">
      <c r="A692" s="189"/>
      <c r="B692" s="189"/>
      <c r="C692" s="189"/>
      <c r="D692" s="191"/>
      <c r="E692" s="191"/>
      <c r="F692" s="191"/>
      <c r="G692" s="191"/>
      <c r="H692" s="191"/>
      <c r="I692" s="191"/>
      <c r="J692" s="191"/>
    </row>
    <row r="693" spans="1:10" x14ac:dyDescent="0.25">
      <c r="A693" s="189"/>
      <c r="B693" s="189"/>
      <c r="C693" s="189"/>
      <c r="D693" s="191"/>
      <c r="E693" s="191"/>
      <c r="F693" s="191"/>
      <c r="G693" s="191"/>
      <c r="H693" s="191"/>
      <c r="I693" s="191"/>
      <c r="J693" s="191"/>
    </row>
    <row r="694" spans="1:10" x14ac:dyDescent="0.25">
      <c r="A694" s="189"/>
      <c r="B694" s="189"/>
      <c r="C694" s="189"/>
      <c r="D694" s="191"/>
      <c r="E694" s="191"/>
      <c r="F694" s="191"/>
      <c r="G694" s="191"/>
      <c r="H694" s="191"/>
      <c r="I694" s="191"/>
      <c r="J694" s="191"/>
    </row>
    <row r="695" spans="1:10" x14ac:dyDescent="0.25">
      <c r="A695" s="189"/>
      <c r="B695" s="189"/>
      <c r="C695" s="189"/>
      <c r="D695" s="191"/>
      <c r="E695" s="191"/>
      <c r="F695" s="191"/>
      <c r="G695" s="191"/>
      <c r="H695" s="191"/>
      <c r="I695" s="191"/>
      <c r="J695" s="191"/>
    </row>
    <row r="696" spans="1:10" x14ac:dyDescent="0.25">
      <c r="A696" s="189"/>
      <c r="B696" s="189"/>
      <c r="C696" s="189"/>
      <c r="D696" s="191"/>
      <c r="E696" s="191"/>
      <c r="F696" s="191"/>
      <c r="G696" s="191"/>
      <c r="H696" s="191"/>
      <c r="I696" s="191"/>
      <c r="J696" s="191"/>
    </row>
    <row r="697" spans="1:10" x14ac:dyDescent="0.25">
      <c r="A697" s="189"/>
      <c r="B697" s="189"/>
      <c r="C697" s="189"/>
      <c r="D697" s="191"/>
      <c r="E697" s="191"/>
      <c r="F697" s="191"/>
      <c r="G697" s="191"/>
      <c r="H697" s="191"/>
      <c r="I697" s="191"/>
      <c r="J697" s="191"/>
    </row>
    <row r="698" spans="1:10" x14ac:dyDescent="0.25">
      <c r="A698" s="189"/>
      <c r="B698" s="189"/>
      <c r="C698" s="189"/>
      <c r="D698" s="191"/>
      <c r="E698" s="191"/>
      <c r="F698" s="191"/>
      <c r="G698" s="191"/>
      <c r="H698" s="191"/>
      <c r="I698" s="191"/>
      <c r="J698" s="191"/>
    </row>
    <row r="699" spans="1:10" x14ac:dyDescent="0.25">
      <c r="A699" s="189"/>
      <c r="B699" s="189"/>
      <c r="C699" s="189"/>
      <c r="D699" s="191"/>
      <c r="E699" s="191"/>
      <c r="F699" s="191"/>
      <c r="G699" s="191"/>
      <c r="H699" s="191"/>
      <c r="I699" s="191"/>
      <c r="J699" s="191"/>
    </row>
    <row r="700" spans="1:10" x14ac:dyDescent="0.25">
      <c r="A700" s="189"/>
      <c r="B700" s="189"/>
      <c r="C700" s="189"/>
      <c r="D700" s="191"/>
      <c r="E700" s="191"/>
      <c r="F700" s="191"/>
      <c r="G700" s="191"/>
      <c r="H700" s="191"/>
      <c r="I700" s="191"/>
      <c r="J700" s="191"/>
    </row>
    <row r="701" spans="1:10" x14ac:dyDescent="0.25">
      <c r="A701" s="189"/>
      <c r="B701" s="189"/>
      <c r="C701" s="189"/>
      <c r="D701" s="191"/>
      <c r="E701" s="191"/>
      <c r="F701" s="191"/>
      <c r="G701" s="191"/>
      <c r="H701" s="191"/>
      <c r="I701" s="191"/>
      <c r="J701" s="191"/>
    </row>
    <row r="702" spans="1:10" x14ac:dyDescent="0.25">
      <c r="A702" s="189"/>
      <c r="B702" s="189"/>
      <c r="C702" s="189"/>
      <c r="D702" s="191"/>
      <c r="E702" s="191"/>
      <c r="F702" s="191"/>
      <c r="G702" s="191"/>
      <c r="H702" s="191"/>
      <c r="I702" s="191"/>
      <c r="J702" s="191"/>
    </row>
    <row r="703" spans="1:10" x14ac:dyDescent="0.25">
      <c r="A703" s="189"/>
      <c r="B703" s="189"/>
      <c r="C703" s="189"/>
      <c r="D703" s="191"/>
      <c r="E703" s="191"/>
      <c r="F703" s="191"/>
      <c r="G703" s="191"/>
      <c r="H703" s="191"/>
      <c r="I703" s="191"/>
      <c r="J703" s="191"/>
    </row>
    <row r="704" spans="1:10" x14ac:dyDescent="0.25">
      <c r="A704" s="189"/>
      <c r="B704" s="189"/>
      <c r="C704" s="189"/>
      <c r="D704" s="191"/>
      <c r="E704" s="191"/>
      <c r="F704" s="191"/>
      <c r="G704" s="191"/>
      <c r="H704" s="191"/>
      <c r="I704" s="191"/>
      <c r="J704" s="191"/>
    </row>
    <row r="705" spans="1:10" x14ac:dyDescent="0.25">
      <c r="A705" s="189"/>
      <c r="B705" s="189"/>
      <c r="C705" s="189"/>
      <c r="D705" s="191"/>
      <c r="E705" s="191"/>
      <c r="F705" s="191"/>
      <c r="G705" s="191"/>
      <c r="H705" s="191"/>
      <c r="I705" s="191"/>
      <c r="J705" s="191"/>
    </row>
    <row r="706" spans="1:10" x14ac:dyDescent="0.25">
      <c r="A706" s="189"/>
      <c r="B706" s="189"/>
      <c r="C706" s="189"/>
      <c r="D706" s="191"/>
      <c r="E706" s="191"/>
      <c r="F706" s="191"/>
      <c r="G706" s="191"/>
      <c r="H706" s="191"/>
      <c r="I706" s="191"/>
      <c r="J706" s="191"/>
    </row>
    <row r="707" spans="1:10" x14ac:dyDescent="0.25">
      <c r="A707" s="189"/>
      <c r="B707" s="189"/>
      <c r="C707" s="189"/>
      <c r="D707" s="191"/>
      <c r="E707" s="191"/>
      <c r="F707" s="191"/>
      <c r="G707" s="191"/>
      <c r="H707" s="191"/>
      <c r="I707" s="191"/>
      <c r="J707" s="191"/>
    </row>
    <row r="708" spans="1:10" x14ac:dyDescent="0.25">
      <c r="A708" s="189"/>
      <c r="B708" s="189"/>
      <c r="C708" s="189"/>
      <c r="D708" s="191"/>
      <c r="E708" s="191"/>
      <c r="F708" s="191"/>
      <c r="G708" s="191"/>
      <c r="H708" s="191"/>
      <c r="I708" s="191"/>
      <c r="J708" s="191"/>
    </row>
    <row r="709" spans="1:10" x14ac:dyDescent="0.25">
      <c r="A709" s="189"/>
      <c r="B709" s="189"/>
      <c r="C709" s="189"/>
      <c r="D709" s="191"/>
      <c r="E709" s="191"/>
      <c r="F709" s="191"/>
      <c r="G709" s="191"/>
      <c r="H709" s="191"/>
      <c r="I709" s="191"/>
      <c r="J709" s="191"/>
    </row>
    <row r="710" spans="1:10" x14ac:dyDescent="0.25">
      <c r="A710" s="189"/>
      <c r="B710" s="189"/>
      <c r="C710" s="189"/>
      <c r="D710" s="191"/>
      <c r="E710" s="191"/>
      <c r="F710" s="191"/>
      <c r="G710" s="191"/>
      <c r="H710" s="191"/>
      <c r="I710" s="191"/>
      <c r="J710" s="191"/>
    </row>
    <row r="711" spans="1:10" x14ac:dyDescent="0.25">
      <c r="A711" s="189"/>
      <c r="B711" s="189"/>
      <c r="C711" s="189"/>
      <c r="D711" s="191"/>
      <c r="E711" s="191"/>
      <c r="F711" s="191"/>
      <c r="G711" s="191"/>
      <c r="H711" s="191"/>
      <c r="I711" s="191"/>
      <c r="J711" s="191"/>
    </row>
    <row r="712" spans="1:10" x14ac:dyDescent="0.25">
      <c r="A712" s="189"/>
      <c r="B712" s="189"/>
      <c r="C712" s="189"/>
      <c r="D712" s="191"/>
      <c r="E712" s="191"/>
      <c r="F712" s="191"/>
      <c r="G712" s="191"/>
      <c r="H712" s="191"/>
      <c r="I712" s="191"/>
      <c r="J712" s="191"/>
    </row>
    <row r="713" spans="1:10" x14ac:dyDescent="0.25">
      <c r="A713" s="189"/>
      <c r="B713" s="189"/>
      <c r="C713" s="189"/>
      <c r="D713" s="191"/>
      <c r="E713" s="191"/>
      <c r="F713" s="191"/>
      <c r="G713" s="191"/>
      <c r="H713" s="191"/>
      <c r="I713" s="191"/>
      <c r="J713" s="191"/>
    </row>
    <row r="714" spans="1:10" x14ac:dyDescent="0.25">
      <c r="A714" s="189"/>
      <c r="B714" s="189"/>
      <c r="C714" s="189"/>
      <c r="D714" s="191"/>
      <c r="E714" s="191"/>
      <c r="F714" s="191"/>
      <c r="G714" s="191"/>
      <c r="H714" s="191"/>
      <c r="I714" s="191"/>
      <c r="J714" s="191"/>
    </row>
    <row r="715" spans="1:10" x14ac:dyDescent="0.25">
      <c r="A715" s="189"/>
      <c r="B715" s="189"/>
      <c r="C715" s="189"/>
      <c r="D715" s="191"/>
      <c r="E715" s="191"/>
      <c r="F715" s="191"/>
      <c r="G715" s="191"/>
      <c r="H715" s="191"/>
      <c r="I715" s="191"/>
      <c r="J715" s="191"/>
    </row>
    <row r="716" spans="1:10" x14ac:dyDescent="0.25">
      <c r="A716" s="189"/>
      <c r="B716" s="189"/>
      <c r="C716" s="189"/>
      <c r="D716" s="191"/>
      <c r="E716" s="191"/>
      <c r="F716" s="191"/>
      <c r="G716" s="191"/>
      <c r="H716" s="191"/>
      <c r="I716" s="191"/>
      <c r="J716" s="191"/>
    </row>
    <row r="717" spans="1:10" x14ac:dyDescent="0.25">
      <c r="A717" s="189"/>
      <c r="B717" s="189"/>
      <c r="C717" s="189"/>
      <c r="D717" s="191"/>
      <c r="E717" s="191"/>
      <c r="F717" s="191"/>
      <c r="G717" s="191"/>
      <c r="H717" s="191"/>
      <c r="I717" s="191"/>
      <c r="J717" s="191"/>
    </row>
    <row r="718" spans="1:10" x14ac:dyDescent="0.25">
      <c r="A718" s="189"/>
      <c r="B718" s="189"/>
      <c r="C718" s="189"/>
      <c r="D718" s="191"/>
      <c r="E718" s="191"/>
      <c r="F718" s="191"/>
      <c r="G718" s="191"/>
      <c r="H718" s="191"/>
      <c r="I718" s="191"/>
      <c r="J718" s="191"/>
    </row>
    <row r="719" spans="1:10" x14ac:dyDescent="0.25">
      <c r="A719" s="189"/>
      <c r="B719" s="189"/>
      <c r="C719" s="189"/>
      <c r="D719" s="191"/>
      <c r="E719" s="191"/>
      <c r="F719" s="191"/>
      <c r="G719" s="191"/>
      <c r="H719" s="191"/>
      <c r="I719" s="191"/>
      <c r="J719" s="191"/>
    </row>
    <row r="720" spans="1:10" x14ac:dyDescent="0.25">
      <c r="A720" s="189"/>
      <c r="B720" s="189"/>
      <c r="C720" s="189"/>
      <c r="D720" s="191"/>
      <c r="E720" s="191"/>
      <c r="F720" s="191"/>
      <c r="G720" s="191"/>
      <c r="H720" s="191"/>
      <c r="I720" s="191"/>
      <c r="J720" s="191"/>
    </row>
    <row r="721" spans="1:10" x14ac:dyDescent="0.25">
      <c r="A721" s="189"/>
      <c r="B721" s="189"/>
      <c r="C721" s="189"/>
      <c r="D721" s="191"/>
      <c r="E721" s="191"/>
      <c r="F721" s="191"/>
      <c r="G721" s="191"/>
      <c r="H721" s="191"/>
      <c r="I721" s="191"/>
      <c r="J721" s="191"/>
    </row>
    <row r="722" spans="1:10" x14ac:dyDescent="0.25">
      <c r="A722" s="189"/>
      <c r="B722" s="189"/>
      <c r="C722" s="189"/>
      <c r="D722" s="191"/>
      <c r="E722" s="191"/>
      <c r="F722" s="191"/>
      <c r="G722" s="191"/>
      <c r="H722" s="191"/>
      <c r="I722" s="191"/>
      <c r="J722" s="191"/>
    </row>
    <row r="723" spans="1:10" x14ac:dyDescent="0.25">
      <c r="A723" s="189"/>
      <c r="B723" s="189"/>
      <c r="C723" s="189"/>
      <c r="D723" s="191"/>
      <c r="E723" s="191"/>
      <c r="F723" s="191"/>
      <c r="G723" s="191"/>
      <c r="H723" s="191"/>
      <c r="I723" s="191"/>
      <c r="J723" s="191"/>
    </row>
    <row r="724" spans="1:10" x14ac:dyDescent="0.25">
      <c r="A724" s="189"/>
      <c r="B724" s="189"/>
      <c r="C724" s="189"/>
      <c r="D724" s="191"/>
      <c r="E724" s="191"/>
      <c r="F724" s="191"/>
      <c r="G724" s="191"/>
      <c r="H724" s="191"/>
      <c r="I724" s="191"/>
      <c r="J724" s="191"/>
    </row>
    <row r="725" spans="1:10" x14ac:dyDescent="0.25">
      <c r="A725" s="189"/>
      <c r="B725" s="189"/>
      <c r="C725" s="189"/>
      <c r="D725" s="191"/>
      <c r="E725" s="191"/>
      <c r="F725" s="191"/>
      <c r="G725" s="191"/>
      <c r="H725" s="191"/>
      <c r="I725" s="191"/>
      <c r="J725" s="191"/>
    </row>
    <row r="726" spans="1:10" x14ac:dyDescent="0.25">
      <c r="A726" s="189"/>
      <c r="B726" s="189"/>
      <c r="C726" s="189"/>
      <c r="D726" s="191"/>
      <c r="E726" s="191"/>
      <c r="F726" s="191"/>
      <c r="G726" s="191"/>
      <c r="H726" s="191"/>
      <c r="I726" s="191"/>
      <c r="J726" s="191"/>
    </row>
    <row r="727" spans="1:10" x14ac:dyDescent="0.25">
      <c r="A727" s="189"/>
      <c r="B727" s="189"/>
      <c r="C727" s="189"/>
      <c r="D727" s="191"/>
      <c r="E727" s="191"/>
      <c r="F727" s="191"/>
      <c r="G727" s="191"/>
      <c r="H727" s="191"/>
      <c r="I727" s="191"/>
      <c r="J727" s="191"/>
    </row>
    <row r="728" spans="1:10" x14ac:dyDescent="0.25">
      <c r="A728" s="189"/>
      <c r="B728" s="189"/>
      <c r="C728" s="189"/>
      <c r="D728" s="191"/>
      <c r="E728" s="191"/>
      <c r="F728" s="191"/>
      <c r="G728" s="191"/>
      <c r="H728" s="191"/>
      <c r="I728" s="191"/>
      <c r="J728" s="191"/>
    </row>
    <row r="729" spans="1:10" x14ac:dyDescent="0.25">
      <c r="A729" s="189"/>
      <c r="B729" s="189"/>
      <c r="C729" s="189"/>
      <c r="D729" s="191"/>
      <c r="E729" s="191"/>
      <c r="F729" s="191"/>
      <c r="G729" s="191"/>
      <c r="H729" s="191"/>
      <c r="I729" s="191"/>
      <c r="J729" s="191"/>
    </row>
    <row r="730" spans="1:10" x14ac:dyDescent="0.25">
      <c r="A730" s="189"/>
      <c r="B730" s="189"/>
      <c r="C730" s="189"/>
      <c r="D730" s="191"/>
      <c r="E730" s="191"/>
      <c r="F730" s="191"/>
      <c r="G730" s="191"/>
      <c r="H730" s="191"/>
      <c r="I730" s="191"/>
      <c r="J730" s="191"/>
    </row>
    <row r="731" spans="1:10" x14ac:dyDescent="0.25">
      <c r="A731" s="189"/>
      <c r="B731" s="189"/>
      <c r="C731" s="189"/>
      <c r="D731" s="191"/>
      <c r="E731" s="191"/>
      <c r="F731" s="191"/>
      <c r="G731" s="191"/>
      <c r="H731" s="191"/>
      <c r="I731" s="191"/>
      <c r="J731" s="191"/>
    </row>
    <row r="732" spans="1:10" x14ac:dyDescent="0.25">
      <c r="A732" s="189"/>
      <c r="B732" s="189"/>
      <c r="C732" s="189"/>
      <c r="D732" s="191"/>
      <c r="E732" s="191"/>
      <c r="F732" s="191"/>
      <c r="G732" s="191"/>
      <c r="H732" s="191"/>
      <c r="I732" s="191"/>
      <c r="J732" s="191"/>
    </row>
    <row r="733" spans="1:10" x14ac:dyDescent="0.25">
      <c r="A733" s="189"/>
      <c r="B733" s="189"/>
      <c r="C733" s="189"/>
      <c r="D733" s="191"/>
      <c r="E733" s="191"/>
      <c r="F733" s="191"/>
      <c r="G733" s="191"/>
      <c r="H733" s="191"/>
      <c r="I733" s="191"/>
      <c r="J733" s="191"/>
    </row>
    <row r="734" spans="1:10" x14ac:dyDescent="0.25">
      <c r="A734" s="189"/>
      <c r="B734" s="189"/>
      <c r="C734" s="189"/>
      <c r="D734" s="191"/>
      <c r="E734" s="191"/>
      <c r="F734" s="191"/>
      <c r="G734" s="191"/>
      <c r="H734" s="191"/>
      <c r="I734" s="191"/>
      <c r="J734" s="191"/>
    </row>
    <row r="735" spans="1:10" x14ac:dyDescent="0.25">
      <c r="A735" s="189"/>
      <c r="B735" s="189"/>
      <c r="C735" s="189"/>
      <c r="D735" s="191"/>
      <c r="E735" s="191"/>
      <c r="F735" s="191"/>
      <c r="G735" s="191"/>
      <c r="H735" s="191"/>
      <c r="I735" s="191"/>
      <c r="J735" s="191"/>
    </row>
    <row r="736" spans="1:10" x14ac:dyDescent="0.25">
      <c r="A736" s="189"/>
      <c r="B736" s="189"/>
      <c r="C736" s="189"/>
      <c r="D736" s="191"/>
      <c r="E736" s="191"/>
      <c r="F736" s="191"/>
      <c r="G736" s="191"/>
      <c r="H736" s="191"/>
      <c r="I736" s="191"/>
      <c r="J736" s="191"/>
    </row>
    <row r="737" spans="1:10" x14ac:dyDescent="0.25">
      <c r="A737" s="189"/>
      <c r="B737" s="189"/>
      <c r="C737" s="189"/>
      <c r="D737" s="191"/>
      <c r="E737" s="191"/>
      <c r="F737" s="191"/>
      <c r="G737" s="191"/>
      <c r="H737" s="191"/>
      <c r="I737" s="191"/>
      <c r="J737" s="191"/>
    </row>
    <row r="738" spans="1:10" x14ac:dyDescent="0.25">
      <c r="A738" s="189"/>
      <c r="B738" s="189"/>
      <c r="C738" s="189"/>
      <c r="D738" s="191"/>
      <c r="E738" s="191"/>
      <c r="F738" s="191"/>
      <c r="G738" s="191"/>
      <c r="H738" s="191"/>
      <c r="I738" s="191"/>
      <c r="J738" s="191"/>
    </row>
    <row r="739" spans="1:10" x14ac:dyDescent="0.25">
      <c r="A739" s="189"/>
      <c r="B739" s="189"/>
      <c r="C739" s="189"/>
      <c r="D739" s="191"/>
      <c r="E739" s="191"/>
      <c r="F739" s="191"/>
      <c r="G739" s="191"/>
      <c r="H739" s="191"/>
      <c r="I739" s="191"/>
      <c r="J739" s="191"/>
    </row>
    <row r="740" spans="1:10" x14ac:dyDescent="0.25">
      <c r="A740" s="189"/>
      <c r="B740" s="189"/>
      <c r="C740" s="189"/>
      <c r="D740" s="191"/>
      <c r="E740" s="191"/>
      <c r="F740" s="191"/>
      <c r="G740" s="191"/>
      <c r="H740" s="191"/>
      <c r="I740" s="191"/>
      <c r="J740" s="191"/>
    </row>
    <row r="741" spans="1:10" x14ac:dyDescent="0.25">
      <c r="A741" s="189"/>
      <c r="B741" s="189"/>
      <c r="C741" s="189"/>
      <c r="D741" s="191"/>
      <c r="E741" s="191"/>
      <c r="F741" s="191"/>
      <c r="G741" s="191"/>
      <c r="H741" s="191"/>
      <c r="I741" s="191"/>
      <c r="J741" s="191"/>
    </row>
    <row r="742" spans="1:10" x14ac:dyDescent="0.25">
      <c r="A742" s="189"/>
      <c r="B742" s="189"/>
      <c r="C742" s="189"/>
      <c r="D742" s="191"/>
      <c r="E742" s="191"/>
      <c r="F742" s="191"/>
      <c r="G742" s="191"/>
      <c r="H742" s="191"/>
      <c r="I742" s="191"/>
      <c r="J742" s="191"/>
    </row>
    <row r="743" spans="1:10" x14ac:dyDescent="0.25">
      <c r="A743" s="189"/>
      <c r="B743" s="189"/>
      <c r="C743" s="189"/>
      <c r="D743" s="191"/>
      <c r="E743" s="191"/>
      <c r="F743" s="191"/>
      <c r="G743" s="191"/>
      <c r="H743" s="191"/>
      <c r="I743" s="191"/>
      <c r="J743" s="191"/>
    </row>
    <row r="744" spans="1:10" x14ac:dyDescent="0.25">
      <c r="A744" s="189"/>
      <c r="B744" s="189"/>
      <c r="C744" s="189"/>
      <c r="D744" s="191"/>
      <c r="E744" s="191"/>
      <c r="F744" s="191"/>
      <c r="G744" s="191"/>
      <c r="H744" s="191"/>
      <c r="I744" s="191"/>
      <c r="J744" s="191"/>
    </row>
    <row r="745" spans="1:10" x14ac:dyDescent="0.25">
      <c r="A745" s="189"/>
      <c r="B745" s="189"/>
      <c r="C745" s="189"/>
      <c r="D745" s="191"/>
      <c r="E745" s="191"/>
      <c r="F745" s="191"/>
      <c r="G745" s="191"/>
      <c r="H745" s="191"/>
      <c r="I745" s="191"/>
      <c r="J745" s="191"/>
    </row>
    <row r="746" spans="1:10" x14ac:dyDescent="0.25">
      <c r="A746" s="189"/>
      <c r="B746" s="189"/>
      <c r="C746" s="189"/>
      <c r="D746" s="191"/>
      <c r="E746" s="191"/>
      <c r="F746" s="191"/>
      <c r="G746" s="191"/>
      <c r="H746" s="191"/>
      <c r="I746" s="191"/>
      <c r="J746" s="191"/>
    </row>
    <row r="747" spans="1:10" x14ac:dyDescent="0.25">
      <c r="A747" s="189"/>
      <c r="B747" s="189"/>
      <c r="C747" s="189"/>
      <c r="D747" s="191"/>
      <c r="E747" s="191"/>
      <c r="F747" s="191"/>
      <c r="G747" s="191"/>
      <c r="H747" s="191"/>
      <c r="I747" s="191"/>
      <c r="J747" s="191"/>
    </row>
    <row r="748" spans="1:10" x14ac:dyDescent="0.25">
      <c r="A748" s="189"/>
      <c r="B748" s="189"/>
      <c r="C748" s="189"/>
      <c r="D748" s="191"/>
      <c r="E748" s="191"/>
      <c r="F748" s="191"/>
      <c r="G748" s="191"/>
      <c r="H748" s="191"/>
      <c r="I748" s="191"/>
      <c r="J748" s="191"/>
    </row>
    <row r="749" spans="1:10" x14ac:dyDescent="0.25">
      <c r="A749" s="189"/>
      <c r="B749" s="189"/>
      <c r="C749" s="189"/>
      <c r="D749" s="191"/>
      <c r="E749" s="191"/>
      <c r="F749" s="191"/>
      <c r="G749" s="191"/>
      <c r="H749" s="191"/>
      <c r="I749" s="191"/>
      <c r="J749" s="191"/>
    </row>
    <row r="750" spans="1:10" x14ac:dyDescent="0.25">
      <c r="A750" s="189"/>
      <c r="B750" s="189"/>
      <c r="C750" s="189"/>
      <c r="D750" s="191"/>
      <c r="E750" s="191"/>
      <c r="F750" s="191"/>
      <c r="G750" s="191"/>
      <c r="H750" s="191"/>
      <c r="I750" s="191"/>
      <c r="J750" s="191"/>
    </row>
    <row r="751" spans="1:10" x14ac:dyDescent="0.25">
      <c r="A751" s="189"/>
      <c r="B751" s="189"/>
      <c r="C751" s="189"/>
      <c r="D751" s="191"/>
      <c r="E751" s="191"/>
      <c r="F751" s="191"/>
      <c r="G751" s="191"/>
      <c r="H751" s="191"/>
      <c r="I751" s="191"/>
      <c r="J751" s="191"/>
    </row>
    <row r="752" spans="1:10" x14ac:dyDescent="0.25">
      <c r="A752" s="189"/>
      <c r="B752" s="189"/>
      <c r="C752" s="189"/>
      <c r="D752" s="191"/>
      <c r="E752" s="191"/>
      <c r="F752" s="191"/>
      <c r="G752" s="191"/>
      <c r="H752" s="191"/>
      <c r="I752" s="191"/>
      <c r="J752" s="191"/>
    </row>
    <row r="753" spans="1:10" x14ac:dyDescent="0.25">
      <c r="A753" s="189"/>
      <c r="B753" s="189"/>
      <c r="C753" s="189"/>
      <c r="D753" s="191"/>
      <c r="E753" s="191"/>
      <c r="F753" s="191"/>
      <c r="G753" s="191"/>
      <c r="H753" s="191"/>
      <c r="I753" s="191"/>
      <c r="J753" s="191"/>
    </row>
    <row r="754" spans="1:10" x14ac:dyDescent="0.25">
      <c r="A754" s="189"/>
      <c r="B754" s="189"/>
      <c r="C754" s="189"/>
      <c r="D754" s="191"/>
      <c r="E754" s="191"/>
      <c r="F754" s="191"/>
      <c r="G754" s="191"/>
      <c r="H754" s="191"/>
      <c r="I754" s="191"/>
      <c r="J754" s="191"/>
    </row>
    <row r="755" spans="1:10" x14ac:dyDescent="0.25">
      <c r="A755" s="189"/>
      <c r="B755" s="189"/>
      <c r="C755" s="189"/>
      <c r="D755" s="191"/>
      <c r="E755" s="191"/>
      <c r="F755" s="191"/>
      <c r="G755" s="191"/>
      <c r="H755" s="191"/>
      <c r="I755" s="191"/>
      <c r="J755" s="191"/>
    </row>
    <row r="756" spans="1:10" x14ac:dyDescent="0.25">
      <c r="A756" s="189"/>
      <c r="B756" s="189"/>
      <c r="C756" s="189"/>
      <c r="D756" s="191"/>
      <c r="E756" s="191"/>
      <c r="F756" s="191"/>
      <c r="G756" s="191"/>
      <c r="H756" s="191"/>
      <c r="I756" s="191"/>
      <c r="J756" s="191"/>
    </row>
    <row r="757" spans="1:10" x14ac:dyDescent="0.25">
      <c r="A757" s="189"/>
      <c r="B757" s="189"/>
      <c r="C757" s="189"/>
      <c r="D757" s="191"/>
      <c r="E757" s="191"/>
      <c r="F757" s="191"/>
      <c r="G757" s="191"/>
      <c r="H757" s="191"/>
      <c r="I757" s="191"/>
      <c r="J757" s="191"/>
    </row>
    <row r="758" spans="1:10" x14ac:dyDescent="0.25">
      <c r="A758" s="189"/>
      <c r="B758" s="189"/>
      <c r="C758" s="189"/>
      <c r="D758" s="191"/>
      <c r="E758" s="191"/>
      <c r="F758" s="191"/>
      <c r="G758" s="191"/>
      <c r="H758" s="191"/>
      <c r="I758" s="191"/>
      <c r="J758" s="191"/>
    </row>
    <row r="759" spans="1:10" x14ac:dyDescent="0.25">
      <c r="A759" s="189"/>
      <c r="B759" s="189"/>
      <c r="C759" s="189"/>
      <c r="D759" s="191"/>
      <c r="E759" s="191"/>
      <c r="F759" s="191"/>
      <c r="G759" s="191"/>
      <c r="H759" s="191"/>
      <c r="I759" s="191"/>
      <c r="J759" s="191"/>
    </row>
    <row r="760" spans="1:10" x14ac:dyDescent="0.25">
      <c r="A760" s="189"/>
      <c r="B760" s="189"/>
      <c r="C760" s="189"/>
      <c r="D760" s="191"/>
      <c r="E760" s="191"/>
      <c r="F760" s="191"/>
      <c r="G760" s="191"/>
      <c r="H760" s="191"/>
      <c r="I760" s="191"/>
      <c r="J760" s="191"/>
    </row>
    <row r="761" spans="1:10" x14ac:dyDescent="0.25">
      <c r="A761" s="189"/>
      <c r="B761" s="189"/>
      <c r="C761" s="189"/>
      <c r="D761" s="191"/>
      <c r="E761" s="191"/>
      <c r="F761" s="191"/>
      <c r="G761" s="191"/>
      <c r="H761" s="191"/>
      <c r="I761" s="191"/>
      <c r="J761" s="191"/>
    </row>
    <row r="762" spans="1:10" x14ac:dyDescent="0.25">
      <c r="A762" s="189"/>
      <c r="B762" s="189"/>
      <c r="C762" s="189"/>
      <c r="D762" s="191"/>
      <c r="E762" s="191"/>
      <c r="F762" s="191"/>
      <c r="G762" s="191"/>
      <c r="H762" s="191"/>
      <c r="I762" s="191"/>
      <c r="J762" s="191"/>
    </row>
    <row r="763" spans="1:10" x14ac:dyDescent="0.25">
      <c r="A763" s="189"/>
      <c r="B763" s="189"/>
      <c r="C763" s="189"/>
      <c r="D763" s="191"/>
      <c r="E763" s="191"/>
      <c r="F763" s="191"/>
      <c r="G763" s="191"/>
      <c r="H763" s="191"/>
      <c r="I763" s="191"/>
      <c r="J763" s="191"/>
    </row>
    <row r="764" spans="1:10" x14ac:dyDescent="0.25">
      <c r="A764" s="189"/>
      <c r="B764" s="189"/>
      <c r="C764" s="189"/>
      <c r="D764" s="191"/>
      <c r="E764" s="191"/>
      <c r="F764" s="191"/>
      <c r="G764" s="191"/>
      <c r="H764" s="191"/>
      <c r="I764" s="191"/>
      <c r="J764" s="191"/>
    </row>
    <row r="765" spans="1:10" x14ac:dyDescent="0.25">
      <c r="A765" s="189"/>
      <c r="B765" s="189"/>
      <c r="C765" s="189"/>
      <c r="D765" s="191"/>
      <c r="E765" s="191"/>
      <c r="F765" s="191"/>
      <c r="G765" s="191"/>
      <c r="H765" s="191"/>
      <c r="I765" s="191"/>
      <c r="J765" s="191"/>
    </row>
    <row r="766" spans="1:10" x14ac:dyDescent="0.25">
      <c r="A766" s="189"/>
      <c r="B766" s="189"/>
      <c r="C766" s="189"/>
      <c r="D766" s="191"/>
      <c r="E766" s="191"/>
      <c r="F766" s="191"/>
      <c r="G766" s="191"/>
      <c r="H766" s="191"/>
      <c r="I766" s="191"/>
      <c r="J766" s="191"/>
    </row>
    <row r="767" spans="1:10" x14ac:dyDescent="0.25">
      <c r="A767" s="189"/>
      <c r="B767" s="189"/>
      <c r="C767" s="189"/>
      <c r="D767" s="191"/>
      <c r="E767" s="191"/>
      <c r="F767" s="191"/>
      <c r="G767" s="191"/>
      <c r="H767" s="191"/>
      <c r="I767" s="191"/>
      <c r="J767" s="191"/>
    </row>
    <row r="768" spans="1:10" x14ac:dyDescent="0.25">
      <c r="A768" s="189"/>
      <c r="B768" s="189"/>
      <c r="C768" s="189"/>
      <c r="D768" s="191"/>
      <c r="E768" s="191"/>
      <c r="F768" s="191"/>
      <c r="G768" s="191"/>
      <c r="H768" s="191"/>
      <c r="I768" s="191"/>
      <c r="J768" s="191"/>
    </row>
    <row r="769" spans="1:10" x14ac:dyDescent="0.25">
      <c r="A769" s="189"/>
      <c r="B769" s="189"/>
      <c r="C769" s="189"/>
      <c r="D769" s="191"/>
      <c r="E769" s="191"/>
      <c r="F769" s="191"/>
      <c r="G769" s="191"/>
      <c r="H769" s="191"/>
      <c r="I769" s="191"/>
      <c r="J769" s="191"/>
    </row>
    <row r="770" spans="1:10" x14ac:dyDescent="0.25">
      <c r="A770" s="189"/>
      <c r="B770" s="189"/>
      <c r="C770" s="189"/>
      <c r="D770" s="191"/>
      <c r="E770" s="191"/>
      <c r="F770" s="191"/>
      <c r="G770" s="191"/>
      <c r="H770" s="191"/>
      <c r="I770" s="191"/>
      <c r="J770" s="191"/>
    </row>
    <row r="771" spans="1:10" x14ac:dyDescent="0.25">
      <c r="A771" s="189"/>
      <c r="B771" s="189"/>
      <c r="C771" s="189"/>
      <c r="D771" s="191"/>
      <c r="E771" s="191"/>
      <c r="F771" s="191"/>
      <c r="G771" s="191"/>
      <c r="H771" s="191"/>
      <c r="I771" s="191"/>
      <c r="J771" s="191"/>
    </row>
    <row r="772" spans="1:10" x14ac:dyDescent="0.25">
      <c r="A772" s="189"/>
      <c r="B772" s="189"/>
      <c r="C772" s="189"/>
      <c r="D772" s="191"/>
      <c r="E772" s="191"/>
      <c r="F772" s="191"/>
      <c r="G772" s="191"/>
      <c r="H772" s="191"/>
      <c r="I772" s="191"/>
      <c r="J772" s="191"/>
    </row>
    <row r="773" spans="1:10" x14ac:dyDescent="0.25">
      <c r="A773" s="189"/>
      <c r="B773" s="189"/>
      <c r="C773" s="189"/>
      <c r="D773" s="191"/>
      <c r="E773" s="191"/>
      <c r="F773" s="191"/>
      <c r="G773" s="191"/>
      <c r="H773" s="191"/>
      <c r="I773" s="191"/>
      <c r="J773" s="191"/>
    </row>
    <row r="774" spans="1:10" x14ac:dyDescent="0.25">
      <c r="A774" s="189"/>
      <c r="B774" s="189"/>
      <c r="C774" s="189"/>
      <c r="D774" s="191"/>
      <c r="E774" s="191"/>
      <c r="F774" s="191"/>
      <c r="G774" s="191"/>
      <c r="H774" s="191"/>
      <c r="I774" s="191"/>
      <c r="J774" s="191"/>
    </row>
    <row r="775" spans="1:10" x14ac:dyDescent="0.25">
      <c r="A775" s="189"/>
      <c r="B775" s="189"/>
      <c r="C775" s="189"/>
      <c r="D775" s="191"/>
      <c r="E775" s="191"/>
      <c r="F775" s="191"/>
      <c r="G775" s="191"/>
      <c r="H775" s="191"/>
      <c r="I775" s="191"/>
      <c r="J775" s="191"/>
    </row>
    <row r="776" spans="1:10" x14ac:dyDescent="0.25">
      <c r="A776" s="189"/>
      <c r="B776" s="189"/>
      <c r="C776" s="189"/>
      <c r="D776" s="191"/>
      <c r="E776" s="191"/>
      <c r="F776" s="191"/>
      <c r="G776" s="191"/>
      <c r="H776" s="191"/>
      <c r="I776" s="191"/>
      <c r="J776" s="191"/>
    </row>
    <row r="777" spans="1:10" x14ac:dyDescent="0.25">
      <c r="A777" s="189"/>
      <c r="B777" s="189"/>
      <c r="C777" s="189"/>
      <c r="D777" s="191"/>
      <c r="E777" s="191"/>
      <c r="F777" s="191"/>
      <c r="G777" s="191"/>
      <c r="H777" s="191"/>
      <c r="I777" s="191"/>
      <c r="J777" s="191"/>
    </row>
    <row r="778" spans="1:10" x14ac:dyDescent="0.25">
      <c r="A778" s="189"/>
      <c r="B778" s="189"/>
      <c r="C778" s="189"/>
      <c r="D778" s="191"/>
      <c r="E778" s="191"/>
      <c r="F778" s="191"/>
      <c r="G778" s="191"/>
      <c r="H778" s="191"/>
      <c r="I778" s="191"/>
      <c r="J778" s="191"/>
    </row>
    <row r="779" spans="1:10" x14ac:dyDescent="0.25">
      <c r="A779" s="189"/>
      <c r="B779" s="189"/>
      <c r="C779" s="189"/>
      <c r="D779" s="191"/>
      <c r="E779" s="191"/>
      <c r="F779" s="191"/>
      <c r="G779" s="191"/>
      <c r="H779" s="191"/>
      <c r="I779" s="191"/>
      <c r="J779" s="191"/>
    </row>
    <row r="780" spans="1:10" x14ac:dyDescent="0.25">
      <c r="A780" s="189"/>
      <c r="B780" s="189"/>
      <c r="C780" s="189"/>
      <c r="D780" s="191"/>
      <c r="E780" s="191"/>
      <c r="F780" s="191"/>
      <c r="G780" s="191"/>
      <c r="H780" s="191"/>
      <c r="I780" s="191"/>
      <c r="J780" s="191"/>
    </row>
    <row r="781" spans="1:10" x14ac:dyDescent="0.25">
      <c r="A781" s="189"/>
      <c r="B781" s="189"/>
      <c r="C781" s="189"/>
      <c r="D781" s="191"/>
      <c r="E781" s="191"/>
      <c r="F781" s="191"/>
      <c r="G781" s="191"/>
      <c r="H781" s="191"/>
      <c r="I781" s="191"/>
      <c r="J781" s="191"/>
    </row>
    <row r="782" spans="1:10" x14ac:dyDescent="0.25">
      <c r="A782" s="189"/>
      <c r="B782" s="189"/>
      <c r="C782" s="189"/>
      <c r="D782" s="191"/>
      <c r="E782" s="191"/>
      <c r="F782" s="191"/>
      <c r="G782" s="191"/>
      <c r="H782" s="191"/>
      <c r="I782" s="191"/>
      <c r="J782" s="191"/>
    </row>
    <row r="783" spans="1:10" x14ac:dyDescent="0.25">
      <c r="A783" s="189"/>
      <c r="B783" s="189"/>
      <c r="C783" s="189"/>
      <c r="D783" s="191"/>
      <c r="E783" s="191"/>
      <c r="F783" s="191"/>
      <c r="G783" s="191"/>
      <c r="H783" s="191"/>
      <c r="I783" s="191"/>
      <c r="J783" s="191"/>
    </row>
    <row r="784" spans="1:10" x14ac:dyDescent="0.25">
      <c r="A784" s="189"/>
      <c r="B784" s="189"/>
      <c r="C784" s="189"/>
      <c r="D784" s="191"/>
      <c r="E784" s="191"/>
      <c r="F784" s="191"/>
      <c r="G784" s="191"/>
      <c r="H784" s="191"/>
      <c r="I784" s="191"/>
      <c r="J784" s="191"/>
    </row>
    <row r="785" spans="1:10" x14ac:dyDescent="0.25">
      <c r="A785" s="189"/>
      <c r="B785" s="189"/>
      <c r="C785" s="189"/>
      <c r="D785" s="191"/>
      <c r="E785" s="191"/>
      <c r="F785" s="191"/>
      <c r="G785" s="191"/>
      <c r="H785" s="191"/>
      <c r="I785" s="191"/>
      <c r="J785" s="191"/>
    </row>
    <row r="786" spans="1:10" x14ac:dyDescent="0.25">
      <c r="A786" s="189"/>
      <c r="B786" s="189"/>
      <c r="C786" s="189"/>
      <c r="D786" s="191"/>
      <c r="E786" s="191"/>
      <c r="F786" s="191"/>
      <c r="G786" s="191"/>
      <c r="H786" s="191"/>
      <c r="I786" s="191"/>
      <c r="J786" s="191"/>
    </row>
    <row r="787" spans="1:10" x14ac:dyDescent="0.25">
      <c r="A787" s="189"/>
      <c r="B787" s="189"/>
      <c r="C787" s="189"/>
      <c r="D787" s="191"/>
      <c r="E787" s="191"/>
      <c r="F787" s="191"/>
      <c r="G787" s="191"/>
      <c r="H787" s="191"/>
      <c r="I787" s="191"/>
      <c r="J787" s="191"/>
    </row>
    <row r="788" spans="1:10" x14ac:dyDescent="0.25">
      <c r="A788" s="189"/>
      <c r="B788" s="189"/>
      <c r="C788" s="189"/>
      <c r="D788" s="191"/>
      <c r="E788" s="191"/>
      <c r="F788" s="191"/>
      <c r="G788" s="191"/>
      <c r="H788" s="191"/>
      <c r="I788" s="191"/>
      <c r="J788" s="191"/>
    </row>
    <row r="789" spans="1:10" x14ac:dyDescent="0.25">
      <c r="A789" s="189"/>
      <c r="B789" s="189"/>
      <c r="C789" s="189"/>
      <c r="D789" s="191"/>
      <c r="E789" s="191"/>
      <c r="F789" s="191"/>
      <c r="G789" s="191"/>
      <c r="H789" s="191"/>
      <c r="I789" s="191"/>
      <c r="J789" s="191"/>
    </row>
    <row r="790" spans="1:10" x14ac:dyDescent="0.25">
      <c r="A790" s="189"/>
      <c r="B790" s="189"/>
      <c r="C790" s="189"/>
      <c r="D790" s="191"/>
      <c r="E790" s="191"/>
      <c r="F790" s="191"/>
      <c r="G790" s="191"/>
      <c r="H790" s="191"/>
      <c r="I790" s="191"/>
      <c r="J790" s="191"/>
    </row>
    <row r="791" spans="1:10" x14ac:dyDescent="0.25">
      <c r="A791" s="189"/>
      <c r="B791" s="189"/>
      <c r="C791" s="189"/>
      <c r="D791" s="191"/>
      <c r="E791" s="191"/>
      <c r="F791" s="191"/>
      <c r="G791" s="191"/>
      <c r="H791" s="191"/>
      <c r="I791" s="191"/>
      <c r="J791" s="191"/>
    </row>
    <row r="792" spans="1:10" x14ac:dyDescent="0.25">
      <c r="A792" s="189"/>
      <c r="B792" s="189"/>
      <c r="C792" s="189"/>
      <c r="D792" s="191"/>
      <c r="E792" s="191"/>
      <c r="F792" s="191"/>
      <c r="G792" s="191"/>
      <c r="H792" s="191"/>
      <c r="I792" s="191"/>
      <c r="J792" s="191"/>
    </row>
    <row r="793" spans="1:10" x14ac:dyDescent="0.25">
      <c r="A793" s="189"/>
      <c r="B793" s="189"/>
      <c r="C793" s="189"/>
      <c r="D793" s="191"/>
      <c r="E793" s="191"/>
      <c r="F793" s="191"/>
      <c r="G793" s="191"/>
      <c r="H793" s="191"/>
      <c r="I793" s="191"/>
      <c r="J793" s="191"/>
    </row>
    <row r="794" spans="1:10" x14ac:dyDescent="0.25">
      <c r="A794" s="189"/>
      <c r="B794" s="189"/>
      <c r="C794" s="189"/>
      <c r="D794" s="191"/>
      <c r="E794" s="191"/>
      <c r="F794" s="191"/>
      <c r="G794" s="191"/>
      <c r="H794" s="191"/>
      <c r="I794" s="191"/>
      <c r="J794" s="191"/>
    </row>
    <row r="795" spans="1:10" x14ac:dyDescent="0.25">
      <c r="A795" s="189"/>
      <c r="B795" s="189"/>
      <c r="C795" s="189"/>
      <c r="D795" s="191"/>
      <c r="E795" s="191"/>
      <c r="F795" s="191"/>
      <c r="G795" s="191"/>
      <c r="H795" s="191"/>
      <c r="I795" s="191"/>
      <c r="J795" s="191"/>
    </row>
    <row r="796" spans="1:10" x14ac:dyDescent="0.25">
      <c r="A796" s="189"/>
      <c r="B796" s="189"/>
      <c r="C796" s="189"/>
      <c r="D796" s="191"/>
      <c r="E796" s="191"/>
      <c r="F796" s="191"/>
      <c r="G796" s="191"/>
      <c r="H796" s="191"/>
      <c r="I796" s="191"/>
      <c r="J796" s="191"/>
    </row>
    <row r="797" spans="1:10" x14ac:dyDescent="0.25">
      <c r="A797" s="189"/>
      <c r="B797" s="189"/>
      <c r="C797" s="189"/>
      <c r="D797" s="191"/>
      <c r="E797" s="191"/>
      <c r="F797" s="191"/>
      <c r="G797" s="191"/>
      <c r="H797" s="191"/>
      <c r="I797" s="191"/>
      <c r="J797" s="191"/>
    </row>
    <row r="798" spans="1:10" x14ac:dyDescent="0.25">
      <c r="A798" s="189"/>
      <c r="B798" s="189"/>
      <c r="C798" s="189"/>
      <c r="D798" s="191"/>
      <c r="E798" s="191"/>
      <c r="F798" s="191"/>
      <c r="G798" s="191"/>
      <c r="H798" s="191"/>
      <c r="I798" s="191"/>
      <c r="J798" s="191"/>
    </row>
    <row r="799" spans="1:10" x14ac:dyDescent="0.25">
      <c r="A799" s="189"/>
      <c r="B799" s="189"/>
      <c r="C799" s="189"/>
      <c r="D799" s="191"/>
      <c r="E799" s="191"/>
      <c r="F799" s="191"/>
      <c r="G799" s="191"/>
      <c r="H799" s="191"/>
      <c r="I799" s="191"/>
      <c r="J799" s="191"/>
    </row>
    <row r="800" spans="1:10" x14ac:dyDescent="0.25">
      <c r="A800" s="189"/>
      <c r="B800" s="189"/>
      <c r="C800" s="189"/>
      <c r="D800" s="191"/>
      <c r="E800" s="191"/>
      <c r="F800" s="191"/>
      <c r="G800" s="191"/>
      <c r="H800" s="191"/>
      <c r="I800" s="191"/>
      <c r="J800" s="191"/>
    </row>
    <row r="801" spans="1:10" x14ac:dyDescent="0.25">
      <c r="A801" s="189"/>
      <c r="B801" s="189"/>
      <c r="C801" s="189"/>
      <c r="D801" s="191"/>
      <c r="E801" s="191"/>
      <c r="F801" s="191"/>
      <c r="G801" s="191"/>
      <c r="H801" s="191"/>
      <c r="I801" s="191"/>
      <c r="J801" s="191"/>
    </row>
    <row r="802" spans="1:10" x14ac:dyDescent="0.25">
      <c r="A802" s="189"/>
      <c r="B802" s="189"/>
      <c r="C802" s="189"/>
      <c r="D802" s="191"/>
      <c r="E802" s="191"/>
      <c r="F802" s="191"/>
      <c r="G802" s="191"/>
      <c r="H802" s="191"/>
      <c r="I802" s="191"/>
      <c r="J802" s="191"/>
    </row>
    <row r="803" spans="1:10" x14ac:dyDescent="0.25">
      <c r="A803" s="189"/>
      <c r="B803" s="189"/>
      <c r="C803" s="189"/>
      <c r="D803" s="191"/>
      <c r="E803" s="191"/>
      <c r="F803" s="191"/>
      <c r="G803" s="191"/>
      <c r="H803" s="191"/>
      <c r="I803" s="191"/>
      <c r="J803" s="191"/>
    </row>
    <row r="804" spans="1:10" x14ac:dyDescent="0.25">
      <c r="A804" s="189"/>
      <c r="B804" s="189"/>
      <c r="C804" s="189"/>
      <c r="D804" s="191"/>
      <c r="E804" s="191"/>
      <c r="F804" s="191"/>
      <c r="G804" s="191"/>
      <c r="H804" s="191"/>
      <c r="I804" s="191"/>
      <c r="J804" s="191"/>
    </row>
    <row r="805" spans="1:10" x14ac:dyDescent="0.25">
      <c r="A805" s="189"/>
      <c r="B805" s="189"/>
      <c r="C805" s="189"/>
      <c r="D805" s="191"/>
      <c r="E805" s="191"/>
      <c r="F805" s="191"/>
      <c r="G805" s="191"/>
      <c r="H805" s="191"/>
      <c r="I805" s="191"/>
      <c r="J805" s="191"/>
    </row>
    <row r="806" spans="1:10" x14ac:dyDescent="0.25">
      <c r="A806" s="189"/>
      <c r="B806" s="189"/>
      <c r="C806" s="189"/>
      <c r="D806" s="191"/>
      <c r="E806" s="191"/>
      <c r="F806" s="191"/>
      <c r="G806" s="191"/>
      <c r="H806" s="191"/>
      <c r="I806" s="191"/>
      <c r="J806" s="191"/>
    </row>
    <row r="807" spans="1:10" x14ac:dyDescent="0.25">
      <c r="A807" s="189"/>
      <c r="B807" s="189"/>
      <c r="C807" s="189"/>
      <c r="D807" s="191"/>
      <c r="E807" s="191"/>
      <c r="F807" s="191"/>
      <c r="G807" s="191"/>
      <c r="H807" s="191"/>
      <c r="I807" s="191"/>
      <c r="J807" s="191"/>
    </row>
    <row r="808" spans="1:10" x14ac:dyDescent="0.25">
      <c r="A808" s="189"/>
      <c r="B808" s="189"/>
      <c r="C808" s="189"/>
      <c r="D808" s="191"/>
      <c r="E808" s="191"/>
      <c r="F808" s="191"/>
      <c r="G808" s="191"/>
      <c r="H808" s="191"/>
      <c r="I808" s="191"/>
      <c r="J808" s="191"/>
    </row>
    <row r="809" spans="1:10" x14ac:dyDescent="0.25">
      <c r="A809" s="189"/>
      <c r="B809" s="189"/>
      <c r="C809" s="189"/>
      <c r="D809" s="191"/>
      <c r="E809" s="191"/>
      <c r="F809" s="191"/>
      <c r="G809" s="191"/>
      <c r="H809" s="191"/>
      <c r="I809" s="191"/>
      <c r="J809" s="191"/>
    </row>
    <row r="810" spans="1:10" x14ac:dyDescent="0.25">
      <c r="A810" s="189"/>
      <c r="B810" s="189"/>
      <c r="C810" s="189"/>
      <c r="D810" s="191"/>
      <c r="E810" s="191"/>
      <c r="F810" s="191"/>
      <c r="G810" s="191"/>
      <c r="H810" s="191"/>
      <c r="I810" s="191"/>
      <c r="J810" s="191"/>
    </row>
    <row r="811" spans="1:10" x14ac:dyDescent="0.25">
      <c r="A811" s="189"/>
      <c r="B811" s="189"/>
      <c r="C811" s="189"/>
      <c r="D811" s="191"/>
      <c r="E811" s="191"/>
      <c r="F811" s="191"/>
      <c r="G811" s="191"/>
      <c r="H811" s="191"/>
      <c r="I811" s="191"/>
      <c r="J811" s="191"/>
    </row>
    <row r="812" spans="1:10" x14ac:dyDescent="0.25">
      <c r="A812" s="189"/>
      <c r="B812" s="189"/>
      <c r="C812" s="189"/>
      <c r="D812" s="191"/>
      <c r="E812" s="191"/>
      <c r="F812" s="191"/>
      <c r="G812" s="191"/>
      <c r="H812" s="191"/>
      <c r="I812" s="191"/>
      <c r="J812" s="191"/>
    </row>
    <row r="813" spans="1:10" x14ac:dyDescent="0.25">
      <c r="A813" s="189"/>
      <c r="B813" s="189"/>
      <c r="C813" s="189"/>
      <c r="D813" s="191"/>
      <c r="E813" s="191"/>
      <c r="F813" s="191"/>
      <c r="G813" s="191"/>
      <c r="H813" s="191"/>
      <c r="I813" s="191"/>
      <c r="J813" s="191"/>
    </row>
    <row r="814" spans="1:10" x14ac:dyDescent="0.25">
      <c r="A814" s="189"/>
      <c r="B814" s="189"/>
      <c r="C814" s="189"/>
      <c r="D814" s="191"/>
      <c r="E814" s="191"/>
      <c r="F814" s="191"/>
      <c r="G814" s="191"/>
      <c r="H814" s="191"/>
      <c r="I814" s="191"/>
      <c r="J814" s="191"/>
    </row>
    <row r="815" spans="1:10" x14ac:dyDescent="0.25">
      <c r="A815" s="189"/>
      <c r="B815" s="189"/>
      <c r="C815" s="189"/>
      <c r="D815" s="191"/>
      <c r="E815" s="191"/>
      <c r="F815" s="191"/>
      <c r="G815" s="191"/>
      <c r="H815" s="191"/>
      <c r="I815" s="191"/>
      <c r="J815" s="191"/>
    </row>
    <row r="816" spans="1:10" x14ac:dyDescent="0.25">
      <c r="A816" s="189"/>
      <c r="B816" s="189"/>
      <c r="C816" s="189"/>
      <c r="D816" s="191"/>
      <c r="E816" s="191"/>
      <c r="F816" s="191"/>
      <c r="G816" s="191"/>
      <c r="H816" s="191"/>
      <c r="I816" s="191"/>
      <c r="J816" s="191"/>
    </row>
    <row r="817" spans="1:10" x14ac:dyDescent="0.25">
      <c r="A817" s="189"/>
      <c r="B817" s="189"/>
      <c r="C817" s="189"/>
      <c r="D817" s="191"/>
      <c r="E817" s="191"/>
      <c r="F817" s="191"/>
      <c r="G817" s="191"/>
      <c r="H817" s="191"/>
      <c r="I817" s="191"/>
      <c r="J817" s="191"/>
    </row>
    <row r="818" spans="1:10" x14ac:dyDescent="0.25">
      <c r="A818" s="189"/>
      <c r="B818" s="189"/>
      <c r="C818" s="189"/>
      <c r="D818" s="191"/>
      <c r="E818" s="191"/>
      <c r="F818" s="191"/>
      <c r="G818" s="191"/>
      <c r="H818" s="191"/>
      <c r="I818" s="191"/>
      <c r="J818" s="191"/>
    </row>
    <row r="819" spans="1:10" x14ac:dyDescent="0.25">
      <c r="A819" s="189"/>
      <c r="B819" s="189"/>
      <c r="C819" s="189"/>
      <c r="D819" s="191"/>
      <c r="E819" s="191"/>
      <c r="F819" s="191"/>
      <c r="G819" s="191"/>
      <c r="H819" s="191"/>
      <c r="I819" s="191"/>
      <c r="J819" s="191"/>
    </row>
    <row r="820" spans="1:10" x14ac:dyDescent="0.25">
      <c r="A820" s="189"/>
      <c r="B820" s="189"/>
      <c r="C820" s="189"/>
      <c r="D820" s="191"/>
      <c r="E820" s="191"/>
      <c r="F820" s="191"/>
      <c r="G820" s="191"/>
      <c r="H820" s="191"/>
      <c r="I820" s="191"/>
      <c r="J820" s="191"/>
    </row>
    <row r="821" spans="1:10" x14ac:dyDescent="0.25">
      <c r="A821" s="189"/>
      <c r="B821" s="189"/>
      <c r="C821" s="189"/>
      <c r="D821" s="191"/>
      <c r="E821" s="191"/>
      <c r="F821" s="191"/>
      <c r="G821" s="191"/>
      <c r="H821" s="191"/>
      <c r="I821" s="191"/>
      <c r="J821" s="191"/>
    </row>
    <row r="822" spans="1:10" x14ac:dyDescent="0.25">
      <c r="A822" s="189"/>
      <c r="B822" s="189"/>
      <c r="C822" s="189"/>
      <c r="D822" s="191"/>
      <c r="E822" s="191"/>
      <c r="F822" s="191"/>
      <c r="G822" s="191"/>
      <c r="H822" s="191"/>
      <c r="I822" s="191"/>
      <c r="J822" s="191"/>
    </row>
    <row r="823" spans="1:10" x14ac:dyDescent="0.25">
      <c r="A823" s="189"/>
      <c r="B823" s="189"/>
      <c r="C823" s="189"/>
      <c r="D823" s="191"/>
      <c r="E823" s="191"/>
      <c r="F823" s="191"/>
      <c r="G823" s="191"/>
      <c r="H823" s="191"/>
      <c r="I823" s="191"/>
      <c r="J823" s="191"/>
    </row>
    <row r="824" spans="1:10" x14ac:dyDescent="0.25">
      <c r="A824" s="189"/>
      <c r="B824" s="189"/>
      <c r="C824" s="189"/>
      <c r="D824" s="191"/>
      <c r="E824" s="191"/>
      <c r="F824" s="191"/>
      <c r="G824" s="191"/>
      <c r="H824" s="191"/>
      <c r="I824" s="191"/>
      <c r="J824" s="191"/>
    </row>
    <row r="825" spans="1:10" x14ac:dyDescent="0.25">
      <c r="A825" s="189"/>
      <c r="B825" s="189"/>
      <c r="C825" s="189"/>
      <c r="D825" s="191"/>
      <c r="E825" s="191"/>
      <c r="F825" s="191"/>
      <c r="G825" s="191"/>
      <c r="H825" s="191"/>
      <c r="I825" s="191"/>
      <c r="J825" s="191"/>
    </row>
    <row r="826" spans="1:10" x14ac:dyDescent="0.25">
      <c r="A826" s="189"/>
      <c r="B826" s="189"/>
      <c r="C826" s="189"/>
      <c r="D826" s="191"/>
      <c r="E826" s="191"/>
      <c r="F826" s="191"/>
      <c r="G826" s="191"/>
      <c r="H826" s="191"/>
      <c r="I826" s="191"/>
      <c r="J826" s="191"/>
    </row>
    <row r="827" spans="1:10" x14ac:dyDescent="0.25">
      <c r="A827" s="189"/>
      <c r="B827" s="189"/>
      <c r="C827" s="189"/>
      <c r="D827" s="191"/>
      <c r="E827" s="191"/>
      <c r="F827" s="191"/>
      <c r="G827" s="191"/>
      <c r="H827" s="191"/>
      <c r="I827" s="191"/>
      <c r="J827" s="191"/>
    </row>
    <row r="828" spans="1:10" x14ac:dyDescent="0.25">
      <c r="B828" s="189"/>
      <c r="C828" s="192"/>
      <c r="D828" s="193"/>
      <c r="E828" s="189"/>
      <c r="F828" s="194"/>
      <c r="G828" s="189"/>
      <c r="H828" s="19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408"/>
  <sheetViews>
    <sheetView workbookViewId="0">
      <selection sqref="A1:J1048576"/>
    </sheetView>
  </sheetViews>
  <sheetFormatPr baseColWidth="10" defaultRowHeight="15" x14ac:dyDescent="0.25"/>
  <cols>
    <col min="1" max="10" width="6.85546875" style="190" customWidth="1"/>
  </cols>
  <sheetData>
    <row r="1" spans="1:10" x14ac:dyDescent="0.25">
      <c r="A1" s="189"/>
      <c r="B1" s="189"/>
      <c r="C1" s="189"/>
      <c r="D1" s="189"/>
      <c r="E1" s="189"/>
      <c r="G1" s="189"/>
      <c r="H1" s="189"/>
      <c r="J1" s="189"/>
    </row>
    <row r="2" spans="1:10" x14ac:dyDescent="0.25">
      <c r="A2" s="195"/>
      <c r="B2" s="189"/>
    </row>
    <row r="3" spans="1:10" x14ac:dyDescent="0.25">
      <c r="A3" s="189"/>
      <c r="B3" s="189"/>
      <c r="C3" s="189"/>
      <c r="D3" s="196"/>
      <c r="E3" s="196"/>
      <c r="F3" s="196"/>
      <c r="G3" s="196"/>
      <c r="H3" s="196"/>
      <c r="I3" s="196"/>
      <c r="J3" s="196"/>
    </row>
    <row r="4" spans="1:10" x14ac:dyDescent="0.25">
      <c r="A4" s="189"/>
      <c r="B4" s="189"/>
      <c r="C4" s="189"/>
      <c r="D4" s="196"/>
      <c r="E4" s="196"/>
      <c r="F4" s="196"/>
      <c r="G4" s="196"/>
      <c r="H4" s="196"/>
      <c r="I4" s="196"/>
      <c r="J4" s="196"/>
    </row>
    <row r="5" spans="1:10" x14ac:dyDescent="0.25">
      <c r="A5" s="189"/>
      <c r="B5" s="189"/>
      <c r="C5" s="189"/>
      <c r="D5" s="196"/>
      <c r="E5" s="196"/>
      <c r="F5" s="196"/>
      <c r="G5" s="196"/>
      <c r="H5" s="196"/>
      <c r="I5" s="196"/>
      <c r="J5" s="196"/>
    </row>
    <row r="6" spans="1:10" x14ac:dyDescent="0.25">
      <c r="A6" s="189"/>
      <c r="B6" s="189"/>
      <c r="C6" s="189"/>
      <c r="D6" s="196"/>
      <c r="E6" s="196"/>
      <c r="F6" s="196"/>
      <c r="G6" s="196"/>
      <c r="H6" s="196"/>
      <c r="I6" s="196"/>
      <c r="J6" s="196"/>
    </row>
    <row r="7" spans="1:10" x14ac:dyDescent="0.25">
      <c r="A7" s="189"/>
      <c r="B7" s="189"/>
      <c r="C7" s="189"/>
      <c r="D7" s="196"/>
      <c r="E7" s="196"/>
      <c r="F7" s="196"/>
      <c r="G7" s="196"/>
      <c r="H7" s="196"/>
      <c r="I7" s="196"/>
      <c r="J7" s="196"/>
    </row>
    <row r="8" spans="1:10" x14ac:dyDescent="0.25">
      <c r="A8" s="189"/>
      <c r="B8" s="189"/>
      <c r="C8" s="189"/>
      <c r="D8" s="196"/>
      <c r="E8" s="196"/>
      <c r="F8" s="196"/>
      <c r="G8" s="196"/>
      <c r="H8" s="196"/>
      <c r="I8" s="196"/>
      <c r="J8" s="196"/>
    </row>
    <row r="9" spans="1:10" x14ac:dyDescent="0.25">
      <c r="A9" s="189"/>
      <c r="B9" s="189"/>
      <c r="C9" s="189"/>
      <c r="D9" s="196"/>
      <c r="E9" s="196"/>
      <c r="F9" s="196"/>
      <c r="G9" s="196"/>
      <c r="H9" s="196"/>
      <c r="I9" s="196"/>
      <c r="J9" s="196"/>
    </row>
    <row r="10" spans="1:10" x14ac:dyDescent="0.25">
      <c r="A10" s="189"/>
      <c r="B10" s="189"/>
      <c r="C10" s="189"/>
      <c r="D10" s="196"/>
      <c r="E10" s="196"/>
      <c r="F10" s="196"/>
      <c r="G10" s="196"/>
      <c r="H10" s="196"/>
      <c r="I10" s="196"/>
      <c r="J10" s="196"/>
    </row>
    <row r="11" spans="1:10" x14ac:dyDescent="0.25">
      <c r="A11" s="189"/>
      <c r="B11" s="189"/>
      <c r="C11" s="189"/>
      <c r="D11" s="196"/>
      <c r="E11" s="196"/>
      <c r="F11" s="196"/>
      <c r="G11" s="196"/>
      <c r="H11" s="196"/>
      <c r="I11" s="196"/>
      <c r="J11" s="196"/>
    </row>
    <row r="12" spans="1:10" x14ac:dyDescent="0.25">
      <c r="A12" s="189"/>
      <c r="B12" s="189"/>
      <c r="C12" s="189"/>
      <c r="D12" s="196"/>
      <c r="E12" s="196"/>
      <c r="F12" s="196"/>
      <c r="G12" s="196"/>
      <c r="H12" s="196"/>
      <c r="I12" s="196"/>
      <c r="J12" s="196"/>
    </row>
    <row r="13" spans="1:10" x14ac:dyDescent="0.25">
      <c r="A13" s="189"/>
      <c r="B13" s="189"/>
      <c r="C13" s="189"/>
      <c r="D13" s="196"/>
      <c r="E13" s="196"/>
      <c r="F13" s="196"/>
      <c r="G13" s="196"/>
      <c r="H13" s="196"/>
      <c r="I13" s="196"/>
      <c r="J13" s="196"/>
    </row>
    <row r="14" spans="1:10" x14ac:dyDescent="0.25">
      <c r="A14" s="189"/>
      <c r="B14" s="189"/>
      <c r="C14" s="189"/>
      <c r="D14" s="196"/>
      <c r="E14" s="196"/>
      <c r="F14" s="196"/>
      <c r="G14" s="196"/>
      <c r="H14" s="196"/>
      <c r="I14" s="196"/>
      <c r="J14" s="196"/>
    </row>
    <row r="15" spans="1:10" x14ac:dyDescent="0.25">
      <c r="A15" s="189"/>
      <c r="B15" s="189"/>
      <c r="C15" s="189"/>
      <c r="D15" s="196"/>
      <c r="E15" s="196"/>
      <c r="F15" s="196"/>
      <c r="G15" s="196"/>
      <c r="H15" s="196"/>
      <c r="I15" s="196"/>
      <c r="J15" s="196"/>
    </row>
    <row r="16" spans="1:10" x14ac:dyDescent="0.25">
      <c r="A16" s="189"/>
      <c r="B16" s="189"/>
      <c r="C16" s="189"/>
      <c r="D16" s="196"/>
      <c r="E16" s="196"/>
      <c r="F16" s="196"/>
      <c r="G16" s="196"/>
      <c r="H16" s="196"/>
      <c r="I16" s="196"/>
      <c r="J16" s="196"/>
    </row>
    <row r="17" spans="1:10" x14ac:dyDescent="0.25">
      <c r="A17" s="189"/>
      <c r="B17" s="189"/>
      <c r="C17" s="189"/>
      <c r="D17" s="196"/>
      <c r="E17" s="196"/>
      <c r="F17" s="196"/>
      <c r="G17" s="196"/>
      <c r="H17" s="196"/>
      <c r="I17" s="196"/>
      <c r="J17" s="196"/>
    </row>
    <row r="18" spans="1:10" x14ac:dyDescent="0.25">
      <c r="A18" s="189"/>
      <c r="B18" s="189"/>
      <c r="C18" s="189"/>
      <c r="D18" s="196"/>
      <c r="E18" s="196"/>
      <c r="F18" s="196"/>
      <c r="G18" s="196"/>
      <c r="H18" s="196"/>
      <c r="I18" s="196"/>
      <c r="J18" s="196"/>
    </row>
    <row r="19" spans="1:10" x14ac:dyDescent="0.25">
      <c r="A19" s="189"/>
      <c r="B19" s="189"/>
      <c r="C19" s="189"/>
      <c r="D19" s="196"/>
      <c r="E19" s="196"/>
      <c r="F19" s="196"/>
      <c r="G19" s="196"/>
      <c r="H19" s="196"/>
      <c r="I19" s="196"/>
      <c r="J19" s="196"/>
    </row>
    <row r="20" spans="1:10" x14ac:dyDescent="0.25">
      <c r="A20" s="189"/>
      <c r="B20" s="189"/>
      <c r="C20" s="189"/>
      <c r="D20" s="196"/>
      <c r="E20" s="196"/>
      <c r="F20" s="196"/>
      <c r="G20" s="196"/>
      <c r="H20" s="196"/>
      <c r="I20" s="196"/>
      <c r="J20" s="196"/>
    </row>
    <row r="21" spans="1:10" x14ac:dyDescent="0.25">
      <c r="A21" s="189"/>
      <c r="B21" s="189"/>
      <c r="C21" s="189"/>
      <c r="D21" s="196"/>
      <c r="E21" s="196"/>
      <c r="F21" s="196"/>
      <c r="G21" s="196"/>
      <c r="H21" s="196"/>
      <c r="I21" s="196"/>
      <c r="J21" s="196"/>
    </row>
    <row r="22" spans="1:10" x14ac:dyDescent="0.25">
      <c r="A22" s="189"/>
      <c r="B22" s="189"/>
      <c r="C22" s="189"/>
      <c r="D22" s="196"/>
      <c r="E22" s="196"/>
      <c r="F22" s="196"/>
      <c r="G22" s="196"/>
      <c r="H22" s="196"/>
      <c r="I22" s="196"/>
      <c r="J22" s="196"/>
    </row>
    <row r="23" spans="1:10" x14ac:dyDescent="0.25">
      <c r="A23" s="189"/>
      <c r="B23" s="189"/>
      <c r="C23" s="189"/>
      <c r="D23" s="196"/>
      <c r="E23" s="196"/>
      <c r="F23" s="196"/>
      <c r="G23" s="196"/>
      <c r="H23" s="196"/>
      <c r="I23" s="196"/>
      <c r="J23" s="196"/>
    </row>
    <row r="24" spans="1:10" x14ac:dyDescent="0.25">
      <c r="A24" s="189"/>
      <c r="B24" s="189"/>
      <c r="C24" s="189"/>
      <c r="D24" s="196"/>
      <c r="E24" s="196"/>
      <c r="F24" s="196"/>
      <c r="G24" s="196"/>
      <c r="H24" s="196"/>
      <c r="I24" s="196"/>
      <c r="J24" s="196"/>
    </row>
    <row r="25" spans="1:10" x14ac:dyDescent="0.25">
      <c r="A25" s="189"/>
      <c r="B25" s="189"/>
      <c r="C25" s="189"/>
      <c r="D25" s="196"/>
      <c r="E25" s="196"/>
      <c r="F25" s="196"/>
      <c r="G25" s="196"/>
      <c r="H25" s="196"/>
      <c r="I25" s="196"/>
      <c r="J25" s="196"/>
    </row>
    <row r="26" spans="1:10" x14ac:dyDescent="0.25">
      <c r="A26" s="189"/>
      <c r="B26" s="189"/>
      <c r="C26" s="189"/>
      <c r="D26" s="196"/>
      <c r="E26" s="196"/>
      <c r="F26" s="196"/>
      <c r="G26" s="196"/>
      <c r="H26" s="196"/>
      <c r="I26" s="196"/>
      <c r="J26" s="196"/>
    </row>
    <row r="27" spans="1:10" x14ac:dyDescent="0.25">
      <c r="A27" s="189"/>
      <c r="B27" s="189"/>
      <c r="C27" s="189"/>
      <c r="D27" s="196"/>
      <c r="E27" s="196"/>
      <c r="F27" s="196"/>
      <c r="G27" s="196"/>
      <c r="H27" s="196"/>
      <c r="I27" s="196"/>
      <c r="J27" s="196"/>
    </row>
    <row r="28" spans="1:10" x14ac:dyDescent="0.25">
      <c r="A28" s="189"/>
      <c r="B28" s="189"/>
      <c r="C28" s="189"/>
      <c r="D28" s="196"/>
      <c r="E28" s="196"/>
      <c r="F28" s="196"/>
      <c r="G28" s="196"/>
      <c r="H28" s="196"/>
      <c r="I28" s="196"/>
      <c r="J28" s="196"/>
    </row>
    <row r="29" spans="1:10" x14ac:dyDescent="0.25">
      <c r="A29" s="189"/>
      <c r="B29" s="189"/>
      <c r="C29" s="189"/>
      <c r="D29" s="196"/>
      <c r="E29" s="196"/>
      <c r="F29" s="196"/>
      <c r="G29" s="196"/>
      <c r="H29" s="196"/>
      <c r="I29" s="196"/>
      <c r="J29" s="196"/>
    </row>
    <row r="30" spans="1:10" x14ac:dyDescent="0.25">
      <c r="A30" s="189"/>
      <c r="B30" s="189"/>
      <c r="C30" s="189"/>
      <c r="D30" s="196"/>
      <c r="E30" s="196"/>
      <c r="F30" s="196"/>
      <c r="G30" s="196"/>
      <c r="H30" s="196"/>
      <c r="I30" s="196"/>
      <c r="J30" s="196"/>
    </row>
    <row r="31" spans="1:10" x14ac:dyDescent="0.25">
      <c r="A31" s="189"/>
      <c r="B31" s="189"/>
      <c r="C31" s="189"/>
      <c r="D31" s="196"/>
      <c r="E31" s="196"/>
      <c r="F31" s="196"/>
      <c r="G31" s="196"/>
      <c r="H31" s="196"/>
      <c r="I31" s="196"/>
      <c r="J31" s="196"/>
    </row>
    <row r="32" spans="1:10" x14ac:dyDescent="0.25">
      <c r="A32" s="189"/>
      <c r="B32" s="189"/>
      <c r="C32" s="189"/>
      <c r="D32" s="196"/>
      <c r="E32" s="196"/>
      <c r="F32" s="196"/>
      <c r="G32" s="196"/>
      <c r="H32" s="196"/>
      <c r="I32" s="196"/>
      <c r="J32" s="196"/>
    </row>
    <row r="33" spans="1:10" x14ac:dyDescent="0.25">
      <c r="A33" s="189"/>
      <c r="B33" s="189"/>
      <c r="C33" s="189"/>
      <c r="D33" s="196"/>
      <c r="E33" s="196"/>
      <c r="F33" s="196"/>
      <c r="G33" s="196"/>
      <c r="H33" s="196"/>
      <c r="I33" s="196"/>
      <c r="J33" s="196"/>
    </row>
    <row r="34" spans="1:10" x14ac:dyDescent="0.25">
      <c r="A34" s="189"/>
      <c r="B34" s="189"/>
      <c r="C34" s="189"/>
      <c r="D34" s="196"/>
      <c r="E34" s="196"/>
      <c r="F34" s="196"/>
      <c r="G34" s="196"/>
      <c r="H34" s="196"/>
      <c r="I34" s="196"/>
      <c r="J34" s="196"/>
    </row>
    <row r="35" spans="1:10" x14ac:dyDescent="0.25">
      <c r="A35" s="189"/>
      <c r="B35" s="189"/>
      <c r="C35" s="189"/>
      <c r="D35" s="196"/>
      <c r="E35" s="196"/>
      <c r="F35" s="196"/>
      <c r="G35" s="196"/>
      <c r="H35" s="196"/>
      <c r="I35" s="196"/>
      <c r="J35" s="196"/>
    </row>
    <row r="36" spans="1:10" x14ac:dyDescent="0.25">
      <c r="A36" s="189"/>
      <c r="B36" s="189"/>
      <c r="C36" s="189"/>
      <c r="D36" s="196"/>
      <c r="E36" s="196"/>
      <c r="F36" s="196"/>
      <c r="G36" s="196"/>
      <c r="H36" s="196"/>
      <c r="I36" s="196"/>
      <c r="J36" s="196"/>
    </row>
    <row r="37" spans="1:10" x14ac:dyDescent="0.25">
      <c r="A37" s="189"/>
      <c r="B37" s="189"/>
      <c r="C37" s="189"/>
      <c r="D37" s="196"/>
      <c r="E37" s="196"/>
      <c r="F37" s="196"/>
      <c r="G37" s="196"/>
      <c r="H37" s="196"/>
      <c r="I37" s="196"/>
      <c r="J37" s="196"/>
    </row>
    <row r="38" spans="1:10" x14ac:dyDescent="0.25">
      <c r="A38" s="189"/>
      <c r="B38" s="189"/>
      <c r="C38" s="189"/>
      <c r="D38" s="196"/>
      <c r="E38" s="196"/>
      <c r="F38" s="196"/>
      <c r="G38" s="196"/>
      <c r="H38" s="196"/>
      <c r="I38" s="196"/>
      <c r="J38" s="196"/>
    </row>
    <row r="39" spans="1:10" x14ac:dyDescent="0.25">
      <c r="A39" s="189"/>
      <c r="B39" s="189"/>
      <c r="C39" s="189"/>
      <c r="D39" s="196"/>
      <c r="E39" s="196"/>
      <c r="F39" s="196"/>
      <c r="G39" s="196"/>
      <c r="H39" s="196"/>
      <c r="I39" s="196"/>
      <c r="J39" s="196"/>
    </row>
    <row r="40" spans="1:10" x14ac:dyDescent="0.25">
      <c r="A40" s="189"/>
      <c r="B40" s="189"/>
      <c r="C40" s="189"/>
      <c r="D40" s="196"/>
      <c r="E40" s="196"/>
      <c r="F40" s="196"/>
      <c r="G40" s="196"/>
      <c r="H40" s="196"/>
      <c r="I40" s="196"/>
      <c r="J40" s="196"/>
    </row>
    <row r="41" spans="1:10" x14ac:dyDescent="0.25">
      <c r="A41" s="189"/>
      <c r="B41" s="189"/>
      <c r="C41" s="189"/>
      <c r="D41" s="196"/>
      <c r="E41" s="196"/>
      <c r="F41" s="196"/>
      <c r="G41" s="196"/>
      <c r="H41" s="196"/>
      <c r="I41" s="196"/>
      <c r="J41" s="196"/>
    </row>
    <row r="42" spans="1:10" x14ac:dyDescent="0.25">
      <c r="A42" s="189"/>
      <c r="B42" s="189"/>
      <c r="C42" s="189"/>
      <c r="D42" s="196"/>
      <c r="E42" s="196"/>
      <c r="F42" s="196"/>
      <c r="G42" s="196"/>
      <c r="H42" s="196"/>
      <c r="I42" s="196"/>
      <c r="J42" s="196"/>
    </row>
    <row r="43" spans="1:10" x14ac:dyDescent="0.25">
      <c r="A43" s="189"/>
      <c r="B43" s="189"/>
      <c r="C43" s="189"/>
      <c r="D43" s="196"/>
      <c r="E43" s="196"/>
      <c r="F43" s="196"/>
      <c r="G43" s="196"/>
      <c r="H43" s="196"/>
      <c r="I43" s="196"/>
      <c r="J43" s="196"/>
    </row>
    <row r="44" spans="1:10" x14ac:dyDescent="0.25">
      <c r="A44" s="189"/>
      <c r="B44" s="189"/>
      <c r="C44" s="189"/>
      <c r="D44" s="196"/>
      <c r="E44" s="196"/>
      <c r="F44" s="196"/>
      <c r="G44" s="196"/>
      <c r="H44" s="196"/>
      <c r="I44" s="196"/>
      <c r="J44" s="196"/>
    </row>
    <row r="45" spans="1:10" x14ac:dyDescent="0.25">
      <c r="A45" s="189"/>
      <c r="B45" s="189"/>
      <c r="C45" s="189"/>
      <c r="D45" s="196"/>
      <c r="E45" s="196"/>
      <c r="F45" s="196"/>
      <c r="G45" s="196"/>
      <c r="H45" s="196"/>
      <c r="I45" s="196"/>
      <c r="J45" s="196"/>
    </row>
    <row r="46" spans="1:10" x14ac:dyDescent="0.25">
      <c r="A46" s="189"/>
      <c r="B46" s="189"/>
      <c r="C46" s="189"/>
      <c r="D46" s="196"/>
      <c r="E46" s="196"/>
      <c r="F46" s="196"/>
      <c r="G46" s="196"/>
      <c r="H46" s="196"/>
      <c r="I46" s="196"/>
      <c r="J46" s="196"/>
    </row>
    <row r="47" spans="1:10" x14ac:dyDescent="0.25">
      <c r="A47" s="189"/>
      <c r="B47" s="189"/>
      <c r="C47" s="189"/>
      <c r="D47" s="196"/>
      <c r="E47" s="196"/>
      <c r="F47" s="196"/>
      <c r="G47" s="196"/>
      <c r="H47" s="196"/>
      <c r="I47" s="196"/>
      <c r="J47" s="196"/>
    </row>
    <row r="48" spans="1:10" x14ac:dyDescent="0.25">
      <c r="A48" s="189"/>
      <c r="B48" s="189"/>
      <c r="C48" s="189"/>
      <c r="D48" s="196"/>
      <c r="E48" s="196"/>
      <c r="F48" s="196"/>
      <c r="G48" s="196"/>
      <c r="H48" s="196"/>
      <c r="I48" s="196"/>
      <c r="J48" s="196"/>
    </row>
    <row r="49" spans="1:10" x14ac:dyDescent="0.25">
      <c r="A49" s="189"/>
      <c r="B49" s="189"/>
      <c r="C49" s="189"/>
      <c r="D49" s="196"/>
      <c r="E49" s="196"/>
      <c r="F49" s="196"/>
      <c r="G49" s="196"/>
      <c r="H49" s="196"/>
      <c r="I49" s="196"/>
      <c r="J49" s="196"/>
    </row>
    <row r="50" spans="1:10" x14ac:dyDescent="0.25">
      <c r="A50" s="189"/>
      <c r="B50" s="189"/>
      <c r="C50" s="189"/>
      <c r="D50" s="196"/>
      <c r="E50" s="196"/>
      <c r="F50" s="196"/>
      <c r="G50" s="196"/>
      <c r="H50" s="196"/>
      <c r="I50" s="196"/>
      <c r="J50" s="196"/>
    </row>
    <row r="51" spans="1:10" x14ac:dyDescent="0.25">
      <c r="A51" s="189"/>
      <c r="B51" s="189"/>
      <c r="C51" s="189"/>
      <c r="D51" s="196"/>
      <c r="E51" s="196"/>
      <c r="F51" s="196"/>
      <c r="G51" s="196"/>
      <c r="H51" s="196"/>
      <c r="I51" s="196"/>
      <c r="J51" s="196"/>
    </row>
    <row r="52" spans="1:10" x14ac:dyDescent="0.25">
      <c r="A52" s="189"/>
      <c r="B52" s="189"/>
      <c r="C52" s="189"/>
      <c r="D52" s="196"/>
      <c r="E52" s="196"/>
      <c r="F52" s="196"/>
      <c r="G52" s="196"/>
      <c r="H52" s="196"/>
      <c r="I52" s="196"/>
      <c r="J52" s="196"/>
    </row>
    <row r="53" spans="1:10" x14ac:dyDescent="0.25">
      <c r="A53" s="189"/>
      <c r="B53" s="189"/>
      <c r="C53" s="189"/>
      <c r="D53" s="196"/>
      <c r="E53" s="196"/>
      <c r="F53" s="196"/>
      <c r="G53" s="196"/>
      <c r="H53" s="196"/>
      <c r="I53" s="196"/>
      <c r="J53" s="196"/>
    </row>
    <row r="54" spans="1:10" x14ac:dyDescent="0.25">
      <c r="A54" s="189"/>
      <c r="B54" s="189"/>
      <c r="C54" s="189"/>
      <c r="D54" s="196"/>
      <c r="E54" s="196"/>
      <c r="F54" s="196"/>
      <c r="G54" s="196"/>
      <c r="H54" s="196"/>
      <c r="I54" s="196"/>
      <c r="J54" s="196"/>
    </row>
    <row r="55" spans="1:10" x14ac:dyDescent="0.25">
      <c r="A55" s="189"/>
      <c r="B55" s="189"/>
      <c r="C55" s="189"/>
      <c r="D55" s="196"/>
      <c r="E55" s="196"/>
      <c r="F55" s="196"/>
      <c r="G55" s="196"/>
      <c r="H55" s="196"/>
      <c r="I55" s="196"/>
      <c r="J55" s="196"/>
    </row>
    <row r="56" spans="1:10" x14ac:dyDescent="0.25">
      <c r="A56" s="189"/>
      <c r="B56" s="189"/>
      <c r="C56" s="189"/>
      <c r="D56" s="196"/>
      <c r="E56" s="196"/>
      <c r="F56" s="196"/>
      <c r="G56" s="196"/>
      <c r="H56" s="196"/>
      <c r="I56" s="196"/>
      <c r="J56" s="196"/>
    </row>
    <row r="57" spans="1:10" x14ac:dyDescent="0.25">
      <c r="A57" s="189"/>
      <c r="B57" s="189"/>
      <c r="C57" s="189"/>
      <c r="D57" s="196"/>
      <c r="E57" s="196"/>
      <c r="F57" s="196"/>
      <c r="G57" s="196"/>
      <c r="H57" s="196"/>
      <c r="I57" s="196"/>
      <c r="J57" s="196"/>
    </row>
    <row r="58" spans="1:10" x14ac:dyDescent="0.25">
      <c r="A58" s="189"/>
      <c r="B58" s="189"/>
      <c r="C58" s="189"/>
      <c r="D58" s="196"/>
      <c r="E58" s="196"/>
      <c r="F58" s="196"/>
      <c r="G58" s="196"/>
      <c r="H58" s="196"/>
      <c r="I58" s="196"/>
      <c r="J58" s="196"/>
    </row>
    <row r="59" spans="1:10" x14ac:dyDescent="0.25">
      <c r="A59" s="189"/>
      <c r="B59" s="189"/>
      <c r="C59" s="189"/>
      <c r="D59" s="196"/>
      <c r="E59" s="196"/>
      <c r="F59" s="196"/>
      <c r="G59" s="196"/>
      <c r="H59" s="196"/>
      <c r="I59" s="196"/>
      <c r="J59" s="196"/>
    </row>
    <row r="60" spans="1:10" x14ac:dyDescent="0.25">
      <c r="A60" s="189"/>
      <c r="B60" s="189"/>
      <c r="C60" s="189"/>
      <c r="D60" s="196"/>
      <c r="E60" s="196"/>
      <c r="F60" s="196"/>
      <c r="G60" s="196"/>
      <c r="H60" s="196"/>
      <c r="I60" s="196"/>
      <c r="J60" s="196"/>
    </row>
    <row r="61" spans="1:10" x14ac:dyDescent="0.25">
      <c r="A61" s="189"/>
      <c r="B61" s="189"/>
      <c r="C61" s="189"/>
      <c r="D61" s="196"/>
      <c r="E61" s="196"/>
      <c r="F61" s="196"/>
      <c r="G61" s="196"/>
      <c r="H61" s="196"/>
      <c r="I61" s="196"/>
      <c r="J61" s="196"/>
    </row>
    <row r="62" spans="1:10" x14ac:dyDescent="0.25">
      <c r="A62" s="189"/>
      <c r="B62" s="189"/>
      <c r="C62" s="189"/>
      <c r="D62" s="196"/>
      <c r="E62" s="196"/>
      <c r="F62" s="196"/>
      <c r="G62" s="196"/>
      <c r="H62" s="196"/>
      <c r="I62" s="196"/>
      <c r="J62" s="196"/>
    </row>
    <row r="63" spans="1:10" x14ac:dyDescent="0.25">
      <c r="A63" s="189"/>
      <c r="B63" s="189"/>
      <c r="C63" s="189"/>
      <c r="D63" s="196"/>
      <c r="E63" s="196"/>
      <c r="F63" s="196"/>
      <c r="G63" s="196"/>
      <c r="H63" s="196"/>
      <c r="I63" s="196"/>
      <c r="J63" s="196"/>
    </row>
    <row r="64" spans="1:10" x14ac:dyDescent="0.25">
      <c r="A64" s="189"/>
      <c r="B64" s="189"/>
      <c r="C64" s="189"/>
      <c r="D64" s="196"/>
      <c r="E64" s="196"/>
      <c r="F64" s="196"/>
      <c r="G64" s="196"/>
      <c r="H64" s="196"/>
      <c r="I64" s="196"/>
      <c r="J64" s="196"/>
    </row>
    <row r="65" spans="1:10" x14ac:dyDescent="0.25">
      <c r="A65" s="189"/>
      <c r="B65" s="189"/>
      <c r="C65" s="189"/>
      <c r="D65" s="196"/>
      <c r="E65" s="196"/>
      <c r="F65" s="196"/>
      <c r="G65" s="196"/>
      <c r="H65" s="196"/>
      <c r="I65" s="196"/>
      <c r="J65" s="196"/>
    </row>
    <row r="66" spans="1:10" x14ac:dyDescent="0.25">
      <c r="A66" s="189"/>
      <c r="B66" s="189"/>
      <c r="C66" s="189"/>
      <c r="D66" s="196"/>
      <c r="E66" s="196"/>
      <c r="F66" s="196"/>
      <c r="G66" s="196"/>
      <c r="H66" s="196"/>
      <c r="I66" s="196"/>
      <c r="J66" s="196"/>
    </row>
    <row r="67" spans="1:10" x14ac:dyDescent="0.25">
      <c r="A67" s="189"/>
      <c r="B67" s="189"/>
      <c r="C67" s="189"/>
      <c r="D67" s="196"/>
      <c r="E67" s="196"/>
      <c r="F67" s="196"/>
      <c r="G67" s="196"/>
      <c r="H67" s="196"/>
      <c r="I67" s="196"/>
      <c r="J67" s="196"/>
    </row>
    <row r="68" spans="1:10" x14ac:dyDescent="0.25">
      <c r="A68" s="189"/>
      <c r="B68" s="189"/>
      <c r="C68" s="189"/>
      <c r="D68" s="196"/>
      <c r="E68" s="196"/>
      <c r="F68" s="196"/>
      <c r="G68" s="196"/>
      <c r="H68" s="196"/>
      <c r="I68" s="196"/>
      <c r="J68" s="196"/>
    </row>
    <row r="69" spans="1:10" x14ac:dyDescent="0.25">
      <c r="A69" s="189"/>
      <c r="B69" s="189"/>
      <c r="C69" s="189"/>
      <c r="D69" s="196"/>
      <c r="E69" s="196"/>
      <c r="F69" s="196"/>
      <c r="G69" s="196"/>
      <c r="H69" s="196"/>
      <c r="I69" s="196"/>
      <c r="J69" s="196"/>
    </row>
    <row r="70" spans="1:10" x14ac:dyDescent="0.25">
      <c r="A70" s="189"/>
      <c r="B70" s="189"/>
      <c r="C70" s="189"/>
      <c r="D70" s="196"/>
      <c r="E70" s="196"/>
      <c r="F70" s="196"/>
      <c r="G70" s="196"/>
      <c r="H70" s="196"/>
      <c r="I70" s="196"/>
      <c r="J70" s="196"/>
    </row>
    <row r="71" spans="1:10" x14ac:dyDescent="0.25">
      <c r="A71" s="189"/>
      <c r="B71" s="189"/>
      <c r="C71" s="189"/>
      <c r="D71" s="196"/>
      <c r="E71" s="196"/>
      <c r="F71" s="196"/>
      <c r="G71" s="196"/>
      <c r="H71" s="196"/>
      <c r="I71" s="196"/>
      <c r="J71" s="196"/>
    </row>
    <row r="72" spans="1:10" x14ac:dyDescent="0.25">
      <c r="A72" s="189"/>
      <c r="B72" s="189"/>
      <c r="C72" s="189"/>
      <c r="D72" s="196"/>
      <c r="E72" s="196"/>
      <c r="F72" s="196"/>
      <c r="G72" s="196"/>
      <c r="H72" s="196"/>
      <c r="I72" s="196"/>
      <c r="J72" s="196"/>
    </row>
    <row r="73" spans="1:10" x14ac:dyDescent="0.25">
      <c r="A73" s="189"/>
      <c r="B73" s="189"/>
      <c r="C73" s="189"/>
      <c r="D73" s="196"/>
      <c r="E73" s="196"/>
      <c r="F73" s="196"/>
      <c r="G73" s="196"/>
      <c r="H73" s="196"/>
      <c r="I73" s="196"/>
      <c r="J73" s="196"/>
    </row>
    <row r="74" spans="1:10" x14ac:dyDescent="0.25">
      <c r="A74" s="189"/>
      <c r="B74" s="189"/>
      <c r="C74" s="189"/>
      <c r="D74" s="196"/>
      <c r="E74" s="196"/>
      <c r="F74" s="196"/>
      <c r="G74" s="196"/>
      <c r="H74" s="196"/>
      <c r="I74" s="196"/>
      <c r="J74" s="196"/>
    </row>
    <row r="75" spans="1:10" x14ac:dyDescent="0.25">
      <c r="A75" s="189"/>
      <c r="B75" s="189"/>
      <c r="C75" s="189"/>
      <c r="D75" s="196"/>
      <c r="E75" s="196"/>
      <c r="F75" s="196"/>
      <c r="G75" s="196"/>
      <c r="H75" s="196"/>
      <c r="I75" s="196"/>
      <c r="J75" s="196"/>
    </row>
    <row r="76" spans="1:10" x14ac:dyDescent="0.25">
      <c r="A76" s="189"/>
      <c r="B76" s="189"/>
      <c r="C76" s="189"/>
      <c r="D76" s="196"/>
      <c r="E76" s="196"/>
      <c r="F76" s="196"/>
      <c r="G76" s="196"/>
      <c r="H76" s="196"/>
      <c r="I76" s="196"/>
      <c r="J76" s="196"/>
    </row>
    <row r="77" spans="1:10" x14ac:dyDescent="0.25">
      <c r="A77" s="189"/>
      <c r="B77" s="189"/>
      <c r="C77" s="189"/>
      <c r="D77" s="196"/>
      <c r="E77" s="196"/>
      <c r="F77" s="196"/>
      <c r="G77" s="196"/>
      <c r="H77" s="196"/>
      <c r="I77" s="196"/>
      <c r="J77" s="196"/>
    </row>
    <row r="78" spans="1:10" x14ac:dyDescent="0.25">
      <c r="A78" s="189"/>
      <c r="B78" s="189"/>
      <c r="C78" s="189"/>
      <c r="D78" s="196"/>
      <c r="E78" s="196"/>
      <c r="F78" s="196"/>
      <c r="G78" s="196"/>
      <c r="H78" s="196"/>
      <c r="I78" s="196"/>
      <c r="J78" s="196"/>
    </row>
    <row r="79" spans="1:10" x14ac:dyDescent="0.25">
      <c r="A79" s="189"/>
      <c r="B79" s="189"/>
      <c r="C79" s="189"/>
      <c r="D79" s="196"/>
      <c r="E79" s="196"/>
      <c r="F79" s="196"/>
      <c r="G79" s="196"/>
      <c r="H79" s="196"/>
      <c r="I79" s="196"/>
      <c r="J79" s="196"/>
    </row>
    <row r="80" spans="1:10" x14ac:dyDescent="0.25">
      <c r="A80" s="189"/>
      <c r="B80" s="189"/>
      <c r="C80" s="189"/>
      <c r="D80" s="196"/>
      <c r="E80" s="196"/>
      <c r="F80" s="196"/>
      <c r="G80" s="196"/>
      <c r="H80" s="196"/>
      <c r="I80" s="196"/>
      <c r="J80" s="196"/>
    </row>
    <row r="81" spans="1:10" x14ac:dyDescent="0.25">
      <c r="A81" s="189"/>
      <c r="B81" s="189"/>
      <c r="C81" s="189"/>
      <c r="D81" s="196"/>
      <c r="E81" s="196"/>
      <c r="F81" s="196"/>
      <c r="G81" s="196"/>
      <c r="H81" s="196"/>
      <c r="I81" s="196"/>
      <c r="J81" s="196"/>
    </row>
    <row r="82" spans="1:10" x14ac:dyDescent="0.25">
      <c r="A82" s="189"/>
      <c r="B82" s="189"/>
      <c r="C82" s="189"/>
      <c r="D82" s="196"/>
      <c r="E82" s="196"/>
      <c r="F82" s="196"/>
      <c r="G82" s="196"/>
      <c r="H82" s="196"/>
      <c r="I82" s="196"/>
      <c r="J82" s="196"/>
    </row>
    <row r="83" spans="1:10" x14ac:dyDescent="0.25">
      <c r="A83" s="189"/>
      <c r="B83" s="189"/>
      <c r="C83" s="189"/>
      <c r="D83" s="196"/>
      <c r="E83" s="196"/>
      <c r="F83" s="196"/>
      <c r="G83" s="196"/>
      <c r="H83" s="196"/>
      <c r="I83" s="196"/>
      <c r="J83" s="196"/>
    </row>
    <row r="84" spans="1:10" x14ac:dyDescent="0.25">
      <c r="A84" s="189"/>
      <c r="B84" s="189"/>
      <c r="C84" s="189"/>
      <c r="D84" s="196"/>
      <c r="E84" s="196"/>
      <c r="F84" s="196"/>
      <c r="G84" s="196"/>
      <c r="H84" s="196"/>
      <c r="I84" s="196"/>
      <c r="J84" s="196"/>
    </row>
    <row r="85" spans="1:10" x14ac:dyDescent="0.25">
      <c r="A85" s="189"/>
      <c r="B85" s="189"/>
      <c r="C85" s="189"/>
      <c r="D85" s="196"/>
      <c r="E85" s="196"/>
      <c r="F85" s="196"/>
      <c r="G85" s="196"/>
      <c r="H85" s="196"/>
      <c r="I85" s="196"/>
      <c r="J85" s="196"/>
    </row>
    <row r="86" spans="1:10" x14ac:dyDescent="0.25">
      <c r="A86" s="189"/>
      <c r="B86" s="189"/>
      <c r="C86" s="189"/>
      <c r="D86" s="196"/>
      <c r="E86" s="196"/>
      <c r="F86" s="196"/>
      <c r="G86" s="196"/>
      <c r="H86" s="196"/>
      <c r="I86" s="196"/>
      <c r="J86" s="196"/>
    </row>
    <row r="87" spans="1:10" x14ac:dyDescent="0.25">
      <c r="A87" s="189"/>
      <c r="B87" s="189"/>
      <c r="C87" s="189"/>
      <c r="D87" s="196"/>
      <c r="E87" s="196"/>
      <c r="F87" s="196"/>
      <c r="G87" s="196"/>
      <c r="H87" s="196"/>
      <c r="I87" s="196"/>
      <c r="J87" s="196"/>
    </row>
    <row r="88" spans="1:10" x14ac:dyDescent="0.25">
      <c r="A88" s="189"/>
      <c r="B88" s="189"/>
      <c r="C88" s="189"/>
      <c r="D88" s="196"/>
      <c r="E88" s="196"/>
      <c r="F88" s="196"/>
      <c r="G88" s="196"/>
      <c r="H88" s="196"/>
      <c r="I88" s="196"/>
      <c r="J88" s="196"/>
    </row>
    <row r="89" spans="1:10" x14ac:dyDescent="0.25">
      <c r="A89" s="189"/>
      <c r="B89" s="189"/>
      <c r="C89" s="189"/>
      <c r="D89" s="196"/>
      <c r="E89" s="196"/>
      <c r="F89" s="196"/>
      <c r="G89" s="196"/>
      <c r="H89" s="196"/>
      <c r="I89" s="196"/>
      <c r="J89" s="196"/>
    </row>
    <row r="90" spans="1:10" x14ac:dyDescent="0.25">
      <c r="A90" s="189"/>
      <c r="B90" s="189"/>
      <c r="C90" s="189"/>
      <c r="D90" s="196"/>
      <c r="E90" s="196"/>
      <c r="F90" s="196"/>
      <c r="G90" s="196"/>
      <c r="H90" s="196"/>
      <c r="I90" s="196"/>
      <c r="J90" s="196"/>
    </row>
    <row r="91" spans="1:10" x14ac:dyDescent="0.25">
      <c r="A91" s="189"/>
      <c r="B91" s="189"/>
      <c r="C91" s="189"/>
      <c r="D91" s="196"/>
      <c r="E91" s="196"/>
      <c r="F91" s="196"/>
      <c r="G91" s="196"/>
      <c r="H91" s="196"/>
      <c r="I91" s="196"/>
      <c r="J91" s="196"/>
    </row>
    <row r="92" spans="1:10" x14ac:dyDescent="0.25">
      <c r="A92" s="189"/>
      <c r="B92" s="189"/>
      <c r="C92" s="189"/>
      <c r="D92" s="196"/>
      <c r="E92" s="196"/>
      <c r="F92" s="196"/>
      <c r="G92" s="196"/>
      <c r="H92" s="196"/>
      <c r="I92" s="196"/>
      <c r="J92" s="196"/>
    </row>
    <row r="93" spans="1:10" x14ac:dyDescent="0.25">
      <c r="A93" s="189"/>
      <c r="B93" s="189"/>
      <c r="C93" s="189"/>
      <c r="D93" s="196"/>
      <c r="E93" s="196"/>
      <c r="F93" s="196"/>
      <c r="G93" s="196"/>
      <c r="H93" s="196"/>
      <c r="I93" s="196"/>
      <c r="J93" s="196"/>
    </row>
    <row r="94" spans="1:10" x14ac:dyDescent="0.25">
      <c r="A94" s="189"/>
      <c r="B94" s="189"/>
      <c r="C94" s="189"/>
      <c r="D94" s="196"/>
      <c r="E94" s="196"/>
      <c r="F94" s="196"/>
      <c r="G94" s="196"/>
      <c r="H94" s="196"/>
      <c r="I94" s="196"/>
      <c r="J94" s="196"/>
    </row>
    <row r="95" spans="1:10" x14ac:dyDescent="0.25">
      <c r="A95" s="189"/>
      <c r="B95" s="189"/>
      <c r="C95" s="189"/>
      <c r="D95" s="196"/>
      <c r="E95" s="196"/>
      <c r="F95" s="196"/>
      <c r="G95" s="196"/>
      <c r="H95" s="196"/>
      <c r="I95" s="196"/>
      <c r="J95" s="196"/>
    </row>
    <row r="96" spans="1:10" x14ac:dyDescent="0.25">
      <c r="A96" s="189"/>
      <c r="B96" s="189"/>
      <c r="C96" s="189"/>
      <c r="D96" s="196"/>
      <c r="E96" s="196"/>
      <c r="F96" s="196"/>
      <c r="G96" s="196"/>
      <c r="H96" s="196"/>
      <c r="I96" s="196"/>
      <c r="J96" s="196"/>
    </row>
    <row r="97" spans="1:10" x14ac:dyDescent="0.25">
      <c r="A97" s="189"/>
      <c r="B97" s="189"/>
      <c r="C97" s="189"/>
      <c r="D97" s="196"/>
      <c r="E97" s="196"/>
      <c r="F97" s="196"/>
      <c r="G97" s="196"/>
      <c r="H97" s="196"/>
      <c r="I97" s="196"/>
      <c r="J97" s="196"/>
    </row>
    <row r="98" spans="1:10" x14ac:dyDescent="0.25">
      <c r="A98" s="189"/>
      <c r="B98" s="189"/>
      <c r="C98" s="189"/>
      <c r="D98" s="196"/>
      <c r="E98" s="196"/>
      <c r="F98" s="196"/>
      <c r="G98" s="196"/>
      <c r="H98" s="196"/>
      <c r="I98" s="196"/>
      <c r="J98" s="196"/>
    </row>
    <row r="99" spans="1:10" x14ac:dyDescent="0.25">
      <c r="A99" s="189"/>
      <c r="B99" s="189"/>
      <c r="C99" s="189"/>
      <c r="D99" s="196"/>
      <c r="E99" s="196"/>
      <c r="F99" s="196"/>
      <c r="G99" s="196"/>
      <c r="H99" s="196"/>
      <c r="I99" s="196"/>
      <c r="J99" s="196"/>
    </row>
    <row r="100" spans="1:10" x14ac:dyDescent="0.25">
      <c r="A100" s="189"/>
      <c r="B100" s="189"/>
      <c r="C100" s="189"/>
      <c r="D100" s="196"/>
      <c r="E100" s="196"/>
      <c r="F100" s="196"/>
      <c r="G100" s="196"/>
      <c r="H100" s="196"/>
      <c r="I100" s="196"/>
      <c r="J100" s="196"/>
    </row>
    <row r="101" spans="1:10" x14ac:dyDescent="0.25">
      <c r="A101" s="189"/>
      <c r="B101" s="189"/>
      <c r="C101" s="189"/>
      <c r="D101" s="196"/>
      <c r="E101" s="196"/>
      <c r="F101" s="196"/>
      <c r="G101" s="196"/>
      <c r="H101" s="196"/>
      <c r="I101" s="196"/>
      <c r="J101" s="196"/>
    </row>
    <row r="102" spans="1:10" x14ac:dyDescent="0.25">
      <c r="A102" s="189"/>
      <c r="B102" s="189"/>
      <c r="C102" s="189"/>
      <c r="D102" s="196"/>
      <c r="E102" s="196"/>
      <c r="F102" s="196"/>
      <c r="G102" s="196"/>
      <c r="H102" s="196"/>
      <c r="I102" s="196"/>
      <c r="J102" s="196"/>
    </row>
    <row r="103" spans="1:10" x14ac:dyDescent="0.25">
      <c r="A103" s="189"/>
      <c r="B103" s="189"/>
      <c r="C103" s="189"/>
      <c r="D103" s="196"/>
      <c r="E103" s="196"/>
      <c r="F103" s="196"/>
      <c r="G103" s="196"/>
      <c r="H103" s="196"/>
      <c r="I103" s="196"/>
      <c r="J103" s="196"/>
    </row>
    <row r="104" spans="1:10" x14ac:dyDescent="0.25">
      <c r="A104" s="189"/>
      <c r="B104" s="189"/>
      <c r="C104" s="189"/>
      <c r="D104" s="196"/>
      <c r="E104" s="196"/>
      <c r="F104" s="196"/>
      <c r="G104" s="196"/>
      <c r="H104" s="196"/>
      <c r="I104" s="196"/>
      <c r="J104" s="196"/>
    </row>
    <row r="105" spans="1:10" x14ac:dyDescent="0.25">
      <c r="A105" s="189"/>
      <c r="B105" s="189"/>
      <c r="C105" s="189"/>
      <c r="D105" s="196"/>
      <c r="E105" s="196"/>
      <c r="F105" s="196"/>
      <c r="G105" s="196"/>
      <c r="H105" s="196"/>
      <c r="I105" s="196"/>
      <c r="J105" s="196"/>
    </row>
    <row r="106" spans="1:10" x14ac:dyDescent="0.25">
      <c r="A106" s="189"/>
      <c r="B106" s="189"/>
      <c r="C106" s="189"/>
      <c r="D106" s="196"/>
      <c r="E106" s="196"/>
      <c r="F106" s="196"/>
      <c r="G106" s="196"/>
      <c r="H106" s="196"/>
      <c r="I106" s="196"/>
      <c r="J106" s="196"/>
    </row>
    <row r="107" spans="1:10" x14ac:dyDescent="0.25">
      <c r="A107" s="189"/>
      <c r="B107" s="189"/>
      <c r="C107" s="189"/>
      <c r="D107" s="196"/>
      <c r="E107" s="196"/>
      <c r="F107" s="196"/>
      <c r="G107" s="196"/>
      <c r="H107" s="196"/>
      <c r="I107" s="196"/>
      <c r="J107" s="196"/>
    </row>
    <row r="108" spans="1:10" x14ac:dyDescent="0.25">
      <c r="A108" s="189"/>
      <c r="B108" s="189"/>
      <c r="C108" s="189"/>
      <c r="D108" s="196"/>
      <c r="E108" s="196"/>
      <c r="F108" s="196"/>
      <c r="G108" s="196"/>
      <c r="H108" s="196"/>
      <c r="I108" s="196"/>
      <c r="J108" s="196"/>
    </row>
    <row r="109" spans="1:10" x14ac:dyDescent="0.25">
      <c r="A109" s="189"/>
      <c r="B109" s="189"/>
      <c r="C109" s="189"/>
      <c r="D109" s="196"/>
      <c r="E109" s="196"/>
      <c r="F109" s="196"/>
      <c r="G109" s="196"/>
      <c r="H109" s="196"/>
      <c r="I109" s="196"/>
      <c r="J109" s="196"/>
    </row>
    <row r="110" spans="1:10" x14ac:dyDescent="0.25">
      <c r="A110" s="189"/>
      <c r="B110" s="189"/>
      <c r="C110" s="189"/>
      <c r="D110" s="196"/>
      <c r="E110" s="196"/>
      <c r="F110" s="196"/>
      <c r="G110" s="196"/>
      <c r="H110" s="196"/>
      <c r="I110" s="196"/>
      <c r="J110" s="196"/>
    </row>
    <row r="111" spans="1:10" x14ac:dyDescent="0.25">
      <c r="A111" s="189"/>
      <c r="B111" s="189"/>
      <c r="C111" s="189"/>
      <c r="D111" s="196"/>
      <c r="E111" s="196"/>
      <c r="F111" s="196"/>
      <c r="G111" s="196"/>
      <c r="H111" s="196"/>
      <c r="I111" s="196"/>
      <c r="J111" s="196"/>
    </row>
    <row r="112" spans="1:10" x14ac:dyDescent="0.25">
      <c r="A112" s="189"/>
      <c r="B112" s="189"/>
      <c r="C112" s="189"/>
      <c r="D112" s="196"/>
      <c r="E112" s="196"/>
      <c r="F112" s="196"/>
      <c r="G112" s="196"/>
      <c r="H112" s="196"/>
      <c r="I112" s="196"/>
      <c r="J112" s="196"/>
    </row>
    <row r="113" spans="1:10" x14ac:dyDescent="0.25">
      <c r="A113" s="189"/>
      <c r="B113" s="189"/>
      <c r="C113" s="189"/>
      <c r="D113" s="196"/>
      <c r="E113" s="196"/>
      <c r="F113" s="196"/>
      <c r="G113" s="196"/>
      <c r="H113" s="196"/>
      <c r="I113" s="196"/>
      <c r="J113" s="196"/>
    </row>
    <row r="114" spans="1:10" x14ac:dyDescent="0.25">
      <c r="A114" s="189"/>
      <c r="B114" s="189"/>
      <c r="C114" s="189"/>
      <c r="D114" s="196"/>
      <c r="E114" s="196"/>
      <c r="F114" s="196"/>
      <c r="G114" s="196"/>
      <c r="H114" s="196"/>
      <c r="I114" s="196"/>
      <c r="J114" s="196"/>
    </row>
    <row r="115" spans="1:10" x14ac:dyDescent="0.25">
      <c r="A115" s="189"/>
      <c r="B115" s="189"/>
      <c r="C115" s="189"/>
      <c r="D115" s="196"/>
      <c r="E115" s="196"/>
      <c r="F115" s="196"/>
      <c r="G115" s="196"/>
      <c r="H115" s="196"/>
      <c r="I115" s="196"/>
      <c r="J115" s="196"/>
    </row>
    <row r="116" spans="1:10" x14ac:dyDescent="0.25">
      <c r="A116" s="189"/>
      <c r="B116" s="189"/>
      <c r="C116" s="189"/>
      <c r="D116" s="196"/>
      <c r="E116" s="196"/>
      <c r="F116" s="196"/>
      <c r="G116" s="196"/>
      <c r="H116" s="196"/>
      <c r="I116" s="196"/>
      <c r="J116" s="196"/>
    </row>
    <row r="117" spans="1:10" x14ac:dyDescent="0.25">
      <c r="A117" s="189"/>
      <c r="B117" s="189"/>
      <c r="C117" s="189"/>
      <c r="D117" s="196"/>
      <c r="E117" s="196"/>
      <c r="F117" s="196"/>
      <c r="G117" s="196"/>
      <c r="H117" s="196"/>
      <c r="I117" s="196"/>
      <c r="J117" s="196"/>
    </row>
    <row r="118" spans="1:10" x14ac:dyDescent="0.25">
      <c r="A118" s="189"/>
      <c r="B118" s="189"/>
      <c r="C118" s="189"/>
      <c r="D118" s="196"/>
      <c r="E118" s="196"/>
      <c r="F118" s="196"/>
      <c r="G118" s="196"/>
      <c r="H118" s="196"/>
      <c r="I118" s="196"/>
      <c r="J118" s="196"/>
    </row>
    <row r="119" spans="1:10" x14ac:dyDescent="0.25">
      <c r="A119" s="189"/>
      <c r="B119" s="189"/>
      <c r="C119" s="189"/>
      <c r="D119" s="196"/>
      <c r="E119" s="196"/>
      <c r="F119" s="196"/>
      <c r="G119" s="196"/>
      <c r="H119" s="196"/>
      <c r="I119" s="196"/>
      <c r="J119" s="196"/>
    </row>
    <row r="120" spans="1:10" x14ac:dyDescent="0.25">
      <c r="A120" s="189"/>
      <c r="B120" s="189"/>
      <c r="C120" s="189"/>
      <c r="D120" s="196"/>
      <c r="E120" s="196"/>
      <c r="F120" s="196"/>
      <c r="G120" s="196"/>
      <c r="H120" s="196"/>
      <c r="I120" s="196"/>
      <c r="J120" s="196"/>
    </row>
    <row r="121" spans="1:10" x14ac:dyDescent="0.25">
      <c r="A121" s="189"/>
      <c r="B121" s="189"/>
      <c r="C121" s="189"/>
      <c r="D121" s="196"/>
      <c r="E121" s="196"/>
      <c r="F121" s="196"/>
      <c r="G121" s="196"/>
      <c r="H121" s="196"/>
      <c r="I121" s="196"/>
      <c r="J121" s="196"/>
    </row>
    <row r="122" spans="1:10" x14ac:dyDescent="0.25">
      <c r="A122" s="189"/>
      <c r="B122" s="189"/>
      <c r="C122" s="189"/>
      <c r="D122" s="196"/>
      <c r="E122" s="196"/>
      <c r="F122" s="196"/>
      <c r="G122" s="196"/>
      <c r="H122" s="196"/>
      <c r="I122" s="196"/>
      <c r="J122" s="196"/>
    </row>
    <row r="123" spans="1:10" x14ac:dyDescent="0.25">
      <c r="A123" s="189"/>
      <c r="B123" s="189"/>
      <c r="C123" s="189"/>
      <c r="D123" s="196"/>
      <c r="E123" s="196"/>
      <c r="F123" s="196"/>
      <c r="G123" s="196"/>
      <c r="H123" s="196"/>
      <c r="I123" s="196"/>
      <c r="J123" s="196"/>
    </row>
    <row r="124" spans="1:10" x14ac:dyDescent="0.25">
      <c r="A124" s="189"/>
      <c r="B124" s="189"/>
      <c r="C124" s="189"/>
      <c r="D124" s="196"/>
      <c r="E124" s="196"/>
      <c r="F124" s="196"/>
      <c r="G124" s="196"/>
      <c r="H124" s="196"/>
      <c r="I124" s="196"/>
      <c r="J124" s="196"/>
    </row>
    <row r="125" spans="1:10" x14ac:dyDescent="0.25">
      <c r="A125" s="189"/>
      <c r="B125" s="189"/>
      <c r="C125" s="189"/>
      <c r="D125" s="196"/>
      <c r="E125" s="196"/>
      <c r="F125" s="196"/>
      <c r="G125" s="196"/>
      <c r="H125" s="196"/>
      <c r="I125" s="196"/>
      <c r="J125" s="196"/>
    </row>
    <row r="126" spans="1:10" x14ac:dyDescent="0.25">
      <c r="A126" s="189"/>
      <c r="B126" s="189"/>
      <c r="C126" s="189"/>
      <c r="D126" s="196"/>
      <c r="E126" s="196"/>
      <c r="F126" s="196"/>
      <c r="G126" s="196"/>
      <c r="H126" s="196"/>
      <c r="I126" s="196"/>
      <c r="J126" s="196"/>
    </row>
    <row r="127" spans="1:10" x14ac:dyDescent="0.25">
      <c r="A127" s="189"/>
      <c r="B127" s="189"/>
      <c r="C127" s="189"/>
      <c r="D127" s="196"/>
      <c r="E127" s="196"/>
      <c r="F127" s="196"/>
      <c r="G127" s="196"/>
      <c r="H127" s="196"/>
      <c r="I127" s="196"/>
      <c r="J127" s="196"/>
    </row>
    <row r="128" spans="1:10" x14ac:dyDescent="0.25">
      <c r="A128" s="189"/>
      <c r="B128" s="189"/>
      <c r="C128" s="189"/>
      <c r="D128" s="196"/>
      <c r="E128" s="196"/>
      <c r="F128" s="196"/>
      <c r="G128" s="196"/>
      <c r="H128" s="196"/>
      <c r="I128" s="196"/>
      <c r="J128" s="196"/>
    </row>
    <row r="129" spans="1:10" x14ac:dyDescent="0.25">
      <c r="A129" s="189"/>
      <c r="B129" s="189"/>
      <c r="C129" s="189"/>
      <c r="D129" s="196"/>
      <c r="E129" s="196"/>
      <c r="F129" s="196"/>
      <c r="G129" s="196"/>
      <c r="H129" s="196"/>
      <c r="I129" s="196"/>
      <c r="J129" s="196"/>
    </row>
    <row r="130" spans="1:10" x14ac:dyDescent="0.25">
      <c r="A130" s="189"/>
      <c r="B130" s="189"/>
      <c r="C130" s="189"/>
      <c r="D130" s="196"/>
      <c r="E130" s="196"/>
      <c r="F130" s="196"/>
      <c r="G130" s="196"/>
      <c r="H130" s="196"/>
      <c r="I130" s="196"/>
      <c r="J130" s="196"/>
    </row>
    <row r="131" spans="1:10" x14ac:dyDescent="0.25">
      <c r="A131" s="189"/>
      <c r="B131" s="189"/>
      <c r="C131" s="189"/>
      <c r="D131" s="196"/>
      <c r="E131" s="196"/>
      <c r="F131" s="196"/>
      <c r="G131" s="196"/>
      <c r="H131" s="196"/>
      <c r="I131" s="196"/>
      <c r="J131" s="196"/>
    </row>
    <row r="132" spans="1:10" x14ac:dyDescent="0.25">
      <c r="A132" s="189"/>
      <c r="B132" s="189"/>
      <c r="C132" s="189"/>
      <c r="D132" s="196"/>
      <c r="E132" s="196"/>
      <c r="F132" s="196"/>
      <c r="G132" s="196"/>
      <c r="H132" s="196"/>
      <c r="I132" s="196"/>
      <c r="J132" s="196"/>
    </row>
    <row r="133" spans="1:10" x14ac:dyDescent="0.25">
      <c r="A133" s="189"/>
      <c r="B133" s="189"/>
      <c r="C133" s="189"/>
      <c r="D133" s="196"/>
      <c r="E133" s="196"/>
      <c r="F133" s="196"/>
      <c r="G133" s="196"/>
      <c r="H133" s="196"/>
      <c r="I133" s="196"/>
      <c r="J133" s="196"/>
    </row>
    <row r="134" spans="1:10" x14ac:dyDescent="0.25">
      <c r="A134" s="189"/>
      <c r="B134" s="189"/>
      <c r="C134" s="189"/>
      <c r="D134" s="196"/>
      <c r="E134" s="196"/>
      <c r="F134" s="196"/>
      <c r="G134" s="196"/>
      <c r="H134" s="196"/>
      <c r="I134" s="196"/>
      <c r="J134" s="196"/>
    </row>
    <row r="135" spans="1:10" x14ac:dyDescent="0.25">
      <c r="A135" s="189"/>
      <c r="B135" s="189"/>
      <c r="C135" s="189"/>
      <c r="D135" s="196"/>
      <c r="E135" s="196"/>
      <c r="F135" s="196"/>
      <c r="G135" s="196"/>
      <c r="H135" s="196"/>
      <c r="I135" s="196"/>
      <c r="J135" s="196"/>
    </row>
    <row r="136" spans="1:10" x14ac:dyDescent="0.25">
      <c r="A136" s="189"/>
      <c r="B136" s="189"/>
      <c r="C136" s="189"/>
      <c r="D136" s="196"/>
      <c r="E136" s="196"/>
      <c r="F136" s="196"/>
      <c r="G136" s="196"/>
      <c r="H136" s="196"/>
      <c r="I136" s="196"/>
      <c r="J136" s="196"/>
    </row>
    <row r="137" spans="1:10" x14ac:dyDescent="0.25">
      <c r="A137" s="189"/>
      <c r="B137" s="189"/>
      <c r="C137" s="189"/>
      <c r="D137" s="196"/>
      <c r="E137" s="196"/>
      <c r="F137" s="196"/>
      <c r="G137" s="196"/>
      <c r="H137" s="196"/>
      <c r="I137" s="196"/>
      <c r="J137" s="196"/>
    </row>
    <row r="138" spans="1:10" x14ac:dyDescent="0.25">
      <c r="A138" s="189"/>
      <c r="B138" s="189"/>
      <c r="C138" s="189"/>
      <c r="D138" s="196"/>
      <c r="E138" s="196"/>
      <c r="F138" s="196"/>
      <c r="G138" s="196"/>
      <c r="H138" s="196"/>
      <c r="I138" s="196"/>
      <c r="J138" s="196"/>
    </row>
    <row r="139" spans="1:10" x14ac:dyDescent="0.25">
      <c r="A139" s="189"/>
      <c r="B139" s="189"/>
      <c r="C139" s="189"/>
      <c r="D139" s="196"/>
      <c r="E139" s="196"/>
      <c r="F139" s="196"/>
      <c r="G139" s="196"/>
      <c r="H139" s="196"/>
      <c r="I139" s="196"/>
      <c r="J139" s="196"/>
    </row>
    <row r="140" spans="1:10" x14ac:dyDescent="0.25">
      <c r="A140" s="189"/>
      <c r="B140" s="189"/>
      <c r="C140" s="189"/>
      <c r="D140" s="196"/>
      <c r="E140" s="196"/>
      <c r="F140" s="196"/>
      <c r="G140" s="196"/>
      <c r="H140" s="196"/>
      <c r="I140" s="196"/>
      <c r="J140" s="196"/>
    </row>
    <row r="141" spans="1:10" x14ac:dyDescent="0.25">
      <c r="A141" s="189"/>
      <c r="B141" s="189"/>
      <c r="C141" s="189"/>
      <c r="D141" s="196"/>
      <c r="E141" s="196"/>
      <c r="F141" s="196"/>
      <c r="G141" s="196"/>
      <c r="H141" s="196"/>
      <c r="I141" s="196"/>
      <c r="J141" s="196"/>
    </row>
    <row r="142" spans="1:10" x14ac:dyDescent="0.25">
      <c r="A142" s="189"/>
      <c r="B142" s="189"/>
      <c r="C142" s="189"/>
      <c r="D142" s="196"/>
      <c r="E142" s="196"/>
      <c r="F142" s="196"/>
      <c r="G142" s="196"/>
      <c r="H142" s="196"/>
      <c r="I142" s="196"/>
      <c r="J142" s="196"/>
    </row>
    <row r="143" spans="1:10" x14ac:dyDescent="0.25">
      <c r="A143" s="189"/>
      <c r="B143" s="189"/>
      <c r="C143" s="189"/>
      <c r="D143" s="196"/>
      <c r="E143" s="196"/>
      <c r="F143" s="196"/>
      <c r="G143" s="196"/>
      <c r="H143" s="196"/>
      <c r="I143" s="196"/>
      <c r="J143" s="196"/>
    </row>
    <row r="144" spans="1:10" x14ac:dyDescent="0.25">
      <c r="A144" s="189"/>
      <c r="B144" s="189"/>
      <c r="C144" s="189"/>
      <c r="D144" s="196"/>
      <c r="E144" s="196"/>
      <c r="F144" s="196"/>
      <c r="G144" s="196"/>
      <c r="H144" s="196"/>
      <c r="I144" s="196"/>
      <c r="J144" s="196"/>
    </row>
    <row r="145" spans="1:10" x14ac:dyDescent="0.25">
      <c r="A145" s="189"/>
      <c r="B145" s="189"/>
      <c r="C145" s="189"/>
      <c r="D145" s="196"/>
      <c r="E145" s="196"/>
      <c r="F145" s="196"/>
      <c r="G145" s="196"/>
      <c r="H145" s="196"/>
      <c r="I145" s="196"/>
      <c r="J145" s="196"/>
    </row>
    <row r="146" spans="1:10" x14ac:dyDescent="0.25">
      <c r="A146" s="189"/>
      <c r="B146" s="189"/>
      <c r="C146" s="189"/>
      <c r="D146" s="196"/>
      <c r="E146" s="196"/>
      <c r="F146" s="196"/>
      <c r="G146" s="196"/>
      <c r="H146" s="196"/>
      <c r="I146" s="196"/>
      <c r="J146" s="196"/>
    </row>
    <row r="147" spans="1:10" x14ac:dyDescent="0.25">
      <c r="A147" s="189"/>
      <c r="B147" s="189"/>
      <c r="C147" s="189"/>
      <c r="D147" s="196"/>
      <c r="E147" s="196"/>
      <c r="F147" s="196"/>
      <c r="G147" s="196"/>
      <c r="H147" s="196"/>
      <c r="I147" s="196"/>
      <c r="J147" s="196"/>
    </row>
    <row r="148" spans="1:10" x14ac:dyDescent="0.25">
      <c r="A148" s="189"/>
      <c r="B148" s="189"/>
      <c r="C148" s="189"/>
      <c r="D148" s="196"/>
      <c r="E148" s="196"/>
      <c r="F148" s="196"/>
      <c r="G148" s="196"/>
      <c r="H148" s="196"/>
      <c r="I148" s="196"/>
      <c r="J148" s="196"/>
    </row>
    <row r="149" spans="1:10" x14ac:dyDescent="0.25">
      <c r="A149" s="189"/>
      <c r="B149" s="189"/>
      <c r="C149" s="189"/>
      <c r="D149" s="196"/>
      <c r="E149" s="196"/>
      <c r="F149" s="196"/>
      <c r="G149" s="196"/>
      <c r="H149" s="196"/>
      <c r="I149" s="196"/>
      <c r="J149" s="196"/>
    </row>
    <row r="150" spans="1:10" x14ac:dyDescent="0.25">
      <c r="A150" s="189"/>
      <c r="B150" s="189"/>
      <c r="C150" s="189"/>
      <c r="D150" s="196"/>
      <c r="E150" s="196"/>
      <c r="F150" s="196"/>
      <c r="G150" s="196"/>
      <c r="H150" s="196"/>
      <c r="I150" s="196"/>
      <c r="J150" s="196"/>
    </row>
    <row r="151" spans="1:10" x14ac:dyDescent="0.25">
      <c r="A151" s="189"/>
      <c r="B151" s="189"/>
      <c r="C151" s="189"/>
      <c r="D151" s="196"/>
      <c r="E151" s="196"/>
      <c r="F151" s="196"/>
      <c r="G151" s="196"/>
      <c r="H151" s="196"/>
      <c r="I151" s="196"/>
      <c r="J151" s="196"/>
    </row>
    <row r="152" spans="1:10" x14ac:dyDescent="0.25">
      <c r="A152" s="189"/>
      <c r="B152" s="189"/>
      <c r="C152" s="189"/>
      <c r="D152" s="196"/>
      <c r="E152" s="196"/>
      <c r="F152" s="196"/>
      <c r="G152" s="196"/>
      <c r="H152" s="196"/>
      <c r="I152" s="196"/>
      <c r="J152" s="196"/>
    </row>
    <row r="153" spans="1:10" x14ac:dyDescent="0.25">
      <c r="A153" s="189"/>
      <c r="B153" s="189"/>
      <c r="C153" s="189"/>
      <c r="D153" s="196"/>
      <c r="E153" s="196"/>
      <c r="F153" s="196"/>
      <c r="G153" s="196"/>
      <c r="H153" s="196"/>
      <c r="I153" s="196"/>
      <c r="J153" s="196"/>
    </row>
    <row r="154" spans="1:10" x14ac:dyDescent="0.25">
      <c r="A154" s="189"/>
      <c r="B154" s="189"/>
      <c r="C154" s="189"/>
      <c r="D154" s="196"/>
      <c r="E154" s="196"/>
      <c r="F154" s="196"/>
      <c r="G154" s="196"/>
      <c r="H154" s="196"/>
      <c r="I154" s="196"/>
      <c r="J154" s="196"/>
    </row>
    <row r="155" spans="1:10" x14ac:dyDescent="0.25">
      <c r="A155" s="189"/>
      <c r="B155" s="189"/>
      <c r="C155" s="189"/>
      <c r="D155" s="196"/>
      <c r="E155" s="196"/>
      <c r="F155" s="196"/>
      <c r="G155" s="196"/>
      <c r="H155" s="196"/>
      <c r="I155" s="196"/>
      <c r="J155" s="196"/>
    </row>
    <row r="156" spans="1:10" x14ac:dyDescent="0.25">
      <c r="A156" s="189"/>
      <c r="B156" s="189"/>
      <c r="C156" s="189"/>
      <c r="D156" s="196"/>
      <c r="E156" s="196"/>
      <c r="F156" s="196"/>
      <c r="G156" s="196"/>
      <c r="H156" s="196"/>
      <c r="I156" s="196"/>
      <c r="J156" s="196"/>
    </row>
    <row r="157" spans="1:10" x14ac:dyDescent="0.25">
      <c r="A157" s="189"/>
      <c r="B157" s="189"/>
      <c r="C157" s="189"/>
      <c r="D157" s="196"/>
      <c r="E157" s="196"/>
      <c r="F157" s="196"/>
      <c r="G157" s="196"/>
      <c r="H157" s="196"/>
      <c r="I157" s="196"/>
      <c r="J157" s="196"/>
    </row>
    <row r="158" spans="1:10" x14ac:dyDescent="0.25">
      <c r="A158" s="189"/>
      <c r="B158" s="189"/>
      <c r="C158" s="189"/>
      <c r="D158" s="196"/>
      <c r="E158" s="196"/>
      <c r="F158" s="196"/>
      <c r="G158" s="196"/>
      <c r="H158" s="196"/>
      <c r="I158" s="196"/>
      <c r="J158" s="196"/>
    </row>
    <row r="159" spans="1:10" x14ac:dyDescent="0.25">
      <c r="A159" s="189"/>
      <c r="B159" s="189"/>
      <c r="C159" s="189"/>
      <c r="D159" s="196"/>
      <c r="E159" s="196"/>
      <c r="F159" s="196"/>
      <c r="G159" s="196"/>
      <c r="H159" s="196"/>
      <c r="I159" s="196"/>
      <c r="J159" s="196"/>
    </row>
    <row r="160" spans="1:10" x14ac:dyDescent="0.25">
      <c r="A160" s="189"/>
      <c r="B160" s="189"/>
      <c r="C160" s="189"/>
      <c r="D160" s="196"/>
      <c r="E160" s="196"/>
      <c r="F160" s="196"/>
      <c r="G160" s="196"/>
      <c r="H160" s="196"/>
      <c r="I160" s="196"/>
      <c r="J160" s="196"/>
    </row>
    <row r="161" spans="1:10" x14ac:dyDescent="0.25">
      <c r="A161" s="189"/>
      <c r="B161" s="189"/>
      <c r="C161" s="189"/>
      <c r="D161" s="196"/>
      <c r="E161" s="196"/>
      <c r="F161" s="196"/>
      <c r="G161" s="196"/>
      <c r="H161" s="196"/>
      <c r="I161" s="196"/>
      <c r="J161" s="196"/>
    </row>
    <row r="162" spans="1:10" x14ac:dyDescent="0.25">
      <c r="A162" s="189"/>
      <c r="B162" s="189"/>
      <c r="C162" s="189"/>
      <c r="D162" s="196"/>
      <c r="E162" s="196"/>
      <c r="F162" s="196"/>
      <c r="G162" s="196"/>
      <c r="H162" s="196"/>
      <c r="I162" s="196"/>
      <c r="J162" s="196"/>
    </row>
    <row r="163" spans="1:10" x14ac:dyDescent="0.25">
      <c r="A163" s="189"/>
      <c r="B163" s="189"/>
      <c r="C163" s="189"/>
      <c r="D163" s="196"/>
      <c r="E163" s="196"/>
      <c r="F163" s="196"/>
      <c r="G163" s="196"/>
      <c r="H163" s="196"/>
      <c r="I163" s="196"/>
      <c r="J163" s="196"/>
    </row>
    <row r="164" spans="1:10" x14ac:dyDescent="0.25">
      <c r="A164" s="189"/>
      <c r="B164" s="189"/>
      <c r="C164" s="189"/>
      <c r="D164" s="196"/>
      <c r="E164" s="196"/>
      <c r="F164" s="196"/>
      <c r="G164" s="196"/>
      <c r="H164" s="196"/>
      <c r="I164" s="196"/>
      <c r="J164" s="196"/>
    </row>
    <row r="165" spans="1:10" x14ac:dyDescent="0.25">
      <c r="A165" s="189"/>
      <c r="B165" s="189"/>
      <c r="C165" s="189"/>
      <c r="D165" s="196"/>
      <c r="E165" s="196"/>
      <c r="F165" s="196"/>
      <c r="G165" s="196"/>
      <c r="H165" s="196"/>
      <c r="I165" s="196"/>
      <c r="J165" s="196"/>
    </row>
    <row r="166" spans="1:10" x14ac:dyDescent="0.25">
      <c r="A166" s="189"/>
      <c r="B166" s="189"/>
      <c r="C166" s="189"/>
      <c r="D166" s="196"/>
      <c r="E166" s="196"/>
      <c r="F166" s="196"/>
      <c r="G166" s="196"/>
      <c r="H166" s="196"/>
      <c r="I166" s="196"/>
      <c r="J166" s="196"/>
    </row>
    <row r="167" spans="1:10" x14ac:dyDescent="0.25">
      <c r="A167" s="189"/>
      <c r="B167" s="189"/>
      <c r="C167" s="189"/>
      <c r="D167" s="196"/>
      <c r="E167" s="196"/>
      <c r="F167" s="196"/>
      <c r="G167" s="196"/>
      <c r="H167" s="196"/>
      <c r="I167" s="196"/>
      <c r="J167" s="196"/>
    </row>
    <row r="168" spans="1:10" x14ac:dyDescent="0.25">
      <c r="A168" s="189"/>
      <c r="B168" s="189"/>
      <c r="C168" s="189"/>
      <c r="D168" s="196"/>
      <c r="E168" s="196"/>
      <c r="F168" s="196"/>
      <c r="G168" s="196"/>
      <c r="H168" s="196"/>
      <c r="I168" s="196"/>
      <c r="J168" s="196"/>
    </row>
    <row r="169" spans="1:10" x14ac:dyDescent="0.25">
      <c r="A169" s="189"/>
      <c r="B169" s="189"/>
      <c r="C169" s="189"/>
      <c r="D169" s="196"/>
      <c r="E169" s="196"/>
      <c r="F169" s="196"/>
      <c r="G169" s="196"/>
      <c r="H169" s="196"/>
      <c r="I169" s="196"/>
      <c r="J169" s="196"/>
    </row>
    <row r="170" spans="1:10" x14ac:dyDescent="0.25">
      <c r="A170" s="189"/>
      <c r="B170" s="189"/>
      <c r="C170" s="189"/>
      <c r="D170" s="196"/>
      <c r="E170" s="196"/>
      <c r="F170" s="196"/>
      <c r="G170" s="196"/>
      <c r="H170" s="196"/>
      <c r="I170" s="196"/>
      <c r="J170" s="196"/>
    </row>
    <row r="171" spans="1:10" x14ac:dyDescent="0.25">
      <c r="A171" s="189"/>
      <c r="B171" s="189"/>
      <c r="C171" s="189"/>
      <c r="D171" s="196"/>
      <c r="E171" s="196"/>
      <c r="F171" s="196"/>
      <c r="G171" s="196"/>
      <c r="H171" s="196"/>
      <c r="I171" s="196"/>
      <c r="J171" s="196"/>
    </row>
    <row r="172" spans="1:10" x14ac:dyDescent="0.25">
      <c r="A172" s="189"/>
      <c r="B172" s="189"/>
      <c r="C172" s="189"/>
      <c r="D172" s="196"/>
      <c r="E172" s="196"/>
      <c r="F172" s="196"/>
      <c r="G172" s="196"/>
      <c r="H172" s="196"/>
      <c r="I172" s="196"/>
      <c r="J172" s="196"/>
    </row>
    <row r="173" spans="1:10" x14ac:dyDescent="0.25">
      <c r="A173" s="189"/>
      <c r="B173" s="189"/>
      <c r="C173" s="189"/>
      <c r="D173" s="196"/>
      <c r="E173" s="196"/>
      <c r="F173" s="196"/>
      <c r="G173" s="196"/>
      <c r="H173" s="196"/>
      <c r="I173" s="196"/>
      <c r="J173" s="196"/>
    </row>
    <row r="174" spans="1:10" x14ac:dyDescent="0.25">
      <c r="A174" s="189"/>
      <c r="B174" s="189"/>
      <c r="C174" s="189"/>
      <c r="D174" s="196"/>
      <c r="E174" s="196"/>
      <c r="F174" s="196"/>
      <c r="G174" s="196"/>
      <c r="H174" s="196"/>
      <c r="I174" s="196"/>
      <c r="J174" s="196"/>
    </row>
    <row r="175" spans="1:10" x14ac:dyDescent="0.25">
      <c r="A175" s="189"/>
      <c r="B175" s="189"/>
      <c r="C175" s="189"/>
      <c r="D175" s="196"/>
      <c r="E175" s="196"/>
      <c r="F175" s="196"/>
      <c r="G175" s="196"/>
      <c r="H175" s="196"/>
      <c r="I175" s="196"/>
      <c r="J175" s="196"/>
    </row>
    <row r="176" spans="1:10" x14ac:dyDescent="0.25">
      <c r="A176" s="189"/>
      <c r="B176" s="189"/>
      <c r="C176" s="189"/>
      <c r="D176" s="196"/>
      <c r="E176" s="196"/>
      <c r="F176" s="196"/>
      <c r="G176" s="196"/>
      <c r="H176" s="196"/>
      <c r="I176" s="196"/>
      <c r="J176" s="196"/>
    </row>
    <row r="177" spans="1:10" x14ac:dyDescent="0.25">
      <c r="A177" s="189"/>
      <c r="B177" s="189"/>
      <c r="C177" s="189"/>
      <c r="D177" s="196"/>
      <c r="E177" s="196"/>
      <c r="F177" s="196"/>
      <c r="G177" s="196"/>
      <c r="H177" s="196"/>
      <c r="I177" s="196"/>
      <c r="J177" s="196"/>
    </row>
    <row r="178" spans="1:10" x14ac:dyDescent="0.25">
      <c r="A178" s="189"/>
      <c r="B178" s="189"/>
      <c r="C178" s="189"/>
      <c r="D178" s="196"/>
      <c r="E178" s="196"/>
      <c r="F178" s="196"/>
      <c r="G178" s="196"/>
      <c r="H178" s="196"/>
      <c r="I178" s="196"/>
      <c r="J178" s="196"/>
    </row>
    <row r="179" spans="1:10" x14ac:dyDescent="0.25">
      <c r="A179" s="189"/>
      <c r="B179" s="189"/>
      <c r="C179" s="189"/>
      <c r="D179" s="196"/>
      <c r="E179" s="196"/>
      <c r="F179" s="196"/>
      <c r="G179" s="196"/>
      <c r="H179" s="196"/>
      <c r="I179" s="196"/>
      <c r="J179" s="196"/>
    </row>
    <row r="180" spans="1:10" x14ac:dyDescent="0.25">
      <c r="A180" s="189"/>
      <c r="B180" s="189"/>
      <c r="C180" s="189"/>
      <c r="D180" s="196"/>
      <c r="E180" s="196"/>
      <c r="F180" s="196"/>
      <c r="G180" s="196"/>
      <c r="H180" s="196"/>
      <c r="I180" s="196"/>
      <c r="J180" s="196"/>
    </row>
    <row r="181" spans="1:10" x14ac:dyDescent="0.25">
      <c r="A181" s="189"/>
      <c r="B181" s="189"/>
      <c r="C181" s="189"/>
      <c r="D181" s="196"/>
      <c r="E181" s="196"/>
      <c r="F181" s="196"/>
      <c r="G181" s="196"/>
      <c r="H181" s="196"/>
      <c r="I181" s="196"/>
      <c r="J181" s="196"/>
    </row>
    <row r="182" spans="1:10" x14ac:dyDescent="0.25">
      <c r="A182" s="189"/>
      <c r="B182" s="189"/>
      <c r="C182" s="189"/>
      <c r="D182" s="196"/>
      <c r="E182" s="196"/>
      <c r="F182" s="196"/>
      <c r="G182" s="196"/>
      <c r="H182" s="196"/>
      <c r="I182" s="196"/>
      <c r="J182" s="196"/>
    </row>
    <row r="183" spans="1:10" x14ac:dyDescent="0.25">
      <c r="A183" s="189"/>
      <c r="B183" s="189"/>
      <c r="C183" s="189"/>
      <c r="D183" s="196"/>
      <c r="E183" s="196"/>
      <c r="F183" s="196"/>
      <c r="G183" s="196"/>
      <c r="H183" s="196"/>
      <c r="I183" s="196"/>
      <c r="J183" s="196"/>
    </row>
    <row r="184" spans="1:10" x14ac:dyDescent="0.25">
      <c r="A184" s="189"/>
      <c r="B184" s="189"/>
      <c r="C184" s="189"/>
      <c r="D184" s="196"/>
      <c r="E184" s="196"/>
      <c r="F184" s="196"/>
      <c r="G184" s="196"/>
      <c r="H184" s="196"/>
      <c r="I184" s="196"/>
      <c r="J184" s="196"/>
    </row>
    <row r="185" spans="1:10" x14ac:dyDescent="0.25">
      <c r="A185" s="189"/>
      <c r="B185" s="189"/>
      <c r="C185" s="189"/>
      <c r="D185" s="196"/>
      <c r="E185" s="196"/>
      <c r="F185" s="196"/>
      <c r="G185" s="196"/>
      <c r="H185" s="196"/>
      <c r="I185" s="196"/>
      <c r="J185" s="196"/>
    </row>
    <row r="186" spans="1:10" x14ac:dyDescent="0.25">
      <c r="A186" s="189"/>
      <c r="B186" s="189"/>
      <c r="C186" s="189"/>
      <c r="D186" s="196"/>
      <c r="E186" s="196"/>
      <c r="F186" s="196"/>
      <c r="G186" s="196"/>
      <c r="H186" s="196"/>
      <c r="I186" s="196"/>
      <c r="J186" s="196"/>
    </row>
    <row r="187" spans="1:10" x14ac:dyDescent="0.25">
      <c r="A187" s="189"/>
      <c r="B187" s="189"/>
      <c r="C187" s="189"/>
      <c r="D187" s="196"/>
      <c r="E187" s="196"/>
      <c r="F187" s="196"/>
      <c r="G187" s="196"/>
      <c r="H187" s="196"/>
      <c r="I187" s="196"/>
      <c r="J187" s="196"/>
    </row>
    <row r="188" spans="1:10" x14ac:dyDescent="0.25">
      <c r="A188" s="189"/>
      <c r="B188" s="189"/>
      <c r="C188" s="189"/>
      <c r="D188" s="196"/>
      <c r="E188" s="196"/>
      <c r="F188" s="196"/>
      <c r="G188" s="196"/>
      <c r="H188" s="196"/>
      <c r="I188" s="196"/>
      <c r="J188" s="196"/>
    </row>
    <row r="189" spans="1:10" x14ac:dyDescent="0.25">
      <c r="A189" s="189"/>
      <c r="B189" s="189"/>
      <c r="C189" s="189"/>
      <c r="D189" s="196"/>
      <c r="E189" s="196"/>
      <c r="F189" s="196"/>
      <c r="G189" s="196"/>
      <c r="H189" s="196"/>
      <c r="I189" s="196"/>
      <c r="J189" s="196"/>
    </row>
    <row r="190" spans="1:10" x14ac:dyDescent="0.25">
      <c r="A190" s="189"/>
      <c r="B190" s="189"/>
      <c r="C190" s="189"/>
      <c r="D190" s="196"/>
      <c r="E190" s="196"/>
      <c r="F190" s="196"/>
      <c r="G190" s="196"/>
      <c r="H190" s="196"/>
      <c r="I190" s="196"/>
      <c r="J190" s="196"/>
    </row>
    <row r="191" spans="1:10" x14ac:dyDescent="0.25">
      <c r="A191" s="189"/>
      <c r="B191" s="189"/>
      <c r="C191" s="189"/>
      <c r="D191" s="196"/>
      <c r="E191" s="196"/>
      <c r="F191" s="196"/>
      <c r="G191" s="196"/>
      <c r="H191" s="196"/>
      <c r="I191" s="196"/>
      <c r="J191" s="196"/>
    </row>
    <row r="192" spans="1:10" x14ac:dyDescent="0.25">
      <c r="A192" s="189"/>
      <c r="B192" s="189"/>
      <c r="C192" s="189"/>
      <c r="D192" s="196"/>
      <c r="E192" s="196"/>
      <c r="F192" s="196"/>
      <c r="G192" s="196"/>
      <c r="H192" s="196"/>
      <c r="I192" s="196"/>
      <c r="J192" s="196"/>
    </row>
    <row r="193" spans="1:10" x14ac:dyDescent="0.25">
      <c r="A193" s="189"/>
      <c r="B193" s="189"/>
      <c r="C193" s="189"/>
      <c r="D193" s="196"/>
      <c r="E193" s="196"/>
      <c r="F193" s="196"/>
      <c r="G193" s="196"/>
      <c r="H193" s="196"/>
      <c r="I193" s="196"/>
      <c r="J193" s="196"/>
    </row>
    <row r="194" spans="1:10" x14ac:dyDescent="0.25">
      <c r="A194" s="189"/>
      <c r="B194" s="189"/>
      <c r="C194" s="189"/>
      <c r="D194" s="196"/>
      <c r="E194" s="196"/>
      <c r="F194" s="196"/>
      <c r="G194" s="196"/>
      <c r="H194" s="196"/>
      <c r="I194" s="196"/>
      <c r="J194" s="196"/>
    </row>
    <row r="195" spans="1:10" x14ac:dyDescent="0.25">
      <c r="A195" s="189"/>
      <c r="B195" s="189"/>
      <c r="C195" s="189"/>
      <c r="D195" s="196"/>
      <c r="E195" s="196"/>
      <c r="F195" s="196"/>
      <c r="G195" s="196"/>
      <c r="H195" s="196"/>
      <c r="I195" s="196"/>
      <c r="J195" s="196"/>
    </row>
    <row r="196" spans="1:10" x14ac:dyDescent="0.25">
      <c r="A196" s="189"/>
      <c r="B196" s="189"/>
      <c r="C196" s="189"/>
      <c r="D196" s="196"/>
      <c r="E196" s="196"/>
      <c r="F196" s="196"/>
      <c r="G196" s="196"/>
      <c r="H196" s="196"/>
      <c r="I196" s="196"/>
      <c r="J196" s="196"/>
    </row>
    <row r="197" spans="1:10" x14ac:dyDescent="0.25">
      <c r="A197" s="189"/>
      <c r="B197" s="189"/>
      <c r="C197" s="189"/>
      <c r="D197" s="196"/>
      <c r="E197" s="196"/>
      <c r="F197" s="196"/>
      <c r="G197" s="196"/>
      <c r="H197" s="196"/>
      <c r="I197" s="196"/>
      <c r="J197" s="196"/>
    </row>
    <row r="198" spans="1:10" x14ac:dyDescent="0.25">
      <c r="A198" s="189"/>
      <c r="B198" s="189"/>
      <c r="C198" s="189"/>
      <c r="D198" s="196"/>
      <c r="E198" s="196"/>
      <c r="F198" s="196"/>
      <c r="G198" s="196"/>
      <c r="H198" s="196"/>
      <c r="I198" s="196"/>
      <c r="J198" s="196"/>
    </row>
    <row r="199" spans="1:10" x14ac:dyDescent="0.25">
      <c r="A199" s="189"/>
      <c r="B199" s="189"/>
      <c r="C199" s="189"/>
      <c r="D199" s="196"/>
      <c r="E199" s="196"/>
      <c r="F199" s="196"/>
      <c r="G199" s="196"/>
      <c r="H199" s="196"/>
      <c r="I199" s="196"/>
      <c r="J199" s="196"/>
    </row>
    <row r="200" spans="1:10" x14ac:dyDescent="0.25">
      <c r="A200" s="189"/>
      <c r="B200" s="189"/>
      <c r="C200" s="189"/>
      <c r="D200" s="196"/>
      <c r="E200" s="196"/>
      <c r="F200" s="196"/>
      <c r="G200" s="196"/>
      <c r="H200" s="196"/>
      <c r="I200" s="196"/>
      <c r="J200" s="196"/>
    </row>
    <row r="201" spans="1:10" x14ac:dyDescent="0.25">
      <c r="A201" s="189"/>
      <c r="B201" s="189"/>
      <c r="C201" s="189"/>
      <c r="D201" s="196"/>
      <c r="E201" s="196"/>
      <c r="F201" s="196"/>
      <c r="G201" s="196"/>
      <c r="H201" s="196"/>
      <c r="I201" s="196"/>
      <c r="J201" s="196"/>
    </row>
    <row r="202" spans="1:10" x14ac:dyDescent="0.25">
      <c r="A202" s="189"/>
      <c r="B202" s="189"/>
      <c r="C202" s="189"/>
      <c r="D202" s="196"/>
      <c r="E202" s="196"/>
      <c r="F202" s="196"/>
      <c r="G202" s="196"/>
      <c r="H202" s="196"/>
      <c r="I202" s="196"/>
      <c r="J202" s="196"/>
    </row>
    <row r="203" spans="1:10" x14ac:dyDescent="0.25">
      <c r="A203" s="189"/>
      <c r="B203" s="189"/>
      <c r="C203" s="189"/>
      <c r="D203" s="196"/>
      <c r="E203" s="196"/>
      <c r="F203" s="196"/>
      <c r="G203" s="196"/>
      <c r="H203" s="196"/>
      <c r="I203" s="196"/>
      <c r="J203" s="196"/>
    </row>
    <row r="204" spans="1:10" x14ac:dyDescent="0.25">
      <c r="A204" s="189"/>
      <c r="B204" s="189"/>
      <c r="C204" s="189"/>
      <c r="D204" s="196"/>
      <c r="E204" s="196"/>
      <c r="F204" s="196"/>
      <c r="G204" s="196"/>
      <c r="H204" s="196"/>
      <c r="I204" s="196"/>
      <c r="J204" s="196"/>
    </row>
    <row r="205" spans="1:10" x14ac:dyDescent="0.25">
      <c r="A205" s="189"/>
      <c r="B205" s="189"/>
      <c r="C205" s="189"/>
      <c r="D205" s="196"/>
      <c r="E205" s="196"/>
      <c r="F205" s="196"/>
      <c r="G205" s="196"/>
      <c r="H205" s="196"/>
      <c r="I205" s="196"/>
      <c r="J205" s="196"/>
    </row>
    <row r="206" spans="1:10" x14ac:dyDescent="0.25">
      <c r="A206" s="189"/>
      <c r="B206" s="189"/>
      <c r="C206" s="189"/>
      <c r="D206" s="196"/>
      <c r="E206" s="196"/>
      <c r="F206" s="196"/>
      <c r="G206" s="196"/>
      <c r="H206" s="196"/>
      <c r="I206" s="196"/>
      <c r="J206" s="196"/>
    </row>
    <row r="207" spans="1:10" x14ac:dyDescent="0.25">
      <c r="A207" s="189"/>
      <c r="B207" s="189"/>
      <c r="C207" s="189"/>
      <c r="D207" s="196"/>
      <c r="E207" s="196"/>
      <c r="F207" s="196"/>
      <c r="G207" s="196"/>
      <c r="H207" s="196"/>
      <c r="I207" s="196"/>
      <c r="J207" s="196"/>
    </row>
    <row r="208" spans="1:10" x14ac:dyDescent="0.25">
      <c r="A208" s="189"/>
      <c r="B208" s="189"/>
      <c r="C208" s="189"/>
      <c r="D208" s="196"/>
      <c r="E208" s="196"/>
      <c r="F208" s="196"/>
      <c r="G208" s="196"/>
      <c r="H208" s="196"/>
      <c r="I208" s="196"/>
      <c r="J208" s="196"/>
    </row>
    <row r="209" spans="1:10" x14ac:dyDescent="0.25">
      <c r="A209" s="189"/>
      <c r="B209" s="189"/>
      <c r="C209" s="189"/>
      <c r="D209" s="196"/>
      <c r="E209" s="196"/>
      <c r="F209" s="196"/>
      <c r="G209" s="196"/>
      <c r="H209" s="196"/>
      <c r="I209" s="196"/>
      <c r="J209" s="196"/>
    </row>
    <row r="210" spans="1:10" x14ac:dyDescent="0.25">
      <c r="A210" s="189"/>
      <c r="B210" s="189"/>
      <c r="C210" s="189"/>
      <c r="D210" s="196"/>
      <c r="E210" s="196"/>
      <c r="F210" s="196"/>
      <c r="G210" s="196"/>
      <c r="H210" s="196"/>
      <c r="I210" s="196"/>
      <c r="J210" s="196"/>
    </row>
    <row r="211" spans="1:10" x14ac:dyDescent="0.25">
      <c r="A211" s="189"/>
      <c r="B211" s="189"/>
      <c r="C211" s="189"/>
      <c r="D211" s="196"/>
      <c r="E211" s="196"/>
      <c r="F211" s="196"/>
      <c r="G211" s="196"/>
      <c r="H211" s="196"/>
      <c r="I211" s="196"/>
      <c r="J211" s="196"/>
    </row>
    <row r="212" spans="1:10" x14ac:dyDescent="0.25">
      <c r="A212" s="189"/>
      <c r="B212" s="189"/>
      <c r="C212" s="189"/>
      <c r="D212" s="196"/>
      <c r="E212" s="196"/>
      <c r="F212" s="196"/>
      <c r="G212" s="196"/>
      <c r="H212" s="196"/>
      <c r="I212" s="196"/>
      <c r="J212" s="196"/>
    </row>
    <row r="213" spans="1:10" x14ac:dyDescent="0.25">
      <c r="A213" s="189"/>
      <c r="B213" s="189"/>
      <c r="C213" s="189"/>
      <c r="D213" s="196"/>
      <c r="E213" s="196"/>
      <c r="F213" s="196"/>
      <c r="G213" s="196"/>
      <c r="H213" s="196"/>
      <c r="I213" s="196"/>
      <c r="J213" s="196"/>
    </row>
    <row r="214" spans="1:10" x14ac:dyDescent="0.25">
      <c r="A214" s="189"/>
      <c r="B214" s="189"/>
      <c r="C214" s="189"/>
      <c r="D214" s="196"/>
      <c r="E214" s="196"/>
      <c r="F214" s="196"/>
      <c r="G214" s="196"/>
      <c r="H214" s="196"/>
      <c r="I214" s="196"/>
      <c r="J214" s="196"/>
    </row>
    <row r="215" spans="1:10" x14ac:dyDescent="0.25">
      <c r="A215" s="189"/>
      <c r="B215" s="189"/>
      <c r="C215" s="189"/>
      <c r="D215" s="196"/>
      <c r="E215" s="196"/>
      <c r="F215" s="196"/>
      <c r="G215" s="196"/>
      <c r="H215" s="196"/>
      <c r="I215" s="196"/>
      <c r="J215" s="196"/>
    </row>
    <row r="216" spans="1:10" x14ac:dyDescent="0.25">
      <c r="A216" s="189"/>
      <c r="B216" s="189"/>
      <c r="C216" s="189"/>
      <c r="D216" s="196"/>
      <c r="E216" s="196"/>
      <c r="F216" s="196"/>
      <c r="G216" s="196"/>
      <c r="H216" s="196"/>
      <c r="I216" s="196"/>
      <c r="J216" s="196"/>
    </row>
    <row r="217" spans="1:10" x14ac:dyDescent="0.25">
      <c r="A217" s="189"/>
      <c r="B217" s="189"/>
      <c r="C217" s="189"/>
      <c r="D217" s="196"/>
      <c r="E217" s="196"/>
      <c r="F217" s="196"/>
      <c r="G217" s="196"/>
      <c r="H217" s="196"/>
      <c r="I217" s="196"/>
      <c r="J217" s="196"/>
    </row>
    <row r="218" spans="1:10" x14ac:dyDescent="0.25">
      <c r="A218" s="189"/>
      <c r="B218" s="189"/>
      <c r="C218" s="189"/>
      <c r="D218" s="196"/>
      <c r="E218" s="196"/>
      <c r="F218" s="196"/>
      <c r="G218" s="196"/>
      <c r="H218" s="196"/>
      <c r="I218" s="196"/>
      <c r="J218" s="196"/>
    </row>
    <row r="219" spans="1:10" x14ac:dyDescent="0.25">
      <c r="A219" s="189"/>
      <c r="B219" s="189"/>
      <c r="C219" s="189"/>
      <c r="D219" s="196"/>
      <c r="E219" s="196"/>
      <c r="F219" s="196"/>
      <c r="G219" s="196"/>
      <c r="H219" s="196"/>
      <c r="I219" s="196"/>
      <c r="J219" s="196"/>
    </row>
    <row r="220" spans="1:10" x14ac:dyDescent="0.25">
      <c r="A220" s="189"/>
      <c r="B220" s="189"/>
      <c r="C220" s="189"/>
      <c r="D220" s="196"/>
      <c r="E220" s="196"/>
      <c r="F220" s="196"/>
      <c r="G220" s="196"/>
      <c r="H220" s="196"/>
      <c r="I220" s="196"/>
      <c r="J220" s="196"/>
    </row>
    <row r="221" spans="1:10" x14ac:dyDescent="0.25">
      <c r="A221" s="189"/>
      <c r="B221" s="189"/>
      <c r="C221" s="189"/>
      <c r="D221" s="196"/>
      <c r="E221" s="196"/>
      <c r="F221" s="196"/>
      <c r="G221" s="196"/>
      <c r="H221" s="196"/>
      <c r="I221" s="196"/>
      <c r="J221" s="196"/>
    </row>
    <row r="222" spans="1:10" x14ac:dyDescent="0.25">
      <c r="A222" s="189"/>
      <c r="B222" s="189"/>
      <c r="C222" s="189"/>
      <c r="D222" s="196"/>
      <c r="E222" s="196"/>
      <c r="F222" s="196"/>
      <c r="G222" s="196"/>
      <c r="H222" s="196"/>
      <c r="I222" s="196"/>
      <c r="J222" s="196"/>
    </row>
    <row r="223" spans="1:10" x14ac:dyDescent="0.25">
      <c r="A223" s="189"/>
      <c r="B223" s="189"/>
      <c r="C223" s="189"/>
      <c r="D223" s="196"/>
      <c r="E223" s="196"/>
      <c r="F223" s="196"/>
      <c r="G223" s="196"/>
      <c r="H223" s="196"/>
      <c r="I223" s="196"/>
      <c r="J223" s="196"/>
    </row>
    <row r="224" spans="1:10" x14ac:dyDescent="0.25">
      <c r="A224" s="189"/>
      <c r="B224" s="189"/>
      <c r="C224" s="189"/>
      <c r="D224" s="196"/>
      <c r="E224" s="196"/>
      <c r="F224" s="196"/>
      <c r="G224" s="196"/>
      <c r="H224" s="196"/>
      <c r="I224" s="196"/>
      <c r="J224" s="196"/>
    </row>
    <row r="225" spans="1:10" x14ac:dyDescent="0.25">
      <c r="A225" s="189"/>
      <c r="B225" s="189"/>
      <c r="C225" s="189"/>
      <c r="D225" s="196"/>
      <c r="E225" s="196"/>
      <c r="F225" s="196"/>
      <c r="G225" s="196"/>
      <c r="H225" s="196"/>
      <c r="I225" s="196"/>
      <c r="J225" s="196"/>
    </row>
    <row r="226" spans="1:10" x14ac:dyDescent="0.25">
      <c r="A226" s="189"/>
      <c r="B226" s="189"/>
      <c r="C226" s="189"/>
      <c r="D226" s="196"/>
      <c r="E226" s="196"/>
      <c r="F226" s="196"/>
      <c r="G226" s="196"/>
      <c r="H226" s="196"/>
      <c r="I226" s="196"/>
      <c r="J226" s="196"/>
    </row>
    <row r="227" spans="1:10" x14ac:dyDescent="0.25">
      <c r="A227" s="189"/>
      <c r="B227" s="189"/>
      <c r="C227" s="189"/>
      <c r="D227" s="196"/>
      <c r="E227" s="196"/>
      <c r="F227" s="196"/>
      <c r="G227" s="196"/>
      <c r="H227" s="196"/>
      <c r="I227" s="196"/>
      <c r="J227" s="196"/>
    </row>
    <row r="228" spans="1:10" x14ac:dyDescent="0.25">
      <c r="A228" s="189"/>
      <c r="B228" s="189"/>
      <c r="C228" s="189"/>
      <c r="D228" s="196"/>
      <c r="E228" s="196"/>
      <c r="F228" s="196"/>
      <c r="G228" s="196"/>
      <c r="H228" s="196"/>
      <c r="I228" s="196"/>
      <c r="J228" s="196"/>
    </row>
    <row r="229" spans="1:10" x14ac:dyDescent="0.25">
      <c r="A229" s="189"/>
      <c r="B229" s="189"/>
      <c r="C229" s="189"/>
      <c r="D229" s="196"/>
      <c r="E229" s="196"/>
      <c r="F229" s="196"/>
      <c r="G229" s="196"/>
      <c r="H229" s="196"/>
      <c r="I229" s="196"/>
      <c r="J229" s="196"/>
    </row>
    <row r="230" spans="1:10" x14ac:dyDescent="0.25">
      <c r="A230" s="189"/>
      <c r="B230" s="189"/>
      <c r="C230" s="189"/>
      <c r="D230" s="196"/>
      <c r="E230" s="196"/>
      <c r="F230" s="196"/>
      <c r="G230" s="196"/>
      <c r="H230" s="196"/>
      <c r="I230" s="196"/>
      <c r="J230" s="196"/>
    </row>
    <row r="231" spans="1:10" x14ac:dyDescent="0.25">
      <c r="A231" s="189"/>
      <c r="B231" s="189"/>
      <c r="C231" s="189"/>
      <c r="D231" s="196"/>
      <c r="E231" s="196"/>
      <c r="F231" s="196"/>
      <c r="G231" s="196"/>
      <c r="H231" s="196"/>
      <c r="I231" s="196"/>
      <c r="J231" s="196"/>
    </row>
    <row r="232" spans="1:10" x14ac:dyDescent="0.25">
      <c r="A232" s="189"/>
      <c r="B232" s="189"/>
      <c r="C232" s="189"/>
      <c r="D232" s="196"/>
      <c r="E232" s="196"/>
      <c r="F232" s="196"/>
      <c r="G232" s="196"/>
      <c r="H232" s="196"/>
      <c r="I232" s="196"/>
      <c r="J232" s="196"/>
    </row>
    <row r="233" spans="1:10" x14ac:dyDescent="0.25">
      <c r="A233" s="189"/>
      <c r="B233" s="189"/>
      <c r="C233" s="189"/>
      <c r="D233" s="196"/>
      <c r="E233" s="196"/>
      <c r="F233" s="196"/>
      <c r="G233" s="196"/>
      <c r="H233" s="196"/>
      <c r="I233" s="196"/>
      <c r="J233" s="196"/>
    </row>
    <row r="234" spans="1:10" x14ac:dyDescent="0.25">
      <c r="A234" s="189"/>
      <c r="B234" s="189"/>
      <c r="C234" s="189"/>
      <c r="D234" s="196"/>
      <c r="E234" s="196"/>
      <c r="F234" s="196"/>
      <c r="G234" s="196"/>
      <c r="H234" s="196"/>
      <c r="I234" s="196"/>
      <c r="J234" s="196"/>
    </row>
    <row r="235" spans="1:10" x14ac:dyDescent="0.25">
      <c r="A235" s="189"/>
      <c r="B235" s="189"/>
      <c r="C235" s="189"/>
      <c r="D235" s="196"/>
      <c r="E235" s="196"/>
      <c r="F235" s="196"/>
      <c r="G235" s="196"/>
      <c r="H235" s="196"/>
      <c r="I235" s="196"/>
      <c r="J235" s="196"/>
    </row>
    <row r="236" spans="1:10" x14ac:dyDescent="0.25">
      <c r="A236" s="189"/>
      <c r="B236" s="189"/>
      <c r="C236" s="189"/>
      <c r="D236" s="196"/>
      <c r="E236" s="196"/>
      <c r="F236" s="196"/>
      <c r="G236" s="196"/>
      <c r="H236" s="196"/>
      <c r="I236" s="196"/>
      <c r="J236" s="196"/>
    </row>
    <row r="237" spans="1:10" x14ac:dyDescent="0.25">
      <c r="A237" s="189"/>
      <c r="B237" s="189"/>
      <c r="C237" s="189"/>
      <c r="D237" s="196"/>
      <c r="E237" s="196"/>
      <c r="F237" s="196"/>
      <c r="G237" s="196"/>
      <c r="H237" s="196"/>
      <c r="I237" s="196"/>
      <c r="J237" s="196"/>
    </row>
    <row r="238" spans="1:10" x14ac:dyDescent="0.25">
      <c r="A238" s="189"/>
      <c r="B238" s="189"/>
      <c r="C238" s="189"/>
      <c r="D238" s="196"/>
      <c r="E238" s="196"/>
      <c r="F238" s="196"/>
      <c r="G238" s="196"/>
      <c r="H238" s="196"/>
      <c r="I238" s="196"/>
      <c r="J238" s="196"/>
    </row>
    <row r="239" spans="1:10" x14ac:dyDescent="0.25">
      <c r="A239" s="189"/>
      <c r="B239" s="189"/>
      <c r="C239" s="189"/>
      <c r="D239" s="196"/>
      <c r="E239" s="196"/>
      <c r="F239" s="196"/>
      <c r="G239" s="196"/>
      <c r="H239" s="196"/>
      <c r="I239" s="196"/>
      <c r="J239" s="196"/>
    </row>
    <row r="240" spans="1:10" x14ac:dyDescent="0.25">
      <c r="A240" s="189"/>
      <c r="B240" s="189"/>
      <c r="C240" s="189"/>
      <c r="D240" s="196"/>
      <c r="E240" s="196"/>
      <c r="F240" s="196"/>
      <c r="G240" s="196"/>
      <c r="H240" s="196"/>
      <c r="I240" s="196"/>
      <c r="J240" s="196"/>
    </row>
    <row r="241" spans="1:10" x14ac:dyDescent="0.25">
      <c r="A241" s="189"/>
      <c r="B241" s="189"/>
      <c r="C241" s="189"/>
      <c r="D241" s="196"/>
      <c r="E241" s="196"/>
      <c r="F241" s="196"/>
      <c r="G241" s="196"/>
      <c r="H241" s="196"/>
      <c r="I241" s="196"/>
      <c r="J241" s="196"/>
    </row>
    <row r="242" spans="1:10" x14ac:dyDescent="0.25">
      <c r="A242" s="189"/>
      <c r="B242" s="189"/>
      <c r="C242" s="189"/>
      <c r="D242" s="196"/>
      <c r="E242" s="196"/>
      <c r="F242" s="196"/>
      <c r="G242" s="196"/>
      <c r="H242" s="196"/>
      <c r="I242" s="196"/>
      <c r="J242" s="196"/>
    </row>
    <row r="243" spans="1:10" x14ac:dyDescent="0.25">
      <c r="A243" s="189"/>
      <c r="B243" s="189"/>
      <c r="C243" s="189"/>
      <c r="D243" s="196"/>
      <c r="E243" s="196"/>
      <c r="F243" s="196"/>
      <c r="G243" s="196"/>
      <c r="H243" s="196"/>
      <c r="I243" s="196"/>
      <c r="J243" s="196"/>
    </row>
    <row r="244" spans="1:10" x14ac:dyDescent="0.25">
      <c r="A244" s="189"/>
      <c r="B244" s="189"/>
      <c r="C244" s="189"/>
      <c r="D244" s="196"/>
      <c r="E244" s="196"/>
      <c r="F244" s="196"/>
      <c r="G244" s="196"/>
      <c r="H244" s="196"/>
      <c r="I244" s="196"/>
      <c r="J244" s="196"/>
    </row>
    <row r="245" spans="1:10" x14ac:dyDescent="0.25">
      <c r="A245" s="189"/>
      <c r="B245" s="189"/>
      <c r="C245" s="189"/>
      <c r="D245" s="196"/>
      <c r="E245" s="196"/>
      <c r="F245" s="196"/>
      <c r="G245" s="196"/>
      <c r="H245" s="196"/>
      <c r="I245" s="196"/>
      <c r="J245" s="196"/>
    </row>
    <row r="246" spans="1:10" x14ac:dyDescent="0.25">
      <c r="A246" s="189"/>
      <c r="B246" s="189"/>
      <c r="C246" s="189"/>
      <c r="D246" s="196"/>
      <c r="E246" s="196"/>
      <c r="F246" s="196"/>
      <c r="G246" s="196"/>
      <c r="H246" s="196"/>
      <c r="I246" s="196"/>
      <c r="J246" s="196"/>
    </row>
    <row r="247" spans="1:10" x14ac:dyDescent="0.25">
      <c r="A247" s="189"/>
      <c r="B247" s="189"/>
      <c r="C247" s="189"/>
      <c r="D247" s="196"/>
      <c r="E247" s="196"/>
      <c r="F247" s="196"/>
      <c r="G247" s="196"/>
      <c r="H247" s="196"/>
      <c r="I247" s="196"/>
      <c r="J247" s="196"/>
    </row>
    <row r="248" spans="1:10" x14ac:dyDescent="0.25">
      <c r="A248" s="189"/>
      <c r="B248" s="189"/>
      <c r="C248" s="189"/>
      <c r="D248" s="196"/>
      <c r="E248" s="196"/>
      <c r="F248" s="196"/>
      <c r="G248" s="196"/>
      <c r="H248" s="196"/>
      <c r="I248" s="196"/>
      <c r="J248" s="196"/>
    </row>
    <row r="249" spans="1:10" x14ac:dyDescent="0.25">
      <c r="A249" s="189"/>
      <c r="B249" s="189"/>
      <c r="C249" s="189"/>
      <c r="D249" s="196"/>
      <c r="E249" s="196"/>
      <c r="F249" s="196"/>
      <c r="G249" s="196"/>
      <c r="H249" s="196"/>
      <c r="I249" s="196"/>
      <c r="J249" s="196"/>
    </row>
    <row r="250" spans="1:10" x14ac:dyDescent="0.25">
      <c r="A250" s="189"/>
      <c r="B250" s="189"/>
      <c r="C250" s="189"/>
      <c r="D250" s="196"/>
      <c r="E250" s="196"/>
      <c r="F250" s="196"/>
      <c r="G250" s="196"/>
      <c r="H250" s="196"/>
      <c r="I250" s="196"/>
      <c r="J250" s="196"/>
    </row>
    <row r="251" spans="1:10" x14ac:dyDescent="0.25">
      <c r="A251" s="189"/>
      <c r="B251" s="189"/>
      <c r="C251" s="189"/>
      <c r="D251" s="196"/>
      <c r="E251" s="196"/>
      <c r="F251" s="196"/>
      <c r="G251" s="196"/>
      <c r="H251" s="196"/>
      <c r="I251" s="196"/>
      <c r="J251" s="196"/>
    </row>
    <row r="252" spans="1:10" x14ac:dyDescent="0.25">
      <c r="A252" s="189"/>
      <c r="B252" s="189"/>
      <c r="C252" s="189"/>
      <c r="D252" s="196"/>
      <c r="E252" s="196"/>
      <c r="F252" s="196"/>
      <c r="G252" s="196"/>
      <c r="H252" s="196"/>
      <c r="I252" s="196"/>
      <c r="J252" s="196"/>
    </row>
    <row r="253" spans="1:10" x14ac:dyDescent="0.25">
      <c r="A253" s="189"/>
      <c r="B253" s="189"/>
      <c r="C253" s="189"/>
      <c r="D253" s="196"/>
      <c r="E253" s="196"/>
      <c r="F253" s="196"/>
      <c r="G253" s="196"/>
      <c r="H253" s="196"/>
      <c r="I253" s="196"/>
      <c r="J253" s="196"/>
    </row>
    <row r="254" spans="1:10" x14ac:dyDescent="0.25">
      <c r="A254" s="189"/>
      <c r="B254" s="189"/>
      <c r="C254" s="189"/>
      <c r="D254" s="196"/>
      <c r="E254" s="196"/>
      <c r="F254" s="196"/>
      <c r="G254" s="196"/>
      <c r="H254" s="196"/>
      <c r="I254" s="196"/>
      <c r="J254" s="196"/>
    </row>
    <row r="255" spans="1:10" x14ac:dyDescent="0.25">
      <c r="A255" s="189"/>
      <c r="B255" s="189"/>
      <c r="C255" s="189"/>
      <c r="D255" s="196"/>
      <c r="E255" s="196"/>
      <c r="F255" s="196"/>
      <c r="G255" s="196"/>
      <c r="H255" s="196"/>
      <c r="I255" s="196"/>
      <c r="J255" s="196"/>
    </row>
    <row r="256" spans="1:10" x14ac:dyDescent="0.25">
      <c r="A256" s="189"/>
      <c r="B256" s="189"/>
      <c r="C256" s="189"/>
      <c r="D256" s="196"/>
      <c r="E256" s="196"/>
      <c r="F256" s="196"/>
      <c r="G256" s="196"/>
      <c r="H256" s="196"/>
      <c r="I256" s="196"/>
      <c r="J256" s="196"/>
    </row>
    <row r="257" spans="1:10" x14ac:dyDescent="0.25">
      <c r="A257" s="189"/>
      <c r="B257" s="189"/>
      <c r="C257" s="189"/>
      <c r="D257" s="196"/>
      <c r="E257" s="196"/>
      <c r="F257" s="196"/>
      <c r="G257" s="196"/>
      <c r="H257" s="196"/>
      <c r="I257" s="196"/>
      <c r="J257" s="196"/>
    </row>
    <row r="258" spans="1:10" x14ac:dyDescent="0.25">
      <c r="A258" s="189"/>
      <c r="B258" s="189"/>
      <c r="C258" s="189"/>
      <c r="D258" s="196"/>
      <c r="E258" s="196"/>
      <c r="F258" s="196"/>
      <c r="G258" s="196"/>
      <c r="H258" s="196"/>
      <c r="I258" s="196"/>
      <c r="J258" s="196"/>
    </row>
    <row r="259" spans="1:10" x14ac:dyDescent="0.25">
      <c r="A259" s="189"/>
      <c r="B259" s="189"/>
      <c r="C259" s="189"/>
      <c r="D259" s="196"/>
      <c r="E259" s="196"/>
      <c r="F259" s="196"/>
      <c r="G259" s="196"/>
      <c r="H259" s="196"/>
      <c r="I259" s="196"/>
      <c r="J259" s="196"/>
    </row>
    <row r="260" spans="1:10" x14ac:dyDescent="0.25">
      <c r="A260" s="189"/>
      <c r="B260" s="189"/>
      <c r="C260" s="189"/>
      <c r="D260" s="196"/>
      <c r="E260" s="196"/>
      <c r="F260" s="196"/>
      <c r="G260" s="196"/>
      <c r="H260" s="196"/>
      <c r="I260" s="196"/>
      <c r="J260" s="196"/>
    </row>
    <row r="261" spans="1:10" x14ac:dyDescent="0.25">
      <c r="A261" s="189"/>
      <c r="B261" s="189"/>
      <c r="C261" s="189"/>
      <c r="D261" s="196"/>
      <c r="E261" s="196"/>
      <c r="F261" s="196"/>
      <c r="G261" s="196"/>
      <c r="H261" s="196"/>
      <c r="I261" s="196"/>
      <c r="J261" s="196"/>
    </row>
    <row r="262" spans="1:10" x14ac:dyDescent="0.25">
      <c r="A262" s="189"/>
      <c r="B262" s="189"/>
      <c r="C262" s="189"/>
      <c r="D262" s="196"/>
      <c r="E262" s="196"/>
      <c r="F262" s="196"/>
      <c r="G262" s="196"/>
      <c r="H262" s="196"/>
      <c r="I262" s="196"/>
      <c r="J262" s="196"/>
    </row>
    <row r="263" spans="1:10" x14ac:dyDescent="0.25">
      <c r="A263" s="189"/>
      <c r="B263" s="189"/>
      <c r="C263" s="189"/>
      <c r="D263" s="196"/>
      <c r="E263" s="196"/>
      <c r="F263" s="196"/>
      <c r="G263" s="196"/>
      <c r="H263" s="196"/>
      <c r="I263" s="196"/>
      <c r="J263" s="196"/>
    </row>
    <row r="264" spans="1:10" x14ac:dyDescent="0.25">
      <c r="A264" s="189"/>
      <c r="B264" s="189"/>
      <c r="C264" s="189"/>
      <c r="D264" s="196"/>
      <c r="E264" s="196"/>
      <c r="F264" s="196"/>
      <c r="G264" s="196"/>
      <c r="H264" s="196"/>
      <c r="I264" s="196"/>
      <c r="J264" s="196"/>
    </row>
    <row r="265" spans="1:10" x14ac:dyDescent="0.25">
      <c r="A265" s="189"/>
      <c r="B265" s="189"/>
      <c r="C265" s="189"/>
      <c r="D265" s="196"/>
      <c r="E265" s="196"/>
      <c r="F265" s="196"/>
      <c r="G265" s="196"/>
      <c r="H265" s="196"/>
      <c r="I265" s="196"/>
      <c r="J265" s="196"/>
    </row>
    <row r="266" spans="1:10" x14ac:dyDescent="0.25">
      <c r="A266" s="189"/>
      <c r="B266" s="189"/>
      <c r="C266" s="189"/>
      <c r="D266" s="196"/>
      <c r="E266" s="196"/>
      <c r="F266" s="196"/>
      <c r="G266" s="196"/>
      <c r="H266" s="196"/>
      <c r="I266" s="196"/>
      <c r="J266" s="196"/>
    </row>
    <row r="267" spans="1:10" x14ac:dyDescent="0.25">
      <c r="A267" s="189"/>
      <c r="B267" s="189"/>
      <c r="C267" s="189"/>
      <c r="D267" s="196"/>
      <c r="E267" s="196"/>
      <c r="F267" s="196"/>
      <c r="G267" s="196"/>
      <c r="H267" s="196"/>
      <c r="I267" s="196"/>
      <c r="J267" s="196"/>
    </row>
    <row r="268" spans="1:10" x14ac:dyDescent="0.25">
      <c r="A268" s="189"/>
      <c r="B268" s="189"/>
      <c r="C268" s="189"/>
      <c r="D268" s="196"/>
      <c r="E268" s="196"/>
      <c r="F268" s="196"/>
      <c r="G268" s="196"/>
      <c r="H268" s="196"/>
      <c r="I268" s="196"/>
      <c r="J268" s="196"/>
    </row>
    <row r="269" spans="1:10" x14ac:dyDescent="0.25">
      <c r="A269" s="189"/>
      <c r="B269" s="189"/>
      <c r="C269" s="189"/>
      <c r="D269" s="196"/>
      <c r="E269" s="196"/>
      <c r="F269" s="196"/>
      <c r="G269" s="196"/>
      <c r="H269" s="196"/>
      <c r="I269" s="196"/>
      <c r="J269" s="196"/>
    </row>
    <row r="270" spans="1:10" x14ac:dyDescent="0.25">
      <c r="A270" s="189"/>
      <c r="B270" s="189"/>
      <c r="C270" s="189"/>
      <c r="D270" s="196"/>
      <c r="E270" s="196"/>
      <c r="F270" s="196"/>
      <c r="G270" s="196"/>
      <c r="H270" s="196"/>
      <c r="I270" s="196"/>
      <c r="J270" s="196"/>
    </row>
    <row r="271" spans="1:10" x14ac:dyDescent="0.25">
      <c r="A271" s="189"/>
      <c r="B271" s="189"/>
      <c r="C271" s="189"/>
      <c r="D271" s="196"/>
      <c r="E271" s="196"/>
      <c r="F271" s="196"/>
      <c r="G271" s="196"/>
      <c r="H271" s="196"/>
      <c r="I271" s="196"/>
      <c r="J271" s="196"/>
    </row>
    <row r="272" spans="1:10" x14ac:dyDescent="0.25">
      <c r="A272" s="189"/>
      <c r="B272" s="189"/>
      <c r="C272" s="189"/>
      <c r="D272" s="196"/>
      <c r="E272" s="196"/>
      <c r="F272" s="196"/>
      <c r="G272" s="196"/>
      <c r="H272" s="196"/>
      <c r="I272" s="196"/>
      <c r="J272" s="196"/>
    </row>
    <row r="273" spans="1:10" x14ac:dyDescent="0.25">
      <c r="A273" s="189"/>
      <c r="B273" s="189"/>
      <c r="C273" s="189"/>
      <c r="D273" s="196"/>
      <c r="E273" s="196"/>
      <c r="F273" s="196"/>
      <c r="G273" s="196"/>
      <c r="H273" s="196"/>
      <c r="I273" s="196"/>
      <c r="J273" s="196"/>
    </row>
    <row r="274" spans="1:10" x14ac:dyDescent="0.25">
      <c r="A274" s="189"/>
      <c r="B274" s="189"/>
      <c r="C274" s="189"/>
      <c r="D274" s="196"/>
      <c r="E274" s="196"/>
      <c r="F274" s="196"/>
      <c r="G274" s="196"/>
      <c r="H274" s="196"/>
      <c r="I274" s="196"/>
      <c r="J274" s="196"/>
    </row>
    <row r="275" spans="1:10" x14ac:dyDescent="0.25">
      <c r="A275" s="189"/>
      <c r="B275" s="189"/>
      <c r="C275" s="189"/>
      <c r="D275" s="196"/>
      <c r="E275" s="196"/>
      <c r="F275" s="196"/>
      <c r="G275" s="196"/>
      <c r="H275" s="196"/>
      <c r="I275" s="196"/>
      <c r="J275" s="196"/>
    </row>
    <row r="276" spans="1:10" x14ac:dyDescent="0.25">
      <c r="A276" s="189"/>
      <c r="B276" s="189"/>
      <c r="C276" s="189"/>
      <c r="D276" s="196"/>
      <c r="E276" s="196"/>
      <c r="F276" s="196"/>
      <c r="G276" s="196"/>
      <c r="H276" s="196"/>
      <c r="I276" s="196"/>
      <c r="J276" s="196"/>
    </row>
    <row r="277" spans="1:10" x14ac:dyDescent="0.25">
      <c r="A277" s="189"/>
      <c r="B277" s="189"/>
      <c r="C277" s="189"/>
      <c r="D277" s="196"/>
      <c r="E277" s="196"/>
      <c r="F277" s="196"/>
      <c r="G277" s="196"/>
      <c r="H277" s="196"/>
      <c r="I277" s="196"/>
      <c r="J277" s="196"/>
    </row>
    <row r="278" spans="1:10" x14ac:dyDescent="0.25">
      <c r="A278" s="189"/>
      <c r="B278" s="189"/>
      <c r="C278" s="189"/>
      <c r="D278" s="196"/>
      <c r="E278" s="196"/>
      <c r="F278" s="196"/>
      <c r="G278" s="196"/>
      <c r="H278" s="196"/>
      <c r="I278" s="196"/>
      <c r="J278" s="196"/>
    </row>
    <row r="279" spans="1:10" x14ac:dyDescent="0.25">
      <c r="A279" s="189"/>
      <c r="B279" s="189"/>
      <c r="C279" s="189"/>
      <c r="D279" s="196"/>
      <c r="E279" s="196"/>
      <c r="F279" s="196"/>
      <c r="G279" s="196"/>
      <c r="H279" s="196"/>
      <c r="I279" s="196"/>
      <c r="J279" s="196"/>
    </row>
    <row r="280" spans="1:10" x14ac:dyDescent="0.25">
      <c r="A280" s="189"/>
      <c r="B280" s="189"/>
      <c r="C280" s="189"/>
      <c r="D280" s="196"/>
      <c r="E280" s="196"/>
      <c r="F280" s="196"/>
      <c r="G280" s="196"/>
      <c r="H280" s="196"/>
      <c r="I280" s="196"/>
      <c r="J280" s="196"/>
    </row>
    <row r="281" spans="1:10" x14ac:dyDescent="0.25">
      <c r="A281" s="189"/>
      <c r="B281" s="189"/>
      <c r="C281" s="189"/>
      <c r="D281" s="196"/>
      <c r="E281" s="196"/>
      <c r="F281" s="196"/>
      <c r="G281" s="196"/>
      <c r="H281" s="196"/>
      <c r="I281" s="196"/>
      <c r="J281" s="196"/>
    </row>
    <row r="282" spans="1:10" x14ac:dyDescent="0.25">
      <c r="A282" s="189"/>
      <c r="B282" s="189"/>
      <c r="C282" s="189"/>
      <c r="D282" s="196"/>
      <c r="E282" s="196"/>
      <c r="F282" s="196"/>
      <c r="G282" s="196"/>
      <c r="H282" s="196"/>
      <c r="I282" s="196"/>
      <c r="J282" s="196"/>
    </row>
    <row r="283" spans="1:10" x14ac:dyDescent="0.25">
      <c r="A283" s="189"/>
      <c r="B283" s="189"/>
      <c r="C283" s="189"/>
      <c r="D283" s="196"/>
      <c r="E283" s="196"/>
      <c r="F283" s="196"/>
      <c r="G283" s="196"/>
      <c r="H283" s="196"/>
      <c r="I283" s="196"/>
      <c r="J283" s="196"/>
    </row>
    <row r="284" spans="1:10" x14ac:dyDescent="0.25">
      <c r="A284" s="189"/>
      <c r="B284" s="189"/>
      <c r="C284" s="189"/>
      <c r="D284" s="196"/>
      <c r="E284" s="196"/>
      <c r="F284" s="196"/>
      <c r="G284" s="196"/>
      <c r="H284" s="196"/>
      <c r="I284" s="196"/>
      <c r="J284" s="196"/>
    </row>
    <row r="285" spans="1:10" x14ac:dyDescent="0.25">
      <c r="A285" s="189"/>
      <c r="B285" s="189"/>
      <c r="C285" s="189"/>
      <c r="D285" s="196"/>
      <c r="E285" s="196"/>
      <c r="F285" s="196"/>
      <c r="G285" s="196"/>
      <c r="H285" s="196"/>
      <c r="I285" s="196"/>
      <c r="J285" s="196"/>
    </row>
    <row r="286" spans="1:10" x14ac:dyDescent="0.25">
      <c r="A286" s="189"/>
      <c r="B286" s="189"/>
      <c r="C286" s="189"/>
      <c r="D286" s="196"/>
      <c r="E286" s="196"/>
      <c r="F286" s="196"/>
      <c r="G286" s="196"/>
      <c r="H286" s="196"/>
      <c r="I286" s="196"/>
      <c r="J286" s="196"/>
    </row>
    <row r="287" spans="1:10" x14ac:dyDescent="0.25">
      <c r="A287" s="189"/>
      <c r="B287" s="189"/>
      <c r="C287" s="189"/>
      <c r="D287" s="196"/>
      <c r="E287" s="196"/>
      <c r="F287" s="196"/>
      <c r="G287" s="196"/>
      <c r="H287" s="196"/>
      <c r="I287" s="196"/>
      <c r="J287" s="196"/>
    </row>
    <row r="288" spans="1:10" x14ac:dyDescent="0.25">
      <c r="A288" s="189"/>
      <c r="B288" s="189"/>
      <c r="C288" s="189"/>
      <c r="D288" s="196"/>
      <c r="E288" s="196"/>
      <c r="F288" s="196"/>
      <c r="G288" s="196"/>
      <c r="H288" s="196"/>
      <c r="I288" s="196"/>
      <c r="J288" s="196"/>
    </row>
    <row r="289" spans="1:10" x14ac:dyDescent="0.25">
      <c r="A289" s="189"/>
      <c r="B289" s="189"/>
      <c r="C289" s="189"/>
      <c r="D289" s="196"/>
      <c r="E289" s="196"/>
      <c r="F289" s="196"/>
      <c r="G289" s="196"/>
      <c r="H289" s="196"/>
      <c r="I289" s="196"/>
      <c r="J289" s="196"/>
    </row>
    <row r="290" spans="1:10" x14ac:dyDescent="0.25">
      <c r="A290" s="189"/>
      <c r="B290" s="189"/>
      <c r="C290" s="189"/>
      <c r="D290" s="196"/>
      <c r="E290" s="196"/>
      <c r="F290" s="196"/>
      <c r="G290" s="196"/>
      <c r="H290" s="196"/>
      <c r="I290" s="196"/>
      <c r="J290" s="196"/>
    </row>
    <row r="291" spans="1:10" x14ac:dyDescent="0.25">
      <c r="A291" s="189"/>
      <c r="B291" s="189"/>
      <c r="C291" s="189"/>
      <c r="D291" s="196"/>
      <c r="E291" s="196"/>
      <c r="F291" s="196"/>
      <c r="G291" s="196"/>
      <c r="H291" s="196"/>
      <c r="I291" s="196"/>
      <c r="J291" s="196"/>
    </row>
    <row r="292" spans="1:10" x14ac:dyDescent="0.25">
      <c r="A292" s="189"/>
      <c r="B292" s="189"/>
      <c r="C292" s="189"/>
      <c r="D292" s="196"/>
      <c r="E292" s="196"/>
      <c r="F292" s="196"/>
      <c r="G292" s="196"/>
      <c r="H292" s="196"/>
      <c r="I292" s="196"/>
      <c r="J292" s="196"/>
    </row>
    <row r="293" spans="1:10" x14ac:dyDescent="0.25">
      <c r="A293" s="189"/>
      <c r="B293" s="189"/>
      <c r="C293" s="189"/>
      <c r="D293" s="196"/>
      <c r="E293" s="196"/>
      <c r="F293" s="196"/>
      <c r="G293" s="196"/>
      <c r="H293" s="196"/>
      <c r="I293" s="196"/>
      <c r="J293" s="196"/>
    </row>
    <row r="294" spans="1:10" x14ac:dyDescent="0.25">
      <c r="A294" s="189"/>
      <c r="B294" s="189"/>
      <c r="C294" s="189"/>
      <c r="D294" s="196"/>
      <c r="E294" s="196"/>
      <c r="F294" s="196"/>
      <c r="G294" s="196"/>
      <c r="H294" s="196"/>
      <c r="I294" s="196"/>
      <c r="J294" s="196"/>
    </row>
    <row r="295" spans="1:10" x14ac:dyDescent="0.25">
      <c r="A295" s="189"/>
      <c r="B295" s="189"/>
      <c r="C295" s="189"/>
      <c r="D295" s="196"/>
      <c r="E295" s="196"/>
      <c r="F295" s="196"/>
      <c r="G295" s="196"/>
      <c r="H295" s="196"/>
      <c r="I295" s="196"/>
      <c r="J295" s="196"/>
    </row>
    <row r="296" spans="1:10" x14ac:dyDescent="0.25">
      <c r="A296" s="189"/>
      <c r="B296" s="189"/>
      <c r="C296" s="189"/>
      <c r="D296" s="196"/>
      <c r="E296" s="196"/>
      <c r="F296" s="196"/>
      <c r="G296" s="196"/>
      <c r="H296" s="196"/>
      <c r="I296" s="196"/>
      <c r="J296" s="196"/>
    </row>
    <row r="297" spans="1:10" x14ac:dyDescent="0.25">
      <c r="A297" s="189"/>
      <c r="B297" s="189"/>
      <c r="C297" s="189"/>
      <c r="D297" s="196"/>
      <c r="E297" s="196"/>
      <c r="F297" s="196"/>
      <c r="G297" s="196"/>
      <c r="H297" s="196"/>
      <c r="I297" s="196"/>
      <c r="J297" s="196"/>
    </row>
    <row r="298" spans="1:10" x14ac:dyDescent="0.25">
      <c r="A298" s="189"/>
      <c r="B298" s="189"/>
      <c r="C298" s="189"/>
      <c r="D298" s="196"/>
      <c r="E298" s="196"/>
      <c r="F298" s="196"/>
      <c r="G298" s="196"/>
      <c r="H298" s="196"/>
      <c r="I298" s="196"/>
      <c r="J298" s="196"/>
    </row>
    <row r="299" spans="1:10" x14ac:dyDescent="0.25">
      <c r="A299" s="189"/>
      <c r="B299" s="189"/>
      <c r="C299" s="189"/>
      <c r="D299" s="196"/>
      <c r="E299" s="196"/>
      <c r="F299" s="196"/>
      <c r="G299" s="196"/>
      <c r="H299" s="196"/>
      <c r="I299" s="196"/>
      <c r="J299" s="196"/>
    </row>
    <row r="300" spans="1:10" x14ac:dyDescent="0.25">
      <c r="A300" s="189"/>
      <c r="B300" s="189"/>
      <c r="C300" s="189"/>
      <c r="D300" s="196"/>
      <c r="E300" s="196"/>
      <c r="F300" s="196"/>
      <c r="G300" s="196"/>
      <c r="H300" s="196"/>
      <c r="I300" s="196"/>
      <c r="J300" s="196"/>
    </row>
    <row r="301" spans="1:10" x14ac:dyDescent="0.25">
      <c r="A301" s="189"/>
      <c r="B301" s="189"/>
      <c r="C301" s="189"/>
      <c r="D301" s="196"/>
      <c r="E301" s="196"/>
      <c r="F301" s="196"/>
      <c r="G301" s="196"/>
      <c r="H301" s="196"/>
      <c r="I301" s="196"/>
      <c r="J301" s="196"/>
    </row>
    <row r="302" spans="1:10" x14ac:dyDescent="0.25">
      <c r="A302" s="189"/>
      <c r="B302" s="189"/>
      <c r="C302" s="189"/>
      <c r="D302" s="196"/>
      <c r="E302" s="196"/>
      <c r="F302" s="196"/>
      <c r="G302" s="196"/>
      <c r="H302" s="196"/>
      <c r="I302" s="196"/>
      <c r="J302" s="196"/>
    </row>
    <row r="303" spans="1:10" x14ac:dyDescent="0.25">
      <c r="A303" s="189"/>
      <c r="B303" s="189"/>
      <c r="C303" s="189"/>
      <c r="D303" s="196"/>
      <c r="E303" s="196"/>
      <c r="F303" s="196"/>
      <c r="G303" s="196"/>
      <c r="H303" s="196"/>
      <c r="I303" s="196"/>
      <c r="J303" s="196"/>
    </row>
    <row r="304" spans="1:10" x14ac:dyDescent="0.25">
      <c r="A304" s="189"/>
      <c r="B304" s="189"/>
      <c r="C304" s="189"/>
      <c r="D304" s="196"/>
      <c r="E304" s="196"/>
      <c r="F304" s="196"/>
      <c r="G304" s="196"/>
      <c r="H304" s="196"/>
      <c r="I304" s="196"/>
      <c r="J304" s="196"/>
    </row>
    <row r="305" spans="1:10" x14ac:dyDescent="0.25">
      <c r="A305" s="189"/>
      <c r="B305" s="189"/>
      <c r="C305" s="189"/>
      <c r="D305" s="196"/>
      <c r="E305" s="196"/>
      <c r="F305" s="196"/>
      <c r="G305" s="196"/>
      <c r="H305" s="196"/>
      <c r="I305" s="196"/>
      <c r="J305" s="196"/>
    </row>
    <row r="306" spans="1:10" x14ac:dyDescent="0.25">
      <c r="A306" s="189"/>
      <c r="B306" s="189"/>
      <c r="C306" s="189"/>
      <c r="D306" s="196"/>
      <c r="E306" s="196"/>
      <c r="F306" s="196"/>
      <c r="G306" s="196"/>
      <c r="H306" s="196"/>
      <c r="I306" s="196"/>
      <c r="J306" s="196"/>
    </row>
    <row r="307" spans="1:10" x14ac:dyDescent="0.25">
      <c r="A307" s="189"/>
      <c r="B307" s="189"/>
      <c r="C307" s="189"/>
      <c r="D307" s="196"/>
      <c r="E307" s="196"/>
      <c r="F307" s="196"/>
      <c r="G307" s="196"/>
      <c r="H307" s="196"/>
      <c r="I307" s="196"/>
      <c r="J307" s="196"/>
    </row>
    <row r="308" spans="1:10" x14ac:dyDescent="0.25">
      <c r="A308" s="189"/>
      <c r="B308" s="189"/>
      <c r="C308" s="189"/>
      <c r="D308" s="196"/>
      <c r="E308" s="196"/>
      <c r="F308" s="196"/>
      <c r="G308" s="196"/>
      <c r="H308" s="196"/>
      <c r="I308" s="196"/>
      <c r="J308" s="196"/>
    </row>
    <row r="309" spans="1:10" x14ac:dyDescent="0.25">
      <c r="A309" s="189"/>
      <c r="B309" s="189"/>
      <c r="C309" s="189"/>
      <c r="D309" s="196"/>
      <c r="E309" s="196"/>
      <c r="F309" s="196"/>
      <c r="G309" s="196"/>
      <c r="H309" s="196"/>
      <c r="I309" s="196"/>
      <c r="J309" s="196"/>
    </row>
    <row r="310" spans="1:10" x14ac:dyDescent="0.25">
      <c r="A310" s="189"/>
      <c r="B310" s="189"/>
      <c r="C310" s="189"/>
      <c r="D310" s="196"/>
      <c r="E310" s="196"/>
      <c r="F310" s="196"/>
      <c r="G310" s="196"/>
      <c r="H310" s="196"/>
      <c r="I310" s="196"/>
      <c r="J310" s="196"/>
    </row>
    <row r="311" spans="1:10" x14ac:dyDescent="0.25">
      <c r="A311" s="189"/>
      <c r="B311" s="189"/>
      <c r="C311" s="189"/>
      <c r="D311" s="196"/>
      <c r="E311" s="196"/>
      <c r="F311" s="196"/>
      <c r="G311" s="196"/>
      <c r="H311" s="196"/>
      <c r="I311" s="196"/>
      <c r="J311" s="196"/>
    </row>
    <row r="312" spans="1:10" x14ac:dyDescent="0.25">
      <c r="A312" s="189"/>
      <c r="B312" s="189"/>
      <c r="C312" s="189"/>
      <c r="D312" s="196"/>
      <c r="E312" s="196"/>
      <c r="F312" s="196"/>
      <c r="G312" s="196"/>
      <c r="H312" s="196"/>
      <c r="I312" s="196"/>
      <c r="J312" s="196"/>
    </row>
    <row r="313" spans="1:10" x14ac:dyDescent="0.25">
      <c r="A313" s="189"/>
      <c r="B313" s="189"/>
      <c r="C313" s="189"/>
      <c r="D313" s="196"/>
      <c r="E313" s="196"/>
      <c r="F313" s="196"/>
      <c r="G313" s="196"/>
      <c r="H313" s="196"/>
      <c r="I313" s="196"/>
      <c r="J313" s="196"/>
    </row>
    <row r="314" spans="1:10" x14ac:dyDescent="0.25">
      <c r="A314" s="189"/>
      <c r="B314" s="189"/>
      <c r="C314" s="189"/>
      <c r="D314" s="196"/>
      <c r="E314" s="196"/>
      <c r="F314" s="196"/>
      <c r="G314" s="196"/>
      <c r="H314" s="196"/>
      <c r="I314" s="196"/>
      <c r="J314" s="196"/>
    </row>
    <row r="315" spans="1:10" x14ac:dyDescent="0.25">
      <c r="A315" s="189"/>
      <c r="B315" s="189"/>
      <c r="C315" s="189"/>
      <c r="D315" s="196"/>
      <c r="E315" s="196"/>
      <c r="F315" s="196"/>
      <c r="G315" s="196"/>
      <c r="H315" s="196"/>
      <c r="I315" s="196"/>
      <c r="J315" s="196"/>
    </row>
    <row r="316" spans="1:10" x14ac:dyDescent="0.25">
      <c r="A316" s="189"/>
      <c r="B316" s="189"/>
      <c r="C316" s="189"/>
      <c r="D316" s="196"/>
      <c r="E316" s="196"/>
      <c r="F316" s="196"/>
      <c r="G316" s="196"/>
      <c r="H316" s="196"/>
      <c r="I316" s="196"/>
      <c r="J316" s="196"/>
    </row>
    <row r="317" spans="1:10" x14ac:dyDescent="0.25">
      <c r="A317" s="189"/>
      <c r="B317" s="189"/>
      <c r="C317" s="189"/>
      <c r="D317" s="196"/>
      <c r="E317" s="196"/>
      <c r="F317" s="196"/>
      <c r="G317" s="196"/>
      <c r="H317" s="196"/>
      <c r="I317" s="196"/>
      <c r="J317" s="196"/>
    </row>
    <row r="318" spans="1:10" x14ac:dyDescent="0.25">
      <c r="A318" s="189"/>
      <c r="B318" s="189"/>
      <c r="C318" s="189"/>
      <c r="D318" s="196"/>
      <c r="E318" s="196"/>
      <c r="F318" s="196"/>
      <c r="G318" s="196"/>
      <c r="H318" s="196"/>
      <c r="I318" s="196"/>
      <c r="J318" s="196"/>
    </row>
    <row r="319" spans="1:10" x14ac:dyDescent="0.25">
      <c r="A319" s="189"/>
      <c r="B319" s="189"/>
      <c r="C319" s="189"/>
      <c r="D319" s="196"/>
      <c r="E319" s="196"/>
      <c r="F319" s="196"/>
      <c r="G319" s="196"/>
      <c r="H319" s="196"/>
      <c r="I319" s="196"/>
      <c r="J319" s="196"/>
    </row>
    <row r="320" spans="1:10" x14ac:dyDescent="0.25">
      <c r="A320" s="189"/>
      <c r="B320" s="189"/>
      <c r="C320" s="189"/>
      <c r="D320" s="196"/>
      <c r="E320" s="196"/>
      <c r="F320" s="196"/>
      <c r="G320" s="196"/>
      <c r="H320" s="196"/>
      <c r="I320" s="196"/>
      <c r="J320" s="196"/>
    </row>
    <row r="321" spans="1:10" x14ac:dyDescent="0.25">
      <c r="A321" s="189"/>
      <c r="B321" s="189"/>
      <c r="C321" s="189"/>
      <c r="D321" s="196"/>
      <c r="E321" s="196"/>
      <c r="F321" s="196"/>
      <c r="G321" s="196"/>
      <c r="H321" s="196"/>
      <c r="I321" s="196"/>
      <c r="J321" s="196"/>
    </row>
    <row r="322" spans="1:10" x14ac:dyDescent="0.25">
      <c r="A322" s="189"/>
      <c r="B322" s="189"/>
      <c r="C322" s="189"/>
      <c r="D322" s="196"/>
      <c r="E322" s="196"/>
      <c r="F322" s="196"/>
      <c r="G322" s="196"/>
      <c r="H322" s="196"/>
      <c r="I322" s="196"/>
      <c r="J322" s="196"/>
    </row>
    <row r="323" spans="1:10" x14ac:dyDescent="0.25">
      <c r="A323" s="189"/>
      <c r="B323" s="189"/>
      <c r="C323" s="189"/>
      <c r="D323" s="196"/>
      <c r="E323" s="196"/>
      <c r="F323" s="196"/>
      <c r="G323" s="196"/>
      <c r="H323" s="196"/>
      <c r="I323" s="196"/>
      <c r="J323" s="196"/>
    </row>
    <row r="324" spans="1:10" x14ac:dyDescent="0.25">
      <c r="A324" s="189"/>
      <c r="B324" s="189"/>
      <c r="C324" s="189"/>
      <c r="D324" s="196"/>
      <c r="E324" s="196"/>
      <c r="F324" s="196"/>
      <c r="G324" s="196"/>
      <c r="H324" s="196"/>
      <c r="I324" s="196"/>
      <c r="J324" s="196"/>
    </row>
    <row r="325" spans="1:10" x14ac:dyDescent="0.25">
      <c r="A325" s="189"/>
      <c r="B325" s="189"/>
      <c r="C325" s="189"/>
      <c r="D325" s="196"/>
      <c r="E325" s="196"/>
      <c r="F325" s="196"/>
      <c r="G325" s="196"/>
      <c r="H325" s="196"/>
      <c r="I325" s="196"/>
      <c r="J325" s="196"/>
    </row>
    <row r="326" spans="1:10" x14ac:dyDescent="0.25">
      <c r="A326" s="189"/>
      <c r="B326" s="189"/>
      <c r="C326" s="189"/>
      <c r="D326" s="196"/>
      <c r="E326" s="196"/>
      <c r="F326" s="196"/>
      <c r="G326" s="196"/>
      <c r="H326" s="196"/>
      <c r="I326" s="196"/>
      <c r="J326" s="196"/>
    </row>
    <row r="327" spans="1:10" x14ac:dyDescent="0.25">
      <c r="A327" s="189"/>
      <c r="B327" s="189"/>
      <c r="C327" s="189"/>
      <c r="D327" s="196"/>
      <c r="E327" s="196"/>
      <c r="F327" s="196"/>
      <c r="G327" s="196"/>
      <c r="H327" s="196"/>
      <c r="I327" s="196"/>
      <c r="J327" s="196"/>
    </row>
    <row r="328" spans="1:10" x14ac:dyDescent="0.25">
      <c r="A328" s="189"/>
      <c r="B328" s="189"/>
      <c r="C328" s="189"/>
      <c r="D328" s="196"/>
      <c r="E328" s="196"/>
      <c r="F328" s="196"/>
      <c r="G328" s="196"/>
      <c r="H328" s="196"/>
      <c r="I328" s="196"/>
      <c r="J328" s="196"/>
    </row>
    <row r="329" spans="1:10" x14ac:dyDescent="0.25">
      <c r="A329" s="189"/>
      <c r="B329" s="189"/>
      <c r="C329" s="189"/>
      <c r="D329" s="196"/>
      <c r="E329" s="196"/>
      <c r="F329" s="196"/>
      <c r="G329" s="196"/>
      <c r="H329" s="196"/>
      <c r="I329" s="196"/>
      <c r="J329" s="196"/>
    </row>
    <row r="330" spans="1:10" x14ac:dyDescent="0.25">
      <c r="A330" s="189"/>
      <c r="B330" s="189"/>
      <c r="C330" s="189"/>
      <c r="D330" s="196"/>
      <c r="E330" s="196"/>
      <c r="F330" s="196"/>
      <c r="G330" s="196"/>
      <c r="H330" s="196"/>
      <c r="I330" s="196"/>
      <c r="J330" s="196"/>
    </row>
    <row r="331" spans="1:10" x14ac:dyDescent="0.25">
      <c r="A331" s="189"/>
      <c r="B331" s="189"/>
      <c r="C331" s="189"/>
      <c r="D331" s="196"/>
      <c r="E331" s="196"/>
      <c r="F331" s="196"/>
      <c r="G331" s="196"/>
      <c r="H331" s="196"/>
      <c r="I331" s="196"/>
      <c r="J331" s="196"/>
    </row>
    <row r="332" spans="1:10" x14ac:dyDescent="0.25">
      <c r="A332" s="189"/>
      <c r="B332" s="189"/>
      <c r="C332" s="189"/>
      <c r="D332" s="196"/>
      <c r="E332" s="196"/>
      <c r="F332" s="196"/>
      <c r="G332" s="196"/>
      <c r="H332" s="196"/>
      <c r="I332" s="196"/>
      <c r="J332" s="196"/>
    </row>
    <row r="333" spans="1:10" x14ac:dyDescent="0.25">
      <c r="A333" s="189"/>
      <c r="B333" s="189"/>
      <c r="C333" s="189"/>
      <c r="D333" s="196"/>
      <c r="E333" s="196"/>
      <c r="F333" s="196"/>
      <c r="G333" s="196"/>
      <c r="H333" s="196"/>
      <c r="I333" s="196"/>
      <c r="J333" s="196"/>
    </row>
    <row r="334" spans="1:10" x14ac:dyDescent="0.25">
      <c r="A334" s="189"/>
      <c r="B334" s="189"/>
      <c r="C334" s="189"/>
      <c r="D334" s="196"/>
      <c r="E334" s="196"/>
      <c r="F334" s="196"/>
      <c r="G334" s="196"/>
      <c r="H334" s="196"/>
      <c r="I334" s="196"/>
      <c r="J334" s="196"/>
    </row>
    <row r="335" spans="1:10" x14ac:dyDescent="0.25">
      <c r="A335" s="189"/>
      <c r="B335" s="189"/>
      <c r="C335" s="189"/>
      <c r="D335" s="196"/>
      <c r="E335" s="196"/>
      <c r="F335" s="196"/>
      <c r="G335" s="196"/>
      <c r="H335" s="196"/>
      <c r="I335" s="196"/>
      <c r="J335" s="196"/>
    </row>
    <row r="336" spans="1:10" x14ac:dyDescent="0.25">
      <c r="A336" s="189"/>
      <c r="B336" s="189"/>
      <c r="C336" s="189"/>
      <c r="D336" s="196"/>
      <c r="E336" s="196"/>
      <c r="F336" s="196"/>
      <c r="G336" s="196"/>
      <c r="H336" s="196"/>
      <c r="I336" s="196"/>
      <c r="J336" s="196"/>
    </row>
    <row r="337" spans="1:10" x14ac:dyDescent="0.25">
      <c r="A337" s="189"/>
      <c r="B337" s="189"/>
      <c r="C337" s="189"/>
      <c r="D337" s="196"/>
      <c r="E337" s="196"/>
      <c r="F337" s="196"/>
      <c r="G337" s="196"/>
      <c r="H337" s="196"/>
      <c r="I337" s="196"/>
      <c r="J337" s="196"/>
    </row>
    <row r="338" spans="1:10" x14ac:dyDescent="0.25">
      <c r="A338" s="189"/>
      <c r="B338" s="189"/>
      <c r="C338" s="189"/>
      <c r="D338" s="196"/>
      <c r="E338" s="196"/>
      <c r="F338" s="196"/>
      <c r="G338" s="196"/>
      <c r="H338" s="196"/>
      <c r="I338" s="196"/>
      <c r="J338" s="196"/>
    </row>
    <row r="339" spans="1:10" x14ac:dyDescent="0.25">
      <c r="A339" s="189"/>
      <c r="B339" s="189"/>
      <c r="C339" s="189"/>
      <c r="D339" s="196"/>
      <c r="E339" s="196"/>
      <c r="F339" s="196"/>
      <c r="G339" s="196"/>
      <c r="H339" s="196"/>
      <c r="I339" s="196"/>
      <c r="J339" s="196"/>
    </row>
    <row r="340" spans="1:10" x14ac:dyDescent="0.25">
      <c r="A340" s="189"/>
      <c r="B340" s="189"/>
      <c r="C340" s="189"/>
      <c r="D340" s="196"/>
      <c r="E340" s="196"/>
      <c r="F340" s="196"/>
      <c r="G340" s="196"/>
      <c r="H340" s="196"/>
      <c r="I340" s="196"/>
      <c r="J340" s="196"/>
    </row>
    <row r="341" spans="1:10" x14ac:dyDescent="0.25">
      <c r="A341" s="189"/>
      <c r="B341" s="189"/>
      <c r="C341" s="189"/>
      <c r="D341" s="196"/>
      <c r="E341" s="196"/>
      <c r="F341" s="196"/>
      <c r="G341" s="196"/>
      <c r="H341" s="196"/>
      <c r="I341" s="196"/>
      <c r="J341" s="196"/>
    </row>
    <row r="342" spans="1:10" x14ac:dyDescent="0.25">
      <c r="A342" s="189"/>
      <c r="B342" s="189"/>
      <c r="C342" s="189"/>
      <c r="D342" s="196"/>
      <c r="E342" s="196"/>
      <c r="F342" s="196"/>
      <c r="G342" s="196"/>
      <c r="H342" s="196"/>
      <c r="I342" s="196"/>
      <c r="J342" s="196"/>
    </row>
    <row r="343" spans="1:10" x14ac:dyDescent="0.25">
      <c r="A343" s="189"/>
      <c r="B343" s="189"/>
      <c r="C343" s="189"/>
      <c r="D343" s="196"/>
      <c r="E343" s="196"/>
      <c r="F343" s="196"/>
      <c r="G343" s="196"/>
      <c r="H343" s="196"/>
      <c r="I343" s="196"/>
      <c r="J343" s="196"/>
    </row>
    <row r="344" spans="1:10" x14ac:dyDescent="0.25">
      <c r="A344" s="189"/>
      <c r="B344" s="189"/>
      <c r="C344" s="189"/>
      <c r="D344" s="196"/>
      <c r="E344" s="196"/>
      <c r="F344" s="196"/>
      <c r="G344" s="196"/>
      <c r="H344" s="196"/>
      <c r="I344" s="196"/>
      <c r="J344" s="196"/>
    </row>
    <row r="345" spans="1:10" x14ac:dyDescent="0.25">
      <c r="A345" s="189"/>
      <c r="B345" s="189"/>
      <c r="C345" s="189"/>
      <c r="D345" s="196"/>
      <c r="E345" s="196"/>
      <c r="F345" s="196"/>
      <c r="G345" s="196"/>
      <c r="H345" s="196"/>
      <c r="I345" s="196"/>
      <c r="J345" s="196"/>
    </row>
    <row r="346" spans="1:10" x14ac:dyDescent="0.25">
      <c r="A346" s="189"/>
      <c r="B346" s="189"/>
      <c r="C346" s="189"/>
      <c r="D346" s="196"/>
      <c r="E346" s="196"/>
      <c r="F346" s="196"/>
      <c r="G346" s="196"/>
      <c r="H346" s="196"/>
      <c r="I346" s="196"/>
      <c r="J346" s="196"/>
    </row>
    <row r="347" spans="1:10" x14ac:dyDescent="0.25">
      <c r="A347" s="189"/>
      <c r="B347" s="189"/>
      <c r="C347" s="189"/>
      <c r="D347" s="196"/>
      <c r="E347" s="196"/>
      <c r="F347" s="196"/>
      <c r="G347" s="196"/>
      <c r="H347" s="196"/>
      <c r="I347" s="196"/>
      <c r="J347" s="196"/>
    </row>
    <row r="348" spans="1:10" x14ac:dyDescent="0.25">
      <c r="A348" s="189"/>
      <c r="B348" s="189"/>
      <c r="C348" s="189"/>
      <c r="D348" s="196"/>
      <c r="E348" s="196"/>
      <c r="F348" s="196"/>
      <c r="G348" s="196"/>
      <c r="H348" s="196"/>
      <c r="I348" s="196"/>
      <c r="J348" s="196"/>
    </row>
    <row r="349" spans="1:10" x14ac:dyDescent="0.25">
      <c r="A349" s="189"/>
      <c r="B349" s="189"/>
      <c r="C349" s="189"/>
      <c r="D349" s="196"/>
      <c r="E349" s="196"/>
      <c r="F349" s="196"/>
      <c r="G349" s="196"/>
      <c r="H349" s="196"/>
      <c r="I349" s="196"/>
      <c r="J349" s="196"/>
    </row>
    <row r="350" spans="1:10" x14ac:dyDescent="0.25">
      <c r="A350" s="189"/>
      <c r="B350" s="189"/>
      <c r="C350" s="189"/>
      <c r="D350" s="196"/>
      <c r="E350" s="196"/>
      <c r="F350" s="196"/>
      <c r="G350" s="196"/>
      <c r="H350" s="196"/>
      <c r="I350" s="196"/>
      <c r="J350" s="196"/>
    </row>
    <row r="351" spans="1:10" x14ac:dyDescent="0.25">
      <c r="A351" s="189"/>
      <c r="B351" s="189"/>
      <c r="C351" s="189"/>
      <c r="D351" s="196"/>
      <c r="E351" s="196"/>
      <c r="F351" s="196"/>
      <c r="G351" s="196"/>
      <c r="H351" s="196"/>
      <c r="I351" s="196"/>
      <c r="J351" s="196"/>
    </row>
    <row r="352" spans="1:10" x14ac:dyDescent="0.25">
      <c r="A352" s="189"/>
      <c r="B352" s="189"/>
      <c r="C352" s="189"/>
      <c r="D352" s="196"/>
      <c r="E352" s="196"/>
      <c r="F352" s="196"/>
      <c r="G352" s="196"/>
      <c r="H352" s="196"/>
      <c r="I352" s="196"/>
      <c r="J352" s="196"/>
    </row>
    <row r="353" spans="1:10" x14ac:dyDescent="0.25">
      <c r="A353" s="189"/>
      <c r="B353" s="189"/>
      <c r="C353" s="189"/>
      <c r="D353" s="196"/>
      <c r="E353" s="196"/>
      <c r="F353" s="196"/>
      <c r="G353" s="196"/>
      <c r="H353" s="196"/>
      <c r="I353" s="196"/>
      <c r="J353" s="196"/>
    </row>
    <row r="354" spans="1:10" x14ac:dyDescent="0.25">
      <c r="A354" s="189"/>
      <c r="B354" s="189"/>
      <c r="C354" s="189"/>
      <c r="D354" s="196"/>
      <c r="E354" s="196"/>
      <c r="F354" s="196"/>
      <c r="G354" s="196"/>
      <c r="H354" s="196"/>
      <c r="I354" s="196"/>
      <c r="J354" s="196"/>
    </row>
    <row r="355" spans="1:10" x14ac:dyDescent="0.25">
      <c r="A355" s="189"/>
      <c r="B355" s="189"/>
      <c r="C355" s="189"/>
      <c r="D355" s="196"/>
      <c r="E355" s="196"/>
      <c r="F355" s="196"/>
      <c r="G355" s="196"/>
      <c r="H355" s="196"/>
      <c r="I355" s="196"/>
      <c r="J355" s="196"/>
    </row>
    <row r="356" spans="1:10" x14ac:dyDescent="0.25">
      <c r="A356" s="189"/>
      <c r="B356" s="189"/>
      <c r="C356" s="189"/>
      <c r="D356" s="196"/>
      <c r="E356" s="196"/>
      <c r="F356" s="196"/>
      <c r="G356" s="196"/>
      <c r="H356" s="196"/>
      <c r="I356" s="196"/>
      <c r="J356" s="196"/>
    </row>
    <row r="357" spans="1:10" x14ac:dyDescent="0.25">
      <c r="A357" s="189"/>
      <c r="B357" s="189"/>
      <c r="C357" s="189"/>
      <c r="D357" s="196"/>
      <c r="E357" s="196"/>
      <c r="F357" s="196"/>
      <c r="G357" s="196"/>
      <c r="H357" s="196"/>
      <c r="I357" s="196"/>
      <c r="J357" s="196"/>
    </row>
    <row r="358" spans="1:10" x14ac:dyDescent="0.25">
      <c r="A358" s="189"/>
      <c r="B358" s="189"/>
      <c r="C358" s="189"/>
      <c r="D358" s="196"/>
      <c r="E358" s="196"/>
      <c r="F358" s="196"/>
      <c r="G358" s="196"/>
      <c r="H358" s="196"/>
      <c r="I358" s="196"/>
      <c r="J358" s="196"/>
    </row>
    <row r="359" spans="1:10" x14ac:dyDescent="0.25">
      <c r="A359" s="189"/>
      <c r="B359" s="189"/>
      <c r="C359" s="189"/>
      <c r="D359" s="196"/>
      <c r="E359" s="196"/>
      <c r="F359" s="196"/>
      <c r="G359" s="196"/>
      <c r="H359" s="196"/>
      <c r="I359" s="196"/>
      <c r="J359" s="196"/>
    </row>
    <row r="360" spans="1:10" x14ac:dyDescent="0.25">
      <c r="A360" s="189"/>
      <c r="B360" s="189"/>
      <c r="C360" s="189"/>
      <c r="D360" s="196"/>
      <c r="E360" s="196"/>
      <c r="F360" s="196"/>
      <c r="G360" s="196"/>
      <c r="H360" s="196"/>
      <c r="I360" s="196"/>
      <c r="J360" s="196"/>
    </row>
    <row r="361" spans="1:10" x14ac:dyDescent="0.25">
      <c r="A361" s="189"/>
      <c r="B361" s="189"/>
      <c r="C361" s="189"/>
      <c r="D361" s="196"/>
      <c r="E361" s="196"/>
      <c r="F361" s="196"/>
      <c r="G361" s="196"/>
      <c r="H361" s="196"/>
      <c r="I361" s="196"/>
      <c r="J361" s="196"/>
    </row>
    <row r="362" spans="1:10" x14ac:dyDescent="0.25">
      <c r="A362" s="189"/>
      <c r="B362" s="189"/>
      <c r="C362" s="189"/>
      <c r="D362" s="196"/>
      <c r="E362" s="196"/>
      <c r="F362" s="196"/>
      <c r="G362" s="196"/>
      <c r="H362" s="196"/>
      <c r="I362" s="196"/>
      <c r="J362" s="196"/>
    </row>
    <row r="363" spans="1:10" x14ac:dyDescent="0.25">
      <c r="A363" s="189"/>
      <c r="B363" s="189"/>
      <c r="C363" s="189"/>
      <c r="D363" s="196"/>
      <c r="E363" s="196"/>
      <c r="F363" s="196"/>
      <c r="G363" s="196"/>
      <c r="H363" s="196"/>
      <c r="I363" s="196"/>
      <c r="J363" s="196"/>
    </row>
    <row r="364" spans="1:10" x14ac:dyDescent="0.25">
      <c r="A364" s="189"/>
      <c r="B364" s="189"/>
      <c r="C364" s="189"/>
      <c r="D364" s="196"/>
      <c r="E364" s="196"/>
      <c r="F364" s="196"/>
      <c r="G364" s="196"/>
      <c r="H364" s="196"/>
      <c r="I364" s="196"/>
      <c r="J364" s="196"/>
    </row>
    <row r="365" spans="1:10" x14ac:dyDescent="0.25">
      <c r="A365" s="189"/>
      <c r="B365" s="189"/>
      <c r="C365" s="189"/>
      <c r="D365" s="196"/>
      <c r="E365" s="196"/>
      <c r="F365" s="196"/>
      <c r="G365" s="196"/>
      <c r="H365" s="196"/>
      <c r="I365" s="196"/>
      <c r="J365" s="196"/>
    </row>
    <row r="366" spans="1:10" x14ac:dyDescent="0.25">
      <c r="A366" s="189"/>
      <c r="B366" s="189"/>
      <c r="C366" s="189"/>
      <c r="D366" s="196"/>
      <c r="E366" s="196"/>
      <c r="F366" s="196"/>
      <c r="G366" s="196"/>
      <c r="H366" s="196"/>
      <c r="I366" s="196"/>
      <c r="J366" s="196"/>
    </row>
    <row r="367" spans="1:10" x14ac:dyDescent="0.25">
      <c r="A367" s="189"/>
      <c r="B367" s="189"/>
      <c r="C367" s="189"/>
      <c r="D367" s="196"/>
      <c r="E367" s="196"/>
      <c r="F367" s="196"/>
      <c r="G367" s="196"/>
      <c r="H367" s="196"/>
      <c r="I367" s="196"/>
      <c r="J367" s="196"/>
    </row>
    <row r="368" spans="1:10" x14ac:dyDescent="0.25">
      <c r="A368" s="189"/>
      <c r="B368" s="189"/>
      <c r="C368" s="189"/>
      <c r="D368" s="196"/>
      <c r="E368" s="196"/>
      <c r="F368" s="196"/>
      <c r="G368" s="196"/>
      <c r="H368" s="196"/>
      <c r="I368" s="196"/>
      <c r="J368" s="196"/>
    </row>
    <row r="369" spans="1:10" x14ac:dyDescent="0.25">
      <c r="A369" s="189"/>
      <c r="B369" s="189"/>
      <c r="C369" s="189"/>
      <c r="D369" s="196"/>
      <c r="E369" s="196"/>
      <c r="F369" s="196"/>
      <c r="G369" s="196"/>
      <c r="H369" s="196"/>
      <c r="I369" s="196"/>
      <c r="J369" s="196"/>
    </row>
    <row r="370" spans="1:10" x14ac:dyDescent="0.25">
      <c r="A370" s="189"/>
      <c r="B370" s="189"/>
      <c r="C370" s="189"/>
      <c r="D370" s="196"/>
      <c r="E370" s="196"/>
      <c r="F370" s="196"/>
      <c r="G370" s="196"/>
      <c r="H370" s="196"/>
      <c r="I370" s="196"/>
      <c r="J370" s="196"/>
    </row>
    <row r="371" spans="1:10" x14ac:dyDescent="0.25">
      <c r="A371" s="189"/>
      <c r="B371" s="189"/>
      <c r="C371" s="189"/>
      <c r="D371" s="196"/>
      <c r="E371" s="196"/>
      <c r="F371" s="196"/>
      <c r="G371" s="196"/>
      <c r="H371" s="196"/>
      <c r="I371" s="196"/>
      <c r="J371" s="196"/>
    </row>
    <row r="372" spans="1:10" x14ac:dyDescent="0.25">
      <c r="A372" s="189"/>
      <c r="B372" s="189"/>
      <c r="C372" s="189"/>
      <c r="D372" s="196"/>
      <c r="E372" s="196"/>
      <c r="F372" s="196"/>
      <c r="G372" s="196"/>
      <c r="H372" s="196"/>
      <c r="I372" s="196"/>
      <c r="J372" s="196"/>
    </row>
    <row r="373" spans="1:10" x14ac:dyDescent="0.25">
      <c r="A373" s="189"/>
      <c r="B373" s="189"/>
      <c r="C373" s="189"/>
      <c r="D373" s="196"/>
      <c r="E373" s="196"/>
      <c r="F373" s="196"/>
      <c r="G373" s="196"/>
      <c r="H373" s="196"/>
      <c r="I373" s="196"/>
      <c r="J373" s="196"/>
    </row>
    <row r="374" spans="1:10" x14ac:dyDescent="0.25">
      <c r="A374" s="189"/>
      <c r="B374" s="189"/>
      <c r="C374" s="189"/>
      <c r="D374" s="196"/>
      <c r="E374" s="196"/>
      <c r="F374" s="196"/>
      <c r="G374" s="196"/>
      <c r="H374" s="196"/>
      <c r="I374" s="196"/>
      <c r="J374" s="196"/>
    </row>
    <row r="375" spans="1:10" x14ac:dyDescent="0.25">
      <c r="A375" s="189"/>
      <c r="B375" s="189"/>
      <c r="C375" s="189"/>
      <c r="D375" s="196"/>
      <c r="E375" s="196"/>
      <c r="F375" s="196"/>
      <c r="G375" s="196"/>
      <c r="H375" s="196"/>
      <c r="I375" s="196"/>
      <c r="J375" s="196"/>
    </row>
    <row r="376" spans="1:10" x14ac:dyDescent="0.25">
      <c r="A376" s="189"/>
      <c r="B376" s="189"/>
      <c r="C376" s="189"/>
      <c r="D376" s="196"/>
      <c r="E376" s="196"/>
      <c r="F376" s="196"/>
      <c r="G376" s="196"/>
      <c r="H376" s="196"/>
      <c r="I376" s="196"/>
      <c r="J376" s="196"/>
    </row>
    <row r="377" spans="1:10" x14ac:dyDescent="0.25">
      <c r="A377" s="189"/>
      <c r="B377" s="189"/>
      <c r="C377" s="189"/>
      <c r="D377" s="196"/>
      <c r="E377" s="196"/>
      <c r="F377" s="196"/>
      <c r="G377" s="196"/>
      <c r="H377" s="196"/>
      <c r="I377" s="196"/>
      <c r="J377" s="196"/>
    </row>
    <row r="378" spans="1:10" x14ac:dyDescent="0.25">
      <c r="A378" s="189"/>
      <c r="B378" s="189"/>
      <c r="C378" s="189"/>
      <c r="D378" s="196"/>
      <c r="E378" s="196"/>
      <c r="F378" s="196"/>
      <c r="G378" s="196"/>
      <c r="H378" s="196"/>
      <c r="I378" s="196"/>
      <c r="J378" s="196"/>
    </row>
    <row r="379" spans="1:10" x14ac:dyDescent="0.25">
      <c r="A379" s="189"/>
      <c r="B379" s="189"/>
      <c r="C379" s="189"/>
      <c r="D379" s="196"/>
      <c r="E379" s="196"/>
      <c r="F379" s="196"/>
      <c r="G379" s="196"/>
      <c r="H379" s="196"/>
      <c r="I379" s="196"/>
      <c r="J379" s="196"/>
    </row>
    <row r="380" spans="1:10" x14ac:dyDescent="0.25">
      <c r="A380" s="189"/>
      <c r="B380" s="189"/>
      <c r="C380" s="189"/>
      <c r="D380" s="196"/>
      <c r="E380" s="196"/>
      <c r="F380" s="196"/>
      <c r="G380" s="196"/>
      <c r="H380" s="196"/>
      <c r="I380" s="196"/>
      <c r="J380" s="196"/>
    </row>
    <row r="381" spans="1:10" x14ac:dyDescent="0.25">
      <c r="A381" s="189"/>
      <c r="B381" s="189"/>
      <c r="C381" s="189"/>
      <c r="D381" s="196"/>
      <c r="E381" s="196"/>
      <c r="F381" s="196"/>
      <c r="G381" s="196"/>
      <c r="H381" s="196"/>
      <c r="I381" s="196"/>
      <c r="J381" s="196"/>
    </row>
    <row r="382" spans="1:10" x14ac:dyDescent="0.25">
      <c r="A382" s="189"/>
      <c r="B382" s="189"/>
      <c r="C382" s="189"/>
      <c r="D382" s="196"/>
      <c r="E382" s="196"/>
      <c r="F382" s="196"/>
      <c r="G382" s="196"/>
      <c r="H382" s="196"/>
      <c r="I382" s="196"/>
      <c r="J382" s="196"/>
    </row>
    <row r="383" spans="1:10" x14ac:dyDescent="0.25">
      <c r="A383" s="189"/>
      <c r="B383" s="189"/>
      <c r="C383" s="189"/>
      <c r="D383" s="196"/>
      <c r="E383" s="196"/>
      <c r="F383" s="196"/>
      <c r="G383" s="196"/>
      <c r="H383" s="196"/>
      <c r="I383" s="196"/>
      <c r="J383" s="196"/>
    </row>
    <row r="384" spans="1:10" x14ac:dyDescent="0.25">
      <c r="A384" s="189"/>
      <c r="B384" s="189"/>
      <c r="C384" s="189"/>
      <c r="D384" s="196"/>
      <c r="E384" s="196"/>
      <c r="F384" s="196"/>
      <c r="G384" s="196"/>
      <c r="H384" s="196"/>
      <c r="I384" s="196"/>
      <c r="J384" s="196"/>
    </row>
    <row r="385" spans="1:10" x14ac:dyDescent="0.25">
      <c r="A385" s="189"/>
      <c r="B385" s="189"/>
      <c r="C385" s="189"/>
      <c r="D385" s="196"/>
      <c r="E385" s="196"/>
      <c r="F385" s="196"/>
      <c r="G385" s="196"/>
      <c r="H385" s="196"/>
      <c r="I385" s="196"/>
      <c r="J385" s="196"/>
    </row>
    <row r="386" spans="1:10" x14ac:dyDescent="0.25">
      <c r="A386" s="189"/>
      <c r="B386" s="189"/>
      <c r="C386" s="189"/>
      <c r="D386" s="196"/>
      <c r="E386" s="196"/>
      <c r="F386" s="196"/>
      <c r="G386" s="196"/>
      <c r="H386" s="196"/>
      <c r="I386" s="196"/>
      <c r="J386" s="196"/>
    </row>
    <row r="387" spans="1:10" x14ac:dyDescent="0.25">
      <c r="A387" s="189"/>
      <c r="B387" s="189"/>
      <c r="C387" s="189"/>
      <c r="D387" s="196"/>
      <c r="E387" s="196"/>
      <c r="F387" s="196"/>
      <c r="G387" s="196"/>
      <c r="H387" s="196"/>
      <c r="I387" s="196"/>
      <c r="J387" s="196"/>
    </row>
    <row r="388" spans="1:10" x14ac:dyDescent="0.25">
      <c r="A388" s="189"/>
      <c r="B388" s="189"/>
      <c r="C388" s="189"/>
      <c r="D388" s="196"/>
      <c r="E388" s="196"/>
      <c r="F388" s="196"/>
      <c r="G388" s="196"/>
      <c r="H388" s="196"/>
      <c r="I388" s="196"/>
      <c r="J388" s="196"/>
    </row>
    <row r="389" spans="1:10" x14ac:dyDescent="0.25">
      <c r="A389" s="189"/>
      <c r="B389" s="189"/>
      <c r="C389" s="189"/>
      <c r="D389" s="196"/>
      <c r="E389" s="196"/>
      <c r="F389" s="196"/>
      <c r="G389" s="196"/>
      <c r="H389" s="196"/>
      <c r="I389" s="196"/>
      <c r="J389" s="196"/>
    </row>
    <row r="390" spans="1:10" x14ac:dyDescent="0.25">
      <c r="A390" s="189"/>
      <c r="B390" s="189"/>
      <c r="C390" s="189"/>
      <c r="D390" s="196"/>
      <c r="E390" s="196"/>
      <c r="F390" s="196"/>
      <c r="G390" s="196"/>
      <c r="H390" s="196"/>
      <c r="I390" s="196"/>
      <c r="J390" s="196"/>
    </row>
    <row r="391" spans="1:10" x14ac:dyDescent="0.25">
      <c r="A391" s="189"/>
      <c r="B391" s="189"/>
      <c r="C391" s="189"/>
      <c r="D391" s="196"/>
      <c r="E391" s="196"/>
      <c r="F391" s="196"/>
      <c r="G391" s="196"/>
      <c r="H391" s="196"/>
      <c r="I391" s="196"/>
      <c r="J391" s="196"/>
    </row>
    <row r="392" spans="1:10" x14ac:dyDescent="0.25">
      <c r="A392" s="189"/>
      <c r="B392" s="189"/>
      <c r="C392" s="189"/>
      <c r="D392" s="196"/>
      <c r="E392" s="196"/>
      <c r="F392" s="196"/>
      <c r="G392" s="196"/>
      <c r="H392" s="196"/>
      <c r="I392" s="196"/>
      <c r="J392" s="196"/>
    </row>
    <row r="393" spans="1:10" x14ac:dyDescent="0.25">
      <c r="A393" s="189"/>
      <c r="B393" s="189"/>
      <c r="C393" s="189"/>
      <c r="D393" s="196"/>
      <c r="E393" s="196"/>
      <c r="F393" s="196"/>
      <c r="G393" s="196"/>
      <c r="H393" s="196"/>
      <c r="I393" s="196"/>
      <c r="J393" s="196"/>
    </row>
    <row r="394" spans="1:10" x14ac:dyDescent="0.25">
      <c r="A394" s="189"/>
      <c r="B394" s="189"/>
      <c r="C394" s="189"/>
      <c r="D394" s="196"/>
      <c r="E394" s="196"/>
      <c r="F394" s="196"/>
      <c r="G394" s="196"/>
      <c r="H394" s="196"/>
      <c r="I394" s="196"/>
      <c r="J394" s="196"/>
    </row>
    <row r="395" spans="1:10" x14ac:dyDescent="0.25">
      <c r="A395" s="189"/>
      <c r="B395" s="189"/>
      <c r="C395" s="189"/>
      <c r="D395" s="196"/>
      <c r="E395" s="196"/>
      <c r="F395" s="196"/>
      <c r="G395" s="196"/>
      <c r="H395" s="196"/>
      <c r="I395" s="196"/>
      <c r="J395" s="196"/>
    </row>
    <row r="396" spans="1:10" x14ac:dyDescent="0.25">
      <c r="A396" s="189"/>
      <c r="B396" s="189"/>
      <c r="C396" s="189"/>
      <c r="D396" s="196"/>
      <c r="E396" s="196"/>
      <c r="F396" s="196"/>
      <c r="G396" s="196"/>
      <c r="H396" s="196"/>
      <c r="I396" s="196"/>
      <c r="J396" s="196"/>
    </row>
    <row r="397" spans="1:10" x14ac:dyDescent="0.25">
      <c r="A397" s="189"/>
      <c r="B397" s="189"/>
      <c r="C397" s="189"/>
      <c r="D397" s="196"/>
      <c r="E397" s="196"/>
      <c r="F397" s="196"/>
      <c r="G397" s="196"/>
      <c r="H397" s="196"/>
      <c r="I397" s="196"/>
      <c r="J397" s="196"/>
    </row>
    <row r="398" spans="1:10" x14ac:dyDescent="0.25">
      <c r="A398" s="189"/>
      <c r="B398" s="189"/>
      <c r="C398" s="189"/>
      <c r="D398" s="196"/>
      <c r="E398" s="196"/>
      <c r="F398" s="196"/>
      <c r="G398" s="196"/>
      <c r="H398" s="196"/>
      <c r="I398" s="196"/>
      <c r="J398" s="196"/>
    </row>
    <row r="399" spans="1:10" x14ac:dyDescent="0.25">
      <c r="A399" s="189"/>
      <c r="B399" s="189"/>
      <c r="C399" s="189"/>
      <c r="D399" s="196"/>
      <c r="E399" s="196"/>
      <c r="F399" s="196"/>
      <c r="G399" s="196"/>
      <c r="H399" s="196"/>
      <c r="I399" s="196"/>
      <c r="J399" s="196"/>
    </row>
    <row r="400" spans="1:10" x14ac:dyDescent="0.25">
      <c r="A400" s="189"/>
      <c r="B400" s="189"/>
      <c r="C400" s="189"/>
      <c r="D400" s="196"/>
      <c r="E400" s="196"/>
      <c r="F400" s="196"/>
      <c r="G400" s="196"/>
      <c r="H400" s="196"/>
      <c r="I400" s="196"/>
      <c r="J400" s="196"/>
    </row>
    <row r="401" spans="1:10" x14ac:dyDescent="0.25">
      <c r="A401" s="189"/>
      <c r="B401" s="189"/>
      <c r="C401" s="189"/>
      <c r="D401" s="196"/>
      <c r="E401" s="196"/>
      <c r="F401" s="196"/>
      <c r="G401" s="196"/>
      <c r="H401" s="196"/>
      <c r="I401" s="196"/>
      <c r="J401" s="196"/>
    </row>
    <row r="402" spans="1:10" x14ac:dyDescent="0.25">
      <c r="A402" s="189"/>
      <c r="B402" s="189"/>
      <c r="C402" s="189"/>
      <c r="D402" s="196"/>
      <c r="E402" s="196"/>
      <c r="F402" s="196"/>
      <c r="G402" s="196"/>
      <c r="H402" s="196"/>
      <c r="I402" s="196"/>
      <c r="J402" s="196"/>
    </row>
    <row r="403" spans="1:10" x14ac:dyDescent="0.25">
      <c r="A403" s="189"/>
      <c r="B403" s="189"/>
      <c r="C403" s="189"/>
      <c r="D403" s="196"/>
      <c r="E403" s="196"/>
      <c r="F403" s="196"/>
      <c r="G403" s="196"/>
      <c r="H403" s="196"/>
      <c r="I403" s="196"/>
      <c r="J403" s="196"/>
    </row>
    <row r="404" spans="1:10" x14ac:dyDescent="0.25">
      <c r="A404" s="189"/>
      <c r="B404" s="189"/>
      <c r="C404" s="189"/>
      <c r="D404" s="196"/>
      <c r="E404" s="196"/>
      <c r="F404" s="196"/>
      <c r="G404" s="196"/>
      <c r="H404" s="196"/>
      <c r="I404" s="196"/>
      <c r="J404" s="196"/>
    </row>
    <row r="405" spans="1:10" x14ac:dyDescent="0.25">
      <c r="A405" s="189"/>
      <c r="B405" s="189"/>
      <c r="C405" s="189"/>
      <c r="D405" s="196"/>
      <c r="E405" s="196"/>
      <c r="F405" s="196"/>
      <c r="G405" s="196"/>
      <c r="H405" s="196"/>
      <c r="I405" s="196"/>
      <c r="J405" s="196"/>
    </row>
    <row r="406" spans="1:10" x14ac:dyDescent="0.25">
      <c r="A406" s="189"/>
      <c r="B406" s="189"/>
      <c r="C406" s="189"/>
      <c r="D406" s="196"/>
      <c r="E406" s="196"/>
      <c r="F406" s="196"/>
      <c r="G406" s="196"/>
      <c r="H406" s="196"/>
      <c r="I406" s="196"/>
      <c r="J406" s="196"/>
    </row>
    <row r="407" spans="1:10" x14ac:dyDescent="0.25">
      <c r="A407" s="189"/>
      <c r="B407" s="189"/>
      <c r="C407" s="189"/>
      <c r="D407" s="196"/>
      <c r="E407" s="196"/>
      <c r="F407" s="196"/>
      <c r="G407" s="196"/>
      <c r="H407" s="196"/>
      <c r="I407" s="196"/>
      <c r="J407" s="196"/>
    </row>
    <row r="408" spans="1:10" x14ac:dyDescent="0.25">
      <c r="B408" s="189"/>
      <c r="C408" s="192"/>
      <c r="D408" s="193"/>
      <c r="E408" s="189"/>
      <c r="F408" s="194"/>
      <c r="G408" s="189"/>
      <c r="H408" s="19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70C0"/>
  </sheetPr>
  <dimension ref="A1:F78"/>
  <sheetViews>
    <sheetView topLeftCell="A51" workbookViewId="0">
      <selection activeCell="C64" sqref="C1:C1048576"/>
    </sheetView>
  </sheetViews>
  <sheetFormatPr baseColWidth="10" defaultRowHeight="15" x14ac:dyDescent="0.25"/>
  <cols>
    <col min="1" max="1" width="6" bestFit="1" customWidth="1"/>
    <col min="2" max="2" width="5.28515625" bestFit="1" customWidth="1"/>
    <col min="3" max="3" width="24.7109375" bestFit="1" customWidth="1"/>
    <col min="4" max="4" width="8.7109375" bestFit="1" customWidth="1"/>
    <col min="5" max="5" width="30" bestFit="1" customWidth="1"/>
    <col min="6" max="6" width="5" bestFit="1" customWidth="1"/>
  </cols>
  <sheetData>
    <row r="1" spans="1:6" x14ac:dyDescent="0.25">
      <c r="A1" s="5" t="s">
        <v>285</v>
      </c>
      <c r="B1" s="5" t="s">
        <v>286</v>
      </c>
      <c r="C1" s="5" t="s">
        <v>2</v>
      </c>
      <c r="D1" s="5" t="s">
        <v>0</v>
      </c>
      <c r="E1" s="5" t="s">
        <v>2</v>
      </c>
      <c r="F1" s="5" t="s">
        <v>287</v>
      </c>
    </row>
    <row r="2" spans="1:6" x14ac:dyDescent="0.25">
      <c r="A2" s="5" t="s">
        <v>288</v>
      </c>
      <c r="B2" s="5">
        <v>557</v>
      </c>
      <c r="C2" s="5" t="s">
        <v>78</v>
      </c>
      <c r="D2" s="5" t="s">
        <v>18</v>
      </c>
      <c r="E2" s="5" t="s">
        <v>19</v>
      </c>
      <c r="F2" s="5">
        <f>+IFERROR(IF(A2="Loeke",VLOOKUP(B2,'Est Madre LK 10-25'!A:C,3,),VLOOKUP(B2,'Est Madre CH 10-25'!A:C,3,)),0)</f>
        <v>288</v>
      </c>
    </row>
    <row r="3" spans="1:6" x14ac:dyDescent="0.25">
      <c r="A3" s="5" t="s">
        <v>288</v>
      </c>
      <c r="B3" s="5">
        <v>558</v>
      </c>
      <c r="C3" s="5" t="s">
        <v>77</v>
      </c>
      <c r="D3" s="5" t="s">
        <v>18</v>
      </c>
      <c r="E3" s="5" t="s">
        <v>19</v>
      </c>
      <c r="F3" s="5">
        <f>+IFERROR(IF(A3="Loeke",VLOOKUP(B3,'Est Madre LK 10-25'!A:C,3,),VLOOKUP(B3,'Est Madre CH 10-25'!A:C,3,)),0)</f>
        <v>2124</v>
      </c>
    </row>
    <row r="4" spans="1:6" x14ac:dyDescent="0.25">
      <c r="A4" s="5" t="s">
        <v>288</v>
      </c>
      <c r="B4" s="5">
        <v>573</v>
      </c>
      <c r="C4" s="5" t="s">
        <v>138</v>
      </c>
      <c r="D4" s="5" t="s">
        <v>18</v>
      </c>
      <c r="E4" s="5" t="s">
        <v>19</v>
      </c>
      <c r="F4" s="5">
        <f>+IFERROR(IF(A4="Loeke",VLOOKUP(B4,'Est Madre LK 10-25'!A:C,3,),VLOOKUP(B4,'Est Madre CH 10-25'!A:C,3,)),0)</f>
        <v>360</v>
      </c>
    </row>
    <row r="5" spans="1:6" x14ac:dyDescent="0.25">
      <c r="A5" s="5" t="s">
        <v>288</v>
      </c>
      <c r="B5" s="5">
        <v>654</v>
      </c>
      <c r="C5" s="5" t="s">
        <v>85</v>
      </c>
      <c r="D5" s="5" t="s">
        <v>18</v>
      </c>
      <c r="E5" s="5" t="s">
        <v>19</v>
      </c>
      <c r="F5" s="5">
        <f>+IFERROR(IF(A5="Loeke",VLOOKUP(B5,'Est Madre LK 10-25'!A:C,3,),VLOOKUP(B5,'Est Madre CH 10-25'!A:C,3,)),0)</f>
        <v>912</v>
      </c>
    </row>
    <row r="6" spans="1:6" x14ac:dyDescent="0.25">
      <c r="A6" s="5" t="s">
        <v>288</v>
      </c>
      <c r="B6" s="5">
        <v>557</v>
      </c>
      <c r="C6" s="5" t="s">
        <v>78</v>
      </c>
      <c r="D6" s="6" t="s">
        <v>20</v>
      </c>
      <c r="E6" s="5" t="s">
        <v>22</v>
      </c>
      <c r="F6" s="5">
        <f>+IFERROR(IF(A6="Loeke",VLOOKUP(B6,'Est Madre LK 10-25'!A:C,3,),VLOOKUP(B6,'Est Madre CH 10-25'!A:C,3,)),0)</f>
        <v>288</v>
      </c>
    </row>
    <row r="7" spans="1:6" x14ac:dyDescent="0.25">
      <c r="A7" s="5" t="s">
        <v>288</v>
      </c>
      <c r="B7" s="5">
        <v>558</v>
      </c>
      <c r="C7" s="5" t="s">
        <v>77</v>
      </c>
      <c r="D7" s="6" t="s">
        <v>20</v>
      </c>
      <c r="E7" s="5" t="s">
        <v>22</v>
      </c>
      <c r="F7" s="5">
        <f>+IFERROR(IF(A7="Loeke",VLOOKUP(B7,'Est Madre LK 10-25'!A:C,3,),VLOOKUP(B7,'Est Madre CH 10-25'!A:C,3,)),0)</f>
        <v>2124</v>
      </c>
    </row>
    <row r="8" spans="1:6" x14ac:dyDescent="0.25">
      <c r="A8" s="5" t="s">
        <v>288</v>
      </c>
      <c r="B8" s="5">
        <v>654</v>
      </c>
      <c r="C8" s="5" t="s">
        <v>85</v>
      </c>
      <c r="D8" s="6" t="s">
        <v>20</v>
      </c>
      <c r="E8" s="5" t="s">
        <v>22</v>
      </c>
      <c r="F8" s="5">
        <f>+IFERROR(IF(A8="Loeke",VLOOKUP(B8,'Est Madre LK 10-25'!A:C,3,),VLOOKUP(B8,'Est Madre CH 10-25'!A:C,3,)),0)</f>
        <v>912</v>
      </c>
    </row>
    <row r="9" spans="1:6" x14ac:dyDescent="0.25">
      <c r="A9" s="5" t="s">
        <v>288</v>
      </c>
      <c r="B9" s="5">
        <v>573</v>
      </c>
      <c r="C9" s="5" t="s">
        <v>138</v>
      </c>
      <c r="D9" s="6" t="s">
        <v>20</v>
      </c>
      <c r="E9" s="5" t="s">
        <v>22</v>
      </c>
      <c r="F9" s="5">
        <f>+IFERROR(IF(A9="Loeke",VLOOKUP(B9,'Est Madre LK 10-25'!A:C,3,),VLOOKUP(B9,'Est Madre CH 10-25'!A:C,3,)),0)</f>
        <v>360</v>
      </c>
    </row>
    <row r="10" spans="1:6" x14ac:dyDescent="0.25">
      <c r="A10" s="5" t="s">
        <v>288</v>
      </c>
      <c r="B10" s="5">
        <v>654</v>
      </c>
      <c r="C10" s="5" t="s">
        <v>85</v>
      </c>
      <c r="D10" s="5" t="s">
        <v>11</v>
      </c>
      <c r="E10" s="5" t="s">
        <v>13</v>
      </c>
      <c r="F10" s="5">
        <f>+IFERROR(IF(A10="Loeke",VLOOKUP(B10,'Est Madre LK 10-25'!A:C,3,),VLOOKUP(B10,'Est Madre CH 10-25'!A:C,3,)),0)</f>
        <v>912</v>
      </c>
    </row>
    <row r="11" spans="1:6" x14ac:dyDescent="0.25">
      <c r="A11" s="5" t="s">
        <v>288</v>
      </c>
      <c r="B11" s="5">
        <v>548</v>
      </c>
      <c r="C11" s="5" t="s">
        <v>148</v>
      </c>
      <c r="D11" s="5" t="s">
        <v>23</v>
      </c>
      <c r="E11" s="5" t="s">
        <v>24</v>
      </c>
      <c r="F11" s="5">
        <f>+IFERROR(IF(A11="Loeke",VLOOKUP(B11,'Est Madre LK 10-25'!A:C,3,),VLOOKUP(B11,'Est Madre CH 10-25'!A:C,3,)),0)</f>
        <v>0</v>
      </c>
    </row>
    <row r="12" spans="1:6" x14ac:dyDescent="0.25">
      <c r="A12" s="5" t="s">
        <v>288</v>
      </c>
      <c r="B12" s="5">
        <v>557</v>
      </c>
      <c r="C12" s="5" t="s">
        <v>78</v>
      </c>
      <c r="D12" s="5" t="s">
        <v>25</v>
      </c>
      <c r="E12" s="5" t="s">
        <v>26</v>
      </c>
      <c r="F12" s="5">
        <f>+IFERROR(IF(A12="Loeke",VLOOKUP(B12,'Est Madre LK 10-25'!A:C,3,),VLOOKUP(B12,'Est Madre CH 10-25'!A:C,3,)),0)</f>
        <v>288</v>
      </c>
    </row>
    <row r="13" spans="1:6" x14ac:dyDescent="0.25">
      <c r="A13" s="5" t="s">
        <v>288</v>
      </c>
      <c r="B13" s="5">
        <v>558</v>
      </c>
      <c r="C13" s="5" t="s">
        <v>77</v>
      </c>
      <c r="D13" s="5" t="s">
        <v>25</v>
      </c>
      <c r="E13" s="5" t="s">
        <v>26</v>
      </c>
      <c r="F13" s="5">
        <f>+IFERROR(IF(A13="Loeke",VLOOKUP(B13,'Est Madre LK 10-25'!A:C,3,),VLOOKUP(B13,'Est Madre CH 10-25'!A:C,3,)),0)</f>
        <v>2124</v>
      </c>
    </row>
    <row r="14" spans="1:6" x14ac:dyDescent="0.25">
      <c r="A14" s="5" t="s">
        <v>288</v>
      </c>
      <c r="B14" s="5">
        <v>573</v>
      </c>
      <c r="C14" s="5" t="s">
        <v>138</v>
      </c>
      <c r="D14" s="5" t="s">
        <v>25</v>
      </c>
      <c r="E14" s="5" t="s">
        <v>26</v>
      </c>
      <c r="F14" s="5">
        <f>+IFERROR(IF(A14="Loeke",VLOOKUP(B14,'Est Madre LK 10-25'!A:C,3,),VLOOKUP(B14,'Est Madre CH 10-25'!A:C,3,)),0)</f>
        <v>360</v>
      </c>
    </row>
    <row r="15" spans="1:6" x14ac:dyDescent="0.25">
      <c r="A15" s="5" t="s">
        <v>288</v>
      </c>
      <c r="B15" s="5">
        <v>654</v>
      </c>
      <c r="C15" s="5" t="s">
        <v>85</v>
      </c>
      <c r="D15" s="5" t="s">
        <v>25</v>
      </c>
      <c r="E15" s="5" t="s">
        <v>26</v>
      </c>
      <c r="F15" s="5">
        <f>+IFERROR(IF(A15="Loeke",VLOOKUP(B15,'Est Madre LK 10-25'!A:C,3,),VLOOKUP(B15,'Est Madre CH 10-25'!A:C,3,)),0)</f>
        <v>912</v>
      </c>
    </row>
    <row r="16" spans="1:6" x14ac:dyDescent="0.25">
      <c r="A16" s="5" t="s">
        <v>288</v>
      </c>
      <c r="B16" s="5">
        <v>552</v>
      </c>
      <c r="C16" s="5">
        <v>0</v>
      </c>
      <c r="D16" s="5" t="s">
        <v>16</v>
      </c>
      <c r="E16" s="5" t="s">
        <v>17</v>
      </c>
      <c r="F16" s="5">
        <f>+IFERROR(IF(A16="Loeke",VLOOKUP(B16,'Est Madre LK 10-25'!A:C,3,),VLOOKUP(B16,'Est Madre CH 10-25'!A:C,3,)),0)</f>
        <v>0</v>
      </c>
    </row>
    <row r="17" spans="1:6" x14ac:dyDescent="0.25">
      <c r="A17" s="5" t="s">
        <v>288</v>
      </c>
      <c r="B17" s="5">
        <v>553</v>
      </c>
      <c r="C17" s="5">
        <v>0</v>
      </c>
      <c r="D17" s="5" t="s">
        <v>16</v>
      </c>
      <c r="E17" s="5" t="s">
        <v>17</v>
      </c>
      <c r="F17" s="5">
        <f>+IFERROR(IF(A17="Loeke",VLOOKUP(B17,'Est Madre LK 10-25'!A:C,3,),VLOOKUP(B17,'Est Madre CH 10-25'!A:C,3,)),0)</f>
        <v>0</v>
      </c>
    </row>
    <row r="18" spans="1:6" x14ac:dyDescent="0.25">
      <c r="A18" s="5" t="s">
        <v>288</v>
      </c>
      <c r="B18" s="5">
        <v>654</v>
      </c>
      <c r="C18" s="5" t="s">
        <v>85</v>
      </c>
      <c r="D18" s="5" t="s">
        <v>16</v>
      </c>
      <c r="E18" s="5" t="s">
        <v>17</v>
      </c>
      <c r="F18" s="5">
        <f>+IFERROR(IF(A18="Loeke",VLOOKUP(B18,'Est Madre LK 10-25'!A:C,3,),VLOOKUP(B18,'Est Madre CH 10-25'!A:C,3,)),0)</f>
        <v>912</v>
      </c>
    </row>
    <row r="19" spans="1:6" ht="17.25" customHeight="1" x14ac:dyDescent="0.25">
      <c r="A19" s="5" t="s">
        <v>288</v>
      </c>
      <c r="B19" s="5">
        <v>654</v>
      </c>
      <c r="C19" s="5" t="s">
        <v>85</v>
      </c>
      <c r="D19" s="5" t="s">
        <v>14</v>
      </c>
      <c r="E19" s="5" t="s">
        <v>15</v>
      </c>
      <c r="F19" s="5">
        <f>+IFERROR(IF(A19="Loeke",VLOOKUP(B19,'Est Madre LK 10-25'!A:C,3,),VLOOKUP(B19,'Est Madre CH 10-25'!A:C,3,)),0)</f>
        <v>912</v>
      </c>
    </row>
    <row r="20" spans="1:6" x14ac:dyDescent="0.25">
      <c r="A20" s="5" t="s">
        <v>288</v>
      </c>
      <c r="B20" s="5">
        <v>557</v>
      </c>
      <c r="C20" s="5" t="s">
        <v>78</v>
      </c>
      <c r="D20" s="6" t="s">
        <v>27</v>
      </c>
      <c r="E20" s="5" t="s">
        <v>28</v>
      </c>
      <c r="F20" s="5">
        <f>+IFERROR(IF(A20="Loeke",VLOOKUP(B20,'Est Madre LK 10-25'!A:C,3,),VLOOKUP(B20,'Est Madre CH 10-25'!A:C,3,)),0)</f>
        <v>288</v>
      </c>
    </row>
    <row r="21" spans="1:6" x14ac:dyDescent="0.25">
      <c r="A21" s="5" t="s">
        <v>288</v>
      </c>
      <c r="B21" s="5">
        <v>655</v>
      </c>
      <c r="C21" s="5" t="s">
        <v>165</v>
      </c>
      <c r="D21" s="6" t="s">
        <v>27</v>
      </c>
      <c r="E21" s="5" t="s">
        <v>28</v>
      </c>
      <c r="F21" s="5">
        <f>+IFERROR(IF(A21="Loeke",VLOOKUP(B21,'Est Madre LK 10-25'!A:C,3,),VLOOKUP(B21,'Est Madre CH 10-25'!A:C,3,)),0)</f>
        <v>0</v>
      </c>
    </row>
    <row r="22" spans="1:6" x14ac:dyDescent="0.25">
      <c r="A22" s="5" t="s">
        <v>288</v>
      </c>
      <c r="B22" s="5">
        <v>558</v>
      </c>
      <c r="C22" s="5" t="s">
        <v>77</v>
      </c>
      <c r="D22" s="6" t="s">
        <v>27</v>
      </c>
      <c r="E22" s="5" t="s">
        <v>28</v>
      </c>
      <c r="F22" s="5">
        <f>+IFERROR(IF(A22="Loeke",VLOOKUP(B22,'Est Madre LK 10-25'!A:C,3,),VLOOKUP(B22,'Est Madre CH 10-25'!A:C,3,)),0)</f>
        <v>2124</v>
      </c>
    </row>
    <row r="23" spans="1:6" x14ac:dyDescent="0.25">
      <c r="A23" s="5" t="s">
        <v>288</v>
      </c>
      <c r="B23" s="5">
        <v>654</v>
      </c>
      <c r="C23" s="5" t="s">
        <v>85</v>
      </c>
      <c r="D23" s="5" t="s">
        <v>29</v>
      </c>
      <c r="E23" s="5" t="s">
        <v>30</v>
      </c>
      <c r="F23" s="5">
        <f>+IFERROR(IF(A23="Loeke",VLOOKUP(B23,'Est Madre LK 10-25'!A:C,3,),VLOOKUP(B23,'Est Madre CH 10-25'!A:C,3,)),0)</f>
        <v>912</v>
      </c>
    </row>
    <row r="24" spans="1:6" x14ac:dyDescent="0.25">
      <c r="A24" s="5" t="s">
        <v>288</v>
      </c>
      <c r="B24" s="5">
        <v>573</v>
      </c>
      <c r="C24" s="5" t="s">
        <v>138</v>
      </c>
      <c r="D24" s="5" t="s">
        <v>8</v>
      </c>
      <c r="E24" s="5" t="s">
        <v>10</v>
      </c>
      <c r="F24" s="5">
        <f>+IFERROR(IF(A24="Loeke",VLOOKUP(B24,'Est Madre LK 10-25'!A:C,3,),VLOOKUP(B24,'Est Madre CH 10-25'!A:C,3,)),0)</f>
        <v>360</v>
      </c>
    </row>
    <row r="25" spans="1:6" x14ac:dyDescent="0.25">
      <c r="A25" s="5" t="s">
        <v>289</v>
      </c>
      <c r="B25" s="5">
        <v>755</v>
      </c>
      <c r="C25" s="5" t="s">
        <v>231</v>
      </c>
      <c r="D25" s="5" t="s">
        <v>18</v>
      </c>
      <c r="E25" s="5" t="s">
        <v>19</v>
      </c>
      <c r="F25" s="5">
        <f>+IFERROR(IF(A25="Loeke",VLOOKUP(B25,'Est Madre LK 10-25'!A:C,3,),VLOOKUP(B25,'Est Madre CH 10-25'!A:C,3,)),0)</f>
        <v>0</v>
      </c>
    </row>
    <row r="26" spans="1:6" x14ac:dyDescent="0.25">
      <c r="A26" s="5" t="s">
        <v>289</v>
      </c>
      <c r="B26" s="5">
        <v>762</v>
      </c>
      <c r="C26" s="5" t="s">
        <v>78</v>
      </c>
      <c r="D26" s="5" t="s">
        <v>18</v>
      </c>
      <c r="E26" s="5" t="s">
        <v>19</v>
      </c>
      <c r="F26" s="5">
        <f>+IFERROR(IF(A26="Loeke",VLOOKUP(B26,'Est Madre LK 10-25'!A:C,3,),VLOOKUP(B26,'Est Madre CH 10-25'!A:C,3,)),0)</f>
        <v>24</v>
      </c>
    </row>
    <row r="27" spans="1:6" x14ac:dyDescent="0.25">
      <c r="A27" s="5" t="s">
        <v>289</v>
      </c>
      <c r="B27" s="5">
        <v>763</v>
      </c>
      <c r="C27" s="5" t="s">
        <v>77</v>
      </c>
      <c r="D27" s="5" t="s">
        <v>18</v>
      </c>
      <c r="E27" s="5" t="s">
        <v>19</v>
      </c>
      <c r="F27" s="5">
        <f>+IFERROR(IF(A27="Loeke",VLOOKUP(B27,'Est Madre LK 10-25'!A:C,3,),VLOOKUP(B27,'Est Madre CH 10-25'!A:C,3,)),0)</f>
        <v>480</v>
      </c>
    </row>
    <row r="28" spans="1:6" x14ac:dyDescent="0.25">
      <c r="A28" s="5" t="s">
        <v>289</v>
      </c>
      <c r="B28" s="5">
        <v>769</v>
      </c>
      <c r="C28" s="5" t="s">
        <v>234</v>
      </c>
      <c r="D28" s="5" t="s">
        <v>18</v>
      </c>
      <c r="E28" s="5" t="s">
        <v>19</v>
      </c>
      <c r="F28" s="5">
        <f>+IFERROR(IF(A28="Loeke",VLOOKUP(B28,'Est Madre LK 10-25'!A:C,3,),VLOOKUP(B28,'Est Madre CH 10-25'!A:C,3,)),0)</f>
        <v>240</v>
      </c>
    </row>
    <row r="29" spans="1:6" x14ac:dyDescent="0.25">
      <c r="A29" s="5" t="s">
        <v>289</v>
      </c>
      <c r="B29" s="5">
        <v>755</v>
      </c>
      <c r="C29" s="5" t="s">
        <v>231</v>
      </c>
      <c r="D29" s="6" t="s">
        <v>20</v>
      </c>
      <c r="E29" s="5" t="s">
        <v>22</v>
      </c>
      <c r="F29" s="5">
        <f>+IFERROR(IF(A29="Loeke",VLOOKUP(B29,'Est Madre LK 10-25'!A:C,3,),VLOOKUP(B29,'Est Madre CH 10-25'!A:C,3,)),0)</f>
        <v>0</v>
      </c>
    </row>
    <row r="30" spans="1:6" x14ac:dyDescent="0.25">
      <c r="A30" s="5" t="s">
        <v>289</v>
      </c>
      <c r="B30" s="5">
        <v>762</v>
      </c>
      <c r="C30" s="5" t="s">
        <v>78</v>
      </c>
      <c r="D30" s="6" t="s">
        <v>20</v>
      </c>
      <c r="E30" s="5" t="s">
        <v>22</v>
      </c>
      <c r="F30" s="5">
        <f>+IFERROR(IF(A30="Loeke",VLOOKUP(B30,'Est Madre LK 10-25'!A:C,3,),VLOOKUP(B30,'Est Madre CH 10-25'!A:C,3,)),0)</f>
        <v>24</v>
      </c>
    </row>
    <row r="31" spans="1:6" x14ac:dyDescent="0.25">
      <c r="A31" s="5" t="s">
        <v>289</v>
      </c>
      <c r="B31" s="5">
        <v>769</v>
      </c>
      <c r="C31" s="5" t="s">
        <v>234</v>
      </c>
      <c r="D31" s="6" t="s">
        <v>20</v>
      </c>
      <c r="E31" s="5" t="s">
        <v>22</v>
      </c>
      <c r="F31" s="5">
        <f>+IFERROR(IF(A31="Loeke",VLOOKUP(B31,'Est Madre LK 10-25'!A:C,3,),VLOOKUP(B31,'Est Madre CH 10-25'!A:C,3,)),0)</f>
        <v>240</v>
      </c>
    </row>
    <row r="32" spans="1:6" x14ac:dyDescent="0.25">
      <c r="A32" s="5" t="s">
        <v>289</v>
      </c>
      <c r="B32" s="5">
        <v>763</v>
      </c>
      <c r="C32" s="5" t="s">
        <v>77</v>
      </c>
      <c r="D32" s="6" t="s">
        <v>20</v>
      </c>
      <c r="E32" s="5" t="s">
        <v>22</v>
      </c>
      <c r="F32" s="5">
        <f>+IFERROR(IF(A32="Loeke",VLOOKUP(B32,'Est Madre LK 10-25'!A:C,3,),VLOOKUP(B32,'Est Madre CH 10-25'!A:C,3,)),0)</f>
        <v>480</v>
      </c>
    </row>
    <row r="33" spans="1:6" x14ac:dyDescent="0.25">
      <c r="A33" s="5" t="s">
        <v>289</v>
      </c>
      <c r="B33" s="5">
        <v>769</v>
      </c>
      <c r="C33" s="5" t="s">
        <v>234</v>
      </c>
      <c r="D33" s="5" t="s">
        <v>11</v>
      </c>
      <c r="E33" s="5" t="s">
        <v>13</v>
      </c>
      <c r="F33" s="5">
        <f>+IFERROR(IF(A33="Loeke",VLOOKUP(B33,'Est Madre LK 10-25'!A:C,3,),VLOOKUP(B33,'Est Madre CH 10-25'!A:C,3,)),0)</f>
        <v>240</v>
      </c>
    </row>
    <row r="34" spans="1:6" x14ac:dyDescent="0.25">
      <c r="A34" s="5" t="s">
        <v>289</v>
      </c>
      <c r="B34" s="5">
        <v>864</v>
      </c>
      <c r="C34" s="5" t="s">
        <v>148</v>
      </c>
      <c r="D34" s="5" t="s">
        <v>23</v>
      </c>
      <c r="E34" s="5" t="s">
        <v>24</v>
      </c>
      <c r="F34" s="5">
        <f>+IFERROR(IF(A34="Loeke",VLOOKUP(B34,'Est Madre LK 10-25'!A:C,3,),VLOOKUP(B34,'Est Madre CH 10-25'!A:C,3,)),0)</f>
        <v>48</v>
      </c>
    </row>
    <row r="35" spans="1:6" x14ac:dyDescent="0.25">
      <c r="A35" s="5" t="s">
        <v>289</v>
      </c>
      <c r="B35" s="5">
        <v>755</v>
      </c>
      <c r="C35" s="5" t="s">
        <v>231</v>
      </c>
      <c r="D35" s="5" t="s">
        <v>25</v>
      </c>
      <c r="E35" s="5" t="s">
        <v>26</v>
      </c>
      <c r="F35" s="5">
        <f>+IFERROR(IF(A35="Loeke",VLOOKUP(B35,'Est Madre LK 10-25'!A:C,3,),VLOOKUP(B35,'Est Madre CH 10-25'!A:C,3,)),0)</f>
        <v>0</v>
      </c>
    </row>
    <row r="36" spans="1:6" x14ac:dyDescent="0.25">
      <c r="A36" s="5" t="s">
        <v>289</v>
      </c>
      <c r="B36" s="5">
        <v>762</v>
      </c>
      <c r="C36" s="5" t="s">
        <v>78</v>
      </c>
      <c r="D36" s="5" t="s">
        <v>25</v>
      </c>
      <c r="E36" s="5" t="s">
        <v>26</v>
      </c>
      <c r="F36" s="5">
        <f>+IFERROR(IF(A36="Loeke",VLOOKUP(B36,'Est Madre LK 10-25'!A:C,3,),VLOOKUP(B36,'Est Madre CH 10-25'!A:C,3,)),0)</f>
        <v>24</v>
      </c>
    </row>
    <row r="37" spans="1:6" x14ac:dyDescent="0.25">
      <c r="A37" s="5" t="s">
        <v>289</v>
      </c>
      <c r="B37" s="5">
        <v>763</v>
      </c>
      <c r="C37" s="5" t="s">
        <v>77</v>
      </c>
      <c r="D37" s="5" t="s">
        <v>25</v>
      </c>
      <c r="E37" s="5" t="s">
        <v>26</v>
      </c>
      <c r="F37" s="5">
        <f>+IFERROR(IF(A37="Loeke",VLOOKUP(B37,'Est Madre LK 10-25'!A:C,3,),VLOOKUP(B37,'Est Madre CH 10-25'!A:C,3,)),0)</f>
        <v>480</v>
      </c>
    </row>
    <row r="38" spans="1:6" x14ac:dyDescent="0.25">
      <c r="A38" s="5" t="s">
        <v>289</v>
      </c>
      <c r="B38" s="5">
        <v>769</v>
      </c>
      <c r="C38" s="5" t="s">
        <v>234</v>
      </c>
      <c r="D38" s="5" t="s">
        <v>25</v>
      </c>
      <c r="E38" s="5" t="s">
        <v>26</v>
      </c>
      <c r="F38" s="5">
        <f>+IFERROR(IF(A38="Loeke",VLOOKUP(B38,'Est Madre LK 10-25'!A:C,3,),VLOOKUP(B38,'Est Madre CH 10-25'!A:C,3,)),0)</f>
        <v>240</v>
      </c>
    </row>
    <row r="39" spans="1:6" x14ac:dyDescent="0.25">
      <c r="A39" s="5" t="s">
        <v>289</v>
      </c>
      <c r="B39" s="5">
        <v>766</v>
      </c>
      <c r="C39" s="5">
        <v>0</v>
      </c>
      <c r="D39" s="5" t="s">
        <v>16</v>
      </c>
      <c r="E39" s="5" t="s">
        <v>17</v>
      </c>
      <c r="F39" s="5">
        <f>+IFERROR(IF(A39="Loeke",VLOOKUP(B39,'Est Madre LK 10-25'!A:C,3,),VLOOKUP(B39,'Est Madre CH 10-25'!A:C,3,)),0)</f>
        <v>0</v>
      </c>
    </row>
    <row r="40" spans="1:6" x14ac:dyDescent="0.25">
      <c r="A40" s="5" t="s">
        <v>289</v>
      </c>
      <c r="B40" s="5">
        <v>767</v>
      </c>
      <c r="C40" s="5">
        <v>0</v>
      </c>
      <c r="D40" s="5" t="s">
        <v>16</v>
      </c>
      <c r="E40" s="5" t="s">
        <v>17</v>
      </c>
      <c r="F40" s="5">
        <f>+IFERROR(IF(A40="Loeke",VLOOKUP(B40,'Est Madre LK 10-25'!A:C,3,),VLOOKUP(B40,'Est Madre CH 10-25'!A:C,3,)),0)</f>
        <v>0</v>
      </c>
    </row>
    <row r="41" spans="1:6" x14ac:dyDescent="0.25">
      <c r="A41" s="5" t="s">
        <v>289</v>
      </c>
      <c r="B41" s="5">
        <v>769</v>
      </c>
      <c r="C41" s="5" t="s">
        <v>234</v>
      </c>
      <c r="D41" s="5" t="s">
        <v>16</v>
      </c>
      <c r="E41" s="5" t="s">
        <v>17</v>
      </c>
      <c r="F41" s="5">
        <f>+IFERROR(IF(A41="Loeke",VLOOKUP(B41,'Est Madre LK 10-25'!A:C,3,),VLOOKUP(B41,'Est Madre CH 10-25'!A:C,3,)),0)</f>
        <v>240</v>
      </c>
    </row>
    <row r="42" spans="1:6" x14ac:dyDescent="0.25">
      <c r="A42" s="5" t="s">
        <v>289</v>
      </c>
      <c r="B42" s="5">
        <v>769</v>
      </c>
      <c r="C42" s="5" t="s">
        <v>234</v>
      </c>
      <c r="D42" s="5" t="s">
        <v>14</v>
      </c>
      <c r="E42" s="5" t="s">
        <v>15</v>
      </c>
      <c r="F42" s="5">
        <f>+IFERROR(IF(A42="Loeke",VLOOKUP(B42,'Est Madre LK 10-25'!A:C,3,),VLOOKUP(B42,'Est Madre CH 10-25'!A:C,3,)),0)</f>
        <v>240</v>
      </c>
    </row>
    <row r="43" spans="1:6" x14ac:dyDescent="0.25">
      <c r="A43" s="5" t="s">
        <v>289</v>
      </c>
      <c r="B43" s="5">
        <v>762</v>
      </c>
      <c r="C43" s="5" t="s">
        <v>78</v>
      </c>
      <c r="D43" s="6" t="s">
        <v>27</v>
      </c>
      <c r="E43" s="5" t="s">
        <v>28</v>
      </c>
      <c r="F43" s="5">
        <f>+IFERROR(IF(A43="Loeke",VLOOKUP(B43,'Est Madre LK 10-25'!A:C,3,),VLOOKUP(B43,'Est Madre CH 10-25'!A:C,3,)),0)</f>
        <v>24</v>
      </c>
    </row>
    <row r="44" spans="1:6" x14ac:dyDescent="0.25">
      <c r="A44" s="5" t="s">
        <v>289</v>
      </c>
      <c r="B44" s="5">
        <v>763</v>
      </c>
      <c r="C44" s="5" t="s">
        <v>77</v>
      </c>
      <c r="D44" s="6" t="s">
        <v>27</v>
      </c>
      <c r="E44" s="5" t="s">
        <v>28</v>
      </c>
      <c r="F44" s="5">
        <f>+IFERROR(IF(A44="Loeke",VLOOKUP(B44,'Est Madre LK 10-25'!A:C,3,),VLOOKUP(B44,'Est Madre CH 10-25'!A:C,3,)),0)</f>
        <v>480</v>
      </c>
    </row>
    <row r="45" spans="1:6" x14ac:dyDescent="0.25">
      <c r="A45" s="5" t="s">
        <v>289</v>
      </c>
      <c r="B45" s="5">
        <v>769</v>
      </c>
      <c r="C45" s="5" t="s">
        <v>234</v>
      </c>
      <c r="D45" s="5" t="s">
        <v>29</v>
      </c>
      <c r="E45" s="5" t="s">
        <v>30</v>
      </c>
      <c r="F45" s="5">
        <f>+IFERROR(IF(A45="Loeke",VLOOKUP(B45,'Est Madre LK 10-25'!A:C,3,),VLOOKUP(B45,'Est Madre CH 10-25'!A:C,3,)),0)</f>
        <v>240</v>
      </c>
    </row>
    <row r="46" spans="1:6" x14ac:dyDescent="0.25">
      <c r="A46" s="5" t="s">
        <v>289</v>
      </c>
      <c r="B46" s="5">
        <v>755</v>
      </c>
      <c r="C46" s="5" t="s">
        <v>231</v>
      </c>
      <c r="D46" s="5" t="s">
        <v>8</v>
      </c>
      <c r="E46" s="5" t="s">
        <v>10</v>
      </c>
      <c r="F46" s="5">
        <f>+IFERROR(IF(A46="Loeke",VLOOKUP(B46,'Est Madre LK 10-25'!A:C,3,),VLOOKUP(B46,'Est Madre CH 10-25'!A:C,3,)),0)</f>
        <v>0</v>
      </c>
    </row>
    <row r="47" spans="1:6" x14ac:dyDescent="0.25">
      <c r="A47" s="5" t="s">
        <v>288</v>
      </c>
      <c r="B47" s="5">
        <v>548</v>
      </c>
      <c r="C47" s="5" t="s">
        <v>148</v>
      </c>
      <c r="D47" s="5" t="s">
        <v>423</v>
      </c>
      <c r="E47" s="5" t="s">
        <v>32</v>
      </c>
      <c r="F47" s="5">
        <f>+IFERROR(IF(A47="Loeke",VLOOKUP(B47,'Est Madre LK 10-25'!A:C,3,),VLOOKUP(B47,'Est Madre CH 10-25'!A:C,3,)),0)</f>
        <v>0</v>
      </c>
    </row>
    <row r="48" spans="1:6" x14ac:dyDescent="0.25">
      <c r="A48" s="6" t="s">
        <v>289</v>
      </c>
      <c r="B48" s="5">
        <v>864</v>
      </c>
      <c r="C48" s="5" t="s">
        <v>148</v>
      </c>
      <c r="D48" s="5" t="s">
        <v>423</v>
      </c>
      <c r="E48" s="5" t="s">
        <v>32</v>
      </c>
      <c r="F48" s="5">
        <f>+IFERROR(IF(A48="Loeke",VLOOKUP(B48,'Est Madre LK 10-25'!A:C,3,),VLOOKUP(B48,'Est Madre CH 10-25'!A:C,3,)),0)</f>
        <v>48</v>
      </c>
    </row>
    <row r="49" spans="1:6" x14ac:dyDescent="0.25">
      <c r="A49" s="5" t="s">
        <v>288</v>
      </c>
      <c r="B49" s="5">
        <v>396</v>
      </c>
      <c r="C49" s="5" t="s">
        <v>174</v>
      </c>
      <c r="D49" s="5" t="s">
        <v>299</v>
      </c>
      <c r="E49" s="5" t="s">
        <v>34</v>
      </c>
      <c r="F49" s="5">
        <f>+IFERROR(IF(A49="Loeke",VLOOKUP(B49,'Est Madre LK 10-25'!A:C,3,),VLOOKUP(B49,'Est Madre CH 10-25'!A:C,3,)),0)</f>
        <v>180</v>
      </c>
    </row>
    <row r="50" spans="1:6" x14ac:dyDescent="0.25">
      <c r="A50" s="6" t="s">
        <v>289</v>
      </c>
      <c r="B50" s="5">
        <v>710</v>
      </c>
      <c r="C50" s="5" t="s">
        <v>216</v>
      </c>
      <c r="D50" s="5" t="s">
        <v>299</v>
      </c>
      <c r="E50" s="5" t="s">
        <v>34</v>
      </c>
      <c r="F50" s="5">
        <f>+IFERROR(IF(A50="Loeke",VLOOKUP(B50,'Est Madre LK 10-25'!A:C,3,),VLOOKUP(B50,'Est Madre CH 10-25'!A:C,3,)),0)</f>
        <v>0</v>
      </c>
    </row>
    <row r="51" spans="1:6" x14ac:dyDescent="0.25">
      <c r="A51" s="5" t="s">
        <v>288</v>
      </c>
      <c r="B51" s="5">
        <v>396</v>
      </c>
      <c r="C51" s="5" t="s">
        <v>174</v>
      </c>
      <c r="D51" s="5" t="s">
        <v>300</v>
      </c>
      <c r="E51" s="5" t="s">
        <v>35</v>
      </c>
      <c r="F51" s="5">
        <f>+IFERROR(IF(A51="Loeke",VLOOKUP(B51,'Est Madre LK 10-25'!A:C,3,),VLOOKUP(B51,'Est Madre CH 10-25'!A:C,3,)),0)</f>
        <v>180</v>
      </c>
    </row>
    <row r="52" spans="1:6" x14ac:dyDescent="0.25">
      <c r="A52" s="6" t="s">
        <v>289</v>
      </c>
      <c r="B52" s="5">
        <v>710</v>
      </c>
      <c r="C52" s="5" t="s">
        <v>216</v>
      </c>
      <c r="D52" s="5" t="s">
        <v>300</v>
      </c>
      <c r="E52" s="5" t="s">
        <v>35</v>
      </c>
      <c r="F52" s="5">
        <f>+IFERROR(IF(A52="Loeke",VLOOKUP(B52,'Est Madre LK 10-25'!A:C,3,),VLOOKUP(B52,'Est Madre CH 10-25'!A:C,3,)),0)</f>
        <v>0</v>
      </c>
    </row>
    <row r="53" spans="1:6" x14ac:dyDescent="0.25">
      <c r="A53" s="5" t="s">
        <v>288</v>
      </c>
      <c r="B53" s="5">
        <v>515</v>
      </c>
      <c r="C53" s="5" t="s">
        <v>152</v>
      </c>
      <c r="D53" s="5" t="s">
        <v>36</v>
      </c>
      <c r="E53" s="5" t="s">
        <v>38</v>
      </c>
      <c r="F53" s="5">
        <f>+IFERROR(IF(A53="Loeke",VLOOKUP(B53,'Est Madre LK 10-25'!A:C,3,),VLOOKUP(B53,'Est Madre CH 10-25'!A:C,3,)),0)</f>
        <v>444</v>
      </c>
    </row>
    <row r="54" spans="1:6" x14ac:dyDescent="0.25">
      <c r="A54" s="5" t="s">
        <v>289</v>
      </c>
      <c r="B54" s="5">
        <v>615</v>
      </c>
      <c r="C54" s="5" t="s">
        <v>152</v>
      </c>
      <c r="D54" s="5" t="s">
        <v>36</v>
      </c>
      <c r="E54" s="5" t="s">
        <v>38</v>
      </c>
      <c r="F54" s="5">
        <f>+IFERROR(IF(A54="Loeke",VLOOKUP(B54,'Est Madre LK 10-25'!A:C,3,),VLOOKUP(B54,'Est Madre CH 10-25'!A:C,3,)),0)</f>
        <v>60</v>
      </c>
    </row>
    <row r="55" spans="1:6" x14ac:dyDescent="0.25">
      <c r="A55" s="6" t="s">
        <v>288</v>
      </c>
      <c r="B55" s="5">
        <v>544</v>
      </c>
      <c r="C55" s="5" t="s">
        <v>54</v>
      </c>
      <c r="D55" s="5" t="s">
        <v>468</v>
      </c>
      <c r="E55" s="5" t="s">
        <v>39</v>
      </c>
      <c r="F55" s="5">
        <f>+IFERROR(IF(A55="Loeke",VLOOKUP(B55,'Est Madre LK 10-25'!A:C,3,),VLOOKUP(B55,'Est Madre CH 10-25'!A:C,3,)),0)</f>
        <v>7464</v>
      </c>
    </row>
    <row r="56" spans="1:6" x14ac:dyDescent="0.25">
      <c r="A56" s="6" t="s">
        <v>289</v>
      </c>
      <c r="B56" s="5" t="s">
        <v>262</v>
      </c>
      <c r="C56" s="5" t="s">
        <v>263</v>
      </c>
      <c r="D56" s="5" t="s">
        <v>468</v>
      </c>
      <c r="E56" s="5" t="s">
        <v>39</v>
      </c>
      <c r="F56" s="5">
        <f>+IFERROR(IF(A56="Loeke",VLOOKUP(B56,'Est Madre LK 10-25'!A:C,3,),VLOOKUP(B56,'Est Madre CH 10-25'!A:C,3,)),0)</f>
        <v>0</v>
      </c>
    </row>
    <row r="57" spans="1:6" x14ac:dyDescent="0.25">
      <c r="A57" s="6" t="s">
        <v>289</v>
      </c>
      <c r="B57" s="5">
        <v>802</v>
      </c>
      <c r="C57" s="5" t="s">
        <v>270</v>
      </c>
      <c r="D57" s="5" t="s">
        <v>468</v>
      </c>
      <c r="E57" s="5" t="s">
        <v>39</v>
      </c>
      <c r="F57" s="5">
        <f>+IFERROR(IF(A57="Loeke",VLOOKUP(B57,'Est Madre LK 10-25'!A:C,3,),VLOOKUP(B57,'Est Madre CH 10-25'!A:C,3,)),0)</f>
        <v>540</v>
      </c>
    </row>
    <row r="58" spans="1:6" x14ac:dyDescent="0.25">
      <c r="A58" s="6" t="s">
        <v>288</v>
      </c>
      <c r="B58" s="5">
        <v>532</v>
      </c>
      <c r="C58" s="5" t="s">
        <v>107</v>
      </c>
      <c r="D58" s="5" t="s">
        <v>301</v>
      </c>
      <c r="E58" s="5" t="s">
        <v>40</v>
      </c>
      <c r="F58" s="5">
        <f>+IFERROR(IF(A58="Loeke",VLOOKUP(B58,'Est Madre LK 10-25'!A:C,3,),VLOOKUP(B58,'Est Madre CH 10-25'!A:C,3,)),0)</f>
        <v>312</v>
      </c>
    </row>
    <row r="59" spans="1:6" x14ac:dyDescent="0.25">
      <c r="A59" s="6" t="s">
        <v>289</v>
      </c>
      <c r="B59" s="5">
        <v>732</v>
      </c>
      <c r="C59" s="5" t="s">
        <v>228</v>
      </c>
      <c r="D59" s="5" t="s">
        <v>301</v>
      </c>
      <c r="E59" s="5" t="s">
        <v>40</v>
      </c>
      <c r="F59" s="5">
        <f>+IFERROR(IF(A59="Loeke",VLOOKUP(B59,'Est Madre LK 10-25'!A:C,3,),VLOOKUP(B59,'Est Madre CH 10-25'!A:C,3,)),0)</f>
        <v>96</v>
      </c>
    </row>
    <row r="60" spans="1:6" x14ac:dyDescent="0.25">
      <c r="A60" s="6" t="s">
        <v>288</v>
      </c>
      <c r="B60" s="5">
        <v>315</v>
      </c>
      <c r="C60" s="5" t="s">
        <v>59</v>
      </c>
      <c r="D60" s="5" t="s">
        <v>302</v>
      </c>
      <c r="E60" s="5" t="s">
        <v>41</v>
      </c>
      <c r="F60" s="5">
        <f>+IFERROR(IF(A60="Loeke",VLOOKUP(B60,'Est Madre LK 10-25'!A:C,3,),VLOOKUP(B60,'Est Madre CH 10-25'!A:C,3,)),0)</f>
        <v>3240</v>
      </c>
    </row>
    <row r="61" spans="1:6" x14ac:dyDescent="0.25">
      <c r="A61" s="6" t="s">
        <v>289</v>
      </c>
      <c r="B61" s="5">
        <v>609</v>
      </c>
      <c r="C61" s="5" t="s">
        <v>199</v>
      </c>
      <c r="D61" s="5" t="s">
        <v>302</v>
      </c>
      <c r="E61" s="5" t="s">
        <v>41</v>
      </c>
      <c r="F61" s="5">
        <f>+IFERROR(IF(A61="Loeke",VLOOKUP(B61,'Est Madre LK 10-25'!A:C,3,),VLOOKUP(B61,'Est Madre CH 10-25'!A:C,3,)),0)</f>
        <v>480</v>
      </c>
    </row>
    <row r="62" spans="1:6" x14ac:dyDescent="0.25">
      <c r="A62" s="6" t="s">
        <v>288</v>
      </c>
      <c r="B62" s="5">
        <v>523</v>
      </c>
      <c r="C62" s="5" t="s">
        <v>62</v>
      </c>
      <c r="D62" s="5" t="s">
        <v>303</v>
      </c>
      <c r="E62" s="5" t="s">
        <v>306</v>
      </c>
      <c r="F62" s="5">
        <f>+IFERROR(IF(A62="Loeke",VLOOKUP(B62,'Est Madre LK 10-25'!A:C,3,),VLOOKUP(B62,'Est Madre CH 10-25'!A:C,3,)),0)</f>
        <v>2112</v>
      </c>
    </row>
    <row r="63" spans="1:6" x14ac:dyDescent="0.25">
      <c r="A63" s="6" t="s">
        <v>289</v>
      </c>
      <c r="B63" s="5">
        <v>723</v>
      </c>
      <c r="C63" s="5" t="s">
        <v>62</v>
      </c>
      <c r="D63" s="5" t="s">
        <v>303</v>
      </c>
      <c r="E63" s="5" t="s">
        <v>306</v>
      </c>
      <c r="F63" s="5">
        <f>+IFERROR(IF(A63="Loeke",VLOOKUP(B63,'Est Madre LK 10-25'!A:C,3,),VLOOKUP(B63,'Est Madre CH 10-25'!A:C,3,)),0)</f>
        <v>372</v>
      </c>
    </row>
    <row r="64" spans="1:6" x14ac:dyDescent="0.25">
      <c r="A64" s="6" t="s">
        <v>288</v>
      </c>
      <c r="B64" s="5">
        <v>395</v>
      </c>
      <c r="C64" s="5" t="s">
        <v>101</v>
      </c>
      <c r="D64" s="5" t="s">
        <v>304</v>
      </c>
      <c r="E64" s="5" t="s">
        <v>101</v>
      </c>
      <c r="F64" s="5">
        <f>+IFERROR(IF(A64="Loeke",VLOOKUP(B64,'Est Madre LK 10-25'!A:C,3,),VLOOKUP(B64,'Est Madre CH 10-25'!A:C,3,)),0)</f>
        <v>600</v>
      </c>
    </row>
    <row r="65" spans="1:6" x14ac:dyDescent="0.25">
      <c r="A65" s="6" t="s">
        <v>289</v>
      </c>
      <c r="B65" s="5">
        <v>709</v>
      </c>
      <c r="C65" s="5" t="s">
        <v>101</v>
      </c>
      <c r="D65" s="5" t="s">
        <v>304</v>
      </c>
      <c r="E65" s="5" t="s">
        <v>101</v>
      </c>
      <c r="F65" s="5">
        <f>+IFERROR(IF(A65="Loeke",VLOOKUP(B65,'Est Madre LK 10-25'!A:C,3,),VLOOKUP(B65,'Est Madre CH 10-25'!A:C,3,)),0)</f>
        <v>24</v>
      </c>
    </row>
    <row r="66" spans="1:6" x14ac:dyDescent="0.25">
      <c r="A66" s="6" t="s">
        <v>288</v>
      </c>
      <c r="B66" s="5">
        <v>546</v>
      </c>
      <c r="C66" s="5" t="s">
        <v>371</v>
      </c>
      <c r="D66" s="5" t="s">
        <v>370</v>
      </c>
      <c r="E66" s="5" t="s">
        <v>369</v>
      </c>
      <c r="F66" s="5">
        <f>+IFERROR(IF(A66="Loeke",VLOOKUP(B66,'Est Madre LK 10-25'!A:C,3,),VLOOKUP(B66,'Est Madre CH 10-25'!A:C,3,)),0)</f>
        <v>7200</v>
      </c>
    </row>
    <row r="67" spans="1:6" x14ac:dyDescent="0.25">
      <c r="A67" s="6" t="s">
        <v>289</v>
      </c>
      <c r="B67" s="5">
        <v>809</v>
      </c>
      <c r="C67" s="5" t="s">
        <v>371</v>
      </c>
      <c r="D67" s="5" t="s">
        <v>370</v>
      </c>
      <c r="E67" s="5" t="s">
        <v>369</v>
      </c>
      <c r="F67" s="5">
        <f>+IFERROR(IF(A67="Loeke",VLOOKUP(B67,'Est Madre LK 10-25'!A:C,3,),VLOOKUP(B67,'Est Madre CH 10-25'!A:C,3,)),0)</f>
        <v>1296</v>
      </c>
    </row>
    <row r="68" spans="1:6" x14ac:dyDescent="0.25">
      <c r="A68" s="6" t="s">
        <v>288</v>
      </c>
      <c r="B68" s="5">
        <v>546</v>
      </c>
      <c r="C68" s="5" t="s">
        <v>371</v>
      </c>
      <c r="D68" s="5" t="s">
        <v>376</v>
      </c>
      <c r="E68" s="5" t="s">
        <v>372</v>
      </c>
      <c r="F68" s="5">
        <f>+IFERROR(IF(A68="Loeke",VLOOKUP(B68,'Est Madre LK 10-25'!A:C,3,),VLOOKUP(B68,'Est Madre CH 10-25'!A:C,3,)),0)</f>
        <v>7200</v>
      </c>
    </row>
    <row r="69" spans="1:6" x14ac:dyDescent="0.25">
      <c r="A69" s="6" t="s">
        <v>289</v>
      </c>
      <c r="B69" s="5">
        <v>809</v>
      </c>
      <c r="C69" s="5" t="s">
        <v>371</v>
      </c>
      <c r="D69" s="5" t="s">
        <v>376</v>
      </c>
      <c r="E69" s="5" t="s">
        <v>372</v>
      </c>
      <c r="F69" s="5">
        <f>+IFERROR(IF(A69="Loeke",VLOOKUP(B69,'Est Madre LK 10-25'!A:C,3,),VLOOKUP(B69,'Est Madre CH 10-25'!A:C,3,)),0)</f>
        <v>1296</v>
      </c>
    </row>
    <row r="70" spans="1:6" x14ac:dyDescent="0.25">
      <c r="A70" s="6" t="s">
        <v>288</v>
      </c>
      <c r="B70" s="5">
        <v>57</v>
      </c>
      <c r="C70" s="5" t="s">
        <v>414</v>
      </c>
      <c r="D70" s="5" t="s">
        <v>405</v>
      </c>
      <c r="E70" s="5" t="s">
        <v>415</v>
      </c>
      <c r="F70" s="5">
        <f>+IFERROR(IF(A70="Loeke",VLOOKUP(B70,'Est Madre LK 10-25'!A:C,3,),VLOOKUP(B70,'Est Madre CH 10-25'!A:C,3,)),0)</f>
        <v>744</v>
      </c>
    </row>
    <row r="71" spans="1:6" x14ac:dyDescent="0.25">
      <c r="A71" s="6" t="s">
        <v>288</v>
      </c>
      <c r="B71" s="5">
        <v>499</v>
      </c>
      <c r="C71" s="5" t="s">
        <v>413</v>
      </c>
      <c r="D71" s="5" t="s">
        <v>405</v>
      </c>
      <c r="E71" s="5" t="s">
        <v>415</v>
      </c>
      <c r="F71" s="5">
        <f>+IFERROR(IF(A71="Loeke",VLOOKUP(B71,'Est Madre LK 10-25'!A:C,3,),VLOOKUP(B71,'Est Madre CH 10-25'!A:C,3,)),0)</f>
        <v>144</v>
      </c>
    </row>
    <row r="72" spans="1:6" x14ac:dyDescent="0.25">
      <c r="A72" s="6" t="s">
        <v>288</v>
      </c>
      <c r="B72" s="5">
        <v>499</v>
      </c>
      <c r="C72" s="5" t="s">
        <v>413</v>
      </c>
      <c r="D72" s="5" t="s">
        <v>407</v>
      </c>
      <c r="E72" s="5" t="s">
        <v>406</v>
      </c>
      <c r="F72" s="5">
        <f>+IFERROR(IF(A72="Loeke",VLOOKUP(B72,'Est Madre LK 10-25'!A:C,3,),VLOOKUP(B72,'Est Madre CH 10-25'!A:C,3,)),0)</f>
        <v>144</v>
      </c>
    </row>
    <row r="73" spans="1:6" x14ac:dyDescent="0.25">
      <c r="A73" s="6" t="s">
        <v>288</v>
      </c>
      <c r="B73" s="5">
        <v>280</v>
      </c>
      <c r="C73" s="5" t="s">
        <v>86</v>
      </c>
      <c r="D73" s="5" t="s">
        <v>411</v>
      </c>
      <c r="E73" s="5" t="s">
        <v>410</v>
      </c>
      <c r="F73" s="5">
        <f>+IFERROR(IF(A73="Loeke",VLOOKUP(B73,'Est Madre LK 10-25'!A:C,3,),VLOOKUP(B73,'Est Madre CH 10-25'!A:C,3,)),0)</f>
        <v>1300</v>
      </c>
    </row>
    <row r="74" spans="1:6" s="228" customFormat="1" ht="30" x14ac:dyDescent="0.25">
      <c r="A74" s="231" t="s">
        <v>288</v>
      </c>
      <c r="B74" s="232">
        <v>323</v>
      </c>
      <c r="C74" s="232" t="s">
        <v>122</v>
      </c>
      <c r="D74" s="233" t="s">
        <v>456</v>
      </c>
      <c r="E74" s="232" t="s">
        <v>454</v>
      </c>
      <c r="F74" s="232">
        <f>+IFERROR(IF(A74="Loeke",VLOOKUP(B74,'Est Madre LK 10-25'!A:C,3,),VLOOKUP(B74,'Est Madre CH 10-25'!A:C,3,)),0)</f>
        <v>264</v>
      </c>
    </row>
    <row r="75" spans="1:6" s="228" customFormat="1" ht="30" x14ac:dyDescent="0.25">
      <c r="A75" s="231" t="s">
        <v>289</v>
      </c>
      <c r="B75" s="232">
        <v>839</v>
      </c>
      <c r="C75" s="232" t="s">
        <v>244</v>
      </c>
      <c r="D75" s="233" t="s">
        <v>456</v>
      </c>
      <c r="E75" s="232" t="s">
        <v>454</v>
      </c>
      <c r="F75" s="232">
        <f>+IFERROR(IF(A75="Loeke",VLOOKUP(B75,'Est Madre LK 10-25'!A:C,3,),VLOOKUP(B75,'Est Madre CH 10-25'!A:C,3,)),0)</f>
        <v>180</v>
      </c>
    </row>
    <row r="76" spans="1:6" x14ac:dyDescent="0.25">
      <c r="A76" s="231" t="s">
        <v>288</v>
      </c>
      <c r="B76" s="5">
        <v>312</v>
      </c>
      <c r="C76" s="5" t="s">
        <v>153</v>
      </c>
      <c r="D76" s="5" t="s">
        <v>425</v>
      </c>
      <c r="E76" s="5" t="s">
        <v>458</v>
      </c>
      <c r="F76" s="232">
        <f>+IFERROR(IF(A76="Loeke",VLOOKUP(B76,'Est Madre LK 10-25'!A:C,3,),VLOOKUP(B76,'Est Madre CH 10-25'!A:C,3,)),0)</f>
        <v>204</v>
      </c>
    </row>
    <row r="77" spans="1:6" x14ac:dyDescent="0.25">
      <c r="A77" s="231" t="s">
        <v>289</v>
      </c>
      <c r="B77" s="5">
        <v>856</v>
      </c>
      <c r="C77" s="5" t="s">
        <v>153</v>
      </c>
      <c r="D77" s="5" t="s">
        <v>425</v>
      </c>
      <c r="E77" s="5" t="s">
        <v>458</v>
      </c>
      <c r="F77" s="232">
        <f>+IFERROR(IF(A77="Loeke",VLOOKUP(B77,'Est Madre LK 10-25'!A:C,3,),VLOOKUP(B77,'Est Madre CH 10-25'!A:C,3,)),0)</f>
        <v>96</v>
      </c>
    </row>
    <row r="78" spans="1:6" x14ac:dyDescent="0.25">
      <c r="A78" s="231" t="s">
        <v>288</v>
      </c>
      <c r="B78" s="5">
        <v>580</v>
      </c>
      <c r="C78" s="5" t="s">
        <v>474</v>
      </c>
      <c r="D78" s="5" t="s">
        <v>472</v>
      </c>
      <c r="E78" s="5" t="s">
        <v>473</v>
      </c>
      <c r="F78" s="232">
        <f>+IFERROR(IF(A78="Loeke",VLOOKUP(B78,'Est Madre LK 10-25'!A:C,3,),VLOOKUP(B78,'Est Madre CH 10-25'!A:C,3,)),0)</f>
        <v>684</v>
      </c>
    </row>
  </sheetData>
  <autoFilter ref="E1:E77" xr:uid="{00000000-0009-0000-0000-000011000000}"/>
  <phoneticPr fontId="3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211"/>
  <sheetViews>
    <sheetView workbookViewId="0">
      <selection activeCell="C212" sqref="C212"/>
    </sheetView>
  </sheetViews>
  <sheetFormatPr baseColWidth="10" defaultRowHeight="15" x14ac:dyDescent="0.25"/>
  <cols>
    <col min="1" max="1" width="8.42578125" customWidth="1"/>
    <col min="2" max="2" width="32.5703125" customWidth="1"/>
    <col min="3" max="3" width="14.28515625" bestFit="1" customWidth="1"/>
    <col min="254" max="254" width="8.85546875" customWidth="1"/>
    <col min="255" max="255" width="32.5703125" customWidth="1"/>
    <col min="256" max="256" width="8.28515625" customWidth="1"/>
    <col min="510" max="510" width="8.85546875" customWidth="1"/>
    <col min="511" max="511" width="32.5703125" customWidth="1"/>
    <col min="512" max="512" width="8.28515625" customWidth="1"/>
    <col min="766" max="766" width="8.85546875" customWidth="1"/>
    <col min="767" max="767" width="32.5703125" customWidth="1"/>
    <col min="768" max="768" width="8.28515625" customWidth="1"/>
    <col min="1022" max="1022" width="8.85546875" customWidth="1"/>
    <col min="1023" max="1023" width="32.5703125" customWidth="1"/>
    <col min="1024" max="1024" width="8.28515625" customWidth="1"/>
    <col min="1278" max="1278" width="8.85546875" customWidth="1"/>
    <col min="1279" max="1279" width="32.5703125" customWidth="1"/>
    <col min="1280" max="1280" width="8.28515625" customWidth="1"/>
    <col min="1534" max="1534" width="8.85546875" customWidth="1"/>
    <col min="1535" max="1535" width="32.5703125" customWidth="1"/>
    <col min="1536" max="1536" width="8.28515625" customWidth="1"/>
    <col min="1790" max="1790" width="8.85546875" customWidth="1"/>
    <col min="1791" max="1791" width="32.5703125" customWidth="1"/>
    <col min="1792" max="1792" width="8.28515625" customWidth="1"/>
    <col min="2046" max="2046" width="8.85546875" customWidth="1"/>
    <col min="2047" max="2047" width="32.5703125" customWidth="1"/>
    <col min="2048" max="2048" width="8.28515625" customWidth="1"/>
    <col min="2302" max="2302" width="8.85546875" customWidth="1"/>
    <col min="2303" max="2303" width="32.5703125" customWidth="1"/>
    <col min="2304" max="2304" width="8.28515625" customWidth="1"/>
    <col min="2558" max="2558" width="8.85546875" customWidth="1"/>
    <col min="2559" max="2559" width="32.5703125" customWidth="1"/>
    <col min="2560" max="2560" width="8.28515625" customWidth="1"/>
    <col min="2814" max="2814" width="8.85546875" customWidth="1"/>
    <col min="2815" max="2815" width="32.5703125" customWidth="1"/>
    <col min="2816" max="2816" width="8.28515625" customWidth="1"/>
    <col min="3070" max="3070" width="8.85546875" customWidth="1"/>
    <col min="3071" max="3071" width="32.5703125" customWidth="1"/>
    <col min="3072" max="3072" width="8.28515625" customWidth="1"/>
    <col min="3326" max="3326" width="8.85546875" customWidth="1"/>
    <col min="3327" max="3327" width="32.5703125" customWidth="1"/>
    <col min="3328" max="3328" width="8.28515625" customWidth="1"/>
    <col min="3582" max="3582" width="8.85546875" customWidth="1"/>
    <col min="3583" max="3583" width="32.5703125" customWidth="1"/>
    <col min="3584" max="3584" width="8.28515625" customWidth="1"/>
    <col min="3838" max="3838" width="8.85546875" customWidth="1"/>
    <col min="3839" max="3839" width="32.5703125" customWidth="1"/>
    <col min="3840" max="3840" width="8.28515625" customWidth="1"/>
    <col min="4094" max="4094" width="8.85546875" customWidth="1"/>
    <col min="4095" max="4095" width="32.5703125" customWidth="1"/>
    <col min="4096" max="4096" width="8.28515625" customWidth="1"/>
    <col min="4350" max="4350" width="8.85546875" customWidth="1"/>
    <col min="4351" max="4351" width="32.5703125" customWidth="1"/>
    <col min="4352" max="4352" width="8.28515625" customWidth="1"/>
    <col min="4606" max="4606" width="8.85546875" customWidth="1"/>
    <col min="4607" max="4607" width="32.5703125" customWidth="1"/>
    <col min="4608" max="4608" width="8.28515625" customWidth="1"/>
    <col min="4862" max="4862" width="8.85546875" customWidth="1"/>
    <col min="4863" max="4863" width="32.5703125" customWidth="1"/>
    <col min="4864" max="4864" width="8.28515625" customWidth="1"/>
    <col min="5118" max="5118" width="8.85546875" customWidth="1"/>
    <col min="5119" max="5119" width="32.5703125" customWidth="1"/>
    <col min="5120" max="5120" width="8.28515625" customWidth="1"/>
    <col min="5374" max="5374" width="8.85546875" customWidth="1"/>
    <col min="5375" max="5375" width="32.5703125" customWidth="1"/>
    <col min="5376" max="5376" width="8.28515625" customWidth="1"/>
    <col min="5630" max="5630" width="8.85546875" customWidth="1"/>
    <col min="5631" max="5631" width="32.5703125" customWidth="1"/>
    <col min="5632" max="5632" width="8.28515625" customWidth="1"/>
    <col min="5886" max="5886" width="8.85546875" customWidth="1"/>
    <col min="5887" max="5887" width="32.5703125" customWidth="1"/>
    <col min="5888" max="5888" width="8.28515625" customWidth="1"/>
    <col min="6142" max="6142" width="8.85546875" customWidth="1"/>
    <col min="6143" max="6143" width="32.5703125" customWidth="1"/>
    <col min="6144" max="6144" width="8.28515625" customWidth="1"/>
    <col min="6398" max="6398" width="8.85546875" customWidth="1"/>
    <col min="6399" max="6399" width="32.5703125" customWidth="1"/>
    <col min="6400" max="6400" width="8.28515625" customWidth="1"/>
    <col min="6654" max="6654" width="8.85546875" customWidth="1"/>
    <col min="6655" max="6655" width="32.5703125" customWidth="1"/>
    <col min="6656" max="6656" width="8.28515625" customWidth="1"/>
    <col min="6910" max="6910" width="8.85546875" customWidth="1"/>
    <col min="6911" max="6911" width="32.5703125" customWidth="1"/>
    <col min="6912" max="6912" width="8.28515625" customWidth="1"/>
    <col min="7166" max="7166" width="8.85546875" customWidth="1"/>
    <col min="7167" max="7167" width="32.5703125" customWidth="1"/>
    <col min="7168" max="7168" width="8.28515625" customWidth="1"/>
    <col min="7422" max="7422" width="8.85546875" customWidth="1"/>
    <col min="7423" max="7423" width="32.5703125" customWidth="1"/>
    <col min="7424" max="7424" width="8.28515625" customWidth="1"/>
    <col min="7678" max="7678" width="8.85546875" customWidth="1"/>
    <col min="7679" max="7679" width="32.5703125" customWidth="1"/>
    <col min="7680" max="7680" width="8.28515625" customWidth="1"/>
    <col min="7934" max="7934" width="8.85546875" customWidth="1"/>
    <col min="7935" max="7935" width="32.5703125" customWidth="1"/>
    <col min="7936" max="7936" width="8.28515625" customWidth="1"/>
    <col min="8190" max="8190" width="8.85546875" customWidth="1"/>
    <col min="8191" max="8191" width="32.5703125" customWidth="1"/>
    <col min="8192" max="8192" width="8.28515625" customWidth="1"/>
    <col min="8446" max="8446" width="8.85546875" customWidth="1"/>
    <col min="8447" max="8447" width="32.5703125" customWidth="1"/>
    <col min="8448" max="8448" width="8.28515625" customWidth="1"/>
    <col min="8702" max="8702" width="8.85546875" customWidth="1"/>
    <col min="8703" max="8703" width="32.5703125" customWidth="1"/>
    <col min="8704" max="8704" width="8.28515625" customWidth="1"/>
    <col min="8958" max="8958" width="8.85546875" customWidth="1"/>
    <col min="8959" max="8959" width="32.5703125" customWidth="1"/>
    <col min="8960" max="8960" width="8.28515625" customWidth="1"/>
    <col min="9214" max="9214" width="8.85546875" customWidth="1"/>
    <col min="9215" max="9215" width="32.5703125" customWidth="1"/>
    <col min="9216" max="9216" width="8.28515625" customWidth="1"/>
    <col min="9470" max="9470" width="8.85546875" customWidth="1"/>
    <col min="9471" max="9471" width="32.5703125" customWidth="1"/>
    <col min="9472" max="9472" width="8.28515625" customWidth="1"/>
    <col min="9726" max="9726" width="8.85546875" customWidth="1"/>
    <col min="9727" max="9727" width="32.5703125" customWidth="1"/>
    <col min="9728" max="9728" width="8.28515625" customWidth="1"/>
    <col min="9982" max="9982" width="8.85546875" customWidth="1"/>
    <col min="9983" max="9983" width="32.5703125" customWidth="1"/>
    <col min="9984" max="9984" width="8.28515625" customWidth="1"/>
    <col min="10238" max="10238" width="8.85546875" customWidth="1"/>
    <col min="10239" max="10239" width="32.5703125" customWidth="1"/>
    <col min="10240" max="10240" width="8.28515625" customWidth="1"/>
    <col min="10494" max="10494" width="8.85546875" customWidth="1"/>
    <col min="10495" max="10495" width="32.5703125" customWidth="1"/>
    <col min="10496" max="10496" width="8.28515625" customWidth="1"/>
    <col min="10750" max="10750" width="8.85546875" customWidth="1"/>
    <col min="10751" max="10751" width="32.5703125" customWidth="1"/>
    <col min="10752" max="10752" width="8.28515625" customWidth="1"/>
    <col min="11006" max="11006" width="8.85546875" customWidth="1"/>
    <col min="11007" max="11007" width="32.5703125" customWidth="1"/>
    <col min="11008" max="11008" width="8.28515625" customWidth="1"/>
    <col min="11262" max="11262" width="8.85546875" customWidth="1"/>
    <col min="11263" max="11263" width="32.5703125" customWidth="1"/>
    <col min="11264" max="11264" width="8.28515625" customWidth="1"/>
    <col min="11518" max="11518" width="8.85546875" customWidth="1"/>
    <col min="11519" max="11519" width="32.5703125" customWidth="1"/>
    <col min="11520" max="11520" width="8.28515625" customWidth="1"/>
    <col min="11774" max="11774" width="8.85546875" customWidth="1"/>
    <col min="11775" max="11775" width="32.5703125" customWidth="1"/>
    <col min="11776" max="11776" width="8.28515625" customWidth="1"/>
    <col min="12030" max="12030" width="8.85546875" customWidth="1"/>
    <col min="12031" max="12031" width="32.5703125" customWidth="1"/>
    <col min="12032" max="12032" width="8.28515625" customWidth="1"/>
    <col min="12286" max="12286" width="8.85546875" customWidth="1"/>
    <col min="12287" max="12287" width="32.5703125" customWidth="1"/>
    <col min="12288" max="12288" width="8.28515625" customWidth="1"/>
    <col min="12542" max="12542" width="8.85546875" customWidth="1"/>
    <col min="12543" max="12543" width="32.5703125" customWidth="1"/>
    <col min="12544" max="12544" width="8.28515625" customWidth="1"/>
    <col min="12798" max="12798" width="8.85546875" customWidth="1"/>
    <col min="12799" max="12799" width="32.5703125" customWidth="1"/>
    <col min="12800" max="12800" width="8.28515625" customWidth="1"/>
    <col min="13054" max="13054" width="8.85546875" customWidth="1"/>
    <col min="13055" max="13055" width="32.5703125" customWidth="1"/>
    <col min="13056" max="13056" width="8.28515625" customWidth="1"/>
    <col min="13310" max="13310" width="8.85546875" customWidth="1"/>
    <col min="13311" max="13311" width="32.5703125" customWidth="1"/>
    <col min="13312" max="13312" width="8.28515625" customWidth="1"/>
    <col min="13566" max="13566" width="8.85546875" customWidth="1"/>
    <col min="13567" max="13567" width="32.5703125" customWidth="1"/>
    <col min="13568" max="13568" width="8.28515625" customWidth="1"/>
    <col min="13822" max="13822" width="8.85546875" customWidth="1"/>
    <col min="13823" max="13823" width="32.5703125" customWidth="1"/>
    <col min="13824" max="13824" width="8.28515625" customWidth="1"/>
    <col min="14078" max="14078" width="8.85546875" customWidth="1"/>
    <col min="14079" max="14079" width="32.5703125" customWidth="1"/>
    <col min="14080" max="14080" width="8.28515625" customWidth="1"/>
    <col min="14334" max="14334" width="8.85546875" customWidth="1"/>
    <col min="14335" max="14335" width="32.5703125" customWidth="1"/>
    <col min="14336" max="14336" width="8.28515625" customWidth="1"/>
    <col min="14590" max="14590" width="8.85546875" customWidth="1"/>
    <col min="14591" max="14591" width="32.5703125" customWidth="1"/>
    <col min="14592" max="14592" width="8.28515625" customWidth="1"/>
    <col min="14846" max="14846" width="8.85546875" customWidth="1"/>
    <col min="14847" max="14847" width="32.5703125" customWidth="1"/>
    <col min="14848" max="14848" width="8.28515625" customWidth="1"/>
    <col min="15102" max="15102" width="8.85546875" customWidth="1"/>
    <col min="15103" max="15103" width="32.5703125" customWidth="1"/>
    <col min="15104" max="15104" width="8.28515625" customWidth="1"/>
    <col min="15358" max="15358" width="8.85546875" customWidth="1"/>
    <col min="15359" max="15359" width="32.5703125" customWidth="1"/>
    <col min="15360" max="15360" width="8.28515625" customWidth="1"/>
    <col min="15614" max="15614" width="8.85546875" customWidth="1"/>
    <col min="15615" max="15615" width="32.5703125" customWidth="1"/>
    <col min="15616" max="15616" width="8.28515625" customWidth="1"/>
    <col min="15870" max="15870" width="8.85546875" customWidth="1"/>
    <col min="15871" max="15871" width="32.5703125" customWidth="1"/>
    <col min="15872" max="15872" width="8.28515625" customWidth="1"/>
    <col min="16126" max="16126" width="8.85546875" customWidth="1"/>
    <col min="16127" max="16127" width="32.5703125" customWidth="1"/>
    <col min="16128" max="16128" width="8.28515625" customWidth="1"/>
  </cols>
  <sheetData>
    <row r="1" spans="1:3" ht="3.95" customHeight="1" x14ac:dyDescent="0.25"/>
    <row r="2" spans="1:3" ht="3.95" customHeight="1" x14ac:dyDescent="0.25"/>
    <row r="3" spans="1:3" ht="3.95" customHeight="1" x14ac:dyDescent="0.25"/>
    <row r="4" spans="1:3" ht="3.95" customHeight="1" thickBot="1" x14ac:dyDescent="0.3"/>
    <row r="5" spans="1:3" ht="57" thickBot="1" x14ac:dyDescent="0.3">
      <c r="A5" s="8" t="s">
        <v>312</v>
      </c>
      <c r="B5" s="333" t="s">
        <v>2</v>
      </c>
      <c r="C5" s="8" t="s">
        <v>488</v>
      </c>
    </row>
    <row r="6" spans="1:3" ht="23.25" x14ac:dyDescent="0.3">
      <c r="A6" s="334">
        <v>505</v>
      </c>
      <c r="B6" s="12" t="s">
        <v>42</v>
      </c>
      <c r="C6" s="335">
        <v>30000</v>
      </c>
    </row>
    <row r="7" spans="1:3" ht="23.25" x14ac:dyDescent="0.3">
      <c r="A7" s="334">
        <v>506</v>
      </c>
      <c r="B7" s="336" t="s">
        <v>44</v>
      </c>
      <c r="C7" s="337">
        <v>18840</v>
      </c>
    </row>
    <row r="8" spans="1:3" ht="23.25" x14ac:dyDescent="0.3">
      <c r="A8" s="334">
        <v>513</v>
      </c>
      <c r="B8" s="14" t="s">
        <v>43</v>
      </c>
      <c r="C8" s="335">
        <v>18204</v>
      </c>
    </row>
    <row r="9" spans="1:3" ht="23.25" x14ac:dyDescent="0.3">
      <c r="A9" s="334">
        <v>31</v>
      </c>
      <c r="B9" s="14" t="s">
        <v>46</v>
      </c>
      <c r="C9" s="338">
        <v>18192</v>
      </c>
    </row>
    <row r="10" spans="1:3" ht="23.25" x14ac:dyDescent="0.3">
      <c r="A10" s="334">
        <v>586</v>
      </c>
      <c r="B10" s="14" t="s">
        <v>45</v>
      </c>
      <c r="C10" s="338">
        <v>6996</v>
      </c>
    </row>
    <row r="11" spans="1:3" ht="23.25" x14ac:dyDescent="0.3">
      <c r="A11" s="334">
        <v>530</v>
      </c>
      <c r="B11" s="336" t="s">
        <v>58</v>
      </c>
      <c r="C11" s="339">
        <v>3600</v>
      </c>
    </row>
    <row r="12" spans="1:3" ht="23.25" x14ac:dyDescent="0.3">
      <c r="A12" s="334">
        <v>546</v>
      </c>
      <c r="B12" s="14" t="s">
        <v>51</v>
      </c>
      <c r="C12" s="338">
        <v>7200</v>
      </c>
    </row>
    <row r="13" spans="1:3" ht="23.25" x14ac:dyDescent="0.3">
      <c r="A13" s="334">
        <v>544</v>
      </c>
      <c r="B13" s="14" t="s">
        <v>54</v>
      </c>
      <c r="C13" s="337">
        <v>7464</v>
      </c>
    </row>
    <row r="14" spans="1:3" ht="23.25" x14ac:dyDescent="0.3">
      <c r="A14" s="334">
        <v>504</v>
      </c>
      <c r="B14" s="14" t="s">
        <v>47</v>
      </c>
      <c r="C14" s="337">
        <v>6996</v>
      </c>
    </row>
    <row r="15" spans="1:3" ht="23.25" x14ac:dyDescent="0.3">
      <c r="A15" s="334">
        <v>501</v>
      </c>
      <c r="B15" s="14" t="s">
        <v>48</v>
      </c>
      <c r="C15" s="338">
        <v>6912</v>
      </c>
    </row>
    <row r="16" spans="1:3" ht="23.25" x14ac:dyDescent="0.3">
      <c r="A16" s="334">
        <v>502</v>
      </c>
      <c r="B16" s="14" t="s">
        <v>55</v>
      </c>
      <c r="C16" s="338">
        <v>5796</v>
      </c>
    </row>
    <row r="17" spans="1:3" ht="23.25" x14ac:dyDescent="0.3">
      <c r="A17" s="334">
        <v>321</v>
      </c>
      <c r="B17" s="14" t="s">
        <v>489</v>
      </c>
      <c r="C17" s="337">
        <v>3120</v>
      </c>
    </row>
    <row r="18" spans="1:3" ht="23.25" x14ac:dyDescent="0.3">
      <c r="A18" s="334">
        <v>510</v>
      </c>
      <c r="B18" s="336" t="s">
        <v>61</v>
      </c>
      <c r="C18" s="339">
        <v>6456</v>
      </c>
    </row>
    <row r="19" spans="1:3" ht="23.25" x14ac:dyDescent="0.25">
      <c r="A19" s="334">
        <v>27</v>
      </c>
      <c r="B19" s="13" t="s">
        <v>56</v>
      </c>
      <c r="C19" s="340">
        <v>4512</v>
      </c>
    </row>
    <row r="20" spans="1:3" ht="23.25" x14ac:dyDescent="0.3">
      <c r="A20" s="341">
        <v>587</v>
      </c>
      <c r="B20" s="21" t="s">
        <v>60</v>
      </c>
      <c r="C20" s="337">
        <v>3900</v>
      </c>
    </row>
    <row r="21" spans="1:3" ht="23.25" x14ac:dyDescent="0.3">
      <c r="A21" s="334">
        <v>315</v>
      </c>
      <c r="B21" s="342" t="s">
        <v>59</v>
      </c>
      <c r="C21" s="340">
        <v>3240</v>
      </c>
    </row>
    <row r="22" spans="1:3" ht="23.25" x14ac:dyDescent="0.3">
      <c r="A22" s="334">
        <v>520</v>
      </c>
      <c r="B22" s="14" t="s">
        <v>68</v>
      </c>
      <c r="C22" s="337">
        <v>3120</v>
      </c>
    </row>
    <row r="23" spans="1:3" ht="23.25" x14ac:dyDescent="0.3">
      <c r="A23" s="334">
        <v>26</v>
      </c>
      <c r="B23" s="342" t="s">
        <v>53</v>
      </c>
      <c r="C23" s="343">
        <v>7236</v>
      </c>
    </row>
    <row r="24" spans="1:3" ht="23.25" x14ac:dyDescent="0.3">
      <c r="A24" s="334">
        <v>325</v>
      </c>
      <c r="B24" s="14" t="s">
        <v>57</v>
      </c>
      <c r="C24" s="343">
        <v>2256</v>
      </c>
    </row>
    <row r="25" spans="1:3" ht="23.25" x14ac:dyDescent="0.3">
      <c r="A25" s="334">
        <v>30</v>
      </c>
      <c r="B25" s="344" t="s">
        <v>296</v>
      </c>
      <c r="C25" s="345">
        <v>0</v>
      </c>
    </row>
    <row r="26" spans="1:3" ht="23.25" x14ac:dyDescent="0.3">
      <c r="A26" s="334" t="s">
        <v>69</v>
      </c>
      <c r="B26" s="14" t="s">
        <v>70</v>
      </c>
      <c r="C26" s="337">
        <v>2160</v>
      </c>
    </row>
    <row r="27" spans="1:3" ht="23.25" x14ac:dyDescent="0.3">
      <c r="A27" s="346">
        <v>224</v>
      </c>
      <c r="B27" s="15" t="s">
        <v>98</v>
      </c>
      <c r="C27" s="347">
        <v>588</v>
      </c>
    </row>
    <row r="28" spans="1:3" ht="23.25" x14ac:dyDescent="0.3">
      <c r="A28" s="334">
        <v>29</v>
      </c>
      <c r="B28" s="344" t="s">
        <v>295</v>
      </c>
      <c r="C28" s="345">
        <v>0</v>
      </c>
    </row>
    <row r="29" spans="1:3" ht="23.25" x14ac:dyDescent="0.3">
      <c r="A29" s="334">
        <v>558</v>
      </c>
      <c r="B29" s="342" t="s">
        <v>77</v>
      </c>
      <c r="C29" s="343">
        <v>2124</v>
      </c>
    </row>
    <row r="30" spans="1:3" ht="23.25" x14ac:dyDescent="0.3">
      <c r="A30" s="334">
        <v>523</v>
      </c>
      <c r="B30" s="14" t="s">
        <v>62</v>
      </c>
      <c r="C30" s="343">
        <v>2112</v>
      </c>
    </row>
    <row r="31" spans="1:3" ht="23.25" x14ac:dyDescent="0.3">
      <c r="A31" s="334">
        <v>512</v>
      </c>
      <c r="B31" s="342" t="s">
        <v>90</v>
      </c>
      <c r="C31" s="345">
        <v>1656</v>
      </c>
    </row>
    <row r="32" spans="1:3" ht="23.25" x14ac:dyDescent="0.3">
      <c r="A32" s="334">
        <v>521</v>
      </c>
      <c r="B32" s="14" t="s">
        <v>67</v>
      </c>
      <c r="C32" s="337">
        <v>2220</v>
      </c>
    </row>
    <row r="33" spans="1:3" ht="23.25" x14ac:dyDescent="0.3">
      <c r="A33" s="334">
        <v>581</v>
      </c>
      <c r="B33" s="14" t="s">
        <v>105</v>
      </c>
      <c r="C33" s="337">
        <v>768</v>
      </c>
    </row>
    <row r="34" spans="1:3" ht="23.25" x14ac:dyDescent="0.3">
      <c r="A34" s="334">
        <v>531</v>
      </c>
      <c r="B34" s="14" t="s">
        <v>74</v>
      </c>
      <c r="C34" s="337">
        <v>1440</v>
      </c>
    </row>
    <row r="35" spans="1:3" ht="23.25" x14ac:dyDescent="0.3">
      <c r="A35" s="346">
        <v>248</v>
      </c>
      <c r="B35" s="342" t="s">
        <v>84</v>
      </c>
      <c r="C35" s="343">
        <v>924</v>
      </c>
    </row>
    <row r="36" spans="1:3" ht="23.25" x14ac:dyDescent="0.3">
      <c r="A36" s="334">
        <v>555</v>
      </c>
      <c r="B36" s="342" t="s">
        <v>81</v>
      </c>
      <c r="C36" s="340">
        <v>1800</v>
      </c>
    </row>
    <row r="37" spans="1:3" ht="23.25" x14ac:dyDescent="0.3">
      <c r="A37" s="334">
        <v>575</v>
      </c>
      <c r="B37" s="14" t="s">
        <v>73</v>
      </c>
      <c r="C37" s="340">
        <v>1092</v>
      </c>
    </row>
    <row r="38" spans="1:3" ht="23.25" x14ac:dyDescent="0.3">
      <c r="A38" s="348">
        <v>66</v>
      </c>
      <c r="B38" s="14" t="s">
        <v>322</v>
      </c>
      <c r="C38" s="337">
        <v>2100</v>
      </c>
    </row>
    <row r="39" spans="1:3" ht="23.25" x14ac:dyDescent="0.3">
      <c r="A39" s="334">
        <v>535</v>
      </c>
      <c r="B39" s="14" t="s">
        <v>91</v>
      </c>
      <c r="C39" s="337">
        <v>1584</v>
      </c>
    </row>
    <row r="40" spans="1:3" ht="23.25" x14ac:dyDescent="0.3">
      <c r="A40" s="334">
        <v>34</v>
      </c>
      <c r="B40" s="14" t="s">
        <v>66</v>
      </c>
      <c r="C40" s="337">
        <v>1536</v>
      </c>
    </row>
    <row r="41" spans="1:3" ht="23.25" x14ac:dyDescent="0.3">
      <c r="A41" s="346">
        <v>551</v>
      </c>
      <c r="B41" s="15" t="s">
        <v>363</v>
      </c>
      <c r="C41" s="340">
        <v>468</v>
      </c>
    </row>
    <row r="42" spans="1:3" ht="23.25" x14ac:dyDescent="0.3">
      <c r="A42" s="346">
        <v>550</v>
      </c>
      <c r="B42" s="15" t="s">
        <v>93</v>
      </c>
      <c r="C42" s="337">
        <v>1368</v>
      </c>
    </row>
    <row r="43" spans="1:3" ht="23.25" x14ac:dyDescent="0.3">
      <c r="A43" s="346">
        <v>562</v>
      </c>
      <c r="B43" s="15" t="s">
        <v>102</v>
      </c>
      <c r="C43" s="343">
        <v>1200</v>
      </c>
    </row>
    <row r="44" spans="1:3" ht="23.25" x14ac:dyDescent="0.3">
      <c r="A44" s="349" t="s">
        <v>356</v>
      </c>
      <c r="B44" s="11" t="s">
        <v>265</v>
      </c>
      <c r="C44" s="337">
        <v>1872</v>
      </c>
    </row>
    <row r="45" spans="1:3" ht="23.25" x14ac:dyDescent="0.3">
      <c r="A45" s="346">
        <v>229</v>
      </c>
      <c r="B45" s="15" t="s">
        <v>87</v>
      </c>
      <c r="C45" s="343">
        <v>1008</v>
      </c>
    </row>
    <row r="46" spans="1:3" ht="23.25" x14ac:dyDescent="0.3">
      <c r="A46" s="334">
        <v>500</v>
      </c>
      <c r="B46" s="14" t="s">
        <v>65</v>
      </c>
      <c r="C46" s="337">
        <v>1440</v>
      </c>
    </row>
    <row r="47" spans="1:3" ht="23.25" x14ac:dyDescent="0.3">
      <c r="A47" s="346">
        <v>654</v>
      </c>
      <c r="B47" s="15" t="s">
        <v>85</v>
      </c>
      <c r="C47" s="343">
        <v>912</v>
      </c>
    </row>
    <row r="48" spans="1:3" ht="23.25" x14ac:dyDescent="0.3">
      <c r="A48" s="346">
        <v>564</v>
      </c>
      <c r="B48" s="15" t="s">
        <v>114</v>
      </c>
      <c r="C48" s="347">
        <v>444</v>
      </c>
    </row>
    <row r="49" spans="1:3" ht="23.25" x14ac:dyDescent="0.3">
      <c r="A49" s="334">
        <v>525</v>
      </c>
      <c r="B49" s="14" t="s">
        <v>75</v>
      </c>
      <c r="C49" s="337">
        <v>1392</v>
      </c>
    </row>
    <row r="50" spans="1:3" ht="23.25" x14ac:dyDescent="0.3">
      <c r="A50" s="346">
        <v>560</v>
      </c>
      <c r="B50" s="15" t="s">
        <v>103</v>
      </c>
      <c r="C50" s="350">
        <v>660</v>
      </c>
    </row>
    <row r="51" spans="1:3" ht="23.25" x14ac:dyDescent="0.3">
      <c r="A51" s="351">
        <v>225</v>
      </c>
      <c r="B51" s="342" t="s">
        <v>76</v>
      </c>
      <c r="C51" s="340">
        <v>2400</v>
      </c>
    </row>
    <row r="52" spans="1:3" ht="23.25" x14ac:dyDescent="0.3">
      <c r="A52" s="346">
        <v>518</v>
      </c>
      <c r="B52" s="15" t="s">
        <v>95</v>
      </c>
      <c r="C52" s="343">
        <v>780</v>
      </c>
    </row>
    <row r="53" spans="1:3" ht="23.25" x14ac:dyDescent="0.3">
      <c r="A53" s="352">
        <v>580</v>
      </c>
      <c r="B53" s="15" t="s">
        <v>128</v>
      </c>
      <c r="C53" s="350">
        <v>684</v>
      </c>
    </row>
    <row r="54" spans="1:3" ht="23.25" x14ac:dyDescent="0.3">
      <c r="A54" s="334">
        <v>577</v>
      </c>
      <c r="B54" s="14" t="s">
        <v>80</v>
      </c>
      <c r="C54" s="343">
        <v>984</v>
      </c>
    </row>
    <row r="55" spans="1:3" ht="23.25" x14ac:dyDescent="0.3">
      <c r="A55" s="346">
        <v>280</v>
      </c>
      <c r="B55" s="15" t="s">
        <v>86</v>
      </c>
      <c r="C55" s="343">
        <v>1300</v>
      </c>
    </row>
    <row r="56" spans="1:3" ht="23.25" x14ac:dyDescent="0.3">
      <c r="A56" s="346">
        <v>507</v>
      </c>
      <c r="B56" s="15" t="s">
        <v>83</v>
      </c>
      <c r="C56" s="340">
        <v>792</v>
      </c>
    </row>
    <row r="57" spans="1:3" ht="23.25" x14ac:dyDescent="0.3">
      <c r="A57" s="346">
        <v>220</v>
      </c>
      <c r="B57" s="15" t="s">
        <v>126</v>
      </c>
      <c r="C57" s="350">
        <v>540</v>
      </c>
    </row>
    <row r="58" spans="1:3" ht="23.25" x14ac:dyDescent="0.3">
      <c r="A58" s="346">
        <v>559</v>
      </c>
      <c r="B58" s="15" t="s">
        <v>82</v>
      </c>
      <c r="C58" s="343">
        <v>996</v>
      </c>
    </row>
    <row r="59" spans="1:3" ht="23.25" x14ac:dyDescent="0.3">
      <c r="A59" s="346">
        <v>519</v>
      </c>
      <c r="B59" s="15" t="s">
        <v>129</v>
      </c>
      <c r="C59" s="343">
        <v>600</v>
      </c>
    </row>
    <row r="60" spans="1:3" ht="23.25" x14ac:dyDescent="0.3">
      <c r="A60" s="346">
        <v>221</v>
      </c>
      <c r="B60" s="15" t="s">
        <v>139</v>
      </c>
      <c r="C60" s="340">
        <v>396</v>
      </c>
    </row>
    <row r="61" spans="1:3" ht="23.25" x14ac:dyDescent="0.3">
      <c r="A61" s="10">
        <v>557</v>
      </c>
      <c r="B61" s="14" t="s">
        <v>78</v>
      </c>
      <c r="C61" s="353">
        <v>288</v>
      </c>
    </row>
    <row r="62" spans="1:3" ht="23.25" x14ac:dyDescent="0.3">
      <c r="A62" s="334">
        <v>57</v>
      </c>
      <c r="B62" s="14" t="s">
        <v>79</v>
      </c>
      <c r="C62" s="337">
        <v>744</v>
      </c>
    </row>
    <row r="63" spans="1:3" ht="23.25" x14ac:dyDescent="0.3">
      <c r="A63" s="346">
        <v>207</v>
      </c>
      <c r="B63" s="15" t="s">
        <v>175</v>
      </c>
      <c r="C63" s="350">
        <v>240</v>
      </c>
    </row>
    <row r="64" spans="1:3" ht="23.25" x14ac:dyDescent="0.3">
      <c r="A64" s="352">
        <v>565</v>
      </c>
      <c r="B64" s="15" t="s">
        <v>97</v>
      </c>
      <c r="C64" s="343">
        <v>432</v>
      </c>
    </row>
    <row r="65" spans="1:3" ht="23.25" x14ac:dyDescent="0.3">
      <c r="A65" s="354">
        <v>222</v>
      </c>
      <c r="B65" s="15" t="s">
        <v>96</v>
      </c>
      <c r="C65" s="343">
        <v>600</v>
      </c>
    </row>
    <row r="66" spans="1:3" ht="23.25" x14ac:dyDescent="0.3">
      <c r="A66" s="346">
        <v>355</v>
      </c>
      <c r="B66" s="15" t="s">
        <v>115</v>
      </c>
      <c r="C66" s="345">
        <v>720</v>
      </c>
    </row>
    <row r="67" spans="1:3" ht="23.25" x14ac:dyDescent="0.3">
      <c r="A67" s="352">
        <v>573</v>
      </c>
      <c r="B67" s="15" t="s">
        <v>138</v>
      </c>
      <c r="C67" s="345">
        <v>360</v>
      </c>
    </row>
    <row r="68" spans="1:3" ht="23.25" x14ac:dyDescent="0.3">
      <c r="A68" s="346">
        <v>508</v>
      </c>
      <c r="B68" s="15" t="s">
        <v>119</v>
      </c>
      <c r="C68" s="343">
        <v>420</v>
      </c>
    </row>
    <row r="69" spans="1:3" ht="23.25" x14ac:dyDescent="0.3">
      <c r="A69" s="352">
        <v>553</v>
      </c>
      <c r="B69" s="18" t="s">
        <v>229</v>
      </c>
      <c r="C69" s="350">
        <v>0</v>
      </c>
    </row>
    <row r="70" spans="1:3" ht="23.25" x14ac:dyDescent="0.3">
      <c r="A70" s="352">
        <v>395</v>
      </c>
      <c r="B70" s="15" t="s">
        <v>101</v>
      </c>
      <c r="C70" s="345">
        <v>600</v>
      </c>
    </row>
    <row r="71" spans="1:3" ht="23.25" x14ac:dyDescent="0.3">
      <c r="A71" s="346">
        <v>594</v>
      </c>
      <c r="B71" s="15" t="s">
        <v>104</v>
      </c>
      <c r="C71" s="343">
        <v>312</v>
      </c>
    </row>
    <row r="72" spans="1:3" ht="23.25" x14ac:dyDescent="0.3">
      <c r="A72" s="346">
        <v>223</v>
      </c>
      <c r="B72" s="15" t="s">
        <v>158</v>
      </c>
      <c r="C72" s="350">
        <v>276</v>
      </c>
    </row>
    <row r="73" spans="1:3" ht="23.25" x14ac:dyDescent="0.3">
      <c r="A73" s="346" t="s">
        <v>108</v>
      </c>
      <c r="B73" s="15" t="s">
        <v>109</v>
      </c>
      <c r="C73" s="337">
        <v>360</v>
      </c>
    </row>
    <row r="74" spans="1:3" ht="23.25" x14ac:dyDescent="0.3">
      <c r="A74" s="346">
        <v>543</v>
      </c>
      <c r="B74" s="15" t="s">
        <v>106</v>
      </c>
      <c r="C74" s="347">
        <v>396</v>
      </c>
    </row>
    <row r="75" spans="1:3" ht="23.25" x14ac:dyDescent="0.3">
      <c r="A75" s="352">
        <v>569</v>
      </c>
      <c r="B75" s="15" t="s">
        <v>163</v>
      </c>
      <c r="C75" s="350">
        <v>168</v>
      </c>
    </row>
    <row r="76" spans="1:3" ht="23.25" x14ac:dyDescent="0.3">
      <c r="A76" s="346">
        <v>392</v>
      </c>
      <c r="B76" s="15" t="s">
        <v>100</v>
      </c>
      <c r="C76" s="347">
        <v>312</v>
      </c>
    </row>
    <row r="77" spans="1:3" ht="23.25" x14ac:dyDescent="0.3">
      <c r="A77" s="346">
        <v>595</v>
      </c>
      <c r="B77" s="15" t="s">
        <v>137</v>
      </c>
      <c r="C77" s="350">
        <v>288</v>
      </c>
    </row>
    <row r="78" spans="1:3" ht="23.25" x14ac:dyDescent="0.3">
      <c r="A78" s="352">
        <v>312</v>
      </c>
      <c r="B78" s="15" t="s">
        <v>153</v>
      </c>
      <c r="C78" s="343">
        <v>204</v>
      </c>
    </row>
    <row r="79" spans="1:3" ht="23.25" x14ac:dyDescent="0.3">
      <c r="A79" s="346">
        <v>515</v>
      </c>
      <c r="B79" s="15" t="s">
        <v>152</v>
      </c>
      <c r="C79" s="350">
        <v>444</v>
      </c>
    </row>
    <row r="80" spans="1:3" ht="23.25" x14ac:dyDescent="0.3">
      <c r="A80" s="334">
        <v>579</v>
      </c>
      <c r="B80" s="14" t="s">
        <v>92</v>
      </c>
      <c r="C80" s="337">
        <v>660</v>
      </c>
    </row>
    <row r="81" spans="1:3" ht="23.25" x14ac:dyDescent="0.3">
      <c r="A81" s="346">
        <v>532</v>
      </c>
      <c r="B81" s="15" t="s">
        <v>107</v>
      </c>
      <c r="C81" s="343">
        <v>312</v>
      </c>
    </row>
    <row r="82" spans="1:3" ht="23.25" x14ac:dyDescent="0.3">
      <c r="A82" s="355">
        <v>511</v>
      </c>
      <c r="B82" s="17" t="s">
        <v>113</v>
      </c>
      <c r="C82" s="343">
        <v>484</v>
      </c>
    </row>
    <row r="83" spans="1:3" ht="23.25" x14ac:dyDescent="0.3">
      <c r="A83" s="352">
        <v>394</v>
      </c>
      <c r="B83" s="15" t="s">
        <v>125</v>
      </c>
      <c r="C83" s="345">
        <v>360</v>
      </c>
    </row>
    <row r="84" spans="1:3" ht="23.25" x14ac:dyDescent="0.3">
      <c r="A84" s="346">
        <v>542</v>
      </c>
      <c r="B84" s="15" t="s">
        <v>99</v>
      </c>
      <c r="C84" s="350">
        <v>384</v>
      </c>
    </row>
    <row r="85" spans="1:3" ht="23.25" x14ac:dyDescent="0.3">
      <c r="A85" s="352">
        <v>299</v>
      </c>
      <c r="B85" s="15" t="s">
        <v>162</v>
      </c>
      <c r="C85" s="343">
        <v>324</v>
      </c>
    </row>
    <row r="86" spans="1:3" ht="23.25" x14ac:dyDescent="0.3">
      <c r="A86" s="346">
        <v>393</v>
      </c>
      <c r="B86" s="15" t="s">
        <v>112</v>
      </c>
      <c r="C86" s="343">
        <v>312</v>
      </c>
    </row>
    <row r="87" spans="1:3" ht="23.25" x14ac:dyDescent="0.3">
      <c r="A87" s="356">
        <v>59</v>
      </c>
      <c r="B87" s="15" t="s">
        <v>120</v>
      </c>
      <c r="C87" s="337">
        <v>144</v>
      </c>
    </row>
    <row r="88" spans="1:3" ht="23.25" x14ac:dyDescent="0.3">
      <c r="A88" s="352">
        <v>334</v>
      </c>
      <c r="B88" s="15" t="s">
        <v>151</v>
      </c>
      <c r="C88" s="350">
        <v>192</v>
      </c>
    </row>
    <row r="89" spans="1:3" ht="23.25" x14ac:dyDescent="0.3">
      <c r="A89" s="352">
        <v>58</v>
      </c>
      <c r="B89" s="15" t="s">
        <v>121</v>
      </c>
      <c r="C89" s="337">
        <v>312</v>
      </c>
    </row>
    <row r="90" spans="1:3" ht="23.25" x14ac:dyDescent="0.3">
      <c r="A90" s="352">
        <v>323</v>
      </c>
      <c r="B90" s="15" t="s">
        <v>122</v>
      </c>
      <c r="C90" s="350">
        <v>264</v>
      </c>
    </row>
    <row r="91" spans="1:3" ht="23.25" x14ac:dyDescent="0.3">
      <c r="A91" s="352">
        <v>242</v>
      </c>
      <c r="B91" s="18" t="s">
        <v>490</v>
      </c>
      <c r="C91" s="350">
        <v>0</v>
      </c>
    </row>
    <row r="92" spans="1:3" ht="23.25" x14ac:dyDescent="0.3">
      <c r="A92" s="352">
        <v>570</v>
      </c>
      <c r="B92" s="15" t="s">
        <v>149</v>
      </c>
      <c r="C92" s="347">
        <v>432</v>
      </c>
    </row>
    <row r="93" spans="1:3" ht="23.25" x14ac:dyDescent="0.3">
      <c r="A93" s="352">
        <v>246</v>
      </c>
      <c r="B93" s="15" t="s">
        <v>170</v>
      </c>
      <c r="C93" s="345">
        <v>120</v>
      </c>
    </row>
    <row r="94" spans="1:3" ht="23.25" x14ac:dyDescent="0.3">
      <c r="A94" s="352">
        <v>396</v>
      </c>
      <c r="B94" s="15" t="s">
        <v>174</v>
      </c>
      <c r="C94" s="347">
        <v>180</v>
      </c>
    </row>
    <row r="95" spans="1:3" ht="23.25" x14ac:dyDescent="0.3">
      <c r="A95" s="352">
        <v>548</v>
      </c>
      <c r="B95" s="15" t="s">
        <v>148</v>
      </c>
      <c r="C95" s="350">
        <v>0</v>
      </c>
    </row>
    <row r="96" spans="1:3" ht="23.25" x14ac:dyDescent="0.3">
      <c r="A96" s="352">
        <v>333</v>
      </c>
      <c r="B96" s="342" t="s">
        <v>116</v>
      </c>
      <c r="C96" s="337">
        <v>288</v>
      </c>
    </row>
    <row r="97" spans="1:3" ht="23.25" x14ac:dyDescent="0.3">
      <c r="A97" s="352">
        <v>400</v>
      </c>
      <c r="B97" s="18" t="s">
        <v>491</v>
      </c>
      <c r="C97" s="350">
        <v>24</v>
      </c>
    </row>
    <row r="98" spans="1:3" ht="23.25" x14ac:dyDescent="0.3">
      <c r="A98" s="352">
        <v>596</v>
      </c>
      <c r="B98" s="15" t="s">
        <v>169</v>
      </c>
      <c r="C98" s="347">
        <v>108</v>
      </c>
    </row>
    <row r="99" spans="1:3" ht="23.25" x14ac:dyDescent="0.3">
      <c r="A99" s="354">
        <v>499</v>
      </c>
      <c r="B99" s="15" t="s">
        <v>88</v>
      </c>
      <c r="C99" s="337">
        <v>144</v>
      </c>
    </row>
    <row r="100" spans="1:3" ht="23.25" x14ac:dyDescent="0.3">
      <c r="A100" s="352">
        <v>391</v>
      </c>
      <c r="B100" s="15" t="s">
        <v>150</v>
      </c>
      <c r="C100" s="347">
        <v>192</v>
      </c>
    </row>
    <row r="101" spans="1:3" ht="23.25" x14ac:dyDescent="0.3">
      <c r="A101" s="352">
        <v>336</v>
      </c>
      <c r="B101" s="16" t="s">
        <v>131</v>
      </c>
      <c r="C101" s="347">
        <v>216</v>
      </c>
    </row>
    <row r="102" spans="1:3" ht="23.25" x14ac:dyDescent="0.3">
      <c r="A102" s="352">
        <v>332</v>
      </c>
      <c r="B102" s="16" t="s">
        <v>142</v>
      </c>
      <c r="C102" s="337">
        <v>264</v>
      </c>
    </row>
    <row r="103" spans="1:3" ht="23.25" x14ac:dyDescent="0.3">
      <c r="A103" s="352">
        <v>311</v>
      </c>
      <c r="B103" s="357" t="s">
        <v>313</v>
      </c>
      <c r="C103" s="343">
        <v>96</v>
      </c>
    </row>
    <row r="104" spans="1:3" ht="23.25" x14ac:dyDescent="0.3">
      <c r="A104" s="352">
        <v>208</v>
      </c>
      <c r="B104" s="22" t="s">
        <v>180</v>
      </c>
      <c r="C104" s="343">
        <v>144</v>
      </c>
    </row>
    <row r="105" spans="1:3" ht="23.25" x14ac:dyDescent="0.3">
      <c r="A105" s="352">
        <v>561</v>
      </c>
      <c r="B105" s="20" t="s">
        <v>492</v>
      </c>
      <c r="C105" s="347">
        <v>612</v>
      </c>
    </row>
    <row r="106" spans="1:3" ht="23.25" x14ac:dyDescent="0.3">
      <c r="A106" s="352">
        <v>823</v>
      </c>
      <c r="B106" s="16" t="s">
        <v>134</v>
      </c>
      <c r="C106" s="337">
        <v>108</v>
      </c>
    </row>
    <row r="107" spans="1:3" ht="23.25" x14ac:dyDescent="0.3">
      <c r="A107" s="352">
        <v>509</v>
      </c>
      <c r="B107" s="22" t="s">
        <v>173</v>
      </c>
      <c r="C107" s="343">
        <v>192</v>
      </c>
    </row>
    <row r="108" spans="1:3" ht="18.75" x14ac:dyDescent="0.3">
      <c r="A108" s="358" t="s">
        <v>352</v>
      </c>
      <c r="B108" s="22" t="s">
        <v>353</v>
      </c>
      <c r="C108" s="359">
        <v>36</v>
      </c>
    </row>
    <row r="109" spans="1:3" ht="23.25" x14ac:dyDescent="0.3">
      <c r="A109" s="346" t="s">
        <v>348</v>
      </c>
      <c r="B109" s="16" t="s">
        <v>349</v>
      </c>
      <c r="C109" s="350">
        <v>600</v>
      </c>
    </row>
    <row r="110" spans="1:3" ht="23.25" x14ac:dyDescent="0.3">
      <c r="A110" s="346" t="s">
        <v>123</v>
      </c>
      <c r="B110" s="15" t="s">
        <v>124</v>
      </c>
      <c r="C110" s="343">
        <v>600</v>
      </c>
    </row>
    <row r="111" spans="1:3" ht="23.25" x14ac:dyDescent="0.3">
      <c r="A111" s="346" t="s">
        <v>127</v>
      </c>
      <c r="B111" s="15" t="s">
        <v>128</v>
      </c>
      <c r="C111" s="350">
        <v>0</v>
      </c>
    </row>
    <row r="112" spans="1:3" ht="23.25" x14ac:dyDescent="0.3">
      <c r="A112" s="352" t="s">
        <v>117</v>
      </c>
      <c r="B112" s="15" t="s">
        <v>118</v>
      </c>
      <c r="C112" s="350">
        <v>360</v>
      </c>
    </row>
    <row r="113" spans="1:3" ht="23.25" x14ac:dyDescent="0.3">
      <c r="A113" s="352" t="s">
        <v>135</v>
      </c>
      <c r="B113" s="15" t="s">
        <v>136</v>
      </c>
      <c r="C113" s="350">
        <v>120</v>
      </c>
    </row>
    <row r="114" spans="1:3" ht="23.25" x14ac:dyDescent="0.3">
      <c r="A114" s="352">
        <v>516</v>
      </c>
      <c r="B114" s="15" t="s">
        <v>89</v>
      </c>
      <c r="C114" s="343">
        <v>400</v>
      </c>
    </row>
    <row r="115" spans="1:3" ht="23.25" x14ac:dyDescent="0.3">
      <c r="A115" s="352">
        <v>554</v>
      </c>
      <c r="B115" s="15" t="s">
        <v>161</v>
      </c>
      <c r="C115" s="350">
        <v>192</v>
      </c>
    </row>
    <row r="116" spans="1:3" ht="23.25" x14ac:dyDescent="0.3">
      <c r="A116" s="360" t="s">
        <v>335</v>
      </c>
      <c r="B116" s="15" t="s">
        <v>336</v>
      </c>
      <c r="C116" s="337">
        <v>700</v>
      </c>
    </row>
    <row r="117" spans="1:3" ht="23.25" x14ac:dyDescent="0.3">
      <c r="A117" s="352">
        <v>335</v>
      </c>
      <c r="B117" s="15" t="s">
        <v>176</v>
      </c>
      <c r="C117" s="350">
        <v>120</v>
      </c>
    </row>
    <row r="118" spans="1:3" ht="23.25" x14ac:dyDescent="0.3">
      <c r="A118" s="352">
        <v>390</v>
      </c>
      <c r="B118" s="15" t="s">
        <v>159</v>
      </c>
      <c r="C118" s="350">
        <v>120</v>
      </c>
    </row>
    <row r="119" spans="1:3" ht="23.25" x14ac:dyDescent="0.3">
      <c r="A119" s="352">
        <v>389</v>
      </c>
      <c r="B119" s="15" t="s">
        <v>166</v>
      </c>
      <c r="C119" s="343">
        <v>0</v>
      </c>
    </row>
    <row r="120" spans="1:3" ht="23.25" x14ac:dyDescent="0.3">
      <c r="A120" s="352">
        <v>534</v>
      </c>
      <c r="B120" s="15" t="s">
        <v>178</v>
      </c>
      <c r="C120" s="350">
        <v>144</v>
      </c>
    </row>
    <row r="121" spans="1:3" ht="23.25" x14ac:dyDescent="0.3">
      <c r="A121" s="352">
        <v>339</v>
      </c>
      <c r="B121" s="15" t="s">
        <v>181</v>
      </c>
      <c r="C121" s="350">
        <v>0</v>
      </c>
    </row>
    <row r="122" spans="1:3" ht="23.25" x14ac:dyDescent="0.3">
      <c r="A122" s="352">
        <v>338</v>
      </c>
      <c r="B122" s="15" t="s">
        <v>154</v>
      </c>
      <c r="C122" s="350">
        <v>240</v>
      </c>
    </row>
    <row r="123" spans="1:3" ht="23.25" x14ac:dyDescent="0.3">
      <c r="A123" s="352">
        <v>498</v>
      </c>
      <c r="B123" s="15" t="s">
        <v>94</v>
      </c>
      <c r="C123" s="350">
        <v>144</v>
      </c>
    </row>
    <row r="124" spans="1:3" ht="23.25" x14ac:dyDescent="0.3">
      <c r="A124" s="352">
        <v>337</v>
      </c>
      <c r="B124" s="15" t="s">
        <v>177</v>
      </c>
      <c r="C124" s="350">
        <v>96</v>
      </c>
    </row>
    <row r="125" spans="1:3" ht="23.25" x14ac:dyDescent="0.3">
      <c r="A125" s="352">
        <v>547</v>
      </c>
      <c r="B125" s="15" t="s">
        <v>182</v>
      </c>
      <c r="C125" s="350">
        <v>24</v>
      </c>
    </row>
    <row r="126" spans="1:3" ht="23.25" x14ac:dyDescent="0.3">
      <c r="A126" s="10" t="s">
        <v>49</v>
      </c>
      <c r="B126" s="361" t="s">
        <v>50</v>
      </c>
      <c r="C126" s="343">
        <v>0</v>
      </c>
    </row>
    <row r="127" spans="1:3" ht="23.25" x14ac:dyDescent="0.3">
      <c r="A127" s="10" t="s">
        <v>72</v>
      </c>
      <c r="B127" s="361" t="s">
        <v>70</v>
      </c>
      <c r="C127" s="343">
        <v>1860</v>
      </c>
    </row>
    <row r="128" spans="1:3" ht="23.25" x14ac:dyDescent="0.3">
      <c r="A128" s="334" t="s">
        <v>345</v>
      </c>
      <c r="B128" s="361" t="s">
        <v>71</v>
      </c>
      <c r="C128" s="343">
        <v>0</v>
      </c>
    </row>
    <row r="129" spans="1:3" ht="23.25" x14ac:dyDescent="0.3">
      <c r="A129" s="352">
        <v>574</v>
      </c>
      <c r="B129" s="362" t="s">
        <v>111</v>
      </c>
      <c r="C129" s="350">
        <v>1200</v>
      </c>
    </row>
    <row r="130" spans="1:3" ht="23.25" x14ac:dyDescent="0.3">
      <c r="A130" s="363">
        <v>28</v>
      </c>
      <c r="B130" s="364" t="s">
        <v>493</v>
      </c>
      <c r="C130" s="353">
        <v>0</v>
      </c>
    </row>
    <row r="131" spans="1:3" ht="23.25" x14ac:dyDescent="0.3">
      <c r="A131" s="363">
        <v>250</v>
      </c>
      <c r="B131" s="364" t="s">
        <v>494</v>
      </c>
      <c r="C131" s="365">
        <v>0</v>
      </c>
    </row>
    <row r="132" spans="1:3" ht="23.25" x14ac:dyDescent="0.3">
      <c r="A132" s="352">
        <v>253</v>
      </c>
      <c r="B132" s="366" t="s">
        <v>495</v>
      </c>
      <c r="C132" s="350">
        <v>0</v>
      </c>
    </row>
    <row r="133" spans="1:3" ht="23.25" x14ac:dyDescent="0.3">
      <c r="A133" s="352">
        <v>254</v>
      </c>
      <c r="B133" s="366" t="s">
        <v>496</v>
      </c>
      <c r="C133" s="350">
        <v>0</v>
      </c>
    </row>
    <row r="134" spans="1:3" ht="23.25" x14ac:dyDescent="0.3">
      <c r="A134" s="367">
        <v>578</v>
      </c>
      <c r="B134" s="368" t="s">
        <v>316</v>
      </c>
      <c r="C134" s="369">
        <v>0</v>
      </c>
    </row>
    <row r="135" spans="1:3" ht="23.25" x14ac:dyDescent="0.3">
      <c r="A135" s="370" t="s">
        <v>110</v>
      </c>
      <c r="B135" s="371" t="s">
        <v>111</v>
      </c>
      <c r="C135" s="369">
        <v>648</v>
      </c>
    </row>
    <row r="136" spans="1:3" ht="23.25" x14ac:dyDescent="0.3">
      <c r="A136" s="352" t="s">
        <v>132</v>
      </c>
      <c r="B136" s="372" t="s">
        <v>133</v>
      </c>
      <c r="C136" s="350">
        <v>0</v>
      </c>
    </row>
    <row r="137" spans="1:3" ht="23.25" x14ac:dyDescent="0.3">
      <c r="A137" s="352" t="s">
        <v>362</v>
      </c>
      <c r="B137" s="372" t="s">
        <v>130</v>
      </c>
      <c r="C137" s="343">
        <v>0</v>
      </c>
    </row>
    <row r="138" spans="1:3" ht="23.25" x14ac:dyDescent="0.3">
      <c r="A138" s="352" t="s">
        <v>143</v>
      </c>
      <c r="B138" s="372" t="s">
        <v>144</v>
      </c>
      <c r="C138" s="350">
        <v>120</v>
      </c>
    </row>
    <row r="139" spans="1:3" ht="23.25" x14ac:dyDescent="0.3">
      <c r="A139" s="352" t="s">
        <v>323</v>
      </c>
      <c r="B139" s="372" t="s">
        <v>147</v>
      </c>
      <c r="C139" s="373">
        <v>120</v>
      </c>
    </row>
    <row r="140" spans="1:3" ht="23.25" x14ac:dyDescent="0.3">
      <c r="A140" s="352" t="s">
        <v>145</v>
      </c>
      <c r="B140" s="372" t="s">
        <v>146</v>
      </c>
      <c r="C140" s="350">
        <v>120</v>
      </c>
    </row>
    <row r="141" spans="1:3" ht="23.25" x14ac:dyDescent="0.3">
      <c r="A141" s="374" t="s">
        <v>335</v>
      </c>
      <c r="B141" s="366" t="s">
        <v>336</v>
      </c>
      <c r="C141" s="350">
        <v>700</v>
      </c>
    </row>
    <row r="142" spans="1:3" ht="23.25" x14ac:dyDescent="0.3">
      <c r="A142" s="352" t="s">
        <v>140</v>
      </c>
      <c r="B142" s="372" t="s">
        <v>141</v>
      </c>
      <c r="C142" s="350">
        <v>120</v>
      </c>
    </row>
    <row r="143" spans="1:3" ht="23.25" x14ac:dyDescent="0.3">
      <c r="A143" s="352">
        <v>230</v>
      </c>
      <c r="B143" s="375" t="s">
        <v>497</v>
      </c>
      <c r="C143" s="350">
        <v>0</v>
      </c>
    </row>
    <row r="144" spans="1:3" ht="23.25" x14ac:dyDescent="0.3">
      <c r="A144" s="352">
        <v>233</v>
      </c>
      <c r="B144" s="376" t="s">
        <v>498</v>
      </c>
      <c r="C144" s="350">
        <v>0</v>
      </c>
    </row>
    <row r="145" spans="1:3" ht="23.25" x14ac:dyDescent="0.3">
      <c r="A145" s="377" t="s">
        <v>331</v>
      </c>
      <c r="B145" s="366" t="s">
        <v>332</v>
      </c>
      <c r="C145" s="350">
        <v>0</v>
      </c>
    </row>
    <row r="146" spans="1:3" ht="23.25" x14ac:dyDescent="0.3">
      <c r="A146" s="378" t="s">
        <v>156</v>
      </c>
      <c r="B146" s="379" t="s">
        <v>157</v>
      </c>
      <c r="C146" s="343">
        <v>600</v>
      </c>
    </row>
    <row r="147" spans="1:3" ht="23.25" x14ac:dyDescent="0.3">
      <c r="A147" s="150" t="s">
        <v>333</v>
      </c>
      <c r="B147" s="364" t="s">
        <v>334</v>
      </c>
      <c r="C147" s="365">
        <v>912</v>
      </c>
    </row>
    <row r="148" spans="1:3" ht="23.25" x14ac:dyDescent="0.3">
      <c r="A148" s="363">
        <v>231</v>
      </c>
      <c r="B148" s="380" t="s">
        <v>499</v>
      </c>
      <c r="C148" s="365">
        <v>0</v>
      </c>
    </row>
    <row r="149" spans="1:3" ht="24" thickBot="1" x14ac:dyDescent="0.35">
      <c r="A149" s="381">
        <v>322</v>
      </c>
      <c r="B149" s="382" t="s">
        <v>500</v>
      </c>
      <c r="C149" s="383">
        <v>0</v>
      </c>
    </row>
    <row r="150" spans="1:3" ht="23.25" x14ac:dyDescent="0.25">
      <c r="A150" s="384">
        <v>517</v>
      </c>
      <c r="B150" s="385" t="s">
        <v>501</v>
      </c>
      <c r="C150" s="386">
        <v>0</v>
      </c>
    </row>
    <row r="151" spans="1:3" ht="23.25" x14ac:dyDescent="0.3">
      <c r="A151" s="351" t="s">
        <v>502</v>
      </c>
      <c r="B151" s="15" t="s">
        <v>77</v>
      </c>
      <c r="C151" s="387">
        <v>0</v>
      </c>
    </row>
    <row r="152" spans="1:3" ht="23.25" x14ac:dyDescent="0.3">
      <c r="A152" s="352">
        <v>592</v>
      </c>
      <c r="B152" s="372" t="s">
        <v>164</v>
      </c>
      <c r="C152" s="350">
        <v>0</v>
      </c>
    </row>
    <row r="153" spans="1:3" ht="23.25" x14ac:dyDescent="0.3">
      <c r="A153" s="352">
        <v>593</v>
      </c>
      <c r="B153" s="372" t="s">
        <v>160</v>
      </c>
      <c r="C153" s="350">
        <v>0</v>
      </c>
    </row>
    <row r="154" spans="1:3" ht="23.25" x14ac:dyDescent="0.3">
      <c r="A154" s="352">
        <v>655</v>
      </c>
      <c r="B154" s="372" t="s">
        <v>165</v>
      </c>
      <c r="C154" s="350">
        <v>0</v>
      </c>
    </row>
    <row r="155" spans="1:3" ht="23.25" x14ac:dyDescent="0.3">
      <c r="A155" s="352" t="s">
        <v>167</v>
      </c>
      <c r="B155" s="372" t="s">
        <v>168</v>
      </c>
      <c r="C155" s="343">
        <v>420</v>
      </c>
    </row>
    <row r="156" spans="1:3" ht="23.25" x14ac:dyDescent="0.3">
      <c r="A156" s="352">
        <v>326</v>
      </c>
      <c r="B156" s="15" t="s">
        <v>155</v>
      </c>
      <c r="C156" s="350">
        <v>144</v>
      </c>
    </row>
    <row r="157" spans="1:3" ht="23.25" x14ac:dyDescent="0.3">
      <c r="A157" s="374">
        <v>571</v>
      </c>
      <c r="B157" s="366" t="s">
        <v>315</v>
      </c>
      <c r="C157" s="350">
        <v>0</v>
      </c>
    </row>
    <row r="158" spans="1:3" ht="23.25" x14ac:dyDescent="0.3">
      <c r="A158" s="352" t="s">
        <v>171</v>
      </c>
      <c r="B158" s="372" t="s">
        <v>172</v>
      </c>
      <c r="C158" s="350">
        <v>0</v>
      </c>
    </row>
    <row r="159" spans="1:3" ht="23.25" x14ac:dyDescent="0.3">
      <c r="A159" s="352" t="s">
        <v>362</v>
      </c>
      <c r="B159" s="18" t="s">
        <v>503</v>
      </c>
      <c r="C159" s="350">
        <v>0</v>
      </c>
    </row>
    <row r="160" spans="1:3" ht="23.25" x14ac:dyDescent="0.3">
      <c r="A160" s="352">
        <v>324</v>
      </c>
      <c r="B160" s="372" t="s">
        <v>504</v>
      </c>
      <c r="C160" s="350">
        <v>0</v>
      </c>
    </row>
    <row r="161" spans="1:3" ht="23.25" x14ac:dyDescent="0.3">
      <c r="A161" s="352">
        <v>524</v>
      </c>
      <c r="B161" s="372" t="s">
        <v>505</v>
      </c>
      <c r="C161" s="350">
        <v>24</v>
      </c>
    </row>
    <row r="162" spans="1:3" ht="23.25" x14ac:dyDescent="0.3">
      <c r="A162" s="346">
        <v>556</v>
      </c>
      <c r="B162" s="15" t="s">
        <v>179</v>
      </c>
      <c r="C162" s="350">
        <v>24</v>
      </c>
    </row>
    <row r="163" spans="1:3" ht="23.25" x14ac:dyDescent="0.3">
      <c r="A163" s="388" t="s">
        <v>290</v>
      </c>
      <c r="B163" s="361" t="s">
        <v>341</v>
      </c>
      <c r="C163" s="343">
        <v>0</v>
      </c>
    </row>
    <row r="164" spans="1:3" ht="23.25" x14ac:dyDescent="0.3">
      <c r="A164" s="374" t="s">
        <v>325</v>
      </c>
      <c r="B164" s="389" t="s">
        <v>326</v>
      </c>
      <c r="C164" s="350">
        <v>48</v>
      </c>
    </row>
    <row r="165" spans="1:3" ht="23.25" x14ac:dyDescent="0.3">
      <c r="A165" s="388" t="s">
        <v>291</v>
      </c>
      <c r="B165" s="361" t="s">
        <v>342</v>
      </c>
      <c r="C165" s="343">
        <v>0</v>
      </c>
    </row>
    <row r="166" spans="1:3" ht="23.25" x14ac:dyDescent="0.3">
      <c r="A166" s="374" t="s">
        <v>329</v>
      </c>
      <c r="B166" s="389" t="s">
        <v>330</v>
      </c>
      <c r="C166" s="350">
        <v>0</v>
      </c>
    </row>
    <row r="167" spans="1:3" ht="23.25" x14ac:dyDescent="0.3">
      <c r="A167" s="388" t="s">
        <v>292</v>
      </c>
      <c r="B167" s="390" t="s">
        <v>344</v>
      </c>
      <c r="C167" s="343">
        <v>0</v>
      </c>
    </row>
    <row r="168" spans="1:3" ht="23.25" x14ac:dyDescent="0.3">
      <c r="A168" s="352">
        <v>247</v>
      </c>
      <c r="B168" s="366" t="s">
        <v>506</v>
      </c>
      <c r="C168" s="350">
        <v>0</v>
      </c>
    </row>
    <row r="169" spans="1:3" ht="23.25" x14ac:dyDescent="0.3">
      <c r="A169" s="391" t="s">
        <v>293</v>
      </c>
      <c r="B169" s="390" t="s">
        <v>347</v>
      </c>
      <c r="C169" s="343">
        <v>0</v>
      </c>
    </row>
    <row r="170" spans="1:3" ht="23.25" x14ac:dyDescent="0.3">
      <c r="A170" s="388" t="s">
        <v>294</v>
      </c>
      <c r="B170" s="390" t="s">
        <v>350</v>
      </c>
      <c r="C170" s="343">
        <v>0</v>
      </c>
    </row>
    <row r="171" spans="1:3" ht="23.25" x14ac:dyDescent="0.3">
      <c r="A171" s="334" t="s">
        <v>327</v>
      </c>
      <c r="B171" s="18" t="s">
        <v>328</v>
      </c>
      <c r="C171" s="350">
        <v>72</v>
      </c>
    </row>
    <row r="172" spans="1:3" ht="23.25" x14ac:dyDescent="0.3">
      <c r="A172" s="392" t="s">
        <v>337</v>
      </c>
      <c r="B172" s="393" t="s">
        <v>338</v>
      </c>
      <c r="C172" s="394">
        <v>120</v>
      </c>
    </row>
    <row r="173" spans="1:3" ht="23.25" x14ac:dyDescent="0.3">
      <c r="A173" s="150" t="s">
        <v>339</v>
      </c>
      <c r="B173" s="364" t="s">
        <v>340</v>
      </c>
      <c r="C173" s="365">
        <v>120</v>
      </c>
    </row>
    <row r="174" spans="1:3" ht="23.25" x14ac:dyDescent="0.3">
      <c r="A174" s="346" t="s">
        <v>183</v>
      </c>
      <c r="B174" s="395" t="s">
        <v>184</v>
      </c>
      <c r="C174" s="350">
        <v>36</v>
      </c>
    </row>
    <row r="175" spans="1:3" ht="23.25" x14ac:dyDescent="0.3">
      <c r="A175" s="396">
        <v>526</v>
      </c>
      <c r="B175" s="397" t="s">
        <v>507</v>
      </c>
      <c r="C175" s="345">
        <v>0</v>
      </c>
    </row>
    <row r="176" spans="1:3" ht="24" thickBot="1" x14ac:dyDescent="0.35">
      <c r="A176" s="352">
        <v>552</v>
      </c>
      <c r="B176" s="398" t="s">
        <v>364</v>
      </c>
      <c r="C176" s="394">
        <v>0</v>
      </c>
    </row>
    <row r="177" spans="1:3" ht="23.25" x14ac:dyDescent="0.3">
      <c r="A177" s="374">
        <v>658</v>
      </c>
      <c r="B177" s="366" t="s">
        <v>318</v>
      </c>
      <c r="C177" s="350">
        <v>0</v>
      </c>
    </row>
    <row r="178" spans="1:3" ht="23.25" x14ac:dyDescent="0.3">
      <c r="A178" s="399">
        <v>659</v>
      </c>
      <c r="B178" s="366" t="s">
        <v>319</v>
      </c>
      <c r="C178" s="350">
        <v>0</v>
      </c>
    </row>
    <row r="179" spans="1:3" ht="23.25" x14ac:dyDescent="0.3">
      <c r="A179" s="10" t="s">
        <v>63</v>
      </c>
      <c r="B179" s="390" t="s">
        <v>64</v>
      </c>
      <c r="C179" s="400">
        <v>0</v>
      </c>
    </row>
    <row r="180" spans="1:3" ht="23.25" x14ac:dyDescent="0.25">
      <c r="A180" s="349" t="s">
        <v>508</v>
      </c>
      <c r="B180" s="326" t="s">
        <v>365</v>
      </c>
      <c r="C180" s="401">
        <v>336</v>
      </c>
    </row>
    <row r="181" spans="1:3" ht="23.25" x14ac:dyDescent="0.3">
      <c r="A181" s="374" t="s">
        <v>343</v>
      </c>
      <c r="B181" s="366" t="s">
        <v>90</v>
      </c>
      <c r="C181" s="345">
        <v>0</v>
      </c>
    </row>
    <row r="182" spans="1:3" ht="23.25" x14ac:dyDescent="0.25">
      <c r="A182" s="334" t="s">
        <v>509</v>
      </c>
      <c r="B182" s="402" t="s">
        <v>366</v>
      </c>
      <c r="C182" s="403">
        <v>0</v>
      </c>
    </row>
    <row r="183" spans="1:3" ht="23.25" x14ac:dyDescent="0.3">
      <c r="A183" s="10" t="s">
        <v>346</v>
      </c>
      <c r="B183" s="389" t="s">
        <v>270</v>
      </c>
      <c r="C183" s="343">
        <v>0</v>
      </c>
    </row>
    <row r="184" spans="1:3" ht="23.25" x14ac:dyDescent="0.3">
      <c r="A184" s="352">
        <v>25</v>
      </c>
      <c r="B184" s="404" t="s">
        <v>510</v>
      </c>
      <c r="C184" s="343">
        <v>0</v>
      </c>
    </row>
    <row r="185" spans="1:3" ht="23.25" x14ac:dyDescent="0.3">
      <c r="A185" s="352">
        <v>56</v>
      </c>
      <c r="B185" s="405" t="s">
        <v>511</v>
      </c>
      <c r="C185" s="343">
        <v>0</v>
      </c>
    </row>
    <row r="186" spans="1:3" ht="18.75" x14ac:dyDescent="0.3">
      <c r="A186" s="358">
        <v>563</v>
      </c>
      <c r="B186" s="19" t="s">
        <v>314</v>
      </c>
      <c r="C186" s="359">
        <v>96</v>
      </c>
    </row>
    <row r="187" spans="1:3" ht="21" x14ac:dyDescent="0.3">
      <c r="A187" s="358">
        <v>657</v>
      </c>
      <c r="B187" s="406" t="s">
        <v>317</v>
      </c>
      <c r="C187" s="407">
        <v>0</v>
      </c>
    </row>
    <row r="188" spans="1:3" ht="18.75" x14ac:dyDescent="0.3">
      <c r="A188" s="358" t="s">
        <v>351</v>
      </c>
      <c r="B188" s="406" t="s">
        <v>261</v>
      </c>
      <c r="C188" s="359">
        <v>0</v>
      </c>
    </row>
    <row r="189" spans="1:3" ht="18.75" x14ac:dyDescent="0.3">
      <c r="A189" s="358" t="s">
        <v>354</v>
      </c>
      <c r="B189" s="406" t="s">
        <v>355</v>
      </c>
      <c r="C189" s="359">
        <v>0</v>
      </c>
    </row>
    <row r="190" spans="1:3" ht="18.75" x14ac:dyDescent="0.3">
      <c r="A190" s="358" t="s">
        <v>357</v>
      </c>
      <c r="B190" s="406" t="s">
        <v>358</v>
      </c>
      <c r="C190" s="359">
        <v>0</v>
      </c>
    </row>
    <row r="191" spans="1:3" ht="21" x14ac:dyDescent="0.3">
      <c r="A191" s="352" t="s">
        <v>362</v>
      </c>
      <c r="B191" s="405" t="s">
        <v>367</v>
      </c>
      <c r="C191" s="359">
        <v>0</v>
      </c>
    </row>
    <row r="192" spans="1:3" ht="23.25" x14ac:dyDescent="0.3">
      <c r="A192" s="358" t="s">
        <v>320</v>
      </c>
      <c r="B192" s="406" t="s">
        <v>321</v>
      </c>
      <c r="C192" s="343">
        <v>0</v>
      </c>
    </row>
    <row r="193" spans="1:3" ht="23.25" x14ac:dyDescent="0.3">
      <c r="A193" s="10">
        <v>67</v>
      </c>
      <c r="B193" s="390" t="s">
        <v>512</v>
      </c>
      <c r="C193" s="408">
        <v>420</v>
      </c>
    </row>
    <row r="194" spans="1:3" ht="23.25" x14ac:dyDescent="0.25">
      <c r="A194" s="409" t="s">
        <v>513</v>
      </c>
      <c r="B194" s="410"/>
      <c r="C194" s="387">
        <v>0</v>
      </c>
    </row>
    <row r="195" spans="1:3" ht="21" x14ac:dyDescent="0.35">
      <c r="A195" s="409" t="s">
        <v>514</v>
      </c>
      <c r="B195" s="411"/>
      <c r="C195" s="412">
        <v>0</v>
      </c>
    </row>
    <row r="196" spans="1:3" ht="23.25" x14ac:dyDescent="0.3">
      <c r="A196" s="352">
        <v>241</v>
      </c>
      <c r="B196" s="18" t="s">
        <v>515</v>
      </c>
      <c r="C196" s="350">
        <v>0</v>
      </c>
    </row>
    <row r="197" spans="1:3" ht="23.25" x14ac:dyDescent="0.3">
      <c r="A197" s="352">
        <v>398</v>
      </c>
      <c r="B197" s="18" t="s">
        <v>516</v>
      </c>
      <c r="C197" s="350">
        <v>0</v>
      </c>
    </row>
    <row r="198" spans="1:3" ht="23.25" x14ac:dyDescent="0.3">
      <c r="A198" s="352">
        <v>399</v>
      </c>
      <c r="B198" s="18" t="s">
        <v>517</v>
      </c>
      <c r="C198" s="350">
        <v>0</v>
      </c>
    </row>
    <row r="199" spans="1:3" ht="23.25" x14ac:dyDescent="0.3">
      <c r="A199" s="352">
        <v>514</v>
      </c>
      <c r="B199" s="18" t="s">
        <v>518</v>
      </c>
      <c r="C199" s="350">
        <v>0</v>
      </c>
    </row>
    <row r="200" spans="1:3" ht="23.25" x14ac:dyDescent="0.25">
      <c r="A200" s="409" t="s">
        <v>519</v>
      </c>
      <c r="B200" s="410"/>
      <c r="C200" s="387">
        <v>0</v>
      </c>
    </row>
    <row r="201" spans="1:3" ht="23.25" x14ac:dyDescent="0.3">
      <c r="A201" s="370" t="s">
        <v>324</v>
      </c>
      <c r="B201" s="371" t="s">
        <v>133</v>
      </c>
      <c r="C201" s="369">
        <v>0</v>
      </c>
    </row>
    <row r="202" spans="1:3" ht="23.25" x14ac:dyDescent="0.3">
      <c r="A202" s="352">
        <v>537</v>
      </c>
      <c r="B202" s="15" t="s">
        <v>520</v>
      </c>
      <c r="C202" s="343">
        <v>0</v>
      </c>
    </row>
    <row r="203" spans="1:3" ht="23.25" x14ac:dyDescent="0.3">
      <c r="A203" s="346">
        <v>101</v>
      </c>
      <c r="B203" s="15" t="s">
        <v>521</v>
      </c>
      <c r="C203" s="343">
        <v>300</v>
      </c>
    </row>
    <row r="204" spans="1:3" ht="23.25" x14ac:dyDescent="0.3">
      <c r="A204" s="346">
        <v>102</v>
      </c>
      <c r="B204" s="15" t="s">
        <v>522</v>
      </c>
      <c r="C204" s="343"/>
    </row>
    <row r="205" spans="1:3" ht="23.25" x14ac:dyDescent="0.3">
      <c r="A205" s="346">
        <v>106</v>
      </c>
      <c r="B205" s="15" t="s">
        <v>523</v>
      </c>
      <c r="C205" s="343"/>
    </row>
    <row r="206" spans="1:3" ht="23.25" x14ac:dyDescent="0.3">
      <c r="A206" s="346">
        <v>108</v>
      </c>
      <c r="B206" s="15" t="s">
        <v>524</v>
      </c>
      <c r="C206" s="343">
        <v>408</v>
      </c>
    </row>
    <row r="207" spans="1:3" ht="23.25" x14ac:dyDescent="0.3">
      <c r="A207" s="346">
        <v>110</v>
      </c>
      <c r="B207" s="15" t="s">
        <v>525</v>
      </c>
      <c r="C207" s="343">
        <v>1200</v>
      </c>
    </row>
    <row r="208" spans="1:3" ht="23.25" x14ac:dyDescent="0.3">
      <c r="A208" s="346">
        <v>111</v>
      </c>
      <c r="B208" s="15" t="s">
        <v>526</v>
      </c>
      <c r="C208" s="343">
        <v>552</v>
      </c>
    </row>
    <row r="209" spans="1:3" ht="23.25" x14ac:dyDescent="0.3">
      <c r="A209" s="346">
        <v>114</v>
      </c>
      <c r="B209" s="15" t="s">
        <v>527</v>
      </c>
      <c r="C209" s="343">
        <v>264</v>
      </c>
    </row>
    <row r="210" spans="1:3" ht="23.25" x14ac:dyDescent="0.3">
      <c r="A210" s="346">
        <v>115</v>
      </c>
      <c r="B210" s="15" t="s">
        <v>528</v>
      </c>
      <c r="C210" s="343">
        <v>312</v>
      </c>
    </row>
    <row r="211" spans="1:3" ht="23.25" x14ac:dyDescent="0.3">
      <c r="A211" s="346">
        <v>123</v>
      </c>
      <c r="B211" s="15" t="s">
        <v>529</v>
      </c>
      <c r="C211" s="343">
        <v>2136</v>
      </c>
    </row>
  </sheetData>
  <autoFilter ref="A5:C211" xr:uid="{00000000-0009-0000-0000-000012000000}"/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119"/>
  <sheetViews>
    <sheetView workbookViewId="0">
      <selection activeCell="C6" sqref="C6:C117"/>
    </sheetView>
  </sheetViews>
  <sheetFormatPr baseColWidth="10" defaultRowHeight="15" x14ac:dyDescent="0.25"/>
  <cols>
    <col min="1" max="1" width="7.28515625" customWidth="1"/>
    <col min="2" max="2" width="40" customWidth="1"/>
    <col min="3" max="3" width="8.28515625" customWidth="1"/>
    <col min="254" max="254" width="7.28515625" customWidth="1"/>
    <col min="255" max="255" width="40" customWidth="1"/>
    <col min="256" max="256" width="8.28515625" customWidth="1"/>
    <col min="257" max="258" width="41" customWidth="1"/>
    <col min="510" max="510" width="7.28515625" customWidth="1"/>
    <col min="511" max="511" width="40" customWidth="1"/>
    <col min="512" max="512" width="8.28515625" customWidth="1"/>
    <col min="513" max="514" width="41" customWidth="1"/>
    <col min="766" max="766" width="7.28515625" customWidth="1"/>
    <col min="767" max="767" width="40" customWidth="1"/>
    <col min="768" max="768" width="8.28515625" customWidth="1"/>
    <col min="769" max="770" width="41" customWidth="1"/>
    <col min="1022" max="1022" width="7.28515625" customWidth="1"/>
    <col min="1023" max="1023" width="40" customWidth="1"/>
    <col min="1024" max="1024" width="8.28515625" customWidth="1"/>
    <col min="1025" max="1026" width="41" customWidth="1"/>
    <col min="1278" max="1278" width="7.28515625" customWidth="1"/>
    <col min="1279" max="1279" width="40" customWidth="1"/>
    <col min="1280" max="1280" width="8.28515625" customWidth="1"/>
    <col min="1281" max="1282" width="41" customWidth="1"/>
    <col min="1534" max="1534" width="7.28515625" customWidth="1"/>
    <col min="1535" max="1535" width="40" customWidth="1"/>
    <col min="1536" max="1536" width="8.28515625" customWidth="1"/>
    <col min="1537" max="1538" width="41" customWidth="1"/>
    <col min="1790" max="1790" width="7.28515625" customWidth="1"/>
    <col min="1791" max="1791" width="40" customWidth="1"/>
    <col min="1792" max="1792" width="8.28515625" customWidth="1"/>
    <col min="1793" max="1794" width="41" customWidth="1"/>
    <col min="2046" max="2046" width="7.28515625" customWidth="1"/>
    <col min="2047" max="2047" width="40" customWidth="1"/>
    <col min="2048" max="2048" width="8.28515625" customWidth="1"/>
    <col min="2049" max="2050" width="41" customWidth="1"/>
    <col min="2302" max="2302" width="7.28515625" customWidth="1"/>
    <col min="2303" max="2303" width="40" customWidth="1"/>
    <col min="2304" max="2304" width="8.28515625" customWidth="1"/>
    <col min="2305" max="2306" width="41" customWidth="1"/>
    <col min="2558" max="2558" width="7.28515625" customWidth="1"/>
    <col min="2559" max="2559" width="40" customWidth="1"/>
    <col min="2560" max="2560" width="8.28515625" customWidth="1"/>
    <col min="2561" max="2562" width="41" customWidth="1"/>
    <col min="2814" max="2814" width="7.28515625" customWidth="1"/>
    <col min="2815" max="2815" width="40" customWidth="1"/>
    <col min="2816" max="2816" width="8.28515625" customWidth="1"/>
    <col min="2817" max="2818" width="41" customWidth="1"/>
    <col min="3070" max="3070" width="7.28515625" customWidth="1"/>
    <col min="3071" max="3071" width="40" customWidth="1"/>
    <col min="3072" max="3072" width="8.28515625" customWidth="1"/>
    <col min="3073" max="3074" width="41" customWidth="1"/>
    <col min="3326" max="3326" width="7.28515625" customWidth="1"/>
    <col min="3327" max="3327" width="40" customWidth="1"/>
    <col min="3328" max="3328" width="8.28515625" customWidth="1"/>
    <col min="3329" max="3330" width="41" customWidth="1"/>
    <col min="3582" max="3582" width="7.28515625" customWidth="1"/>
    <col min="3583" max="3583" width="40" customWidth="1"/>
    <col min="3584" max="3584" width="8.28515625" customWidth="1"/>
    <col min="3585" max="3586" width="41" customWidth="1"/>
    <col min="3838" max="3838" width="7.28515625" customWidth="1"/>
    <col min="3839" max="3839" width="40" customWidth="1"/>
    <col min="3840" max="3840" width="8.28515625" customWidth="1"/>
    <col min="3841" max="3842" width="41" customWidth="1"/>
    <col min="4094" max="4094" width="7.28515625" customWidth="1"/>
    <col min="4095" max="4095" width="40" customWidth="1"/>
    <col min="4096" max="4096" width="8.28515625" customWidth="1"/>
    <col min="4097" max="4098" width="41" customWidth="1"/>
    <col min="4350" max="4350" width="7.28515625" customWidth="1"/>
    <col min="4351" max="4351" width="40" customWidth="1"/>
    <col min="4352" max="4352" width="8.28515625" customWidth="1"/>
    <col min="4353" max="4354" width="41" customWidth="1"/>
    <col min="4606" max="4606" width="7.28515625" customWidth="1"/>
    <col min="4607" max="4607" width="40" customWidth="1"/>
    <col min="4608" max="4608" width="8.28515625" customWidth="1"/>
    <col min="4609" max="4610" width="41" customWidth="1"/>
    <col min="4862" max="4862" width="7.28515625" customWidth="1"/>
    <col min="4863" max="4863" width="40" customWidth="1"/>
    <col min="4864" max="4864" width="8.28515625" customWidth="1"/>
    <col min="4865" max="4866" width="41" customWidth="1"/>
    <col min="5118" max="5118" width="7.28515625" customWidth="1"/>
    <col min="5119" max="5119" width="40" customWidth="1"/>
    <col min="5120" max="5120" width="8.28515625" customWidth="1"/>
    <col min="5121" max="5122" width="41" customWidth="1"/>
    <col min="5374" max="5374" width="7.28515625" customWidth="1"/>
    <col min="5375" max="5375" width="40" customWidth="1"/>
    <col min="5376" max="5376" width="8.28515625" customWidth="1"/>
    <col min="5377" max="5378" width="41" customWidth="1"/>
    <col min="5630" max="5630" width="7.28515625" customWidth="1"/>
    <col min="5631" max="5631" width="40" customWidth="1"/>
    <col min="5632" max="5632" width="8.28515625" customWidth="1"/>
    <col min="5633" max="5634" width="41" customWidth="1"/>
    <col min="5886" max="5886" width="7.28515625" customWidth="1"/>
    <col min="5887" max="5887" width="40" customWidth="1"/>
    <col min="5888" max="5888" width="8.28515625" customWidth="1"/>
    <col min="5889" max="5890" width="41" customWidth="1"/>
    <col min="6142" max="6142" width="7.28515625" customWidth="1"/>
    <col min="6143" max="6143" width="40" customWidth="1"/>
    <col min="6144" max="6144" width="8.28515625" customWidth="1"/>
    <col min="6145" max="6146" width="41" customWidth="1"/>
    <col min="6398" max="6398" width="7.28515625" customWidth="1"/>
    <col min="6399" max="6399" width="40" customWidth="1"/>
    <col min="6400" max="6400" width="8.28515625" customWidth="1"/>
    <col min="6401" max="6402" width="41" customWidth="1"/>
    <col min="6654" max="6654" width="7.28515625" customWidth="1"/>
    <col min="6655" max="6655" width="40" customWidth="1"/>
    <col min="6656" max="6656" width="8.28515625" customWidth="1"/>
    <col min="6657" max="6658" width="41" customWidth="1"/>
    <col min="6910" max="6910" width="7.28515625" customWidth="1"/>
    <col min="6911" max="6911" width="40" customWidth="1"/>
    <col min="6912" max="6912" width="8.28515625" customWidth="1"/>
    <col min="6913" max="6914" width="41" customWidth="1"/>
    <col min="7166" max="7166" width="7.28515625" customWidth="1"/>
    <col min="7167" max="7167" width="40" customWidth="1"/>
    <col min="7168" max="7168" width="8.28515625" customWidth="1"/>
    <col min="7169" max="7170" width="41" customWidth="1"/>
    <col min="7422" max="7422" width="7.28515625" customWidth="1"/>
    <col min="7423" max="7423" width="40" customWidth="1"/>
    <col min="7424" max="7424" width="8.28515625" customWidth="1"/>
    <col min="7425" max="7426" width="41" customWidth="1"/>
    <col min="7678" max="7678" width="7.28515625" customWidth="1"/>
    <col min="7679" max="7679" width="40" customWidth="1"/>
    <col min="7680" max="7680" width="8.28515625" customWidth="1"/>
    <col min="7681" max="7682" width="41" customWidth="1"/>
    <col min="7934" max="7934" width="7.28515625" customWidth="1"/>
    <col min="7935" max="7935" width="40" customWidth="1"/>
    <col min="7936" max="7936" width="8.28515625" customWidth="1"/>
    <col min="7937" max="7938" width="41" customWidth="1"/>
    <col min="8190" max="8190" width="7.28515625" customWidth="1"/>
    <col min="8191" max="8191" width="40" customWidth="1"/>
    <col min="8192" max="8192" width="8.28515625" customWidth="1"/>
    <col min="8193" max="8194" width="41" customWidth="1"/>
    <col min="8446" max="8446" width="7.28515625" customWidth="1"/>
    <col min="8447" max="8447" width="40" customWidth="1"/>
    <col min="8448" max="8448" width="8.28515625" customWidth="1"/>
    <col min="8449" max="8450" width="41" customWidth="1"/>
    <col min="8702" max="8702" width="7.28515625" customWidth="1"/>
    <col min="8703" max="8703" width="40" customWidth="1"/>
    <col min="8704" max="8704" width="8.28515625" customWidth="1"/>
    <col min="8705" max="8706" width="41" customWidth="1"/>
    <col min="8958" max="8958" width="7.28515625" customWidth="1"/>
    <col min="8959" max="8959" width="40" customWidth="1"/>
    <col min="8960" max="8960" width="8.28515625" customWidth="1"/>
    <col min="8961" max="8962" width="41" customWidth="1"/>
    <col min="9214" max="9214" width="7.28515625" customWidth="1"/>
    <col min="9215" max="9215" width="40" customWidth="1"/>
    <col min="9216" max="9216" width="8.28515625" customWidth="1"/>
    <col min="9217" max="9218" width="41" customWidth="1"/>
    <col min="9470" max="9470" width="7.28515625" customWidth="1"/>
    <col min="9471" max="9471" width="40" customWidth="1"/>
    <col min="9472" max="9472" width="8.28515625" customWidth="1"/>
    <col min="9473" max="9474" width="41" customWidth="1"/>
    <col min="9726" max="9726" width="7.28515625" customWidth="1"/>
    <col min="9727" max="9727" width="40" customWidth="1"/>
    <col min="9728" max="9728" width="8.28515625" customWidth="1"/>
    <col min="9729" max="9730" width="41" customWidth="1"/>
    <col min="9982" max="9982" width="7.28515625" customWidth="1"/>
    <col min="9983" max="9983" width="40" customWidth="1"/>
    <col min="9984" max="9984" width="8.28515625" customWidth="1"/>
    <col min="9985" max="9986" width="41" customWidth="1"/>
    <col min="10238" max="10238" width="7.28515625" customWidth="1"/>
    <col min="10239" max="10239" width="40" customWidth="1"/>
    <col min="10240" max="10240" width="8.28515625" customWidth="1"/>
    <col min="10241" max="10242" width="41" customWidth="1"/>
    <col min="10494" max="10494" width="7.28515625" customWidth="1"/>
    <col min="10495" max="10495" width="40" customWidth="1"/>
    <col min="10496" max="10496" width="8.28515625" customWidth="1"/>
    <col min="10497" max="10498" width="41" customWidth="1"/>
    <col min="10750" max="10750" width="7.28515625" customWidth="1"/>
    <col min="10751" max="10751" width="40" customWidth="1"/>
    <col min="10752" max="10752" width="8.28515625" customWidth="1"/>
    <col min="10753" max="10754" width="41" customWidth="1"/>
    <col min="11006" max="11006" width="7.28515625" customWidth="1"/>
    <col min="11007" max="11007" width="40" customWidth="1"/>
    <col min="11008" max="11008" width="8.28515625" customWidth="1"/>
    <col min="11009" max="11010" width="41" customWidth="1"/>
    <col min="11262" max="11262" width="7.28515625" customWidth="1"/>
    <col min="11263" max="11263" width="40" customWidth="1"/>
    <col min="11264" max="11264" width="8.28515625" customWidth="1"/>
    <col min="11265" max="11266" width="41" customWidth="1"/>
    <col min="11518" max="11518" width="7.28515625" customWidth="1"/>
    <col min="11519" max="11519" width="40" customWidth="1"/>
    <col min="11520" max="11520" width="8.28515625" customWidth="1"/>
    <col min="11521" max="11522" width="41" customWidth="1"/>
    <col min="11774" max="11774" width="7.28515625" customWidth="1"/>
    <col min="11775" max="11775" width="40" customWidth="1"/>
    <col min="11776" max="11776" width="8.28515625" customWidth="1"/>
    <col min="11777" max="11778" width="41" customWidth="1"/>
    <col min="12030" max="12030" width="7.28515625" customWidth="1"/>
    <col min="12031" max="12031" width="40" customWidth="1"/>
    <col min="12032" max="12032" width="8.28515625" customWidth="1"/>
    <col min="12033" max="12034" width="41" customWidth="1"/>
    <col min="12286" max="12286" width="7.28515625" customWidth="1"/>
    <col min="12287" max="12287" width="40" customWidth="1"/>
    <col min="12288" max="12288" width="8.28515625" customWidth="1"/>
    <col min="12289" max="12290" width="41" customWidth="1"/>
    <col min="12542" max="12542" width="7.28515625" customWidth="1"/>
    <col min="12543" max="12543" width="40" customWidth="1"/>
    <col min="12544" max="12544" width="8.28515625" customWidth="1"/>
    <col min="12545" max="12546" width="41" customWidth="1"/>
    <col min="12798" max="12798" width="7.28515625" customWidth="1"/>
    <col min="12799" max="12799" width="40" customWidth="1"/>
    <col min="12800" max="12800" width="8.28515625" customWidth="1"/>
    <col min="12801" max="12802" width="41" customWidth="1"/>
    <col min="13054" max="13054" width="7.28515625" customWidth="1"/>
    <col min="13055" max="13055" width="40" customWidth="1"/>
    <col min="13056" max="13056" width="8.28515625" customWidth="1"/>
    <col min="13057" max="13058" width="41" customWidth="1"/>
    <col min="13310" max="13310" width="7.28515625" customWidth="1"/>
    <col min="13311" max="13311" width="40" customWidth="1"/>
    <col min="13312" max="13312" width="8.28515625" customWidth="1"/>
    <col min="13313" max="13314" width="41" customWidth="1"/>
    <col min="13566" max="13566" width="7.28515625" customWidth="1"/>
    <col min="13567" max="13567" width="40" customWidth="1"/>
    <col min="13568" max="13568" width="8.28515625" customWidth="1"/>
    <col min="13569" max="13570" width="41" customWidth="1"/>
    <col min="13822" max="13822" width="7.28515625" customWidth="1"/>
    <col min="13823" max="13823" width="40" customWidth="1"/>
    <col min="13824" max="13824" width="8.28515625" customWidth="1"/>
    <col min="13825" max="13826" width="41" customWidth="1"/>
    <col min="14078" max="14078" width="7.28515625" customWidth="1"/>
    <col min="14079" max="14079" width="40" customWidth="1"/>
    <col min="14080" max="14080" width="8.28515625" customWidth="1"/>
    <col min="14081" max="14082" width="41" customWidth="1"/>
    <col min="14334" max="14334" width="7.28515625" customWidth="1"/>
    <col min="14335" max="14335" width="40" customWidth="1"/>
    <col min="14336" max="14336" width="8.28515625" customWidth="1"/>
    <col min="14337" max="14338" width="41" customWidth="1"/>
    <col min="14590" max="14590" width="7.28515625" customWidth="1"/>
    <col min="14591" max="14591" width="40" customWidth="1"/>
    <col min="14592" max="14592" width="8.28515625" customWidth="1"/>
    <col min="14593" max="14594" width="41" customWidth="1"/>
    <col min="14846" max="14846" width="7.28515625" customWidth="1"/>
    <col min="14847" max="14847" width="40" customWidth="1"/>
    <col min="14848" max="14848" width="8.28515625" customWidth="1"/>
    <col min="14849" max="14850" width="41" customWidth="1"/>
    <col min="15102" max="15102" width="7.28515625" customWidth="1"/>
    <col min="15103" max="15103" width="40" customWidth="1"/>
    <col min="15104" max="15104" width="8.28515625" customWidth="1"/>
    <col min="15105" max="15106" width="41" customWidth="1"/>
    <col min="15358" max="15358" width="7.28515625" customWidth="1"/>
    <col min="15359" max="15359" width="40" customWidth="1"/>
    <col min="15360" max="15360" width="8.28515625" customWidth="1"/>
    <col min="15361" max="15362" width="41" customWidth="1"/>
    <col min="15614" max="15614" width="7.28515625" customWidth="1"/>
    <col min="15615" max="15615" width="40" customWidth="1"/>
    <col min="15616" max="15616" width="8.28515625" customWidth="1"/>
    <col min="15617" max="15618" width="41" customWidth="1"/>
    <col min="15870" max="15870" width="7.28515625" customWidth="1"/>
    <col min="15871" max="15871" width="40" customWidth="1"/>
    <col min="15872" max="15872" width="8.28515625" customWidth="1"/>
    <col min="15873" max="15874" width="41" customWidth="1"/>
    <col min="16126" max="16126" width="7.28515625" customWidth="1"/>
    <col min="16127" max="16127" width="40" customWidth="1"/>
    <col min="16128" max="16128" width="8.28515625" customWidth="1"/>
    <col min="16129" max="16130" width="41" customWidth="1"/>
  </cols>
  <sheetData>
    <row r="1" spans="1:3" ht="3.95" customHeight="1" x14ac:dyDescent="0.25"/>
    <row r="2" spans="1:3" ht="3.95" customHeight="1" x14ac:dyDescent="0.25"/>
    <row r="3" spans="1:3" ht="3.95" customHeight="1" x14ac:dyDescent="0.25"/>
    <row r="4" spans="1:3" ht="3.95" customHeight="1" thickBot="1" x14ac:dyDescent="0.3"/>
    <row r="5" spans="1:3" ht="42.75" thickBot="1" x14ac:dyDescent="0.35">
      <c r="A5" s="23" t="s">
        <v>185</v>
      </c>
      <c r="B5" s="24" t="s">
        <v>2</v>
      </c>
      <c r="C5" s="25" t="s">
        <v>359</v>
      </c>
    </row>
    <row r="6" spans="1:3" ht="18.75" x14ac:dyDescent="0.3">
      <c r="A6" s="26">
        <v>43</v>
      </c>
      <c r="B6" s="4" t="s">
        <v>186</v>
      </c>
      <c r="C6" s="27">
        <v>240</v>
      </c>
    </row>
    <row r="7" spans="1:3" ht="18.75" x14ac:dyDescent="0.3">
      <c r="A7" s="26">
        <v>52</v>
      </c>
      <c r="B7" s="4" t="s">
        <v>187</v>
      </c>
      <c r="C7" s="27">
        <v>24</v>
      </c>
    </row>
    <row r="8" spans="1:3" ht="18.75" x14ac:dyDescent="0.3">
      <c r="A8" s="29">
        <v>53</v>
      </c>
      <c r="B8" s="30" t="s">
        <v>188</v>
      </c>
      <c r="C8" s="27">
        <v>48</v>
      </c>
    </row>
    <row r="9" spans="1:3" ht="18.75" x14ac:dyDescent="0.3">
      <c r="A9" s="26">
        <v>54</v>
      </c>
      <c r="B9" s="4" t="s">
        <v>189</v>
      </c>
      <c r="C9" s="27">
        <v>24</v>
      </c>
    </row>
    <row r="10" spans="1:3" ht="18.75" x14ac:dyDescent="0.3">
      <c r="A10" s="26">
        <v>55</v>
      </c>
      <c r="B10" s="31" t="s">
        <v>190</v>
      </c>
      <c r="C10" s="27">
        <v>96</v>
      </c>
    </row>
    <row r="11" spans="1:3" ht="18.75" x14ac:dyDescent="0.3">
      <c r="A11" s="26">
        <v>61</v>
      </c>
      <c r="B11" s="4" t="s">
        <v>191</v>
      </c>
      <c r="C11" s="27">
        <v>0</v>
      </c>
    </row>
    <row r="12" spans="1:3" ht="18.75" x14ac:dyDescent="0.3">
      <c r="A12" s="26">
        <v>97</v>
      </c>
      <c r="B12" s="4" t="s">
        <v>192</v>
      </c>
      <c r="C12" s="27">
        <v>840</v>
      </c>
    </row>
    <row r="13" spans="1:3" ht="18.75" x14ac:dyDescent="0.3">
      <c r="A13" s="26">
        <v>99</v>
      </c>
      <c r="B13" s="4" t="s">
        <v>193</v>
      </c>
      <c r="C13" s="27">
        <v>2976</v>
      </c>
    </row>
    <row r="14" spans="1:3" ht="18.75" x14ac:dyDescent="0.3">
      <c r="A14" s="26">
        <v>307</v>
      </c>
      <c r="B14" s="4" t="s">
        <v>194</v>
      </c>
      <c r="C14" s="27">
        <v>360</v>
      </c>
    </row>
    <row r="15" spans="1:3" ht="18.75" x14ac:dyDescent="0.3">
      <c r="A15" s="26">
        <v>453</v>
      </c>
      <c r="B15" s="4" t="s">
        <v>195</v>
      </c>
      <c r="C15" s="27">
        <v>0</v>
      </c>
    </row>
    <row r="16" spans="1:3" ht="18.75" x14ac:dyDescent="0.3">
      <c r="A16" s="29">
        <v>454</v>
      </c>
      <c r="B16" s="30" t="s">
        <v>196</v>
      </c>
      <c r="C16" s="27">
        <v>0</v>
      </c>
    </row>
    <row r="17" spans="1:3" ht="18.75" x14ac:dyDescent="0.3">
      <c r="A17" s="29">
        <v>455</v>
      </c>
      <c r="B17" s="30" t="s">
        <v>197</v>
      </c>
      <c r="C17" s="27">
        <v>0</v>
      </c>
    </row>
    <row r="18" spans="1:3" ht="18.75" x14ac:dyDescent="0.3">
      <c r="A18" s="29">
        <v>456</v>
      </c>
      <c r="B18" s="30" t="s">
        <v>198</v>
      </c>
      <c r="C18" s="27">
        <v>0</v>
      </c>
    </row>
    <row r="19" spans="1:3" ht="18.75" x14ac:dyDescent="0.3">
      <c r="A19" s="26">
        <v>609</v>
      </c>
      <c r="B19" s="4" t="s">
        <v>199</v>
      </c>
      <c r="C19" s="27">
        <v>480</v>
      </c>
    </row>
    <row r="20" spans="1:3" ht="18.75" x14ac:dyDescent="0.3">
      <c r="A20" s="29">
        <v>613</v>
      </c>
      <c r="B20" s="30" t="s">
        <v>200</v>
      </c>
      <c r="C20" s="27">
        <v>0</v>
      </c>
    </row>
    <row r="21" spans="1:3" ht="18.75" x14ac:dyDescent="0.3">
      <c r="A21" s="26">
        <v>615</v>
      </c>
      <c r="B21" s="4" t="s">
        <v>152</v>
      </c>
      <c r="C21" s="27">
        <v>60</v>
      </c>
    </row>
    <row r="22" spans="1:3" ht="18.75" x14ac:dyDescent="0.3">
      <c r="A22" s="26">
        <v>617</v>
      </c>
      <c r="B22" s="4" t="s">
        <v>201</v>
      </c>
      <c r="C22" s="27">
        <v>0</v>
      </c>
    </row>
    <row r="23" spans="1:3" ht="18.75" x14ac:dyDescent="0.3">
      <c r="A23" s="26">
        <v>618</v>
      </c>
      <c r="B23" s="4" t="s">
        <v>202</v>
      </c>
      <c r="C23" s="27">
        <v>0</v>
      </c>
    </row>
    <row r="24" spans="1:3" ht="18.75" x14ac:dyDescent="0.3">
      <c r="A24" s="29">
        <v>619</v>
      </c>
      <c r="B24" s="30" t="s">
        <v>203</v>
      </c>
      <c r="C24" s="27">
        <v>0</v>
      </c>
    </row>
    <row r="25" spans="1:3" ht="18.75" x14ac:dyDescent="0.3">
      <c r="A25" s="26">
        <v>630</v>
      </c>
      <c r="B25" s="4" t="s">
        <v>204</v>
      </c>
      <c r="C25" s="27">
        <v>72</v>
      </c>
    </row>
    <row r="26" spans="1:3" ht="18.75" x14ac:dyDescent="0.3">
      <c r="A26" s="29">
        <v>631</v>
      </c>
      <c r="B26" s="30" t="s">
        <v>205</v>
      </c>
      <c r="C26" s="27">
        <v>48</v>
      </c>
    </row>
    <row r="27" spans="1:3" ht="18.75" x14ac:dyDescent="0.3">
      <c r="A27" s="29">
        <v>632</v>
      </c>
      <c r="B27" s="30" t="s">
        <v>206</v>
      </c>
      <c r="C27" s="27">
        <v>24</v>
      </c>
    </row>
    <row r="28" spans="1:3" ht="18.75" x14ac:dyDescent="0.3">
      <c r="A28" s="26">
        <v>633</v>
      </c>
      <c r="B28" s="4" t="s">
        <v>207</v>
      </c>
      <c r="C28" s="27">
        <v>36</v>
      </c>
    </row>
    <row r="29" spans="1:3" ht="18.75" x14ac:dyDescent="0.3">
      <c r="A29" s="26">
        <v>634</v>
      </c>
      <c r="B29" s="4" t="s">
        <v>208</v>
      </c>
      <c r="C29" s="27">
        <v>12</v>
      </c>
    </row>
    <row r="30" spans="1:3" ht="18.75" x14ac:dyDescent="0.3">
      <c r="A30" s="26">
        <v>635</v>
      </c>
      <c r="B30" s="4" t="s">
        <v>209</v>
      </c>
      <c r="C30" s="27">
        <v>48</v>
      </c>
    </row>
    <row r="31" spans="1:3" ht="18.75" x14ac:dyDescent="0.3">
      <c r="A31" s="26">
        <v>636</v>
      </c>
      <c r="B31" s="4" t="s">
        <v>210</v>
      </c>
      <c r="C31" s="27">
        <v>48</v>
      </c>
    </row>
    <row r="32" spans="1:3" ht="18.75" x14ac:dyDescent="0.3">
      <c r="A32" s="26">
        <v>637</v>
      </c>
      <c r="B32" s="4" t="s">
        <v>211</v>
      </c>
      <c r="C32" s="27">
        <v>12</v>
      </c>
    </row>
    <row r="33" spans="1:3" ht="18.75" x14ac:dyDescent="0.3">
      <c r="A33" s="26">
        <v>700</v>
      </c>
      <c r="B33" s="4" t="s">
        <v>212</v>
      </c>
      <c r="C33" s="27">
        <v>96</v>
      </c>
    </row>
    <row r="34" spans="1:3" ht="18.75" x14ac:dyDescent="0.3">
      <c r="A34" s="26">
        <v>701</v>
      </c>
      <c r="B34" s="4" t="s">
        <v>48</v>
      </c>
      <c r="C34" s="27">
        <v>618</v>
      </c>
    </row>
    <row r="35" spans="1:3" ht="18.75" x14ac:dyDescent="0.3">
      <c r="A35" s="26">
        <v>702</v>
      </c>
      <c r="B35" s="4" t="s">
        <v>213</v>
      </c>
      <c r="C35" s="27">
        <v>504</v>
      </c>
    </row>
    <row r="36" spans="1:3" ht="18.75" x14ac:dyDescent="0.3">
      <c r="A36" s="26">
        <v>706</v>
      </c>
      <c r="B36" s="4" t="s">
        <v>215</v>
      </c>
      <c r="C36" s="27">
        <v>3144</v>
      </c>
    </row>
    <row r="37" spans="1:3" ht="18.75" x14ac:dyDescent="0.3">
      <c r="A37" s="26">
        <v>707</v>
      </c>
      <c r="B37" s="4" t="s">
        <v>83</v>
      </c>
      <c r="C37" s="27">
        <v>48</v>
      </c>
    </row>
    <row r="38" spans="1:3" ht="18.75" x14ac:dyDescent="0.3">
      <c r="A38" s="26">
        <v>708</v>
      </c>
      <c r="B38" s="4" t="s">
        <v>361</v>
      </c>
      <c r="C38" s="27">
        <v>72</v>
      </c>
    </row>
    <row r="39" spans="1:3" ht="18.75" x14ac:dyDescent="0.3">
      <c r="A39" s="26">
        <v>709</v>
      </c>
      <c r="B39" s="4" t="s">
        <v>101</v>
      </c>
      <c r="C39" s="27">
        <v>24</v>
      </c>
    </row>
    <row r="40" spans="1:3" ht="18.75" x14ac:dyDescent="0.3">
      <c r="A40" s="26">
        <v>710</v>
      </c>
      <c r="B40" s="4" t="s">
        <v>216</v>
      </c>
      <c r="C40" s="27">
        <v>0</v>
      </c>
    </row>
    <row r="41" spans="1:3" ht="18.75" x14ac:dyDescent="0.3">
      <c r="A41" s="26">
        <v>713</v>
      </c>
      <c r="B41" s="4" t="s">
        <v>219</v>
      </c>
      <c r="C41" s="27">
        <v>2280</v>
      </c>
    </row>
    <row r="42" spans="1:3" ht="18.75" x14ac:dyDescent="0.3">
      <c r="A42" s="29">
        <v>715</v>
      </c>
      <c r="B42" s="30" t="s">
        <v>220</v>
      </c>
      <c r="C42" s="27">
        <v>192</v>
      </c>
    </row>
    <row r="43" spans="1:3" ht="18.75" x14ac:dyDescent="0.3">
      <c r="A43" s="26">
        <v>717</v>
      </c>
      <c r="B43" s="4" t="s">
        <v>221</v>
      </c>
      <c r="C43" s="27">
        <v>0</v>
      </c>
    </row>
    <row r="44" spans="1:3" ht="18.75" x14ac:dyDescent="0.3">
      <c r="A44" s="26">
        <v>718</v>
      </c>
      <c r="B44" s="4" t="s">
        <v>222</v>
      </c>
      <c r="C44" s="27">
        <v>48</v>
      </c>
    </row>
    <row r="45" spans="1:3" ht="18.75" x14ac:dyDescent="0.3">
      <c r="A45" s="26">
        <v>719</v>
      </c>
      <c r="B45" s="4" t="s">
        <v>223</v>
      </c>
      <c r="C45" s="27">
        <v>72</v>
      </c>
    </row>
    <row r="46" spans="1:3" ht="18.75" x14ac:dyDescent="0.3">
      <c r="A46" s="26">
        <v>720</v>
      </c>
      <c r="B46" s="4" t="s">
        <v>224</v>
      </c>
      <c r="C46" s="27">
        <v>24</v>
      </c>
    </row>
    <row r="47" spans="1:3" ht="18.75" x14ac:dyDescent="0.3">
      <c r="A47" s="26">
        <v>722</v>
      </c>
      <c r="B47" s="4" t="s">
        <v>106</v>
      </c>
      <c r="C47" s="27">
        <v>24</v>
      </c>
    </row>
    <row r="48" spans="1:3" ht="18.75" x14ac:dyDescent="0.3">
      <c r="A48" s="26">
        <v>723</v>
      </c>
      <c r="B48" s="4" t="s">
        <v>62</v>
      </c>
      <c r="C48" s="27">
        <v>372</v>
      </c>
    </row>
    <row r="49" spans="1:3" ht="18.75" x14ac:dyDescent="0.3">
      <c r="A49" s="26">
        <v>724</v>
      </c>
      <c r="B49" s="4" t="s">
        <v>225</v>
      </c>
      <c r="C49" s="27">
        <v>0</v>
      </c>
    </row>
    <row r="50" spans="1:3" ht="18.75" x14ac:dyDescent="0.3">
      <c r="A50" s="26">
        <v>725</v>
      </c>
      <c r="B50" s="4" t="s">
        <v>75</v>
      </c>
      <c r="C50" s="27">
        <v>480</v>
      </c>
    </row>
    <row r="51" spans="1:3" ht="18.75" x14ac:dyDescent="0.3">
      <c r="A51" s="26">
        <v>730</v>
      </c>
      <c r="B51" s="4" t="s">
        <v>226</v>
      </c>
      <c r="C51" s="27">
        <v>600</v>
      </c>
    </row>
    <row r="52" spans="1:3" ht="18.75" x14ac:dyDescent="0.3">
      <c r="A52" s="26">
        <v>731</v>
      </c>
      <c r="B52" s="4" t="s">
        <v>227</v>
      </c>
      <c r="C52" s="27">
        <v>264</v>
      </c>
    </row>
    <row r="53" spans="1:3" ht="18.75" x14ac:dyDescent="0.3">
      <c r="A53" s="29">
        <v>732</v>
      </c>
      <c r="B53" s="30" t="s">
        <v>228</v>
      </c>
      <c r="C53" s="27">
        <v>96</v>
      </c>
    </row>
    <row r="54" spans="1:3" ht="18.75" x14ac:dyDescent="0.3">
      <c r="A54" s="26">
        <v>747</v>
      </c>
      <c r="B54" s="4" t="s">
        <v>229</v>
      </c>
      <c r="C54" s="27">
        <v>24</v>
      </c>
    </row>
    <row r="55" spans="1:3" ht="18.75" x14ac:dyDescent="0.3">
      <c r="A55" s="29">
        <v>748</v>
      </c>
      <c r="B55" s="30" t="s">
        <v>230</v>
      </c>
      <c r="C55" s="27">
        <v>0</v>
      </c>
    </row>
    <row r="56" spans="1:3" ht="18.75" x14ac:dyDescent="0.3">
      <c r="A56" s="26">
        <v>755</v>
      </c>
      <c r="B56" s="4" t="s">
        <v>231</v>
      </c>
      <c r="C56" s="27">
        <v>0</v>
      </c>
    </row>
    <row r="57" spans="1:3" ht="18.75" x14ac:dyDescent="0.3">
      <c r="A57" s="29">
        <v>760</v>
      </c>
      <c r="B57" s="30" t="s">
        <v>232</v>
      </c>
      <c r="C57" s="27">
        <v>288</v>
      </c>
    </row>
    <row r="58" spans="1:3" ht="18.75" x14ac:dyDescent="0.3">
      <c r="A58" s="29">
        <v>761</v>
      </c>
      <c r="B58" s="30" t="s">
        <v>161</v>
      </c>
      <c r="C58" s="27">
        <v>24</v>
      </c>
    </row>
    <row r="59" spans="1:3" ht="18.75" x14ac:dyDescent="0.3">
      <c r="A59" s="26">
        <v>762</v>
      </c>
      <c r="B59" s="4" t="s">
        <v>78</v>
      </c>
      <c r="C59" s="27">
        <v>24</v>
      </c>
    </row>
    <row r="60" spans="1:3" ht="18.75" x14ac:dyDescent="0.3">
      <c r="A60" s="26">
        <v>763</v>
      </c>
      <c r="B60" s="4" t="s">
        <v>77</v>
      </c>
      <c r="C60" s="27">
        <v>480</v>
      </c>
    </row>
    <row r="61" spans="1:3" ht="18.75" x14ac:dyDescent="0.3">
      <c r="A61" s="26">
        <v>764</v>
      </c>
      <c r="B61" s="4" t="s">
        <v>233</v>
      </c>
      <c r="C61" s="27">
        <v>504</v>
      </c>
    </row>
    <row r="62" spans="1:3" ht="18.75" x14ac:dyDescent="0.3">
      <c r="A62" s="26">
        <v>765</v>
      </c>
      <c r="B62" s="4" t="s">
        <v>179</v>
      </c>
      <c r="C62" s="27">
        <v>0</v>
      </c>
    </row>
    <row r="63" spans="1:3" ht="18.75" x14ac:dyDescent="0.3">
      <c r="A63" s="26">
        <v>769</v>
      </c>
      <c r="B63" s="4" t="s">
        <v>234</v>
      </c>
      <c r="C63" s="27">
        <v>240</v>
      </c>
    </row>
    <row r="64" spans="1:3" ht="18.75" x14ac:dyDescent="0.3">
      <c r="A64" s="26">
        <v>789</v>
      </c>
      <c r="B64" s="4" t="s">
        <v>235</v>
      </c>
      <c r="C64" s="27">
        <v>1056</v>
      </c>
    </row>
    <row r="65" spans="1:3" ht="18.75" x14ac:dyDescent="0.3">
      <c r="A65" s="26">
        <v>800</v>
      </c>
      <c r="B65" s="4" t="s">
        <v>236</v>
      </c>
      <c r="C65" s="27">
        <v>72</v>
      </c>
    </row>
    <row r="66" spans="1:3" ht="18.75" x14ac:dyDescent="0.3">
      <c r="A66" s="26">
        <v>802</v>
      </c>
      <c r="B66" s="4" t="s">
        <v>270</v>
      </c>
      <c r="C66" s="27">
        <v>540</v>
      </c>
    </row>
    <row r="67" spans="1:3" ht="18.75" x14ac:dyDescent="0.3">
      <c r="A67" s="26">
        <v>809</v>
      </c>
      <c r="B67" s="4" t="s">
        <v>51</v>
      </c>
      <c r="C67" s="27">
        <v>1296</v>
      </c>
    </row>
    <row r="68" spans="1:3" ht="18.75" x14ac:dyDescent="0.3">
      <c r="A68" s="26">
        <v>816</v>
      </c>
      <c r="B68" s="4" t="s">
        <v>238</v>
      </c>
      <c r="C68" s="27">
        <v>204</v>
      </c>
    </row>
    <row r="69" spans="1:3" ht="18.75" x14ac:dyDescent="0.3">
      <c r="A69" s="26">
        <v>817</v>
      </c>
      <c r="B69" s="4" t="s">
        <v>239</v>
      </c>
      <c r="C69" s="27">
        <v>312</v>
      </c>
    </row>
    <row r="70" spans="1:3" ht="18.75" x14ac:dyDescent="0.3">
      <c r="A70" s="26">
        <v>818</v>
      </c>
      <c r="B70" s="4" t="s">
        <v>240</v>
      </c>
      <c r="C70" s="27">
        <v>0</v>
      </c>
    </row>
    <row r="71" spans="1:3" ht="18.75" x14ac:dyDescent="0.3">
      <c r="A71" s="26">
        <v>824</v>
      </c>
      <c r="B71" s="4" t="s">
        <v>241</v>
      </c>
      <c r="C71" s="27">
        <v>1920</v>
      </c>
    </row>
    <row r="72" spans="1:3" ht="18.75" x14ac:dyDescent="0.3">
      <c r="A72" s="26">
        <v>825</v>
      </c>
      <c r="B72" s="28" t="s">
        <v>242</v>
      </c>
      <c r="C72" s="27">
        <v>2328</v>
      </c>
    </row>
    <row r="73" spans="1:3" ht="18.75" x14ac:dyDescent="0.3">
      <c r="A73" s="26">
        <v>836</v>
      </c>
      <c r="B73" s="4" t="s">
        <v>243</v>
      </c>
      <c r="C73" s="27">
        <v>2400</v>
      </c>
    </row>
    <row r="74" spans="1:3" ht="18.75" x14ac:dyDescent="0.3">
      <c r="A74" s="26">
        <v>839</v>
      </c>
      <c r="B74" s="4" t="s">
        <v>244</v>
      </c>
      <c r="C74" s="27">
        <v>180</v>
      </c>
    </row>
    <row r="75" spans="1:3" ht="18.75" x14ac:dyDescent="0.3">
      <c r="A75" s="26">
        <v>840</v>
      </c>
      <c r="B75" s="4" t="s">
        <v>52</v>
      </c>
      <c r="C75" s="27">
        <v>2400</v>
      </c>
    </row>
    <row r="76" spans="1:3" ht="18.75" x14ac:dyDescent="0.3">
      <c r="A76" s="26">
        <v>842</v>
      </c>
      <c r="B76" s="4" t="s">
        <v>245</v>
      </c>
      <c r="C76" s="27">
        <v>120</v>
      </c>
    </row>
    <row r="77" spans="1:3" ht="18.75" x14ac:dyDescent="0.3">
      <c r="A77" s="26">
        <v>843</v>
      </c>
      <c r="B77" s="4" t="s">
        <v>246</v>
      </c>
      <c r="C77" s="27">
        <v>48</v>
      </c>
    </row>
    <row r="78" spans="1:3" ht="18.75" x14ac:dyDescent="0.3">
      <c r="A78" s="26">
        <v>844</v>
      </c>
      <c r="B78" s="4" t="s">
        <v>247</v>
      </c>
      <c r="C78" s="27">
        <v>48</v>
      </c>
    </row>
    <row r="79" spans="1:3" ht="18.75" x14ac:dyDescent="0.3">
      <c r="A79" s="26">
        <v>845</v>
      </c>
      <c r="B79" s="4" t="s">
        <v>248</v>
      </c>
      <c r="C79" s="27">
        <v>168</v>
      </c>
    </row>
    <row r="80" spans="1:3" ht="18.75" x14ac:dyDescent="0.3">
      <c r="A80" s="26">
        <v>846</v>
      </c>
      <c r="B80" s="4" t="s">
        <v>249</v>
      </c>
      <c r="C80" s="27">
        <v>192</v>
      </c>
    </row>
    <row r="81" spans="1:3" ht="18.75" x14ac:dyDescent="0.3">
      <c r="A81" s="26">
        <v>847</v>
      </c>
      <c r="B81" s="4" t="s">
        <v>250</v>
      </c>
      <c r="C81" s="27">
        <v>1440</v>
      </c>
    </row>
    <row r="82" spans="1:3" ht="18.75" x14ac:dyDescent="0.3">
      <c r="A82" s="26">
        <v>848</v>
      </c>
      <c r="B82" s="4" t="s">
        <v>57</v>
      </c>
      <c r="C82" s="27">
        <v>24</v>
      </c>
    </row>
    <row r="83" spans="1:3" ht="18.75" x14ac:dyDescent="0.3">
      <c r="A83" s="26">
        <v>852</v>
      </c>
      <c r="B83" s="4" t="s">
        <v>251</v>
      </c>
      <c r="C83" s="27">
        <v>60</v>
      </c>
    </row>
    <row r="84" spans="1:3" ht="18.75" x14ac:dyDescent="0.3">
      <c r="A84" s="26">
        <v>856</v>
      </c>
      <c r="B84" s="4" t="s">
        <v>252</v>
      </c>
      <c r="C84" s="27">
        <v>96</v>
      </c>
    </row>
    <row r="85" spans="1:3" ht="18.75" x14ac:dyDescent="0.3">
      <c r="A85" s="26">
        <v>857</v>
      </c>
      <c r="B85" s="4" t="s">
        <v>253</v>
      </c>
      <c r="C85" s="27">
        <v>24</v>
      </c>
    </row>
    <row r="86" spans="1:3" ht="18.75" x14ac:dyDescent="0.3">
      <c r="A86" s="26">
        <v>858</v>
      </c>
      <c r="B86" s="4" t="s">
        <v>149</v>
      </c>
      <c r="C86" s="27">
        <v>96</v>
      </c>
    </row>
    <row r="87" spans="1:3" ht="18.75" x14ac:dyDescent="0.3">
      <c r="A87" s="26">
        <v>859</v>
      </c>
      <c r="B87" s="4" t="s">
        <v>82</v>
      </c>
      <c r="C87" s="27">
        <v>72</v>
      </c>
    </row>
    <row r="88" spans="1:3" ht="18.75" x14ac:dyDescent="0.3">
      <c r="A88" s="26">
        <v>860</v>
      </c>
      <c r="B88" s="4" t="s">
        <v>254</v>
      </c>
      <c r="C88" s="27">
        <v>0</v>
      </c>
    </row>
    <row r="89" spans="1:3" ht="18.75" x14ac:dyDescent="0.3">
      <c r="A89" s="26">
        <v>862</v>
      </c>
      <c r="B89" s="4" t="s">
        <v>255</v>
      </c>
      <c r="C89" s="27">
        <v>180</v>
      </c>
    </row>
    <row r="90" spans="1:3" ht="18.75" x14ac:dyDescent="0.3">
      <c r="A90" s="29">
        <v>863</v>
      </c>
      <c r="B90" s="30" t="s">
        <v>256</v>
      </c>
      <c r="C90" s="27">
        <v>48</v>
      </c>
    </row>
    <row r="91" spans="1:3" ht="18.75" x14ac:dyDescent="0.3">
      <c r="A91" s="26">
        <v>864</v>
      </c>
      <c r="B91" s="4" t="s">
        <v>148</v>
      </c>
      <c r="C91" s="27">
        <v>48</v>
      </c>
    </row>
    <row r="92" spans="1:3" ht="18.75" x14ac:dyDescent="0.3">
      <c r="A92" s="26">
        <v>867</v>
      </c>
      <c r="B92" s="4" t="s">
        <v>273</v>
      </c>
      <c r="C92" s="27">
        <v>312</v>
      </c>
    </row>
    <row r="93" spans="1:3" ht="18.75" x14ac:dyDescent="0.3">
      <c r="A93" s="26">
        <v>872</v>
      </c>
      <c r="B93" s="4" t="s">
        <v>164</v>
      </c>
      <c r="C93" s="27">
        <v>0</v>
      </c>
    </row>
    <row r="94" spans="1:3" ht="18.75" x14ac:dyDescent="0.3">
      <c r="A94" s="26">
        <v>873</v>
      </c>
      <c r="B94" s="4" t="s">
        <v>160</v>
      </c>
      <c r="C94" s="27">
        <v>0</v>
      </c>
    </row>
    <row r="95" spans="1:3" ht="18.75" x14ac:dyDescent="0.3">
      <c r="A95" s="26">
        <v>878</v>
      </c>
      <c r="B95" s="4" t="s">
        <v>257</v>
      </c>
      <c r="C95" s="27">
        <v>240</v>
      </c>
    </row>
    <row r="96" spans="1:3" ht="18.75" x14ac:dyDescent="0.3">
      <c r="A96" s="26">
        <v>879</v>
      </c>
      <c r="B96" s="4" t="s">
        <v>258</v>
      </c>
      <c r="C96" s="27">
        <v>24</v>
      </c>
    </row>
    <row r="97" spans="1:3" ht="18.75" x14ac:dyDescent="0.3">
      <c r="A97" s="26">
        <v>900</v>
      </c>
      <c r="B97" s="4" t="s">
        <v>277</v>
      </c>
      <c r="C97" s="27">
        <v>24</v>
      </c>
    </row>
    <row r="98" spans="1:3" ht="18.75" x14ac:dyDescent="0.3">
      <c r="A98" s="26">
        <v>901</v>
      </c>
      <c r="B98" s="4" t="s">
        <v>278</v>
      </c>
      <c r="C98" s="27">
        <v>1440</v>
      </c>
    </row>
    <row r="99" spans="1:3" ht="18.75" x14ac:dyDescent="0.3">
      <c r="A99" s="26">
        <v>902</v>
      </c>
      <c r="B99" s="4" t="s">
        <v>279</v>
      </c>
      <c r="C99" s="27">
        <v>228</v>
      </c>
    </row>
    <row r="100" spans="1:3" ht="18.75" x14ac:dyDescent="0.3">
      <c r="A100" s="26">
        <v>908</v>
      </c>
      <c r="B100" s="4" t="s">
        <v>259</v>
      </c>
      <c r="C100" s="27">
        <v>60</v>
      </c>
    </row>
    <row r="101" spans="1:3" ht="18.75" x14ac:dyDescent="0.3">
      <c r="A101" s="26">
        <v>909</v>
      </c>
      <c r="B101" s="4" t="s">
        <v>280</v>
      </c>
      <c r="C101" s="27">
        <v>276</v>
      </c>
    </row>
    <row r="102" spans="1:3" ht="18.75" x14ac:dyDescent="0.3">
      <c r="A102" s="26">
        <v>910</v>
      </c>
      <c r="B102" s="4" t="s">
        <v>281</v>
      </c>
      <c r="C102" s="27">
        <v>864</v>
      </c>
    </row>
    <row r="103" spans="1:3" ht="18.75" x14ac:dyDescent="0.3">
      <c r="A103" s="26">
        <v>911</v>
      </c>
      <c r="B103" s="4" t="s">
        <v>282</v>
      </c>
      <c r="C103" s="27">
        <v>336</v>
      </c>
    </row>
    <row r="104" spans="1:3" ht="18.75" x14ac:dyDescent="0.3">
      <c r="A104" s="26">
        <v>912</v>
      </c>
      <c r="B104" s="4" t="s">
        <v>260</v>
      </c>
      <c r="C104" s="27">
        <v>0</v>
      </c>
    </row>
    <row r="105" spans="1:3" ht="18.75" x14ac:dyDescent="0.3">
      <c r="A105" s="26">
        <v>920</v>
      </c>
      <c r="B105" s="4" t="s">
        <v>283</v>
      </c>
      <c r="C105" s="27">
        <v>144</v>
      </c>
    </row>
    <row r="106" spans="1:3" ht="18.75" x14ac:dyDescent="0.3">
      <c r="A106" s="26">
        <v>922</v>
      </c>
      <c r="B106" s="4" t="s">
        <v>284</v>
      </c>
      <c r="C106" s="27">
        <v>696</v>
      </c>
    </row>
    <row r="107" spans="1:3" ht="18.75" x14ac:dyDescent="0.3">
      <c r="A107" s="26" t="s">
        <v>264</v>
      </c>
      <c r="B107" s="4" t="s">
        <v>265</v>
      </c>
      <c r="C107" s="27">
        <v>240</v>
      </c>
    </row>
    <row r="108" spans="1:3" ht="18.75" x14ac:dyDescent="0.3">
      <c r="A108" s="26" t="s">
        <v>214</v>
      </c>
      <c r="B108" s="4" t="s">
        <v>213</v>
      </c>
      <c r="C108" s="27">
        <v>1200</v>
      </c>
    </row>
    <row r="109" spans="1:3" ht="18.75" x14ac:dyDescent="0.3">
      <c r="A109" s="26" t="s">
        <v>217</v>
      </c>
      <c r="B109" s="4" t="s">
        <v>218</v>
      </c>
      <c r="C109" s="27">
        <v>240</v>
      </c>
    </row>
    <row r="110" spans="1:3" ht="18.75" x14ac:dyDescent="0.3">
      <c r="A110" s="26" t="s">
        <v>360</v>
      </c>
      <c r="B110" s="4" t="s">
        <v>75</v>
      </c>
      <c r="C110" s="27">
        <v>1080</v>
      </c>
    </row>
    <row r="111" spans="1:3" ht="18.75" x14ac:dyDescent="0.3">
      <c r="A111" s="26" t="s">
        <v>266</v>
      </c>
      <c r="B111" s="4" t="s">
        <v>70</v>
      </c>
      <c r="C111" s="27">
        <v>240</v>
      </c>
    </row>
    <row r="112" spans="1:3" ht="18.75" x14ac:dyDescent="0.3">
      <c r="A112" s="26" t="s">
        <v>267</v>
      </c>
      <c r="B112" s="4" t="s">
        <v>268</v>
      </c>
      <c r="C112" s="27">
        <v>276</v>
      </c>
    </row>
    <row r="113" spans="1:3" ht="18.75" x14ac:dyDescent="0.3">
      <c r="A113" s="26" t="s">
        <v>269</v>
      </c>
      <c r="B113" s="4" t="s">
        <v>70</v>
      </c>
      <c r="C113" s="27">
        <v>792</v>
      </c>
    </row>
    <row r="114" spans="1:3" ht="18.75" x14ac:dyDescent="0.3">
      <c r="A114" s="26" t="s">
        <v>135</v>
      </c>
      <c r="B114" s="4" t="s">
        <v>237</v>
      </c>
      <c r="C114" s="27">
        <v>1680</v>
      </c>
    </row>
    <row r="115" spans="1:3" ht="18.75" x14ac:dyDescent="0.3">
      <c r="A115" s="26" t="s">
        <v>271</v>
      </c>
      <c r="B115" s="4" t="s">
        <v>272</v>
      </c>
      <c r="C115" s="27">
        <v>120</v>
      </c>
    </row>
    <row r="116" spans="1:3" ht="18.75" x14ac:dyDescent="0.3">
      <c r="A116" s="26" t="s">
        <v>274</v>
      </c>
      <c r="B116" s="4" t="s">
        <v>147</v>
      </c>
      <c r="C116" s="27">
        <v>0</v>
      </c>
    </row>
    <row r="117" spans="1:3" ht="18.75" x14ac:dyDescent="0.3">
      <c r="A117" s="26" t="s">
        <v>275</v>
      </c>
      <c r="B117" s="4" t="s">
        <v>276</v>
      </c>
      <c r="C117" s="27">
        <v>204</v>
      </c>
    </row>
    <row r="118" spans="1:3" ht="18.75" x14ac:dyDescent="0.3">
      <c r="A118" s="32"/>
      <c r="B118" s="33"/>
      <c r="C118" s="27"/>
    </row>
    <row r="119" spans="1:3" ht="19.5" thickBot="1" x14ac:dyDescent="0.35">
      <c r="A119" s="34"/>
      <c r="B119" s="35"/>
      <c r="C119" s="27"/>
    </row>
  </sheetData>
  <autoFilter ref="A5:C119" xr:uid="{00000000-0009-0000-0000-000013000000}"/>
  <sortState xmlns:xlrd2="http://schemas.microsoft.com/office/spreadsheetml/2017/richdata2" ref="A2:D113">
    <sortCondition ref="A2:A113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19</vt:i4>
      </vt:variant>
      <vt:variant>
        <vt:lpstr>Rangos con nombre</vt:lpstr>
      </vt:variant>
      <vt:variant>
        <vt:i4>1</vt:i4>
      </vt:variant>
    </vt:vector>
  </HeadingPairs>
  <TitlesOfParts>
    <vt:vector size="20" baseType="lpstr">
      <vt:lpstr>O.C. Rueda</vt:lpstr>
      <vt:lpstr>O.C. Roosvelt</vt:lpstr>
      <vt:lpstr>O.C. Resortes Charcas</vt:lpstr>
      <vt:lpstr>O.C. Colodis Kufo</vt:lpstr>
      <vt:lpstr>O.C. Melinox</vt:lpstr>
      <vt:lpstr>O.C. Rueda y Cia</vt:lpstr>
      <vt:lpstr>O.C. Alambres Rumbo</vt:lpstr>
      <vt:lpstr>O.C. Casa Landau</vt:lpstr>
      <vt:lpstr>O.C. Bella Vista</vt:lpstr>
      <vt:lpstr>O.C. Giser</vt:lpstr>
      <vt:lpstr>Conteo VACIO</vt:lpstr>
      <vt:lpstr>Stock Prov. Serv.</vt:lpstr>
      <vt:lpstr>Stock Taller</vt:lpstr>
      <vt:lpstr>Stock CD</vt:lpstr>
      <vt:lpstr>Stock ISIS LK</vt:lpstr>
      <vt:lpstr>Stock ISIS CH</vt:lpstr>
      <vt:lpstr>Consumo</vt:lpstr>
      <vt:lpstr>Est Madre LK 10-25</vt:lpstr>
      <vt:lpstr>Est Madre CH 10-25</vt:lpstr>
      <vt:lpstr>'Stock CD'!Títulos_a_imprimir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Logistica2</dc:creator>
  <cp:lastModifiedBy>Daniel Loekemeyer</cp:lastModifiedBy>
  <cp:lastPrinted>2025-12-17T14:59:10Z</cp:lastPrinted>
  <dcterms:created xsi:type="dcterms:W3CDTF">2023-06-26T13:22:59Z</dcterms:created>
  <dcterms:modified xsi:type="dcterms:W3CDTF">2025-12-17T15:04:44Z</dcterms:modified>
</cp:coreProperties>
</file>