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ares\Documentos Compartidos\AAA LOGISTICA Relevamiento y Pedidos\AAA Pedidos Talleristas - Proveedores - Insumos\Bombillas\info\"/>
    </mc:Choice>
  </mc:AlternateContent>
  <bookViews>
    <workbookView xWindow="0" yWindow="0" windowWidth="28800" windowHeight="12435"/>
  </bookViews>
  <sheets>
    <sheet name="Info Caños" sheetId="1" r:id="rId1"/>
    <sheet name="Para Pedir" sheetId="3" r:id="rId2"/>
    <sheet name="Hoja2" sheetId="2" r:id="rId3"/>
  </sheets>
  <definedNames>
    <definedName name="_xlnm.Print_Area" localSheetId="0">'Info Caños'!$A$1:$J$22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1" l="1"/>
  <c r="U7" i="1"/>
  <c r="T7" i="1"/>
  <c r="J8" i="1"/>
  <c r="J7" i="1"/>
  <c r="J6" i="1"/>
  <c r="G6" i="1" l="1"/>
  <c r="D5" i="3"/>
  <c r="D4" i="3"/>
  <c r="C5" i="3"/>
  <c r="C4" i="3"/>
  <c r="H20" i="1"/>
  <c r="K20" i="1" s="1"/>
  <c r="H18" i="1"/>
  <c r="H10" i="1"/>
  <c r="H9" i="1"/>
  <c r="H8" i="1"/>
  <c r="H7" i="1"/>
  <c r="H6" i="1"/>
  <c r="J20" i="1" l="1"/>
  <c r="I20" i="1"/>
  <c r="K8" i="1"/>
  <c r="I8" i="1"/>
  <c r="L8" i="1"/>
  <c r="O6" i="1" l="1"/>
  <c r="H30" i="1" l="1"/>
  <c r="I30" i="1"/>
  <c r="I29" i="1"/>
  <c r="F6" i="1" l="1"/>
  <c r="H26" i="1"/>
  <c r="I25" i="1" l="1"/>
  <c r="I26" i="1"/>
  <c r="F9" i="1" l="1"/>
  <c r="G9" i="1" s="1"/>
  <c r="O21" i="1" l="1"/>
  <c r="O20" i="1"/>
  <c r="O19" i="1"/>
  <c r="O18" i="1"/>
  <c r="O10" i="1"/>
  <c r="O9" i="1"/>
  <c r="O7" i="1"/>
  <c r="J18" i="1"/>
  <c r="H15" i="1"/>
  <c r="K10" i="1"/>
  <c r="K6" i="1"/>
  <c r="H14" i="1"/>
  <c r="K9" i="1"/>
  <c r="K7" i="1"/>
  <c r="L6" i="1" l="1"/>
  <c r="K18" i="1"/>
  <c r="I18" i="1"/>
  <c r="I9" i="1"/>
  <c r="J9" i="1"/>
  <c r="L9" i="1"/>
  <c r="J10" i="1"/>
  <c r="I10" i="1"/>
  <c r="L10" i="1"/>
  <c r="I6" i="1"/>
  <c r="L7" i="1"/>
  <c r="I7" i="1"/>
  <c r="G15" i="1"/>
  <c r="G14" i="1"/>
  <c r="F20" i="1"/>
  <c r="G20" i="1" s="1"/>
  <c r="F18" i="1"/>
  <c r="G18" i="1" s="1"/>
  <c r="G22" i="1" l="1"/>
  <c r="F22" i="1" s="1"/>
  <c r="G12" i="1"/>
  <c r="F12" i="1" s="1"/>
</calcChain>
</file>

<file path=xl/sharedStrings.xml><?xml version="1.0" encoding="utf-8"?>
<sst xmlns="http://schemas.openxmlformats.org/spreadsheetml/2006/main" count="85" uniqueCount="55">
  <si>
    <t>557D</t>
  </si>
  <si>
    <t>654D</t>
  </si>
  <si>
    <t>573D</t>
  </si>
  <si>
    <t>558D</t>
  </si>
  <si>
    <t>ALUMINIO</t>
  </si>
  <si>
    <t>AC INOX</t>
  </si>
  <si>
    <t>CONSUMO</t>
  </si>
  <si>
    <t>CONSUMO 
TOTAL</t>
  </si>
  <si>
    <t>PESO X
BOMBILLA</t>
  </si>
  <si>
    <t>KG x MES</t>
  </si>
  <si>
    <t>OSCAR RUFFO</t>
  </si>
  <si>
    <t>corta tarda 15 dias</t>
  </si>
  <si>
    <t>LARGO
mm</t>
  </si>
  <si>
    <t>X1</t>
  </si>
  <si>
    <t>X2</t>
  </si>
  <si>
    <t>X3</t>
  </si>
  <si>
    <t>X4</t>
  </si>
  <si>
    <t>X5</t>
  </si>
  <si>
    <t>PEDIDO UNI</t>
  </si>
  <si>
    <t>Loeke</t>
  </si>
  <si>
    <t>Chef</t>
  </si>
  <si>
    <t>Prioridad</t>
  </si>
  <si>
    <t>Pedido
Kg</t>
  </si>
  <si>
    <t>OSCAR RUFFO
(CORTE BOMBILLAS)</t>
  </si>
  <si>
    <t>Pedido 
Unid</t>
  </si>
  <si>
    <t>Fecha:</t>
  </si>
  <si>
    <t>655D</t>
  </si>
  <si>
    <t>pasar a 3 meses</t>
  </si>
  <si>
    <t>111 caños x Kilo</t>
  </si>
  <si>
    <t>103 caños x Kilo</t>
  </si>
  <si>
    <t>Caño Giser Inox cortado $10,18 x uni</t>
  </si>
  <si>
    <t>Caño Giser Inox sin cortar $8,47 x uni</t>
  </si>
  <si>
    <t>Caño Giser + cortado Ruffo $10,54 x uni</t>
  </si>
  <si>
    <t>13,5 u$s x Kg</t>
  </si>
  <si>
    <t>13,1 u$s x Kg</t>
  </si>
  <si>
    <t>Caño Inox Giser</t>
  </si>
  <si>
    <t>Caño Laton Giser</t>
  </si>
  <si>
    <t>14 cm</t>
  </si>
  <si>
    <t>Adorno Bomb Giser $6,11 x uni</t>
  </si>
  <si>
    <t>Buje Bomb Giser $7,96 x uni</t>
  </si>
  <si>
    <t>Medida</t>
  </si>
  <si>
    <t>inox</t>
  </si>
  <si>
    <t>kg</t>
  </si>
  <si>
    <t>gr</t>
  </si>
  <si>
    <t>laton</t>
  </si>
  <si>
    <t>657D DISC</t>
  </si>
  <si>
    <t>745 DISC</t>
  </si>
  <si>
    <t>LATON ahora inox</t>
  </si>
  <si>
    <t>Caño Inox p/140mm</t>
  </si>
  <si>
    <t>LK</t>
  </si>
  <si>
    <t>CH</t>
  </si>
  <si>
    <t>Caño Inox p/170mm</t>
  </si>
  <si>
    <t>*3 meses de consumo</t>
  </si>
  <si>
    <t>lk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</si>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</sst>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0" fillId="0" borderId="0" xfId="0" applyNumberFormat="1"/>
    <xf numFmtId="0" fontId="0" fillId="0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/>
    <xf numFmtId="0" fontId="0" fillId="0" borderId="3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" fontId="1" fillId="0" borderId="0" xfId="0" applyNumberFormat="1" applyFont="1"/>
    <xf numFmtId="16" fontId="0" fillId="0" borderId="0" xfId="0" applyNumberFormat="1"/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/>
    <xf numFmtId="0" fontId="0" fillId="3" borderId="2" xfId="0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2" fontId="0" fillId="0" borderId="18" xfId="0" applyNumberFormat="1" applyBorder="1"/>
    <xf numFmtId="165" fontId="0" fillId="0" borderId="19" xfId="0" applyNumberFormat="1" applyBorder="1"/>
    <xf numFmtId="165" fontId="0" fillId="0" borderId="16" xfId="0" applyNumberFormat="1" applyBorder="1"/>
    <xf numFmtId="0" fontId="0" fillId="0" borderId="0" xfId="0" applyAlignment="1">
      <alignment horizontal="right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/>
    <xf numFmtId="165" fontId="0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9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0" borderId="0" xfId="0" applyNumberFormat="1" applyFont="1" applyAlignment="1">
      <alignment horizontal="center"/>
    </xf>
    <xf numFmtId="1" fontId="0" fillId="2" borderId="0" xfId="0" applyNumberFormat="1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view="pageBreakPreview" zoomScaleNormal="100" zoomScaleSheetLayoutView="100" workbookViewId="0">
      <selection activeCell="T6" sqref="T6"/>
    </sheetView>
  </sheetViews>
  <sheetFormatPr baseColWidth="10" defaultRowHeight="15" x14ac:dyDescent="0.25"/>
  <cols>
    <col min="1" max="1" width="6.28515625" bestFit="1" customWidth="1"/>
    <col min="2" max="2" width="10.140625" style="1" bestFit="1" customWidth="1"/>
    <col min="3" max="3" width="11.42578125" style="1" customWidth="1"/>
    <col min="4" max="4" width="7" bestFit="1" customWidth="1"/>
    <col min="5" max="5" width="10" customWidth="1"/>
    <col min="6" max="6" width="10.42578125" customWidth="1"/>
    <col min="7" max="7" width="11.42578125" customWidth="1"/>
    <col min="8" max="10" width="7.85546875" customWidth="1"/>
    <col min="11" max="13" width="11.42578125" hidden="1" customWidth="1"/>
    <col min="14" max="14" width="7.28515625" style="1" hidden="1" customWidth="1"/>
    <col min="15" max="15" width="11.42578125" hidden="1" customWidth="1"/>
    <col min="16" max="16" width="9.7109375" style="1" hidden="1" customWidth="1"/>
    <col min="17" max="17" width="0" hidden="1" customWidth="1"/>
  </cols>
  <sheetData>
    <row r="1" spans="1:21" x14ac:dyDescent="0.25">
      <c r="P1" s="2" t="s">
        <v>25</v>
      </c>
      <c r="Q1" s="39">
        <v>43749</v>
      </c>
    </row>
    <row r="2" spans="1:21" ht="15.75" thickBot="1" x14ac:dyDescent="0.3"/>
    <row r="3" spans="1:21" ht="57.75" customHeight="1" thickBot="1" x14ac:dyDescent="0.3">
      <c r="A3" s="77" t="s">
        <v>23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9"/>
    </row>
    <row r="5" spans="1:21" ht="33.75" customHeight="1" x14ac:dyDescent="0.25">
      <c r="A5" s="76" t="s">
        <v>5</v>
      </c>
      <c r="B5" s="76"/>
      <c r="C5" s="4" t="s">
        <v>6</v>
      </c>
      <c r="D5" s="20" t="s">
        <v>12</v>
      </c>
      <c r="E5" s="5" t="s">
        <v>8</v>
      </c>
      <c r="F5" s="5" t="s">
        <v>7</v>
      </c>
      <c r="G5" s="4" t="s">
        <v>9</v>
      </c>
      <c r="H5" s="13" t="s">
        <v>13</v>
      </c>
      <c r="I5" s="13" t="s">
        <v>14</v>
      </c>
      <c r="J5" s="57" t="s">
        <v>15</v>
      </c>
      <c r="K5" s="13" t="s">
        <v>16</v>
      </c>
      <c r="L5" s="13" t="s">
        <v>17</v>
      </c>
      <c r="N5" s="20" t="s">
        <v>22</v>
      </c>
      <c r="O5" s="21" t="s">
        <v>18</v>
      </c>
      <c r="P5" s="21" t="s">
        <v>24</v>
      </c>
      <c r="Q5" s="9" t="s">
        <v>21</v>
      </c>
      <c r="S5" s="40"/>
      <c r="T5" t="s">
        <v>53</v>
      </c>
      <c r="U5" t="s">
        <v>54</v>
      </c>
    </row>
    <row r="6" spans="1:21" ht="18" customHeight="1" x14ac:dyDescent="0.3">
      <c r="A6" s="17" t="s">
        <v>19</v>
      </c>
      <c r="B6" s="16" t="s">
        <v>0</v>
      </c>
      <c r="C6" s="36">
        <v>4080</v>
      </c>
      <c r="D6" s="46">
        <v>140</v>
      </c>
      <c r="E6" s="59">
        <v>8.9999999999999993E-3</v>
      </c>
      <c r="F6" s="74">
        <f>+C6+C7+C8</f>
        <v>5280</v>
      </c>
      <c r="G6" s="75">
        <f>+F6*E6</f>
        <v>47.519999999999996</v>
      </c>
      <c r="H6" s="66">
        <f>+C6*E6</f>
        <v>36.72</v>
      </c>
      <c r="I6" s="66">
        <f>+H6*2</f>
        <v>73.44</v>
      </c>
      <c r="J6" s="67">
        <f>+H6*3</f>
        <v>110.16</v>
      </c>
      <c r="K6" s="60">
        <f>+H6*4</f>
        <v>146.88</v>
      </c>
      <c r="L6" s="60">
        <f>+H6*5</f>
        <v>183.6</v>
      </c>
      <c r="N6" s="31">
        <v>75</v>
      </c>
      <c r="O6" s="32">
        <f>+N6/E6</f>
        <v>8333.3333333333339</v>
      </c>
      <c r="P6" s="31">
        <v>8500</v>
      </c>
      <c r="Q6" s="38">
        <v>2</v>
      </c>
      <c r="S6">
        <v>140</v>
      </c>
      <c r="T6" s="60">
        <f>15.5*14</f>
        <v>217</v>
      </c>
      <c r="U6" s="12">
        <v>15.5</v>
      </c>
    </row>
    <row r="7" spans="1:21" ht="18" customHeight="1" x14ac:dyDescent="0.3">
      <c r="A7" s="17" t="s">
        <v>19</v>
      </c>
      <c r="B7" s="14" t="s">
        <v>1</v>
      </c>
      <c r="C7" s="36">
        <v>960</v>
      </c>
      <c r="D7" s="46">
        <v>170</v>
      </c>
      <c r="E7" s="59">
        <v>1.0928571428571428E-2</v>
      </c>
      <c r="F7" s="74"/>
      <c r="G7" s="75"/>
      <c r="H7" s="66">
        <f>+C7*E7</f>
        <v>10.491428571428571</v>
      </c>
      <c r="I7" s="66">
        <f t="shared" ref="I7:I10" si="0">+H7*2</f>
        <v>20.982857142857142</v>
      </c>
      <c r="J7" s="67">
        <f>+H7*3</f>
        <v>31.474285714285713</v>
      </c>
      <c r="K7" s="60">
        <f t="shared" ref="K7:K10" si="1">+H7*4</f>
        <v>41.965714285714284</v>
      </c>
      <c r="L7" s="60">
        <f t="shared" ref="L7:L10" si="2">+H7*5</f>
        <v>52.457142857142856</v>
      </c>
      <c r="N7" s="31">
        <v>30</v>
      </c>
      <c r="O7" s="32">
        <f>+N7/E6</f>
        <v>3333.3333333333335</v>
      </c>
      <c r="P7" s="31">
        <v>3500</v>
      </c>
      <c r="Q7" s="38">
        <v>1</v>
      </c>
      <c r="S7">
        <v>170</v>
      </c>
      <c r="T7" s="60">
        <f>+J7</f>
        <v>31.474285714285713</v>
      </c>
      <c r="U7" s="60">
        <f>+J10</f>
        <v>11.802857142857142</v>
      </c>
    </row>
    <row r="8" spans="1:21" ht="18" customHeight="1" x14ac:dyDescent="0.3">
      <c r="A8" s="17" t="s">
        <v>19</v>
      </c>
      <c r="B8" s="14" t="s">
        <v>26</v>
      </c>
      <c r="C8" s="36">
        <v>240</v>
      </c>
      <c r="D8" s="46">
        <v>140</v>
      </c>
      <c r="E8" s="59">
        <v>8.9999999999999993E-3</v>
      </c>
      <c r="F8" s="74"/>
      <c r="G8" s="75"/>
      <c r="H8" s="66">
        <f>+C8*E8</f>
        <v>2.1599999999999997</v>
      </c>
      <c r="I8" s="66">
        <f>+H8*2</f>
        <v>4.3199999999999994</v>
      </c>
      <c r="J8" s="67">
        <f>+H8*3</f>
        <v>6.4799999999999986</v>
      </c>
      <c r="K8" s="60">
        <f t="shared" si="1"/>
        <v>8.6399999999999988</v>
      </c>
      <c r="L8" s="60">
        <f t="shared" si="2"/>
        <v>10.799999999999999</v>
      </c>
      <c r="N8" s="31"/>
      <c r="O8" s="32"/>
      <c r="P8" s="31"/>
      <c r="Q8" s="38"/>
    </row>
    <row r="9" spans="1:21" ht="18" customHeight="1" x14ac:dyDescent="0.3">
      <c r="A9" s="18" t="s">
        <v>20</v>
      </c>
      <c r="B9" s="15">
        <v>762</v>
      </c>
      <c r="C9" s="34">
        <v>120</v>
      </c>
      <c r="D9" s="47">
        <v>140</v>
      </c>
      <c r="E9" s="59">
        <v>8.9999999999999993E-3</v>
      </c>
      <c r="F9" s="74">
        <f>+C9+C10+C11</f>
        <v>480</v>
      </c>
      <c r="G9" s="75">
        <f>+F9*E6</f>
        <v>4.3199999999999994</v>
      </c>
      <c r="H9" s="66">
        <f>+C9*E9</f>
        <v>1.0799999999999998</v>
      </c>
      <c r="I9" s="66">
        <f t="shared" si="0"/>
        <v>2.1599999999999997</v>
      </c>
      <c r="J9" s="67">
        <f t="shared" ref="J7:J10" si="3">+H9*3</f>
        <v>3.2399999999999993</v>
      </c>
      <c r="K9" s="60">
        <f t="shared" si="1"/>
        <v>4.3199999999999994</v>
      </c>
      <c r="L9" s="60">
        <f t="shared" si="2"/>
        <v>5.3999999999999995</v>
      </c>
      <c r="N9" s="31">
        <v>25</v>
      </c>
      <c r="O9" s="32">
        <f>+N9/E6</f>
        <v>2777.7777777777778</v>
      </c>
      <c r="P9" s="31">
        <v>2500</v>
      </c>
      <c r="Q9" s="31">
        <v>8</v>
      </c>
    </row>
    <row r="10" spans="1:21" ht="18" customHeight="1" x14ac:dyDescent="0.3">
      <c r="A10" s="44" t="s">
        <v>20</v>
      </c>
      <c r="B10" s="45">
        <v>769</v>
      </c>
      <c r="C10" s="34">
        <v>360</v>
      </c>
      <c r="D10" s="47">
        <v>170</v>
      </c>
      <c r="E10" s="59">
        <v>1.0928571428571428E-2</v>
      </c>
      <c r="F10" s="74"/>
      <c r="G10" s="75"/>
      <c r="H10" s="66">
        <f>+C10*E10</f>
        <v>3.9342857142857142</v>
      </c>
      <c r="I10" s="66">
        <f t="shared" si="0"/>
        <v>7.8685714285714283</v>
      </c>
      <c r="J10" s="67">
        <f t="shared" si="3"/>
        <v>11.802857142857142</v>
      </c>
      <c r="K10" s="60">
        <f t="shared" si="1"/>
        <v>15.737142857142857</v>
      </c>
      <c r="L10" s="60">
        <f t="shared" si="2"/>
        <v>19.671428571428571</v>
      </c>
      <c r="N10" s="31">
        <v>20</v>
      </c>
      <c r="O10" s="32">
        <f>+N10/E6</f>
        <v>2222.2222222222222</v>
      </c>
      <c r="P10" s="31">
        <v>2000</v>
      </c>
      <c r="Q10" s="31">
        <v>6</v>
      </c>
    </row>
    <row r="11" spans="1:21" ht="18" customHeight="1" x14ac:dyDescent="0.3">
      <c r="A11" s="18" t="s">
        <v>20</v>
      </c>
      <c r="B11" s="15" t="s">
        <v>46</v>
      </c>
      <c r="C11" s="34">
        <v>0</v>
      </c>
      <c r="D11" s="41">
        <v>140</v>
      </c>
      <c r="E11" s="59">
        <v>8.9999999999999993E-3</v>
      </c>
      <c r="F11" s="74"/>
      <c r="G11" s="75"/>
      <c r="J11" s="58"/>
      <c r="N11" s="42"/>
      <c r="O11" s="43"/>
      <c r="P11" s="42"/>
      <c r="Q11" s="42"/>
    </row>
    <row r="12" spans="1:21" x14ac:dyDescent="0.25">
      <c r="B12" s="2"/>
      <c r="C12" s="1" t="s">
        <v>27</v>
      </c>
      <c r="D12" s="28"/>
      <c r="F12">
        <f>150/G12</f>
        <v>2.8935185185185186</v>
      </c>
      <c r="G12" s="12">
        <f>+G9+G6</f>
        <v>51.839999999999996</v>
      </c>
      <c r="J12" s="58"/>
      <c r="N12" s="26"/>
      <c r="O12" s="28"/>
      <c r="P12" s="26"/>
      <c r="Q12" s="28"/>
      <c r="R12" s="29"/>
    </row>
    <row r="13" spans="1:21" ht="30" hidden="1" x14ac:dyDescent="0.25">
      <c r="A13" s="76" t="s">
        <v>4</v>
      </c>
      <c r="B13" s="76"/>
      <c r="C13" s="4" t="s">
        <v>6</v>
      </c>
      <c r="D13" s="33" t="s">
        <v>12</v>
      </c>
      <c r="E13" s="5" t="s">
        <v>8</v>
      </c>
      <c r="F13" s="5" t="s">
        <v>7</v>
      </c>
      <c r="G13" s="4" t="s">
        <v>9</v>
      </c>
      <c r="J13" s="58"/>
      <c r="N13" s="22"/>
      <c r="O13" s="24"/>
      <c r="P13" s="22"/>
      <c r="Q13" s="24"/>
    </row>
    <row r="14" spans="1:21" ht="15" hidden="1" customHeight="1" x14ac:dyDescent="0.25">
      <c r="A14" s="19" t="s">
        <v>19</v>
      </c>
      <c r="B14" s="11" t="s">
        <v>2</v>
      </c>
      <c r="C14" s="4">
        <v>300</v>
      </c>
      <c r="D14" s="10">
        <v>135</v>
      </c>
      <c r="E14" s="76">
        <v>8.4499999999999992E-3</v>
      </c>
      <c r="F14" s="8">
        <v>300</v>
      </c>
      <c r="G14" s="7">
        <f>+F14*E14</f>
        <v>2.5349999999999997</v>
      </c>
      <c r="H14" s="12">
        <f>+C14*E14</f>
        <v>2.5349999999999997</v>
      </c>
      <c r="J14" s="58"/>
      <c r="N14" s="4"/>
      <c r="O14" s="19"/>
      <c r="P14" s="4"/>
      <c r="Q14" s="19"/>
    </row>
    <row r="15" spans="1:21" ht="15" hidden="1" customHeight="1" x14ac:dyDescent="0.25">
      <c r="A15" s="19" t="s">
        <v>20</v>
      </c>
      <c r="B15" s="3">
        <v>755</v>
      </c>
      <c r="C15" s="4">
        <v>350</v>
      </c>
      <c r="D15" s="10">
        <v>135</v>
      </c>
      <c r="E15" s="76"/>
      <c r="F15" s="8">
        <v>350</v>
      </c>
      <c r="G15" s="7">
        <f>+F15*E14</f>
        <v>2.9574999999999996</v>
      </c>
      <c r="H15" s="12">
        <f>+C15*E14</f>
        <v>2.9574999999999996</v>
      </c>
      <c r="J15" s="58"/>
      <c r="N15" s="23"/>
      <c r="O15" s="25"/>
      <c r="P15" s="23"/>
      <c r="Q15" s="25"/>
    </row>
    <row r="16" spans="1:21" x14ac:dyDescent="0.25">
      <c r="B16" s="2"/>
      <c r="J16" s="58"/>
      <c r="N16" s="27"/>
      <c r="O16" s="30"/>
      <c r="P16" s="27"/>
      <c r="Q16" s="30"/>
      <c r="R16" s="29"/>
    </row>
    <row r="17" spans="1:17" ht="36" customHeight="1" x14ac:dyDescent="0.25">
      <c r="A17" s="76" t="s">
        <v>47</v>
      </c>
      <c r="B17" s="76"/>
      <c r="C17" s="4" t="s">
        <v>6</v>
      </c>
      <c r="D17" s="20" t="s">
        <v>12</v>
      </c>
      <c r="E17" s="5" t="s">
        <v>8</v>
      </c>
      <c r="F17" s="5" t="s">
        <v>7</v>
      </c>
      <c r="G17" s="4" t="s">
        <v>9</v>
      </c>
      <c r="H17" s="13" t="s">
        <v>13</v>
      </c>
      <c r="I17" s="13" t="s">
        <v>14</v>
      </c>
      <c r="J17" s="57" t="s">
        <v>15</v>
      </c>
      <c r="K17" s="13" t="s">
        <v>16</v>
      </c>
      <c r="N17" s="20" t="s">
        <v>22</v>
      </c>
      <c r="O17" s="21" t="s">
        <v>18</v>
      </c>
      <c r="P17" s="21" t="s">
        <v>24</v>
      </c>
      <c r="Q17" s="9" t="s">
        <v>21</v>
      </c>
    </row>
    <row r="18" spans="1:17" ht="18" customHeight="1" x14ac:dyDescent="0.3">
      <c r="A18" s="17" t="s">
        <v>19</v>
      </c>
      <c r="B18" s="16" t="s">
        <v>3</v>
      </c>
      <c r="C18" s="36">
        <v>3600</v>
      </c>
      <c r="D18" s="37">
        <v>140</v>
      </c>
      <c r="E18" s="59">
        <v>8.9999999999999993E-3</v>
      </c>
      <c r="F18" s="70">
        <f>+C18+C19</f>
        <v>3600</v>
      </c>
      <c r="G18" s="72">
        <f>+F18*E18</f>
        <v>32.4</v>
      </c>
      <c r="H18" s="68">
        <f>+C18*E18</f>
        <v>32.4</v>
      </c>
      <c r="I18" s="68">
        <f>+H18*2</f>
        <v>64.8</v>
      </c>
      <c r="J18" s="69">
        <f>+H18*3</f>
        <v>97.199999999999989</v>
      </c>
      <c r="K18" s="61">
        <f>+H18*4</f>
        <v>129.6</v>
      </c>
      <c r="N18" s="31">
        <v>90</v>
      </c>
      <c r="O18" s="32">
        <f>+N18/E18</f>
        <v>10000</v>
      </c>
      <c r="P18" s="31">
        <v>9500</v>
      </c>
      <c r="Q18" s="31">
        <v>5</v>
      </c>
    </row>
    <row r="19" spans="1:17" ht="18" customHeight="1" x14ac:dyDescent="0.3">
      <c r="A19" s="17" t="s">
        <v>19</v>
      </c>
      <c r="B19" s="14" t="s">
        <v>45</v>
      </c>
      <c r="C19" s="36">
        <v>0</v>
      </c>
      <c r="D19" s="37">
        <v>170</v>
      </c>
      <c r="E19" s="59">
        <v>1.1717857142857143E-2</v>
      </c>
      <c r="F19" s="71"/>
      <c r="G19" s="73"/>
      <c r="H19" s="68"/>
      <c r="I19" s="68"/>
      <c r="J19" s="69"/>
      <c r="K19" s="61"/>
      <c r="N19" s="31">
        <v>20</v>
      </c>
      <c r="O19" s="32">
        <f>+N19/E18</f>
        <v>2222.2222222222222</v>
      </c>
      <c r="P19" s="31">
        <v>2000</v>
      </c>
      <c r="Q19" s="38">
        <v>3</v>
      </c>
    </row>
    <row r="20" spans="1:17" ht="18" customHeight="1" x14ac:dyDescent="0.3">
      <c r="A20" s="18" t="s">
        <v>20</v>
      </c>
      <c r="B20" s="15">
        <v>763</v>
      </c>
      <c r="C20" s="34">
        <v>240</v>
      </c>
      <c r="D20" s="35">
        <v>140</v>
      </c>
      <c r="E20" s="59">
        <v>8.9999999999999993E-3</v>
      </c>
      <c r="F20" s="70">
        <f>+C20+C21</f>
        <v>240</v>
      </c>
      <c r="G20" s="72">
        <f>+F20*E18</f>
        <v>2.1599999999999997</v>
      </c>
      <c r="H20" s="68">
        <f>+C20*E20</f>
        <v>2.1599999999999997</v>
      </c>
      <c r="I20" s="68">
        <f>+H20*2</f>
        <v>4.3199999999999994</v>
      </c>
      <c r="J20" s="69">
        <f>+H20*3</f>
        <v>6.4799999999999986</v>
      </c>
      <c r="K20" s="61">
        <f>+H20*4</f>
        <v>8.6399999999999988</v>
      </c>
      <c r="N20" s="31">
        <v>30</v>
      </c>
      <c r="O20" s="32">
        <f>+N20/E18</f>
        <v>3333.3333333333335</v>
      </c>
      <c r="P20" s="31">
        <v>3000</v>
      </c>
      <c r="Q20" s="31">
        <v>7</v>
      </c>
    </row>
    <row r="21" spans="1:17" ht="18" customHeight="1" x14ac:dyDescent="0.3">
      <c r="A21" s="18" t="s">
        <v>20</v>
      </c>
      <c r="B21" s="15">
        <v>768</v>
      </c>
      <c r="C21" s="34">
        <v>0</v>
      </c>
      <c r="D21" s="35">
        <v>170</v>
      </c>
      <c r="E21" s="59">
        <v>1.1717857142857143E-2</v>
      </c>
      <c r="F21" s="71"/>
      <c r="G21" s="73"/>
      <c r="H21" s="12"/>
      <c r="J21" s="58"/>
      <c r="N21" s="31">
        <v>10</v>
      </c>
      <c r="O21" s="32">
        <f>+N21/E18</f>
        <v>1111.1111111111111</v>
      </c>
      <c r="P21" s="31">
        <v>1000</v>
      </c>
      <c r="Q21" s="38">
        <v>4</v>
      </c>
    </row>
    <row r="22" spans="1:17" x14ac:dyDescent="0.25">
      <c r="F22">
        <f>150/G22</f>
        <v>4.3402777777777786</v>
      </c>
      <c r="G22" s="12">
        <f>+G20+G18</f>
        <v>34.559999999999995</v>
      </c>
    </row>
    <row r="23" spans="1:17" ht="15.75" thickBot="1" x14ac:dyDescent="0.3"/>
    <row r="24" spans="1:17" x14ac:dyDescent="0.25">
      <c r="B24" s="6" t="s">
        <v>10</v>
      </c>
      <c r="G24" s="48" t="s">
        <v>41</v>
      </c>
      <c r="H24" s="49" t="s">
        <v>43</v>
      </c>
      <c r="I24" s="50" t="s">
        <v>42</v>
      </c>
    </row>
    <row r="25" spans="1:17" x14ac:dyDescent="0.25">
      <c r="B25" s="6" t="s">
        <v>11</v>
      </c>
      <c r="G25" s="51">
        <v>140</v>
      </c>
      <c r="H25" s="29">
        <v>9</v>
      </c>
      <c r="I25" s="55">
        <f>+H25/1000</f>
        <v>8.9999999999999993E-3</v>
      </c>
    </row>
    <row r="26" spans="1:17" ht="15.75" thickBot="1" x14ac:dyDescent="0.3">
      <c r="G26" s="52">
        <v>170</v>
      </c>
      <c r="H26" s="53">
        <f>+(H25*G26)/G25</f>
        <v>10.928571428571429</v>
      </c>
      <c r="I26" s="54">
        <f>+H26/1000</f>
        <v>1.0928571428571428E-2</v>
      </c>
    </row>
    <row r="27" spans="1:17" ht="15.75" thickBot="1" x14ac:dyDescent="0.3">
      <c r="L27" s="40"/>
    </row>
    <row r="28" spans="1:17" x14ac:dyDescent="0.25">
      <c r="G28" s="48" t="s">
        <v>44</v>
      </c>
      <c r="H28" s="49" t="s">
        <v>43</v>
      </c>
      <c r="I28" s="50" t="s">
        <v>42</v>
      </c>
      <c r="O28" s="56"/>
    </row>
    <row r="29" spans="1:17" x14ac:dyDescent="0.25">
      <c r="G29" s="51">
        <v>140</v>
      </c>
      <c r="H29" s="29">
        <v>9.65</v>
      </c>
      <c r="I29" s="55">
        <f>+H29/1000</f>
        <v>9.6500000000000006E-3</v>
      </c>
      <c r="O29" s="56"/>
    </row>
    <row r="30" spans="1:17" ht="15.75" thickBot="1" x14ac:dyDescent="0.3">
      <c r="G30" s="52">
        <v>170</v>
      </c>
      <c r="H30" s="53">
        <f>+(H29*G30)/G29</f>
        <v>11.717857142857143</v>
      </c>
      <c r="I30" s="54">
        <f>+H30/1000</f>
        <v>1.1717857142857143E-2</v>
      </c>
    </row>
    <row r="31" spans="1:17" x14ac:dyDescent="0.25">
      <c r="O31" s="56"/>
    </row>
  </sheetData>
  <mergeCells count="13">
    <mergeCell ref="A17:B17"/>
    <mergeCell ref="A13:B13"/>
    <mergeCell ref="A3:Q3"/>
    <mergeCell ref="G18:G19"/>
    <mergeCell ref="E14:E15"/>
    <mergeCell ref="A5:B5"/>
    <mergeCell ref="F20:F21"/>
    <mergeCell ref="F18:F19"/>
    <mergeCell ref="G20:G21"/>
    <mergeCell ref="F6:F8"/>
    <mergeCell ref="F9:F11"/>
    <mergeCell ref="G6:G8"/>
    <mergeCell ref="G9:G11"/>
  </mergeCells>
  <printOptions horizontalCentered="1" verticalCentered="1"/>
  <pageMargins left="0.70866141732283472" right="0.70866141732283472" top="5.0787401574803148" bottom="0.74803149606299213" header="0.31496062992125984" footer="0.31496062992125984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8"/>
  <sheetViews>
    <sheetView workbookViewId="0">
      <selection activeCell="F13" sqref="F13"/>
    </sheetView>
  </sheetViews>
  <sheetFormatPr baseColWidth="10" defaultRowHeight="15" x14ac:dyDescent="0.25"/>
  <cols>
    <col min="1" max="1" width="7.85546875" bestFit="1" customWidth="1"/>
    <col min="2" max="2" width="21.140625" customWidth="1"/>
    <col min="3" max="3" width="6.42578125" bestFit="1" customWidth="1"/>
    <col min="4" max="4" width="5.7109375" bestFit="1" customWidth="1"/>
  </cols>
  <sheetData>
    <row r="3" spans="2:4" ht="21" x14ac:dyDescent="0.25">
      <c r="B3" s="63" t="s">
        <v>40</v>
      </c>
      <c r="C3" s="63" t="s">
        <v>49</v>
      </c>
      <c r="D3" s="63" t="s">
        <v>50</v>
      </c>
    </row>
    <row r="4" spans="2:4" ht="23.25" x14ac:dyDescent="0.25">
      <c r="B4" s="65" t="s">
        <v>48</v>
      </c>
      <c r="C4" s="64">
        <f>+'Info Caños'!J6+'Info Caños'!J8+'Info Caños'!J18</f>
        <v>213.83999999999997</v>
      </c>
      <c r="D4" s="64">
        <f>+'Info Caños'!J9+'Info Caños'!J20</f>
        <v>9.7199999999999989</v>
      </c>
    </row>
    <row r="5" spans="2:4" ht="23.25" x14ac:dyDescent="0.25">
      <c r="B5" s="65" t="s">
        <v>51</v>
      </c>
      <c r="C5" s="64">
        <f>+'Info Caños'!J7</f>
        <v>31.474285714285713</v>
      </c>
      <c r="D5" s="64">
        <f>+'Info Caños'!J9</f>
        <v>3.2399999999999993</v>
      </c>
    </row>
    <row r="8" spans="2:4" x14ac:dyDescent="0.25">
      <c r="B8" s="62" t="s">
        <v>52</v>
      </c>
    </row>
  </sheetData>
  <pageMargins left="0.11811023622047245" right="0.11811023622047245" top="0.15748031496062992" bottom="0.15748031496062992" header="0.31496062992125984" footer="0.31496062992125984"/>
  <pageSetup paperSize="9" scale="20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E9" sqref="E9"/>
    </sheetView>
  </sheetViews>
  <sheetFormatPr baseColWidth="10" defaultRowHeight="15" x14ac:dyDescent="0.25"/>
  <cols>
    <col min="1" max="1" width="15.7109375" customWidth="1"/>
    <col min="2" max="2" width="18.85546875" customWidth="1"/>
  </cols>
  <sheetData>
    <row r="2" spans="1:3" x14ac:dyDescent="0.25">
      <c r="A2" s="19" t="s">
        <v>35</v>
      </c>
      <c r="B2" s="19" t="s">
        <v>28</v>
      </c>
      <c r="C2" s="19" t="s">
        <v>34</v>
      </c>
    </row>
    <row r="3" spans="1:3" x14ac:dyDescent="0.25">
      <c r="A3" s="19" t="s">
        <v>36</v>
      </c>
      <c r="B3" s="19" t="s">
        <v>29</v>
      </c>
      <c r="C3" s="19" t="s">
        <v>33</v>
      </c>
    </row>
    <row r="5" spans="1:3" x14ac:dyDescent="0.25">
      <c r="A5" s="80" t="s">
        <v>30</v>
      </c>
      <c r="B5" s="80"/>
      <c r="C5" s="19" t="s">
        <v>37</v>
      </c>
    </row>
    <row r="6" spans="1:3" x14ac:dyDescent="0.25">
      <c r="A6" s="80" t="s">
        <v>31</v>
      </c>
      <c r="B6" s="80"/>
    </row>
    <row r="7" spans="1:3" x14ac:dyDescent="0.25">
      <c r="A7" s="80" t="s">
        <v>32</v>
      </c>
      <c r="B7" s="80"/>
    </row>
    <row r="9" spans="1:3" x14ac:dyDescent="0.25">
      <c r="A9" s="80" t="s">
        <v>38</v>
      </c>
      <c r="B9" s="80"/>
    </row>
    <row r="10" spans="1:3" x14ac:dyDescent="0.25">
      <c r="A10" s="80" t="s">
        <v>39</v>
      </c>
      <c r="B10" s="80"/>
    </row>
  </sheetData>
  <mergeCells count="5">
    <mergeCell ref="A5:B5"/>
    <mergeCell ref="A6:B6"/>
    <mergeCell ref="A7:B7"/>
    <mergeCell ref="A10:B10"/>
    <mergeCell ref="A9:B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Info Caños</vt:lpstr>
      <vt:lpstr>Para Pedir</vt:lpstr>
      <vt:lpstr>Hoja2</vt:lpstr>
      <vt:lpstr>'Info Caños'!Área_de_impresión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Diseño3</dc:creator>
  <cp:lastModifiedBy>Virgilio2</cp:lastModifiedBy>
  <cp:lastPrinted>2021-10-25T14:52:08Z</cp:lastPrinted>
  <dcterms:created xsi:type="dcterms:W3CDTF">2019-10-09T18:19:47Z</dcterms:created>
  <dcterms:modified xsi:type="dcterms:W3CDTF">2021-12-27T17:36:24Z</dcterms:modified>
</cp:coreProperties>
</file>