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07"/>
  <workbookPr/>
  <mc:AlternateContent xmlns:mc="http://schemas.openxmlformats.org/markup-compatibility/2006">
    <mc:Choice Requires="x15">
      <x15ac:absPath xmlns:x15ac="http://schemas.microsoft.com/office/spreadsheetml/2010/11/ac" url="Z:\AA  LOGISTICA Relevamiento y Pedidos\A3 Relevamiento Stock y Pedidos Insumos\Relevamiento\A Relevamientos INSUMOS y Pedido\A Partes y Bolsas Plásticos\"/>
    </mc:Choice>
  </mc:AlternateContent>
  <xr:revisionPtr revIDLastSave="0" documentId="13_ncr:1_{CA73BA5A-F0B9-49CF-8C4C-6551714C3C5B}" xr6:coauthVersionLast="36" xr6:coauthVersionMax="36" xr10:uidLastSave="{00000000-0000-0000-0000-000000000000}"/>
  <bookViews>
    <workbookView xWindow="0" yWindow="0" windowWidth="16455" windowHeight="5430" firstSheet="1" activeTab="1" xr2:uid="{00000000-000D-0000-FFFF-FFFF00000000}"/>
  </bookViews>
  <sheets>
    <sheet name="Consumo x Cod Articulo" sheetId="1" r:id="rId1"/>
    <sheet name="Consumo x Cod Art Modificado" sheetId="2" r:id="rId2"/>
  </sheets>
  <externalReferences>
    <externalReference r:id="rId3"/>
  </externalReferences>
  <definedNames>
    <definedName name="_xlnm._FilterDatabase" localSheetId="1" hidden="1">'Consumo x Cod Art Modificado'!$A$2:$C$96</definedName>
    <definedName name="_xlnm._FilterDatabase" localSheetId="0" hidden="1">#N/A</definedName>
    <definedName name="_xlnm.Print_Area" localSheetId="1">'Consumo x Cod Art Modificado'!$A$2:$C$97</definedName>
    <definedName name="_xlnm.Print_Titles" localSheetId="1">'Consumo x Cod Art Modificado'!$2:$2</definedName>
    <definedName name="_xlnm.Print_Titles" localSheetId="0">'Consumo x Cod Articulo'!$3:$3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4" i="1" l="1"/>
  <c r="L4" i="1" s="1"/>
  <c r="K112" i="1" l="1"/>
  <c r="L112" i="1" s="1"/>
  <c r="K113" i="1"/>
  <c r="L113" i="1" s="1"/>
  <c r="O112" i="1" l="1"/>
  <c r="O113" i="1"/>
  <c r="L278" i="1" l="1"/>
  <c r="O254" i="1"/>
  <c r="O281" i="1"/>
  <c r="O276" i="1"/>
  <c r="O271" i="1"/>
  <c r="O266" i="1"/>
  <c r="O262" i="1"/>
  <c r="O258" i="1"/>
  <c r="O250" i="1"/>
  <c r="O245" i="1"/>
  <c r="O240" i="1"/>
  <c r="O235" i="1"/>
  <c r="O230" i="1"/>
  <c r="O225" i="1"/>
  <c r="O220" i="1"/>
  <c r="O216" i="1"/>
  <c r="O211" i="1"/>
  <c r="O185" i="1"/>
  <c r="O181" i="1"/>
  <c r="O177" i="1"/>
  <c r="O172" i="1"/>
  <c r="O168" i="1"/>
  <c r="O164" i="1"/>
  <c r="O161" i="1"/>
  <c r="O207" i="1"/>
  <c r="O156" i="1"/>
  <c r="O152" i="1"/>
  <c r="O147" i="1"/>
  <c r="O119" i="1"/>
  <c r="O125" i="1"/>
  <c r="O110" i="1"/>
  <c r="O106" i="1"/>
  <c r="O101" i="1"/>
  <c r="O83" i="1"/>
  <c r="O78" i="1"/>
  <c r="O74" i="1"/>
  <c r="O70" i="1"/>
  <c r="O63" i="1"/>
  <c r="O56" i="1"/>
  <c r="J12" i="1" l="1"/>
  <c r="J13" i="1"/>
  <c r="L13" i="1" s="1"/>
  <c r="J17" i="1"/>
  <c r="J18" i="1"/>
  <c r="L18" i="1" s="1"/>
  <c r="J19" i="1"/>
  <c r="L19" i="1" s="1"/>
  <c r="J20" i="1"/>
  <c r="L20" i="1" s="1"/>
  <c r="J21" i="1"/>
  <c r="L21" i="1" s="1"/>
  <c r="J22" i="1"/>
  <c r="L22" i="1" s="1"/>
  <c r="J23" i="1"/>
  <c r="L23" i="1" s="1"/>
  <c r="J24" i="1"/>
  <c r="L24" i="1" s="1"/>
  <c r="J25" i="1"/>
  <c r="L25" i="1" s="1"/>
  <c r="J26" i="1"/>
  <c r="L26" i="1" s="1"/>
  <c r="J27" i="1"/>
  <c r="L27" i="1" s="1"/>
  <c r="J28" i="1"/>
  <c r="L28" i="1" s="1"/>
  <c r="J29" i="1"/>
  <c r="L29" i="1" s="1"/>
  <c r="J30" i="1"/>
  <c r="L30" i="1" s="1"/>
  <c r="J31" i="1"/>
  <c r="L31" i="1" s="1"/>
  <c r="J32" i="1"/>
  <c r="L32" i="1" s="1"/>
  <c r="L17" i="1" l="1"/>
  <c r="L33" i="1" s="1"/>
  <c r="L34" i="1" s="1"/>
  <c r="J33" i="1"/>
  <c r="L12" i="1"/>
  <c r="L14" i="1" s="1"/>
  <c r="L15" i="1" s="1"/>
  <c r="J14" i="1"/>
  <c r="J279" i="1"/>
  <c r="O278" i="1"/>
  <c r="K274" i="1"/>
  <c r="J273" i="1"/>
  <c r="K269" i="1"/>
  <c r="J268" i="1"/>
  <c r="J264" i="1"/>
  <c r="L264" i="1" s="1"/>
  <c r="L265" i="1" s="1"/>
  <c r="L266" i="1" s="1"/>
  <c r="N264" i="1"/>
  <c r="J260" i="1"/>
  <c r="J256" i="1"/>
  <c r="L256" i="1" s="1"/>
  <c r="L257" i="1" s="1"/>
  <c r="L258" i="1" s="1"/>
  <c r="N256" i="1"/>
  <c r="K252" i="1"/>
  <c r="L252" i="1" s="1"/>
  <c r="L253" i="1" s="1"/>
  <c r="L254" i="1" s="1"/>
  <c r="N252" i="1"/>
  <c r="K248" i="1"/>
  <c r="N248" i="1"/>
  <c r="J247" i="1"/>
  <c r="L247" i="1" s="1"/>
  <c r="L249" i="1" s="1"/>
  <c r="L250" i="1" s="1"/>
  <c r="N247" i="1"/>
  <c r="J243" i="1"/>
  <c r="K242" i="1"/>
  <c r="J238" i="1"/>
  <c r="K237" i="1"/>
  <c r="J233" i="1"/>
  <c r="K232" i="1"/>
  <c r="J228" i="1"/>
  <c r="K227" i="1"/>
  <c r="J223" i="1"/>
  <c r="K222" i="1"/>
  <c r="J218" i="1"/>
  <c r="K214" i="1"/>
  <c r="L214" i="1" s="1"/>
  <c r="N214" i="1"/>
  <c r="J213" i="1"/>
  <c r="L213" i="1" s="1"/>
  <c r="N213" i="1"/>
  <c r="K209" i="1"/>
  <c r="L209" i="1" s="1"/>
  <c r="L210" i="1" s="1"/>
  <c r="L211" i="1" s="1"/>
  <c r="N209" i="1"/>
  <c r="K205" i="1"/>
  <c r="K204" i="1"/>
  <c r="K203" i="1"/>
  <c r="K202" i="1"/>
  <c r="K201" i="1"/>
  <c r="K200" i="1"/>
  <c r="K199" i="1"/>
  <c r="K198" i="1"/>
  <c r="K197" i="1"/>
  <c r="K196" i="1"/>
  <c r="K195" i="1"/>
  <c r="K194" i="1"/>
  <c r="K193" i="1"/>
  <c r="K192" i="1"/>
  <c r="K191" i="1"/>
  <c r="K190" i="1"/>
  <c r="K189" i="1"/>
  <c r="K188" i="1"/>
  <c r="K187" i="1"/>
  <c r="K183" i="1"/>
  <c r="L183" i="1" s="1"/>
  <c r="L184" i="1" s="1"/>
  <c r="L185" i="1" s="1"/>
  <c r="N183" i="1"/>
  <c r="J179" i="1"/>
  <c r="L179" i="1" s="1"/>
  <c r="L180" i="1" s="1"/>
  <c r="L181" i="1" s="1"/>
  <c r="N179" i="1"/>
  <c r="J175" i="1"/>
  <c r="J174" i="1"/>
  <c r="J170" i="1"/>
  <c r="K166" i="1"/>
  <c r="J162" i="1"/>
  <c r="K159" i="1"/>
  <c r="J158" i="1"/>
  <c r="J154" i="1"/>
  <c r="K150" i="1"/>
  <c r="J149" i="1"/>
  <c r="K145" i="1"/>
  <c r="L145" i="1" s="1"/>
  <c r="N145" i="1"/>
  <c r="K144" i="1"/>
  <c r="L144" i="1" s="1"/>
  <c r="N144" i="1"/>
  <c r="K143" i="1"/>
  <c r="L143" i="1" s="1"/>
  <c r="N143" i="1"/>
  <c r="K142" i="1"/>
  <c r="L142" i="1" s="1"/>
  <c r="N142" i="1"/>
  <c r="K141" i="1"/>
  <c r="L141" i="1" s="1"/>
  <c r="N141" i="1"/>
  <c r="K140" i="1"/>
  <c r="L140" i="1" s="1"/>
  <c r="N140" i="1"/>
  <c r="K139" i="1"/>
  <c r="L139" i="1" s="1"/>
  <c r="N139" i="1"/>
  <c r="K138" i="1"/>
  <c r="L138" i="1" s="1"/>
  <c r="N138" i="1"/>
  <c r="K137" i="1"/>
  <c r="L137" i="1" s="1"/>
  <c r="N137" i="1"/>
  <c r="K136" i="1"/>
  <c r="L136" i="1" s="1"/>
  <c r="N136" i="1"/>
  <c r="K135" i="1"/>
  <c r="L135" i="1" s="1"/>
  <c r="N135" i="1"/>
  <c r="K134" i="1"/>
  <c r="L134" i="1" s="1"/>
  <c r="N134" i="1"/>
  <c r="K133" i="1"/>
  <c r="L133" i="1" s="1"/>
  <c r="N133" i="1"/>
  <c r="K132" i="1"/>
  <c r="L132" i="1" s="1"/>
  <c r="N132" i="1"/>
  <c r="K131" i="1"/>
  <c r="L131" i="1" s="1"/>
  <c r="N131" i="1"/>
  <c r="K130" i="1"/>
  <c r="L130" i="1" s="1"/>
  <c r="N130" i="1"/>
  <c r="K129" i="1"/>
  <c r="L129" i="1" s="1"/>
  <c r="N129" i="1"/>
  <c r="K128" i="1"/>
  <c r="L128" i="1" s="1"/>
  <c r="N128" i="1"/>
  <c r="K127" i="1"/>
  <c r="L127" i="1" s="1"/>
  <c r="N127" i="1"/>
  <c r="J123" i="1"/>
  <c r="J117" i="1"/>
  <c r="J116" i="1"/>
  <c r="J115" i="1"/>
  <c r="K114" i="1"/>
  <c r="J108" i="1"/>
  <c r="J104" i="1"/>
  <c r="L104" i="1" s="1"/>
  <c r="J103" i="1"/>
  <c r="L103" i="1" s="1"/>
  <c r="J99" i="1"/>
  <c r="O99" i="1" s="1"/>
  <c r="J98" i="1"/>
  <c r="O98" i="1" s="1"/>
  <c r="J97" i="1"/>
  <c r="O97" i="1" s="1"/>
  <c r="J96" i="1"/>
  <c r="O96" i="1" s="1"/>
  <c r="J95" i="1"/>
  <c r="O95" i="1" s="1"/>
  <c r="J94" i="1"/>
  <c r="O94" i="1" s="1"/>
  <c r="J93" i="1"/>
  <c r="O93" i="1" s="1"/>
  <c r="J92" i="1"/>
  <c r="O92" i="1" s="1"/>
  <c r="J91" i="1"/>
  <c r="O91" i="1" s="1"/>
  <c r="J90" i="1"/>
  <c r="O90" i="1" s="1"/>
  <c r="J89" i="1"/>
  <c r="O89" i="1" s="1"/>
  <c r="J88" i="1"/>
  <c r="O88" i="1" s="1"/>
  <c r="J87" i="1"/>
  <c r="O87" i="1" s="1"/>
  <c r="J86" i="1"/>
  <c r="O86" i="1" s="1"/>
  <c r="J85" i="1"/>
  <c r="J81" i="1"/>
  <c r="L81" i="1" s="1"/>
  <c r="J80" i="1"/>
  <c r="J76" i="1"/>
  <c r="K72" i="1"/>
  <c r="K68" i="1"/>
  <c r="K67" i="1"/>
  <c r="K66" i="1"/>
  <c r="K65" i="1"/>
  <c r="K61" i="1"/>
  <c r="K60" i="1"/>
  <c r="K59" i="1"/>
  <c r="K58" i="1"/>
  <c r="K54" i="1"/>
  <c r="L54" i="1" s="1"/>
  <c r="K53" i="1"/>
  <c r="K52" i="1"/>
  <c r="K48" i="1"/>
  <c r="N48" i="1"/>
  <c r="J44" i="1"/>
  <c r="J40" i="1"/>
  <c r="J39" i="1"/>
  <c r="J38" i="1"/>
  <c r="J35" i="1"/>
  <c r="O32" i="1"/>
  <c r="O31" i="1"/>
  <c r="O30" i="1"/>
  <c r="O29" i="1"/>
  <c r="O28" i="1"/>
  <c r="O27" i="1"/>
  <c r="O26" i="1"/>
  <c r="O25" i="1"/>
  <c r="O24" i="1"/>
  <c r="O23" i="1"/>
  <c r="O22" i="1"/>
  <c r="O21" i="1"/>
  <c r="O20" i="1"/>
  <c r="O19" i="1"/>
  <c r="O18" i="1"/>
  <c r="O17" i="1"/>
  <c r="O13" i="1"/>
  <c r="O12" i="1"/>
  <c r="J8" i="1"/>
  <c r="L215" i="1" l="1"/>
  <c r="L146" i="1"/>
  <c r="L147" i="1" s="1"/>
  <c r="O232" i="1"/>
  <c r="L232" i="1"/>
  <c r="O237" i="1"/>
  <c r="L237" i="1"/>
  <c r="O242" i="1"/>
  <c r="L242" i="1"/>
  <c r="O260" i="1"/>
  <c r="L260" i="1"/>
  <c r="L261" i="1" s="1"/>
  <c r="L262" i="1" s="1"/>
  <c r="O269" i="1"/>
  <c r="L269" i="1"/>
  <c r="O274" i="1"/>
  <c r="L274" i="1"/>
  <c r="O279" i="1"/>
  <c r="L279" i="1"/>
  <c r="L280" i="1" s="1"/>
  <c r="L281" i="1" s="1"/>
  <c r="O233" i="1"/>
  <c r="L233" i="1"/>
  <c r="O238" i="1"/>
  <c r="L238" i="1"/>
  <c r="O243" i="1"/>
  <c r="L243" i="1"/>
  <c r="O268" i="1"/>
  <c r="L268" i="1"/>
  <c r="O273" i="1"/>
  <c r="L273" i="1"/>
  <c r="O222" i="1"/>
  <c r="L222" i="1"/>
  <c r="O227" i="1"/>
  <c r="L227" i="1"/>
  <c r="O218" i="1"/>
  <c r="L218" i="1"/>
  <c r="L219" i="1" s="1"/>
  <c r="L220" i="1" s="1"/>
  <c r="O223" i="1"/>
  <c r="L223" i="1"/>
  <c r="O228" i="1"/>
  <c r="L228" i="1"/>
  <c r="O174" i="1"/>
  <c r="L174" i="1"/>
  <c r="O175" i="1"/>
  <c r="L175" i="1"/>
  <c r="O158" i="1"/>
  <c r="L158" i="1"/>
  <c r="O162" i="1"/>
  <c r="L162" i="1"/>
  <c r="L163" i="1" s="1"/>
  <c r="L164" i="1" s="1"/>
  <c r="O170" i="1"/>
  <c r="L170" i="1"/>
  <c r="O188" i="1"/>
  <c r="L188" i="1"/>
  <c r="O190" i="1"/>
  <c r="L190" i="1"/>
  <c r="O192" i="1"/>
  <c r="L192" i="1"/>
  <c r="O194" i="1"/>
  <c r="L194" i="1"/>
  <c r="O196" i="1"/>
  <c r="L196" i="1"/>
  <c r="O198" i="1"/>
  <c r="L198" i="1"/>
  <c r="O200" i="1"/>
  <c r="L200" i="1"/>
  <c r="O202" i="1"/>
  <c r="L202" i="1"/>
  <c r="O204" i="1"/>
  <c r="L204" i="1"/>
  <c r="O154" i="1"/>
  <c r="L154" i="1"/>
  <c r="L155" i="1" s="1"/>
  <c r="L156" i="1" s="1"/>
  <c r="O159" i="1"/>
  <c r="L159" i="1"/>
  <c r="O166" i="1"/>
  <c r="L166" i="1"/>
  <c r="L167" i="1" s="1"/>
  <c r="O187" i="1"/>
  <c r="L187" i="1"/>
  <c r="O189" i="1"/>
  <c r="L189" i="1"/>
  <c r="O191" i="1"/>
  <c r="L191" i="1"/>
  <c r="O193" i="1"/>
  <c r="L193" i="1"/>
  <c r="O195" i="1"/>
  <c r="L195" i="1"/>
  <c r="O197" i="1"/>
  <c r="L197" i="1"/>
  <c r="O199" i="1"/>
  <c r="L199" i="1"/>
  <c r="O201" i="1"/>
  <c r="L201" i="1"/>
  <c r="O203" i="1"/>
  <c r="L203" i="1"/>
  <c r="O205" i="1"/>
  <c r="L205" i="1"/>
  <c r="L105" i="1"/>
  <c r="O76" i="1"/>
  <c r="J77" i="1"/>
  <c r="L76" i="1"/>
  <c r="L77" i="1" s="1"/>
  <c r="L78" i="1" s="1"/>
  <c r="O108" i="1"/>
  <c r="L108" i="1"/>
  <c r="L109" i="1" s="1"/>
  <c r="L110" i="1" s="1"/>
  <c r="J109" i="1"/>
  <c r="O115" i="1"/>
  <c r="L115" i="1"/>
  <c r="O117" i="1"/>
  <c r="L117" i="1"/>
  <c r="O149" i="1"/>
  <c r="L149" i="1"/>
  <c r="O72" i="1"/>
  <c r="L72" i="1"/>
  <c r="L73" i="1" s="1"/>
  <c r="L74" i="1" s="1"/>
  <c r="J82" i="1"/>
  <c r="L80" i="1"/>
  <c r="L82" i="1" s="1"/>
  <c r="L83" i="1" s="1"/>
  <c r="O85" i="1"/>
  <c r="J100" i="1"/>
  <c r="O114" i="1"/>
  <c r="L114" i="1"/>
  <c r="O116" i="1"/>
  <c r="L116" i="1"/>
  <c r="O123" i="1"/>
  <c r="L123" i="1"/>
  <c r="L124" i="1" s="1"/>
  <c r="L125" i="1" s="1"/>
  <c r="O150" i="1"/>
  <c r="L150" i="1"/>
  <c r="O53" i="1"/>
  <c r="L53" i="1"/>
  <c r="O60" i="1"/>
  <c r="L60" i="1"/>
  <c r="O52" i="1"/>
  <c r="L52" i="1"/>
  <c r="K55" i="1"/>
  <c r="O59" i="1"/>
  <c r="L59" i="1"/>
  <c r="O61" i="1"/>
  <c r="L61" i="1"/>
  <c r="O66" i="1"/>
  <c r="L66" i="1"/>
  <c r="O68" i="1"/>
  <c r="L68" i="1"/>
  <c r="O58" i="1"/>
  <c r="K62" i="1"/>
  <c r="L58" i="1"/>
  <c r="O65" i="1"/>
  <c r="K69" i="1"/>
  <c r="K73" i="1" s="1"/>
  <c r="L65" i="1"/>
  <c r="O67" i="1"/>
  <c r="L67" i="1"/>
  <c r="O54" i="1"/>
  <c r="O44" i="1"/>
  <c r="L44" i="1"/>
  <c r="L45" i="1" s="1"/>
  <c r="L46" i="1" s="1"/>
  <c r="J45" i="1"/>
  <c r="L48" i="1"/>
  <c r="L49" i="1" s="1"/>
  <c r="L50" i="1" s="1"/>
  <c r="K49" i="1"/>
  <c r="O38" i="1"/>
  <c r="L38" i="1"/>
  <c r="J41" i="1"/>
  <c r="O40" i="1"/>
  <c r="L40" i="1"/>
  <c r="O39" i="1"/>
  <c r="L39" i="1"/>
  <c r="O35" i="1"/>
  <c r="J36" i="1"/>
  <c r="L35" i="1"/>
  <c r="L36" i="1" s="1"/>
  <c r="L37" i="1" s="1"/>
  <c r="L8" i="1"/>
  <c r="L9" i="1" s="1"/>
  <c r="L10" i="1" s="1"/>
  <c r="J9" i="1"/>
  <c r="L5" i="1"/>
  <c r="L6" i="1" s="1"/>
  <c r="K5" i="1"/>
  <c r="O8" i="1"/>
  <c r="O80" i="1"/>
  <c r="O81" i="1"/>
  <c r="J105" i="1"/>
  <c r="O104" i="1"/>
  <c r="O103" i="1"/>
  <c r="O130" i="1"/>
  <c r="O137" i="1"/>
  <c r="O134" i="1"/>
  <c r="O136" i="1"/>
  <c r="O138" i="1"/>
  <c r="O139" i="1"/>
  <c r="O209" i="1"/>
  <c r="O247" i="1"/>
  <c r="O252" i="1"/>
  <c r="O256" i="1"/>
  <c r="O183" i="1"/>
  <c r="O140" i="1"/>
  <c r="O142" i="1"/>
  <c r="O144" i="1"/>
  <c r="L98" i="1"/>
  <c r="L90" i="1"/>
  <c r="L97" i="1"/>
  <c r="L89" i="1"/>
  <c r="L91" i="1"/>
  <c r="O179" i="1"/>
  <c r="O264" i="1"/>
  <c r="L96" i="1"/>
  <c r="L88" i="1"/>
  <c r="L99" i="1"/>
  <c r="O135" i="1"/>
  <c r="L95" i="1"/>
  <c r="L87" i="1"/>
  <c r="O143" i="1"/>
  <c r="L94" i="1"/>
  <c r="L86" i="1"/>
  <c r="L93" i="1"/>
  <c r="O128" i="1"/>
  <c r="L85" i="1"/>
  <c r="L92" i="1"/>
  <c r="O4" i="1"/>
  <c r="O127" i="1"/>
  <c r="O129" i="1"/>
  <c r="O145" i="1"/>
  <c r="O213" i="1"/>
  <c r="O48" i="1"/>
  <c r="O131" i="1"/>
  <c r="O133" i="1"/>
  <c r="O141" i="1"/>
  <c r="O214" i="1"/>
  <c r="O248" i="1"/>
  <c r="O132" i="1"/>
  <c r="L275" i="1" l="1"/>
  <c r="L276" i="1" s="1"/>
  <c r="L55" i="1"/>
  <c r="L56" i="1" s="1"/>
  <c r="L270" i="1"/>
  <c r="L271" i="1" s="1"/>
  <c r="L244" i="1"/>
  <c r="L245" i="1" s="1"/>
  <c r="L239" i="1"/>
  <c r="L240" i="1" s="1"/>
  <c r="L234" i="1"/>
  <c r="L235" i="1" s="1"/>
  <c r="L229" i="1"/>
  <c r="L230" i="1" s="1"/>
  <c r="L224" i="1"/>
  <c r="L225" i="1" s="1"/>
  <c r="L176" i="1"/>
  <c r="L177" i="1" s="1"/>
  <c r="L171" i="1"/>
  <c r="L172" i="1" s="1"/>
  <c r="L206" i="1"/>
  <c r="L207" i="1" s="1"/>
  <c r="L160" i="1"/>
  <c r="L161" i="1" s="1"/>
  <c r="L151" i="1"/>
  <c r="L152" i="1" s="1"/>
  <c r="L118" i="1"/>
  <c r="L119" i="1" s="1"/>
  <c r="L100" i="1"/>
  <c r="L101" i="1" s="1"/>
  <c r="L62" i="1"/>
  <c r="L63" i="1" s="1"/>
  <c r="L69" i="1"/>
  <c r="L70" i="1" s="1"/>
  <c r="L41" i="1"/>
  <c r="L42" i="1" s="1"/>
  <c r="L106" i="1"/>
  <c r="L216" i="1" l="1"/>
  <c r="L168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Recepción</author>
  </authors>
  <commentList>
    <comment ref="I17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Recepción:</t>
        </r>
        <r>
          <rPr>
            <sz val="9"/>
            <color indexed="81"/>
            <rFont val="Tahoma"/>
            <family val="2"/>
          </rPr>
          <t xml:space="preserve">
10 NOYOS</t>
        </r>
      </text>
    </comment>
    <comment ref="I35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Recepción:</t>
        </r>
        <r>
          <rPr>
            <sz val="9"/>
            <color indexed="81"/>
            <rFont val="Tahoma"/>
            <family val="2"/>
          </rPr>
          <t xml:space="preserve">
5 NOYOS</t>
        </r>
      </text>
    </comment>
    <comment ref="I38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Recepción:</t>
        </r>
        <r>
          <rPr>
            <sz val="9"/>
            <color indexed="81"/>
            <rFont val="Tahoma"/>
            <family val="2"/>
          </rPr>
          <t xml:space="preserve">
5 NOYOS</t>
        </r>
      </text>
    </comment>
  </commentList>
</comments>
</file>

<file path=xl/sharedStrings.xml><?xml version="1.0" encoding="utf-8"?>
<sst xmlns="http://schemas.openxmlformats.org/spreadsheetml/2006/main" count="1000" uniqueCount="280">
  <si>
    <t>Molde</t>
  </si>
  <si>
    <t>Uni
x Bolsa</t>
  </si>
  <si>
    <t>Sect</t>
  </si>
  <si>
    <t>Cod Art</t>
  </si>
  <si>
    <t>Descripcion ART</t>
  </si>
  <si>
    <t>Lin</t>
  </si>
  <si>
    <t>Proveed.</t>
  </si>
  <si>
    <t>Kg x Parte</t>
  </si>
  <si>
    <t>Descripcion Parte Plastica</t>
  </si>
  <si>
    <t>Total KG x Material</t>
  </si>
  <si>
    <t>Plaquitas 3- 1</t>
  </si>
  <si>
    <t>BP5</t>
  </si>
  <si>
    <t xml:space="preserve">Tres En Uno              </t>
  </si>
  <si>
    <t>Ch</t>
  </si>
  <si>
    <t>Manolo</t>
  </si>
  <si>
    <t>Plaquitas 3- 1 Blan.</t>
  </si>
  <si>
    <t>AP1</t>
  </si>
  <si>
    <t xml:space="preserve">3 En 1                   </t>
  </si>
  <si>
    <t>LK</t>
  </si>
  <si>
    <t>Plaquita 3 en 1 LK</t>
  </si>
  <si>
    <t>Capuchones</t>
  </si>
  <si>
    <t>AP2</t>
  </si>
  <si>
    <t>Capuchon Batidor LK</t>
  </si>
  <si>
    <t>AP3</t>
  </si>
  <si>
    <t xml:space="preserve">Espatula Acero Inox.     </t>
  </si>
  <si>
    <t>Capuchon Espatula LK</t>
  </si>
  <si>
    <t>AP4</t>
  </si>
  <si>
    <t xml:space="preserve">Pincel Pastelero         </t>
  </si>
  <si>
    <t>Capuchon ф10</t>
  </si>
  <si>
    <t>AP5</t>
  </si>
  <si>
    <t xml:space="preserve">Pisa Papas Acero Inox    </t>
  </si>
  <si>
    <t>Capuchon ф 8</t>
  </si>
  <si>
    <t>Cuchillo Unt</t>
  </si>
  <si>
    <t>AP6</t>
  </si>
  <si>
    <t>Telleria</t>
  </si>
  <si>
    <t>Mang Cuch Unt Rojo</t>
  </si>
  <si>
    <t>AP7</t>
  </si>
  <si>
    <t>Mang Cuch Unt Chef</t>
  </si>
  <si>
    <t>Insertos NM Cortos</t>
  </si>
  <si>
    <t>HP2</t>
  </si>
  <si>
    <t xml:space="preserve">Pala Torta               </t>
  </si>
  <si>
    <t>Inser. Neg. Cuch. y Pal</t>
  </si>
  <si>
    <t>Cuchillo De Torta</t>
  </si>
  <si>
    <t>Enrulador Manteca</t>
  </si>
  <si>
    <t>EP8</t>
  </si>
  <si>
    <t xml:space="preserve">Ahueca Papa              </t>
  </si>
  <si>
    <t>Inser. Neg. Espat</t>
  </si>
  <si>
    <t xml:space="preserve">Ahueca Frutas            </t>
  </si>
  <si>
    <t xml:space="preserve">Corta Ravioles           </t>
  </si>
  <si>
    <t xml:space="preserve">Corta Pizza Grande       </t>
  </si>
  <si>
    <t>HP1</t>
  </si>
  <si>
    <t xml:space="preserve">Pisa Papas               </t>
  </si>
  <si>
    <t>Inser. Neg. Batidor</t>
  </si>
  <si>
    <t xml:space="preserve">Pisa Papa Nylon          </t>
  </si>
  <si>
    <t>Sacafuente</t>
  </si>
  <si>
    <t xml:space="preserve">Limpia Mamadera A/I      </t>
  </si>
  <si>
    <t>Descorazonador De Manzana</t>
  </si>
  <si>
    <t>AP9</t>
  </si>
  <si>
    <t xml:space="preserve">Pala De Canelones        </t>
  </si>
  <si>
    <t>Inserto Neg. Canelones</t>
  </si>
  <si>
    <t>Mangos</t>
  </si>
  <si>
    <t>BP1</t>
  </si>
  <si>
    <t xml:space="preserve">Pala De Torta Acero Inox </t>
  </si>
  <si>
    <t>Mango LK Cuch y P Torta</t>
  </si>
  <si>
    <t>CP8</t>
  </si>
  <si>
    <t>Mango LK ф 8</t>
  </si>
  <si>
    <t>Pisa Papas Nylon Mgo Plas</t>
  </si>
  <si>
    <t>CP6</t>
  </si>
  <si>
    <t>Mango LK Espatula</t>
  </si>
  <si>
    <t xml:space="preserve">Espumadera Ac.Inox.      </t>
  </si>
  <si>
    <t xml:space="preserve">Cuchara Salsera Inox     </t>
  </si>
  <si>
    <t xml:space="preserve">Cuchara Calada Ac.Inox.  </t>
  </si>
  <si>
    <t xml:space="preserve">Cucharon Ac.Inox.        </t>
  </si>
  <si>
    <t>Tenedor Ac Inox</t>
  </si>
  <si>
    <t xml:space="preserve">Espatula Lisa Ac.Inox.   </t>
  </si>
  <si>
    <t>Cepillo Limpia Vaso Mamad</t>
  </si>
  <si>
    <t xml:space="preserve">Ahueca Papas             </t>
  </si>
  <si>
    <t>Pelapapas Cuchilla Corte Laser</t>
  </si>
  <si>
    <t xml:space="preserve">Enrulador De Manteca     </t>
  </si>
  <si>
    <t>CP7</t>
  </si>
  <si>
    <t xml:space="preserve">Batidor Resorte          </t>
  </si>
  <si>
    <t>Mango LK Corta Queso</t>
  </si>
  <si>
    <t xml:space="preserve">Corta Queso              </t>
  </si>
  <si>
    <t>Mango Corta Queso</t>
  </si>
  <si>
    <t>CP4</t>
  </si>
  <si>
    <t>Mangos ф 10</t>
  </si>
  <si>
    <t xml:space="preserve">Mangos Pinzas </t>
  </si>
  <si>
    <t>FP2</t>
  </si>
  <si>
    <t>Pinza De Fiambre*Arte* X 12</t>
  </si>
  <si>
    <t>Cachas Azules</t>
  </si>
  <si>
    <t>Pinza De Ensaladas*Arte* X 12</t>
  </si>
  <si>
    <t xml:space="preserve">Pinza De Fideos*Arte*  </t>
  </si>
  <si>
    <t>FP3</t>
  </si>
  <si>
    <t>Pinza De Fideos Mgo Plast X 12</t>
  </si>
  <si>
    <t>Pinza De Fiambre Mgo Plas X 12</t>
  </si>
  <si>
    <t>Pinza De Ensalada Mgo Pla X 12</t>
  </si>
  <si>
    <t>Capuchon
 Mariposa</t>
  </si>
  <si>
    <t>EP6</t>
  </si>
  <si>
    <t>Abrelata Mariposa Plastic</t>
  </si>
  <si>
    <t>Capuchon Mariposa 512</t>
  </si>
  <si>
    <t>Sale del Molde de Insertos</t>
  </si>
  <si>
    <t>EP7</t>
  </si>
  <si>
    <t>Ojales Neg/Blanco</t>
  </si>
  <si>
    <t>Ojales</t>
  </si>
  <si>
    <t>Cucharon Ac Inox C/Mgo Ch</t>
  </si>
  <si>
    <t xml:space="preserve">Espumadera Ac Inox C/Mgo </t>
  </si>
  <si>
    <t>Pinche Ac Inox C/Mgo Chef</t>
  </si>
  <si>
    <t>Cuchara Salsera Ac Inox</t>
  </si>
  <si>
    <t>Cuchara Calada Ac Inox</t>
  </si>
  <si>
    <t>Espatula Lisa Ac Inox</t>
  </si>
  <si>
    <t>Espatula Calada Ac Inox</t>
  </si>
  <si>
    <t>Base Afila</t>
  </si>
  <si>
    <t>CP5</t>
  </si>
  <si>
    <t>Rodar</t>
  </si>
  <si>
    <t>Afila Caladas Azules</t>
  </si>
  <si>
    <t xml:space="preserve">Pelador Mgo Plastico     </t>
  </si>
  <si>
    <t>DP1</t>
  </si>
  <si>
    <t>Mango 505 Calados.</t>
  </si>
  <si>
    <t>Tercero</t>
  </si>
  <si>
    <t>DP4</t>
  </si>
  <si>
    <t>JL Matriceria</t>
  </si>
  <si>
    <t>Cierra Bolsas Blanc.</t>
  </si>
  <si>
    <t>Mangos Abrelata</t>
  </si>
  <si>
    <t>FP5</t>
  </si>
  <si>
    <t xml:space="preserve">Abrelatas A Manija       </t>
  </si>
  <si>
    <t>Manguito Abrelat. Rojo</t>
  </si>
  <si>
    <t>FP6</t>
  </si>
  <si>
    <t>Manguito Abrelat. Blanco</t>
  </si>
  <si>
    <t>Regatones</t>
  </si>
  <si>
    <t>GP1</t>
  </si>
  <si>
    <t>Pirolo Rojo</t>
  </si>
  <si>
    <t>Bujes Abrelatas</t>
  </si>
  <si>
    <t>BP9</t>
  </si>
  <si>
    <t xml:space="preserve">Abrelatas A Mariposa     </t>
  </si>
  <si>
    <t>Buje Blanco</t>
  </si>
  <si>
    <t>Mango Ergon.</t>
  </si>
  <si>
    <t>MP1</t>
  </si>
  <si>
    <t>Mango Pelador LK 586 S/S</t>
  </si>
  <si>
    <t>Mangos NM</t>
  </si>
  <si>
    <t>MP2</t>
  </si>
  <si>
    <t>Mangos Pelador Vde</t>
  </si>
  <si>
    <t>Mangos Chef</t>
  </si>
  <si>
    <t>IP1</t>
  </si>
  <si>
    <t>MP4</t>
  </si>
  <si>
    <t>Cuchillo de Untar Acril</t>
  </si>
  <si>
    <t>MP5</t>
  </si>
  <si>
    <t>Cuchillo de Untar Blanc</t>
  </si>
  <si>
    <t>Pelanaranjas</t>
  </si>
  <si>
    <t>V17</t>
  </si>
  <si>
    <t xml:space="preserve">Pelanaranjas X 1 Display </t>
  </si>
  <si>
    <t>Pela naranjas</t>
  </si>
  <si>
    <t>Mold. Cuch. Calada y Fideos</t>
  </si>
  <si>
    <t>V6</t>
  </si>
  <si>
    <t xml:space="preserve">Cuchara Calada Plastica  </t>
  </si>
  <si>
    <t>Cuchara Calada 1 Pz  Ny</t>
  </si>
  <si>
    <t>Cuchara Calada Nylon 1 Pz</t>
  </si>
  <si>
    <t>V5</t>
  </si>
  <si>
    <t xml:space="preserve">Cuchara Pulpo Plastica   </t>
  </si>
  <si>
    <t xml:space="preserve">Cuchara Fideos 1 Pz Ny </t>
  </si>
  <si>
    <t>Cuchara Pulpo Nylon 1 Pza</t>
  </si>
  <si>
    <t>Cuchara Fideos 1 Pz Ny</t>
  </si>
  <si>
    <t xml:space="preserve">Mold. Cucharon </t>
  </si>
  <si>
    <t>V2</t>
  </si>
  <si>
    <t xml:space="preserve">Cucharon Plastico        </t>
  </si>
  <si>
    <t xml:space="preserve">Cucharon 1 Pz Ny </t>
  </si>
  <si>
    <t xml:space="preserve">Cucharon Nylon 1 Pza     </t>
  </si>
  <si>
    <t xml:space="preserve">Mold. Espatula Calada y Lisa </t>
  </si>
  <si>
    <t>V7</t>
  </si>
  <si>
    <t xml:space="preserve">Espatula Calada Plastica </t>
  </si>
  <si>
    <t>Espatula Cal.  1 Pz Ny</t>
  </si>
  <si>
    <t>Espatula Calada Nylon 1 P</t>
  </si>
  <si>
    <t>V3</t>
  </si>
  <si>
    <t xml:space="preserve">Espatula Lisa Plastica   </t>
  </si>
  <si>
    <t xml:space="preserve">Espatula Lisa 1 Pz </t>
  </si>
  <si>
    <t>Espatula Lisa Nylon 1 Pza</t>
  </si>
  <si>
    <t>Corta Torta</t>
  </si>
  <si>
    <t>V8</t>
  </si>
  <si>
    <t xml:space="preserve">Corta Torta              </t>
  </si>
  <si>
    <t>Corta Torta Plast</t>
  </si>
  <si>
    <t>Cuchara</t>
  </si>
  <si>
    <t>V16</t>
  </si>
  <si>
    <t>Cuchara Ny Chef (S/marca)</t>
  </si>
  <si>
    <t>V15</t>
  </si>
  <si>
    <t>Cuchara Ny Loeke (Serif.)</t>
  </si>
  <si>
    <t>Picos Reposteros</t>
  </si>
  <si>
    <t>V14</t>
  </si>
  <si>
    <t>Manga Repostera + 4 Boqui</t>
  </si>
  <si>
    <t>Pisa Papa Nylon</t>
  </si>
  <si>
    <t>V1</t>
  </si>
  <si>
    <t>Pisa papa Nylon</t>
  </si>
  <si>
    <t>Cuerpo Sacacorcho</t>
  </si>
  <si>
    <t>DP3</t>
  </si>
  <si>
    <t xml:space="preserve">Sacacorcho Doble Aleta   </t>
  </si>
  <si>
    <t>Cuerpo Sac Aleta Plast</t>
  </si>
  <si>
    <t>-</t>
  </si>
  <si>
    <t>Cuerpo Doble aleta Plast</t>
  </si>
  <si>
    <t>Cilindro Corta Queso</t>
  </si>
  <si>
    <t>V18</t>
  </si>
  <si>
    <t>Corta Queso Blandos Mango Alambre</t>
  </si>
  <si>
    <t>BP14</t>
  </si>
  <si>
    <t>Cuerpo Sacacorcho Plast</t>
  </si>
  <si>
    <t>BP15</t>
  </si>
  <si>
    <t>3 MESES</t>
  </si>
  <si>
    <t>TOTAL MANGO</t>
  </si>
  <si>
    <t>MAX</t>
  </si>
  <si>
    <t>Max</t>
  </si>
  <si>
    <t>TOTAL</t>
  </si>
  <si>
    <t>Uni x Bolsa</t>
  </si>
  <si>
    <t>SECTOR</t>
  </si>
  <si>
    <t xml:space="preserve">MAX </t>
  </si>
  <si>
    <t>MAX REAL</t>
  </si>
  <si>
    <t>E Madre Ch</t>
  </si>
  <si>
    <t>E Madre LK</t>
  </si>
  <si>
    <t>Cons LK Bolsa 1 Mes</t>
  </si>
  <si>
    <t>Cons LK Bolsa 3 Mes</t>
  </si>
  <si>
    <t>Max Bolsa 3 Mes</t>
  </si>
  <si>
    <t>A1</t>
  </si>
  <si>
    <t>A2</t>
  </si>
  <si>
    <t>A13</t>
  </si>
  <si>
    <t>A18</t>
  </si>
  <si>
    <t>A10</t>
  </si>
  <si>
    <t>C5</t>
  </si>
  <si>
    <t>B6</t>
  </si>
  <si>
    <t>B7</t>
  </si>
  <si>
    <t>B5</t>
  </si>
  <si>
    <t>A7</t>
  </si>
  <si>
    <t>A17</t>
  </si>
  <si>
    <t>A8</t>
  </si>
  <si>
    <t>A15</t>
  </si>
  <si>
    <t>A12</t>
  </si>
  <si>
    <t>A6</t>
  </si>
  <si>
    <t>Pirolo Negro</t>
  </si>
  <si>
    <t>Pirolo Blanco</t>
  </si>
  <si>
    <t>C3</t>
  </si>
  <si>
    <t>C2</t>
  </si>
  <si>
    <t>C1</t>
  </si>
  <si>
    <t>C6</t>
  </si>
  <si>
    <t>B8</t>
  </si>
  <si>
    <t>B1</t>
  </si>
  <si>
    <t>Cuchara Ny Chef (Serif.)</t>
  </si>
  <si>
    <t>B3</t>
  </si>
  <si>
    <t>B2</t>
  </si>
  <si>
    <t>B4</t>
  </si>
  <si>
    <t>EP1</t>
  </si>
  <si>
    <t>EP2</t>
  </si>
  <si>
    <t>Afila Caladas Blanca</t>
  </si>
  <si>
    <t>EP3</t>
  </si>
  <si>
    <t>EP4</t>
  </si>
  <si>
    <t>A19</t>
  </si>
  <si>
    <t>EP9</t>
  </si>
  <si>
    <t>C12</t>
  </si>
  <si>
    <t>C10</t>
  </si>
  <si>
    <t>C11</t>
  </si>
  <si>
    <t>Manguito Abrelat. Negro</t>
  </si>
  <si>
    <t>C9</t>
  </si>
  <si>
    <t>C13</t>
  </si>
  <si>
    <t>Insert Blanco</t>
  </si>
  <si>
    <t>Cachas Blancas</t>
  </si>
  <si>
    <t>C8</t>
  </si>
  <si>
    <t>C14</t>
  </si>
  <si>
    <t>A3</t>
  </si>
  <si>
    <t>Muñeco Antiderrame</t>
  </si>
  <si>
    <t>A4</t>
  </si>
  <si>
    <t>A5</t>
  </si>
  <si>
    <t>A9</t>
  </si>
  <si>
    <t>Mgo sacafuente pizzero</t>
  </si>
  <si>
    <t>Mgo corta pizza</t>
  </si>
  <si>
    <t>Cabo madera 525</t>
  </si>
  <si>
    <t>EP5</t>
  </si>
  <si>
    <t>Mango Pelador LK 586 C/S</t>
  </si>
  <si>
    <t>Capuchon Marip. Rojo</t>
  </si>
  <si>
    <t>A11</t>
  </si>
  <si>
    <t>C7</t>
  </si>
  <si>
    <t>A14</t>
  </si>
  <si>
    <t>Sector Cuchillas</t>
  </si>
  <si>
    <t>A14A</t>
  </si>
  <si>
    <t>A14B</t>
  </si>
  <si>
    <t>A14C</t>
  </si>
  <si>
    <t>C4</t>
  </si>
  <si>
    <t>Placas Niquel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</si>
</sst>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* #,##0_-;\-* #,##0_-;_-* &quot;-&quot;????_-;_-@_-"/>
    <numFmt numFmtId="165" formatCode="_ * #,##0.00_ ;_ * \-#,##0.00_ ;_ * &quot;-&quot;??_ ;_ @_ "/>
    <numFmt numFmtId="166" formatCode="_ * #,##0.0000_ ;_ * \-#,##0.0000_ ;_ * &quot;-&quot;??_ ;_ @_ "/>
    <numFmt numFmtId="167" formatCode="_ * #,##0.0_ ;_ * \-#,##0.0_ ;_ * &quot;-&quot;??_ ;_ @_ "/>
    <numFmt numFmtId="168" formatCode="_ * #,##0_ ;_ * \-#,##0_ ;_ * &quot;-&quot;??_ ;_ @_ "/>
    <numFmt numFmtId="169" formatCode="0.0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u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u/>
      <sz val="20"/>
      <color theme="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4"/>
      <name val="Arial"/>
      <family val="2"/>
    </font>
    <font>
      <b/>
      <sz val="14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name val="Calibri"/>
      <family val="2"/>
      <scheme val="minor"/>
    </font>
    <font>
      <sz val="1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sz val="2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u/>
      <sz val="14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165" fontId="1" fillId="0" borderId="0" applyFont="0" applyFill="0" applyBorder="0" applyAlignment="0" applyProtection="0"/>
  </cellStyleXfs>
  <cellXfs count="373">
    <xf numFmtId="0" fontId="0" fillId="0" borderId="0" xfId="0"/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vertical="center"/>
    </xf>
    <xf numFmtId="0" fontId="4" fillId="0" borderId="2" xfId="0" applyFont="1" applyBorder="1" applyAlignment="1">
      <alignment horizontal="center" vertical="center"/>
    </xf>
    <xf numFmtId="164" fontId="4" fillId="0" borderId="2" xfId="0" applyNumberFormat="1" applyFont="1" applyBorder="1" applyAlignment="1">
      <alignment vertical="center"/>
    </xf>
    <xf numFmtId="0" fontId="4" fillId="0" borderId="6" xfId="0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166" fontId="4" fillId="0" borderId="6" xfId="1" applyNumberFormat="1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16" fontId="7" fillId="0" borderId="7" xfId="0" applyNumberFormat="1" applyFont="1" applyBorder="1" applyAlignment="1">
      <alignment horizontal="center" vertical="center"/>
    </xf>
    <xf numFmtId="165" fontId="4" fillId="0" borderId="6" xfId="1" applyFont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 wrapText="1"/>
    </xf>
    <xf numFmtId="0" fontId="8" fillId="0" borderId="9" xfId="0" applyFont="1" applyFill="1" applyBorder="1" applyAlignment="1">
      <alignment horizontal="center" vertical="top" wrapText="1"/>
    </xf>
    <xf numFmtId="0" fontId="5" fillId="0" borderId="0" xfId="0" applyFont="1" applyFill="1"/>
    <xf numFmtId="0" fontId="5" fillId="0" borderId="4" xfId="0" applyNumberFormat="1" applyFont="1" applyFill="1" applyBorder="1" applyAlignment="1">
      <alignment horizontal="center" vertical="center"/>
    </xf>
    <xf numFmtId="0" fontId="5" fillId="0" borderId="4" xfId="0" applyNumberFormat="1" applyFont="1" applyFill="1" applyBorder="1" applyAlignment="1">
      <alignment horizontal="left" vertical="center"/>
    </xf>
    <xf numFmtId="0" fontId="13" fillId="0" borderId="4" xfId="0" applyNumberFormat="1" applyFont="1" applyFill="1" applyBorder="1" applyAlignment="1">
      <alignment horizontal="center" vertical="center"/>
    </xf>
    <xf numFmtId="0" fontId="5" fillId="0" borderId="0" xfId="0" applyFont="1"/>
    <xf numFmtId="0" fontId="12" fillId="0" borderId="21" xfId="0" applyFont="1" applyFill="1" applyBorder="1" applyAlignment="1">
      <alignment horizontal="center" vertical="center"/>
    </xf>
    <xf numFmtId="0" fontId="13" fillId="0" borderId="21" xfId="0" applyFont="1" applyBorder="1" applyAlignment="1">
      <alignment horizontal="center" vertical="center"/>
    </xf>
    <xf numFmtId="0" fontId="5" fillId="0" borderId="21" xfId="0" applyNumberFormat="1" applyFont="1" applyFill="1" applyBorder="1" applyAlignment="1">
      <alignment horizontal="left" vertical="center"/>
    </xf>
    <xf numFmtId="49" fontId="13" fillId="0" borderId="21" xfId="0" applyNumberFormat="1" applyFont="1" applyFill="1" applyBorder="1" applyAlignment="1">
      <alignment horizontal="center" vertical="center"/>
    </xf>
    <xf numFmtId="0" fontId="13" fillId="0" borderId="26" xfId="0" applyFont="1" applyBorder="1" applyAlignment="1">
      <alignment horizontal="center" vertical="center"/>
    </xf>
    <xf numFmtId="0" fontId="13" fillId="0" borderId="26" xfId="0" applyFont="1" applyBorder="1" applyAlignment="1">
      <alignment horizontal="left" vertical="center"/>
    </xf>
    <xf numFmtId="49" fontId="13" fillId="0" borderId="26" xfId="0" applyNumberFormat="1" applyFont="1" applyFill="1" applyBorder="1" applyAlignment="1">
      <alignment horizontal="center" vertical="center"/>
    </xf>
    <xf numFmtId="0" fontId="14" fillId="0" borderId="29" xfId="0" applyFont="1" applyBorder="1" applyAlignment="1">
      <alignment horizontal="center" vertical="center"/>
    </xf>
    <xf numFmtId="0" fontId="13" fillId="0" borderId="31" xfId="0" applyFont="1" applyBorder="1" applyAlignment="1">
      <alignment horizontal="center" vertical="center"/>
    </xf>
    <xf numFmtId="0" fontId="13" fillId="0" borderId="31" xfId="0" applyFont="1" applyBorder="1" applyAlignment="1">
      <alignment horizontal="left" vertical="center"/>
    </xf>
    <xf numFmtId="49" fontId="13" fillId="0" borderId="31" xfId="0" applyNumberFormat="1" applyFont="1" applyFill="1" applyBorder="1" applyAlignment="1">
      <alignment horizontal="center" vertical="center"/>
    </xf>
    <xf numFmtId="0" fontId="5" fillId="0" borderId="31" xfId="0" applyNumberFormat="1" applyFont="1" applyFill="1" applyBorder="1" applyAlignment="1">
      <alignment horizontal="left" vertical="center"/>
    </xf>
    <xf numFmtId="0" fontId="13" fillId="0" borderId="31" xfId="0" applyFont="1" applyFill="1" applyBorder="1" applyAlignment="1">
      <alignment horizontal="center" vertical="center"/>
    </xf>
    <xf numFmtId="0" fontId="12" fillId="0" borderId="25" xfId="0" applyFont="1" applyFill="1" applyBorder="1" applyAlignment="1">
      <alignment horizontal="center" vertical="center"/>
    </xf>
    <xf numFmtId="0" fontId="13" fillId="0" borderId="35" xfId="0" applyFont="1" applyBorder="1" applyAlignment="1">
      <alignment horizontal="center" vertical="center"/>
    </xf>
    <xf numFmtId="0" fontId="13" fillId="0" borderId="35" xfId="0" applyFont="1" applyBorder="1" applyAlignment="1">
      <alignment horizontal="left" vertical="center"/>
    </xf>
    <xf numFmtId="49" fontId="13" fillId="0" borderId="35" xfId="0" applyNumberFormat="1" applyFont="1" applyFill="1" applyBorder="1" applyAlignment="1">
      <alignment horizontal="center" vertical="center"/>
    </xf>
    <xf numFmtId="0" fontId="13" fillId="0" borderId="4" xfId="0" applyFont="1" applyFill="1" applyBorder="1" applyAlignment="1">
      <alignment horizontal="center" vertical="center"/>
    </xf>
    <xf numFmtId="0" fontId="13" fillId="0" borderId="4" xfId="0" applyFont="1" applyFill="1" applyBorder="1" applyAlignment="1">
      <alignment horizontal="left" vertical="center"/>
    </xf>
    <xf numFmtId="49" fontId="13" fillId="0" borderId="4" xfId="0" applyNumberFormat="1" applyFont="1" applyFill="1" applyBorder="1" applyAlignment="1">
      <alignment horizontal="center" vertical="center"/>
    </xf>
    <xf numFmtId="167" fontId="12" fillId="0" borderId="4" xfId="1" applyNumberFormat="1" applyFont="1" applyFill="1" applyBorder="1" applyAlignment="1">
      <alignment horizontal="center" vertical="center"/>
    </xf>
    <xf numFmtId="0" fontId="13" fillId="0" borderId="35" xfId="0" applyFont="1" applyFill="1" applyBorder="1" applyAlignment="1">
      <alignment horizontal="center" vertical="center"/>
    </xf>
    <xf numFmtId="0" fontId="13" fillId="0" borderId="35" xfId="0" applyFont="1" applyFill="1" applyBorder="1" applyAlignment="1">
      <alignment horizontal="left" vertical="center"/>
    </xf>
    <xf numFmtId="0" fontId="14" fillId="0" borderId="29" xfId="0" applyFont="1" applyBorder="1" applyAlignment="1">
      <alignment horizontal="center" vertical="center" wrapText="1"/>
    </xf>
    <xf numFmtId="0" fontId="5" fillId="0" borderId="31" xfId="0" applyNumberFormat="1" applyFont="1" applyFill="1" applyBorder="1" applyAlignment="1">
      <alignment horizontal="center" vertical="center"/>
    </xf>
    <xf numFmtId="0" fontId="13" fillId="0" borderId="31" xfId="0" applyNumberFormat="1" applyFont="1" applyFill="1" applyBorder="1" applyAlignment="1">
      <alignment horizontal="center" vertical="center"/>
    </xf>
    <xf numFmtId="0" fontId="5" fillId="0" borderId="21" xfId="0" applyNumberFormat="1" applyFont="1" applyFill="1" applyBorder="1" applyAlignment="1">
      <alignment horizontal="center" vertical="center"/>
    </xf>
    <xf numFmtId="0" fontId="13" fillId="0" borderId="21" xfId="0" applyNumberFormat="1" applyFont="1" applyFill="1" applyBorder="1" applyAlignment="1">
      <alignment horizontal="center" vertical="center"/>
    </xf>
    <xf numFmtId="0" fontId="17" fillId="0" borderId="29" xfId="0" applyFont="1" applyBorder="1" applyAlignment="1">
      <alignment horizontal="center" vertical="center"/>
    </xf>
    <xf numFmtId="0" fontId="13" fillId="0" borderId="28" xfId="0" applyFont="1" applyFill="1" applyBorder="1" applyAlignment="1">
      <alignment horizontal="center" vertical="center"/>
    </xf>
    <xf numFmtId="0" fontId="5" fillId="0" borderId="15" xfId="0" applyNumberFormat="1" applyFont="1" applyFill="1" applyBorder="1" applyAlignment="1">
      <alignment horizontal="left" vertical="center"/>
    </xf>
    <xf numFmtId="0" fontId="13" fillId="0" borderId="33" xfId="0" applyFont="1" applyBorder="1" applyAlignment="1">
      <alignment horizontal="center" vertical="center"/>
    </xf>
    <xf numFmtId="0" fontId="5" fillId="0" borderId="39" xfId="0" applyNumberFormat="1" applyFont="1" applyFill="1" applyBorder="1" applyAlignment="1">
      <alignment horizontal="left" vertical="center"/>
    </xf>
    <xf numFmtId="0" fontId="13" fillId="0" borderId="37" xfId="0" applyFont="1" applyBorder="1" applyAlignment="1">
      <alignment horizontal="center" vertical="center"/>
    </xf>
    <xf numFmtId="0" fontId="5" fillId="0" borderId="19" xfId="0" applyNumberFormat="1" applyFont="1" applyFill="1" applyBorder="1" applyAlignment="1">
      <alignment horizontal="center" vertical="center"/>
    </xf>
    <xf numFmtId="0" fontId="11" fillId="0" borderId="29" xfId="0" applyFont="1" applyBorder="1" applyAlignment="1">
      <alignment horizontal="center" vertical="center" wrapText="1"/>
    </xf>
    <xf numFmtId="0" fontId="5" fillId="0" borderId="33" xfId="0" applyNumberFormat="1" applyFont="1" applyFill="1" applyBorder="1" applyAlignment="1">
      <alignment horizontal="center" vertical="center"/>
    </xf>
    <xf numFmtId="0" fontId="11" fillId="0" borderId="20" xfId="0" applyFont="1" applyBorder="1" applyAlignment="1">
      <alignment horizontal="center" vertical="center" wrapText="1"/>
    </xf>
    <xf numFmtId="0" fontId="13" fillId="0" borderId="19" xfId="0" applyFont="1" applyBorder="1" applyAlignment="1">
      <alignment horizontal="center" vertical="center"/>
    </xf>
    <xf numFmtId="0" fontId="5" fillId="0" borderId="9" xfId="0" applyFont="1" applyBorder="1" applyAlignment="1">
      <alignment vertical="center" wrapText="1"/>
    </xf>
    <xf numFmtId="0" fontId="5" fillId="0" borderId="6" xfId="0" applyNumberFormat="1" applyFont="1" applyFill="1" applyBorder="1" applyAlignment="1">
      <alignment horizontal="center" vertical="center"/>
    </xf>
    <xf numFmtId="0" fontId="13" fillId="0" borderId="6" xfId="0" applyNumberFormat="1" applyFont="1" applyFill="1" applyBorder="1" applyAlignment="1">
      <alignment horizontal="center" vertical="center"/>
    </xf>
    <xf numFmtId="0" fontId="5" fillId="0" borderId="40" xfId="0" applyFont="1" applyBorder="1" applyAlignment="1">
      <alignment vertical="center" wrapText="1"/>
    </xf>
    <xf numFmtId="0" fontId="5" fillId="0" borderId="0" xfId="0" applyNumberFormat="1" applyFont="1" applyFill="1" applyBorder="1" applyAlignment="1">
      <alignment horizontal="center" vertical="center"/>
    </xf>
    <xf numFmtId="0" fontId="13" fillId="0" borderId="0" xfId="0" applyNumberFormat="1" applyFont="1" applyFill="1" applyBorder="1" applyAlignment="1">
      <alignment horizontal="center" vertical="center"/>
    </xf>
    <xf numFmtId="0" fontId="5" fillId="0" borderId="10" xfId="0" applyNumberFormat="1" applyFont="1" applyFill="1" applyBorder="1" applyAlignment="1">
      <alignment horizontal="left" vertical="center"/>
    </xf>
    <xf numFmtId="0" fontId="13" fillId="0" borderId="4" xfId="0" applyFont="1" applyBorder="1" applyAlignment="1">
      <alignment horizontal="center" vertical="center"/>
    </xf>
    <xf numFmtId="0" fontId="13" fillId="0" borderId="4" xfId="0" applyFont="1" applyBorder="1" applyAlignment="1">
      <alignment horizontal="left" vertical="center"/>
    </xf>
    <xf numFmtId="0" fontId="15" fillId="0" borderId="7" xfId="0" applyFont="1" applyBorder="1" applyAlignment="1">
      <alignment horizontal="center" vertical="center"/>
    </xf>
    <xf numFmtId="0" fontId="13" fillId="0" borderId="28" xfId="0" applyFont="1" applyBorder="1" applyAlignment="1">
      <alignment horizontal="center" vertical="center"/>
    </xf>
    <xf numFmtId="0" fontId="15" fillId="0" borderId="20" xfId="0" applyFont="1" applyBorder="1" applyAlignment="1">
      <alignment horizontal="center" vertical="center"/>
    </xf>
    <xf numFmtId="0" fontId="13" fillId="0" borderId="26" xfId="0" applyNumberFormat="1" applyFont="1" applyFill="1" applyBorder="1" applyAlignment="1">
      <alignment horizontal="center" vertical="center"/>
    </xf>
    <xf numFmtId="0" fontId="11" fillId="0" borderId="20" xfId="0" applyFont="1" applyBorder="1" applyAlignment="1">
      <alignment horizontal="center" vertical="center"/>
    </xf>
    <xf numFmtId="0" fontId="5" fillId="0" borderId="35" xfId="0" applyNumberFormat="1" applyFont="1" applyFill="1" applyBorder="1" applyAlignment="1">
      <alignment horizontal="center" vertical="center"/>
    </xf>
    <xf numFmtId="0" fontId="13" fillId="0" borderId="35" xfId="0" applyNumberFormat="1" applyFont="1" applyFill="1" applyBorder="1" applyAlignment="1">
      <alignment horizontal="center" vertical="center"/>
    </xf>
    <xf numFmtId="0" fontId="17" fillId="0" borderId="38" xfId="0" applyFont="1" applyBorder="1" applyAlignment="1">
      <alignment horizontal="center" vertical="center" wrapText="1"/>
    </xf>
    <xf numFmtId="0" fontId="5" fillId="0" borderId="37" xfId="0" applyNumberFormat="1" applyFont="1" applyFill="1" applyBorder="1" applyAlignment="1">
      <alignment horizontal="center" vertical="center"/>
    </xf>
    <xf numFmtId="0" fontId="11" fillId="0" borderId="29" xfId="0" applyFont="1" applyBorder="1" applyAlignment="1">
      <alignment horizontal="center" vertical="center"/>
    </xf>
    <xf numFmtId="0" fontId="15" fillId="0" borderId="12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 wrapText="1"/>
    </xf>
    <xf numFmtId="0" fontId="13" fillId="0" borderId="16" xfId="0" applyFont="1" applyBorder="1" applyAlignment="1">
      <alignment horizontal="center" vertical="center"/>
    </xf>
    <xf numFmtId="0" fontId="13" fillId="0" borderId="39" xfId="0" applyNumberFormat="1" applyFont="1" applyFill="1" applyBorder="1" applyAlignment="1">
      <alignment horizontal="center" vertical="center"/>
    </xf>
    <xf numFmtId="0" fontId="15" fillId="0" borderId="29" xfId="0" applyFont="1" applyBorder="1" applyAlignment="1">
      <alignment horizontal="center" vertical="center" wrapText="1"/>
    </xf>
    <xf numFmtId="0" fontId="13" fillId="0" borderId="23" xfId="0" applyFont="1" applyBorder="1" applyAlignment="1">
      <alignment horizontal="center" vertical="center"/>
    </xf>
    <xf numFmtId="0" fontId="5" fillId="0" borderId="44" xfId="0" applyFont="1" applyBorder="1" applyAlignment="1">
      <alignment vertical="center" wrapText="1"/>
    </xf>
    <xf numFmtId="0" fontId="15" fillId="0" borderId="12" xfId="0" applyFont="1" applyBorder="1" applyAlignment="1">
      <alignment horizontal="center" wrapText="1"/>
    </xf>
    <xf numFmtId="0" fontId="13" fillId="0" borderId="41" xfId="0" applyFont="1" applyBorder="1" applyAlignment="1">
      <alignment horizontal="center" vertical="center"/>
    </xf>
    <xf numFmtId="49" fontId="13" fillId="0" borderId="10" xfId="0" applyNumberFormat="1" applyFont="1" applyFill="1" applyBorder="1" applyAlignment="1">
      <alignment horizontal="center" vertical="center"/>
    </xf>
    <xf numFmtId="49" fontId="13" fillId="0" borderId="39" xfId="0" applyNumberFormat="1" applyFont="1" applyFill="1" applyBorder="1" applyAlignment="1">
      <alignment horizontal="center" vertical="center"/>
    </xf>
    <xf numFmtId="0" fontId="0" fillId="0" borderId="0" xfId="0" applyBorder="1" applyAlignment="1">
      <alignment wrapText="1"/>
    </xf>
    <xf numFmtId="0" fontId="13" fillId="0" borderId="14" xfId="0" applyFont="1" applyBorder="1" applyAlignment="1">
      <alignment horizontal="center" vertical="center"/>
    </xf>
    <xf numFmtId="49" fontId="13" fillId="0" borderId="15" xfId="0" applyNumberFormat="1" applyFont="1" applyFill="1" applyBorder="1" applyAlignment="1">
      <alignment horizontal="center" vertical="center"/>
    </xf>
    <xf numFmtId="0" fontId="5" fillId="0" borderId="45" xfId="0" applyFont="1" applyBorder="1" applyAlignment="1">
      <alignment vertical="center"/>
    </xf>
    <xf numFmtId="49" fontId="0" fillId="0" borderId="6" xfId="0" applyNumberFormat="1" applyFill="1" applyBorder="1" applyAlignment="1">
      <alignment horizontal="center" vertical="center"/>
    </xf>
    <xf numFmtId="0" fontId="15" fillId="0" borderId="29" xfId="0" applyFont="1" applyBorder="1" applyAlignment="1">
      <alignment horizontal="center" wrapText="1"/>
    </xf>
    <xf numFmtId="49" fontId="0" fillId="0" borderId="2" xfId="0" applyNumberFormat="1" applyFill="1" applyBorder="1" applyAlignment="1">
      <alignment horizontal="center" vertical="center"/>
    </xf>
    <xf numFmtId="0" fontId="0" fillId="0" borderId="6" xfId="0" applyBorder="1" applyAlignment="1">
      <alignment horizontal="center" wrapText="1"/>
    </xf>
    <xf numFmtId="0" fontId="13" fillId="0" borderId="10" xfId="0" applyFont="1" applyBorder="1" applyAlignment="1">
      <alignment horizontal="center" vertical="center"/>
    </xf>
    <xf numFmtId="0" fontId="13" fillId="0" borderId="10" xfId="0" applyNumberFormat="1" applyFont="1" applyFill="1" applyBorder="1" applyAlignment="1">
      <alignment horizontal="center" vertical="center"/>
    </xf>
    <xf numFmtId="0" fontId="0" fillId="0" borderId="0" xfId="0" applyFill="1" applyBorder="1"/>
    <xf numFmtId="0" fontId="0" fillId="0" borderId="0" xfId="0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left" vertical="center"/>
    </xf>
    <xf numFmtId="49" fontId="20" fillId="0" borderId="0" xfId="0" applyNumberFormat="1" applyFont="1" applyFill="1" applyBorder="1" applyAlignment="1">
      <alignment horizontal="center" vertical="center"/>
    </xf>
    <xf numFmtId="49" fontId="0" fillId="0" borderId="0" xfId="0" applyNumberFormat="1" applyFill="1" applyBorder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165" fontId="1" fillId="0" borderId="0" xfId="1" applyFont="1" applyAlignment="1">
      <alignment horizontal="center" vertical="center"/>
    </xf>
    <xf numFmtId="0" fontId="3" fillId="0" borderId="25" xfId="0" applyFont="1" applyFill="1" applyBorder="1" applyAlignment="1">
      <alignment horizontal="center" vertical="center"/>
    </xf>
    <xf numFmtId="0" fontId="18" fillId="0" borderId="9" xfId="0" applyFont="1" applyBorder="1" applyAlignment="1">
      <alignment vertical="center" wrapText="1"/>
    </xf>
    <xf numFmtId="0" fontId="18" fillId="0" borderId="40" xfId="0" applyFont="1" applyBorder="1" applyAlignment="1">
      <alignment vertical="center" wrapText="1"/>
    </xf>
    <xf numFmtId="0" fontId="13" fillId="0" borderId="49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49" fontId="20" fillId="0" borderId="0" xfId="0" applyNumberFormat="1" applyFont="1" applyFill="1" applyAlignment="1">
      <alignment horizontal="center" vertical="center"/>
    </xf>
    <xf numFmtId="49" fontId="0" fillId="0" borderId="0" xfId="0" applyNumberFormat="1" applyFill="1" applyAlignment="1">
      <alignment horizontal="center" vertical="center"/>
    </xf>
    <xf numFmtId="166" fontId="1" fillId="0" borderId="0" xfId="1" applyNumberFormat="1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165" fontId="12" fillId="0" borderId="25" xfId="1" applyFont="1" applyFill="1" applyBorder="1" applyAlignment="1">
      <alignment horizontal="center" vertical="center"/>
    </xf>
    <xf numFmtId="0" fontId="11" fillId="0" borderId="29" xfId="0" applyFont="1" applyBorder="1" applyAlignment="1">
      <alignment horizontal="center" vertical="center" wrapText="1"/>
    </xf>
    <xf numFmtId="0" fontId="17" fillId="0" borderId="29" xfId="0" applyFont="1" applyBorder="1" applyAlignment="1">
      <alignment horizontal="center" vertical="center"/>
    </xf>
    <xf numFmtId="0" fontId="14" fillId="0" borderId="29" xfId="0" applyFont="1" applyBorder="1" applyAlignment="1">
      <alignment horizontal="center" vertical="center"/>
    </xf>
    <xf numFmtId="0" fontId="5" fillId="0" borderId="40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 wrapText="1"/>
    </xf>
    <xf numFmtId="1" fontId="10" fillId="0" borderId="0" xfId="0" applyNumberFormat="1" applyFont="1" applyFill="1" applyBorder="1" applyAlignment="1">
      <alignment horizontal="center" vertical="center"/>
    </xf>
    <xf numFmtId="0" fontId="13" fillId="0" borderId="53" xfId="0" applyFont="1" applyBorder="1" applyAlignment="1">
      <alignment horizontal="center" vertical="center"/>
    </xf>
    <xf numFmtId="0" fontId="13" fillId="0" borderId="54" xfId="0" applyFont="1" applyBorder="1" applyAlignment="1">
      <alignment horizontal="center" vertical="center"/>
    </xf>
    <xf numFmtId="49" fontId="13" fillId="0" borderId="49" xfId="0" applyNumberFormat="1" applyFont="1" applyFill="1" applyBorder="1" applyAlignment="1">
      <alignment horizontal="center" vertical="center"/>
    </xf>
    <xf numFmtId="0" fontId="5" fillId="0" borderId="51" xfId="0" applyNumberFormat="1" applyFont="1" applyFill="1" applyBorder="1" applyAlignment="1">
      <alignment horizontal="left" vertical="center"/>
    </xf>
    <xf numFmtId="0" fontId="5" fillId="0" borderId="49" xfId="0" applyNumberFormat="1" applyFont="1" applyFill="1" applyBorder="1" applyAlignment="1">
      <alignment horizontal="center" vertical="center"/>
    </xf>
    <xf numFmtId="0" fontId="5" fillId="0" borderId="49" xfId="0" applyNumberFormat="1" applyFont="1" applyFill="1" applyBorder="1" applyAlignment="1">
      <alignment horizontal="left" vertical="center"/>
    </xf>
    <xf numFmtId="0" fontId="13" fillId="0" borderId="49" xfId="0" applyFont="1" applyBorder="1" applyAlignment="1">
      <alignment horizontal="center" vertical="center"/>
    </xf>
    <xf numFmtId="0" fontId="13" fillId="0" borderId="49" xfId="0" applyFont="1" applyBorder="1" applyAlignment="1">
      <alignment horizontal="left" vertical="center"/>
    </xf>
    <xf numFmtId="0" fontId="5" fillId="0" borderId="55" xfId="0" applyFont="1" applyFill="1" applyBorder="1" applyAlignment="1">
      <alignment vertical="center" wrapText="1"/>
    </xf>
    <xf numFmtId="0" fontId="5" fillId="0" borderId="56" xfId="0" applyFont="1" applyFill="1" applyBorder="1" applyAlignment="1">
      <alignment vertical="center" wrapText="1"/>
    </xf>
    <xf numFmtId="0" fontId="5" fillId="0" borderId="56" xfId="0" applyFont="1" applyBorder="1" applyAlignment="1">
      <alignment vertical="center" wrapText="1"/>
    </xf>
    <xf numFmtId="0" fontId="5" fillId="0" borderId="57" xfId="0" applyFont="1" applyBorder="1" applyAlignment="1">
      <alignment vertical="center" wrapText="1"/>
    </xf>
    <xf numFmtId="0" fontId="5" fillId="0" borderId="55" xfId="0" applyFont="1" applyBorder="1" applyAlignment="1">
      <alignment vertical="center" wrapText="1"/>
    </xf>
    <xf numFmtId="0" fontId="5" fillId="0" borderId="57" xfId="0" applyFont="1" applyFill="1" applyBorder="1" applyAlignment="1">
      <alignment vertical="center" wrapText="1"/>
    </xf>
    <xf numFmtId="0" fontId="5" fillId="0" borderId="47" xfId="0" applyFont="1" applyBorder="1" applyAlignment="1">
      <alignment vertical="center" wrapText="1"/>
    </xf>
    <xf numFmtId="0" fontId="5" fillId="0" borderId="58" xfId="0" applyFont="1" applyBorder="1" applyAlignment="1">
      <alignment vertical="center" wrapText="1"/>
    </xf>
    <xf numFmtId="0" fontId="5" fillId="0" borderId="6" xfId="0" applyFont="1" applyBorder="1" applyAlignment="1">
      <alignment wrapText="1"/>
    </xf>
    <xf numFmtId="0" fontId="0" fillId="0" borderId="2" xfId="0" applyBorder="1" applyAlignment="1">
      <alignment wrapText="1"/>
    </xf>
    <xf numFmtId="0" fontId="0" fillId="0" borderId="59" xfId="0" applyBorder="1" applyAlignment="1">
      <alignment wrapText="1"/>
    </xf>
    <xf numFmtId="0" fontId="0" fillId="0" borderId="60" xfId="0" applyBorder="1" applyAlignment="1">
      <alignment wrapText="1"/>
    </xf>
    <xf numFmtId="0" fontId="0" fillId="0" borderId="54" xfId="0" applyBorder="1" applyAlignment="1">
      <alignment wrapText="1"/>
    </xf>
    <xf numFmtId="0" fontId="9" fillId="0" borderId="6" xfId="0" applyFont="1" applyFill="1" applyBorder="1" applyAlignment="1">
      <alignment horizontal="center" vertical="center"/>
    </xf>
    <xf numFmtId="0" fontId="12" fillId="0" borderId="53" xfId="0" applyFont="1" applyFill="1" applyBorder="1" applyAlignment="1">
      <alignment horizontal="center" vertical="center"/>
    </xf>
    <xf numFmtId="0" fontId="12" fillId="0" borderId="54" xfId="0" applyFont="1" applyFill="1" applyBorder="1" applyAlignment="1">
      <alignment horizontal="center" vertical="center"/>
    </xf>
    <xf numFmtId="0" fontId="12" fillId="0" borderId="61" xfId="0" applyFont="1" applyFill="1" applyBorder="1" applyAlignment="1">
      <alignment horizontal="center" vertical="center"/>
    </xf>
    <xf numFmtId="0" fontId="12" fillId="0" borderId="60" xfId="0" applyFont="1" applyFill="1" applyBorder="1" applyAlignment="1">
      <alignment horizontal="center" vertical="center"/>
    </xf>
    <xf numFmtId="0" fontId="12" fillId="0" borderId="6" xfId="0" applyFont="1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/>
    </xf>
    <xf numFmtId="0" fontId="12" fillId="0" borderId="2" xfId="0" applyFont="1" applyFill="1" applyBorder="1" applyAlignment="1">
      <alignment horizontal="center" vertical="center"/>
    </xf>
    <xf numFmtId="0" fontId="12" fillId="0" borderId="59" xfId="0" applyFont="1" applyFill="1" applyBorder="1" applyAlignment="1">
      <alignment horizontal="center" vertical="center"/>
    </xf>
    <xf numFmtId="0" fontId="12" fillId="0" borderId="50" xfId="0" applyFont="1" applyFill="1" applyBorder="1" applyAlignment="1">
      <alignment horizontal="center" vertical="center"/>
    </xf>
    <xf numFmtId="0" fontId="12" fillId="0" borderId="48" xfId="0" applyFont="1" applyFill="1" applyBorder="1" applyAlignment="1">
      <alignment horizontal="center" vertical="center"/>
    </xf>
    <xf numFmtId="0" fontId="13" fillId="0" borderId="17" xfId="0" applyNumberFormat="1" applyFont="1" applyFill="1" applyBorder="1" applyAlignment="1">
      <alignment horizontal="center" vertical="center"/>
    </xf>
    <xf numFmtId="49" fontId="13" fillId="0" borderId="22" xfId="0" applyNumberFormat="1" applyFont="1" applyFill="1" applyBorder="1" applyAlignment="1">
      <alignment horizontal="center" vertical="center"/>
    </xf>
    <xf numFmtId="166" fontId="10" fillId="0" borderId="7" xfId="1" applyNumberFormat="1" applyFont="1" applyFill="1" applyBorder="1" applyAlignment="1">
      <alignment horizontal="center" vertical="center" wrapText="1"/>
    </xf>
    <xf numFmtId="0" fontId="12" fillId="0" borderId="3" xfId="0" applyFont="1" applyBorder="1" applyAlignment="1">
      <alignment horizontal="center"/>
    </xf>
    <xf numFmtId="0" fontId="12" fillId="0" borderId="8" xfId="0" applyFont="1" applyBorder="1" applyAlignment="1">
      <alignment horizontal="center" vertical="center"/>
    </xf>
    <xf numFmtId="0" fontId="13" fillId="0" borderId="46" xfId="0" applyNumberFormat="1" applyFont="1" applyFill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49" fontId="13" fillId="0" borderId="46" xfId="0" applyNumberFormat="1" applyFont="1" applyFill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49" fontId="13" fillId="0" borderId="27" xfId="0" applyNumberFormat="1" applyFont="1" applyFill="1" applyBorder="1" applyAlignment="1">
      <alignment horizontal="center" vertical="center"/>
    </xf>
    <xf numFmtId="49" fontId="13" fillId="0" borderId="32" xfId="0" applyNumberFormat="1" applyFont="1" applyFill="1" applyBorder="1" applyAlignment="1">
      <alignment horizontal="center" vertical="center"/>
    </xf>
    <xf numFmtId="0" fontId="16" fillId="0" borderId="4" xfId="0" applyNumberFormat="1" applyFont="1" applyFill="1" applyBorder="1" applyAlignment="1">
      <alignment horizontal="center" vertical="center"/>
    </xf>
    <xf numFmtId="166" fontId="15" fillId="0" borderId="4" xfId="1" applyNumberFormat="1" applyFont="1" applyBorder="1" applyAlignment="1">
      <alignment horizontal="center" vertical="center"/>
    </xf>
    <xf numFmtId="165" fontId="12" fillId="0" borderId="4" xfId="1" applyFont="1" applyFill="1" applyBorder="1" applyAlignment="1">
      <alignment horizontal="center" vertical="center"/>
    </xf>
    <xf numFmtId="0" fontId="15" fillId="0" borderId="5" xfId="0" applyFont="1" applyBorder="1"/>
    <xf numFmtId="0" fontId="16" fillId="0" borderId="31" xfId="0" applyNumberFormat="1" applyFont="1" applyFill="1" applyBorder="1" applyAlignment="1">
      <alignment horizontal="center" vertical="center"/>
    </xf>
    <xf numFmtId="166" fontId="15" fillId="0" borderId="31" xfId="1" applyNumberFormat="1" applyFont="1" applyBorder="1" applyAlignment="1">
      <alignment horizontal="center" vertical="center"/>
    </xf>
    <xf numFmtId="165" fontId="12" fillId="0" borderId="31" xfId="1" applyFont="1" applyFill="1" applyBorder="1" applyAlignment="1">
      <alignment horizontal="center" vertical="center"/>
    </xf>
    <xf numFmtId="0" fontId="15" fillId="0" borderId="34" xfId="0" applyFont="1" applyBorder="1"/>
    <xf numFmtId="0" fontId="16" fillId="0" borderId="21" xfId="0" applyNumberFormat="1" applyFont="1" applyFill="1" applyBorder="1" applyAlignment="1">
      <alignment horizontal="center" vertical="center"/>
    </xf>
    <xf numFmtId="165" fontId="12" fillId="0" borderId="21" xfId="1" applyFont="1" applyFill="1" applyBorder="1" applyAlignment="1">
      <alignment horizontal="center" vertical="center"/>
    </xf>
    <xf numFmtId="0" fontId="15" fillId="0" borderId="24" xfId="0" applyFont="1" applyBorder="1"/>
    <xf numFmtId="0" fontId="15" fillId="0" borderId="0" xfId="0" applyFont="1"/>
    <xf numFmtId="166" fontId="15" fillId="0" borderId="31" xfId="1" applyNumberFormat="1" applyFont="1" applyFill="1" applyBorder="1" applyAlignment="1">
      <alignment horizontal="center" vertical="center"/>
    </xf>
    <xf numFmtId="1" fontId="16" fillId="0" borderId="31" xfId="0" applyNumberFormat="1" applyFont="1" applyFill="1" applyBorder="1" applyAlignment="1">
      <alignment horizontal="center" vertical="center"/>
    </xf>
    <xf numFmtId="169" fontId="10" fillId="0" borderId="21" xfId="0" applyNumberFormat="1" applyFont="1" applyFill="1" applyBorder="1" applyAlignment="1">
      <alignment horizontal="center" vertical="center"/>
    </xf>
    <xf numFmtId="1" fontId="10" fillId="0" borderId="21" xfId="0" applyNumberFormat="1" applyFont="1" applyFill="1" applyBorder="1" applyAlignment="1">
      <alignment horizontal="center" vertical="center"/>
    </xf>
    <xf numFmtId="168" fontId="15" fillId="0" borderId="21" xfId="1" applyNumberFormat="1" applyFont="1" applyFill="1" applyBorder="1" applyAlignment="1">
      <alignment horizontal="center" vertical="center"/>
    </xf>
    <xf numFmtId="165" fontId="15" fillId="0" borderId="21" xfId="1" applyFont="1" applyFill="1" applyBorder="1" applyAlignment="1">
      <alignment horizontal="center" vertical="center"/>
    </xf>
    <xf numFmtId="165" fontId="15" fillId="0" borderId="4" xfId="1" applyFont="1" applyFill="1" applyBorder="1" applyAlignment="1">
      <alignment horizontal="center" vertical="center"/>
    </xf>
    <xf numFmtId="166" fontId="12" fillId="0" borderId="31" xfId="1" applyNumberFormat="1" applyFont="1" applyBorder="1" applyAlignment="1">
      <alignment horizontal="center" vertical="center"/>
    </xf>
    <xf numFmtId="0" fontId="12" fillId="0" borderId="34" xfId="0" applyFont="1" applyBorder="1" applyAlignment="1">
      <alignment vertical="center"/>
    </xf>
    <xf numFmtId="168" fontId="15" fillId="0" borderId="21" xfId="1" applyNumberFormat="1" applyFont="1" applyBorder="1" applyAlignment="1">
      <alignment horizontal="center" vertical="center"/>
    </xf>
    <xf numFmtId="0" fontId="12" fillId="0" borderId="3" xfId="0" applyFont="1" applyFill="1" applyBorder="1" applyAlignment="1">
      <alignment horizontal="center" vertical="center"/>
    </xf>
    <xf numFmtId="166" fontId="15" fillId="0" borderId="4" xfId="1" applyNumberFormat="1" applyFont="1" applyFill="1" applyBorder="1" applyAlignment="1">
      <alignment horizontal="center" vertical="center"/>
    </xf>
    <xf numFmtId="0" fontId="10" fillId="0" borderId="21" xfId="0" applyNumberFormat="1" applyFont="1" applyFill="1" applyBorder="1" applyAlignment="1">
      <alignment horizontal="center" vertical="center"/>
    </xf>
    <xf numFmtId="0" fontId="15" fillId="0" borderId="0" xfId="0" applyFont="1" applyBorder="1" applyAlignment="1">
      <alignment horizontal="center" vertical="center" wrapText="1"/>
    </xf>
    <xf numFmtId="166" fontId="16" fillId="0" borderId="4" xfId="1" applyNumberFormat="1" applyFont="1" applyBorder="1" applyAlignment="1">
      <alignment horizontal="center" vertical="center"/>
    </xf>
    <xf numFmtId="0" fontId="16" fillId="0" borderId="0" xfId="0" applyNumberFormat="1" applyFont="1" applyFill="1" applyBorder="1" applyAlignment="1">
      <alignment horizontal="center" vertical="center"/>
    </xf>
    <xf numFmtId="165" fontId="12" fillId="0" borderId="0" xfId="1" applyFont="1" applyFill="1" applyBorder="1" applyAlignment="1">
      <alignment horizontal="center" vertical="center"/>
    </xf>
    <xf numFmtId="0" fontId="15" fillId="0" borderId="0" xfId="0" applyFont="1" applyFill="1" applyBorder="1"/>
    <xf numFmtId="49" fontId="13" fillId="0" borderId="36" xfId="0" applyNumberFormat="1" applyFont="1" applyFill="1" applyBorder="1" applyAlignment="1">
      <alignment horizontal="center" vertical="center"/>
    </xf>
    <xf numFmtId="1" fontId="10" fillId="0" borderId="31" xfId="0" applyNumberFormat="1" applyFont="1" applyFill="1" applyBorder="1" applyAlignment="1">
      <alignment horizontal="center" vertical="center"/>
    </xf>
    <xf numFmtId="0" fontId="13" fillId="0" borderId="49" xfId="0" applyFont="1" applyFill="1" applyBorder="1" applyAlignment="1">
      <alignment horizontal="center" vertical="center"/>
    </xf>
    <xf numFmtId="0" fontId="13" fillId="0" borderId="49" xfId="0" applyFont="1" applyFill="1" applyBorder="1" applyAlignment="1">
      <alignment horizontal="left" vertical="center"/>
    </xf>
    <xf numFmtId="0" fontId="15" fillId="0" borderId="29" xfId="0" applyFont="1" applyBorder="1" applyAlignment="1">
      <alignment horizontal="center" vertical="center"/>
    </xf>
    <xf numFmtId="49" fontId="13" fillId="0" borderId="49" xfId="0" applyNumberFormat="1" applyFont="1" applyFill="1" applyBorder="1" applyAlignment="1">
      <alignment vertical="center"/>
    </xf>
    <xf numFmtId="49" fontId="16" fillId="0" borderId="17" xfId="0" applyNumberFormat="1" applyFont="1" applyFill="1" applyBorder="1" applyAlignment="1">
      <alignment vertical="center"/>
    </xf>
    <xf numFmtId="49" fontId="16" fillId="0" borderId="46" xfId="0" applyNumberFormat="1" applyFont="1" applyFill="1" applyBorder="1" applyAlignment="1">
      <alignment vertical="center"/>
    </xf>
    <xf numFmtId="0" fontId="15" fillId="0" borderId="3" xfId="0" applyFont="1" applyFill="1" applyBorder="1" applyAlignment="1">
      <alignment horizontal="center" vertical="center"/>
    </xf>
    <xf numFmtId="49" fontId="13" fillId="0" borderId="36" xfId="0" applyNumberFormat="1" applyFont="1" applyFill="1" applyBorder="1" applyAlignment="1">
      <alignment vertical="center"/>
    </xf>
    <xf numFmtId="49" fontId="13" fillId="0" borderId="46" xfId="0" applyNumberFormat="1" applyFont="1" applyFill="1" applyBorder="1" applyAlignment="1">
      <alignment vertical="center"/>
    </xf>
    <xf numFmtId="0" fontId="15" fillId="0" borderId="52" xfId="0" applyFont="1" applyFill="1" applyBorder="1" applyAlignment="1">
      <alignment horizontal="left" vertical="center"/>
    </xf>
    <xf numFmtId="166" fontId="15" fillId="0" borderId="10" xfId="1" applyNumberFormat="1" applyFont="1" applyFill="1" applyBorder="1" applyAlignment="1">
      <alignment horizontal="center" vertical="center"/>
    </xf>
    <xf numFmtId="165" fontId="12" fillId="0" borderId="10" xfId="1" applyFont="1" applyFill="1" applyBorder="1" applyAlignment="1">
      <alignment horizontal="center" vertical="center"/>
    </xf>
    <xf numFmtId="0" fontId="15" fillId="0" borderId="13" xfId="0" applyFont="1" applyBorder="1"/>
    <xf numFmtId="0" fontId="13" fillId="0" borderId="32" xfId="0" applyNumberFormat="1" applyFont="1" applyFill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15" fillId="0" borderId="34" xfId="0" applyFont="1" applyBorder="1" applyAlignment="1">
      <alignment horizontal="center" vertical="center"/>
    </xf>
    <xf numFmtId="0" fontId="5" fillId="0" borderId="48" xfId="0" applyNumberFormat="1" applyFont="1" applyFill="1" applyBorder="1" applyAlignment="1">
      <alignment horizontal="center" vertical="center"/>
    </xf>
    <xf numFmtId="0" fontId="13" fillId="0" borderId="48" xfId="0" applyFont="1" applyBorder="1" applyAlignment="1">
      <alignment horizontal="center" vertical="center"/>
    </xf>
    <xf numFmtId="0" fontId="11" fillId="0" borderId="38" xfId="0" applyFont="1" applyBorder="1" applyAlignment="1">
      <alignment horizontal="center" vertical="center"/>
    </xf>
    <xf numFmtId="0" fontId="15" fillId="0" borderId="15" xfId="0" applyFont="1" applyFill="1" applyBorder="1" applyAlignment="1">
      <alignment horizontal="center" vertical="center"/>
    </xf>
    <xf numFmtId="2" fontId="10" fillId="0" borderId="21" xfId="0" applyNumberFormat="1" applyFont="1" applyFill="1" applyBorder="1" applyAlignment="1">
      <alignment horizontal="center" vertical="center"/>
    </xf>
    <xf numFmtId="0" fontId="13" fillId="0" borderId="22" xfId="0" applyNumberFormat="1" applyFont="1" applyFill="1" applyBorder="1" applyAlignment="1">
      <alignment horizontal="center" vertical="center"/>
    </xf>
    <xf numFmtId="0" fontId="10" fillId="0" borderId="31" xfId="0" applyNumberFormat="1" applyFont="1" applyFill="1" applyBorder="1" applyAlignment="1">
      <alignment horizontal="center" vertical="center"/>
    </xf>
    <xf numFmtId="49" fontId="10" fillId="0" borderId="30" xfId="0" applyNumberFormat="1" applyFont="1" applyFill="1" applyBorder="1" applyAlignment="1">
      <alignment horizontal="center" vertical="center" wrapText="1"/>
    </xf>
    <xf numFmtId="49" fontId="10" fillId="0" borderId="8" xfId="0" applyNumberFormat="1" applyFont="1" applyFill="1" applyBorder="1" applyAlignment="1">
      <alignment horizontal="center" vertical="center" wrapText="1"/>
    </xf>
    <xf numFmtId="0" fontId="15" fillId="0" borderId="21" xfId="0" applyFont="1" applyBorder="1" applyAlignment="1">
      <alignment horizontal="center" vertical="center" wrapText="1"/>
    </xf>
    <xf numFmtId="0" fontId="12" fillId="0" borderId="21" xfId="0" applyFont="1" applyBorder="1" applyAlignment="1">
      <alignment horizontal="center" vertical="center" wrapText="1"/>
    </xf>
    <xf numFmtId="1" fontId="12" fillId="0" borderId="21" xfId="0" applyNumberFormat="1" applyFont="1" applyBorder="1" applyAlignment="1">
      <alignment horizontal="center" vertical="center" wrapText="1"/>
    </xf>
    <xf numFmtId="0" fontId="15" fillId="0" borderId="24" xfId="0" applyFont="1" applyBorder="1" applyAlignment="1">
      <alignment horizontal="center" vertical="center" wrapText="1"/>
    </xf>
    <xf numFmtId="166" fontId="12" fillId="0" borderId="31" xfId="1" applyNumberFormat="1" applyFont="1" applyFill="1" applyBorder="1" applyAlignment="1">
      <alignment horizontal="center" vertical="center"/>
    </xf>
    <xf numFmtId="0" fontId="12" fillId="0" borderId="34" xfId="0" applyFont="1" applyFill="1" applyBorder="1" applyAlignment="1">
      <alignment vertical="center"/>
    </xf>
    <xf numFmtId="0" fontId="15" fillId="0" borderId="24" xfId="0" applyFont="1" applyFill="1" applyBorder="1" applyAlignment="1">
      <alignment horizontal="center" vertical="center" wrapText="1"/>
    </xf>
    <xf numFmtId="49" fontId="13" fillId="0" borderId="17" xfId="0" applyNumberFormat="1" applyFont="1" applyFill="1" applyBorder="1" applyAlignment="1">
      <alignment horizontal="center" vertical="center"/>
    </xf>
    <xf numFmtId="0" fontId="15" fillId="0" borderId="5" xfId="0" applyFont="1" applyFill="1" applyBorder="1"/>
    <xf numFmtId="0" fontId="12" fillId="0" borderId="30" xfId="0" applyFont="1" applyFill="1" applyBorder="1" applyAlignment="1">
      <alignment horizontal="center" vertical="center"/>
    </xf>
    <xf numFmtId="0" fontId="15" fillId="0" borderId="34" xfId="0" applyFont="1" applyFill="1" applyBorder="1"/>
    <xf numFmtId="49" fontId="23" fillId="0" borderId="30" xfId="0" applyNumberFormat="1" applyFont="1" applyFill="1" applyBorder="1" applyAlignment="1">
      <alignment horizontal="center" vertical="center" wrapText="1"/>
    </xf>
    <xf numFmtId="0" fontId="12" fillId="0" borderId="8" xfId="0" applyFont="1" applyFill="1" applyBorder="1" applyAlignment="1">
      <alignment horizontal="center" vertical="center"/>
    </xf>
    <xf numFmtId="0" fontId="15" fillId="0" borderId="24" xfId="0" applyFont="1" applyFill="1" applyBorder="1"/>
    <xf numFmtId="0" fontId="13" fillId="0" borderId="36" xfId="0" applyNumberFormat="1" applyFont="1" applyFill="1" applyBorder="1" applyAlignment="1">
      <alignment horizontal="center" vertical="center"/>
    </xf>
    <xf numFmtId="49" fontId="19" fillId="0" borderId="17" xfId="0" applyNumberFormat="1" applyFont="1" applyFill="1" applyBorder="1" applyAlignment="1">
      <alignment horizontal="center" vertical="center"/>
    </xf>
    <xf numFmtId="0" fontId="19" fillId="0" borderId="22" xfId="0" applyNumberFormat="1" applyFont="1" applyFill="1" applyBorder="1" applyAlignment="1">
      <alignment horizontal="center" vertical="center"/>
    </xf>
    <xf numFmtId="168" fontId="15" fillId="0" borderId="0" xfId="1" applyNumberFormat="1" applyFont="1" applyFill="1" applyBorder="1" applyAlignment="1">
      <alignment horizontal="center" vertical="center"/>
    </xf>
    <xf numFmtId="0" fontId="19" fillId="0" borderId="32" xfId="0" applyNumberFormat="1" applyFont="1" applyFill="1" applyBorder="1" applyAlignment="1">
      <alignment horizontal="center" vertical="center"/>
    </xf>
    <xf numFmtId="49" fontId="19" fillId="0" borderId="32" xfId="0" applyNumberFormat="1" applyFont="1" applyFill="1" applyBorder="1" applyAlignment="1">
      <alignment horizontal="center" vertical="center"/>
    </xf>
    <xf numFmtId="0" fontId="15" fillId="0" borderId="3" xfId="0" applyFont="1" applyFill="1" applyBorder="1" applyAlignment="1">
      <alignment vertical="center"/>
    </xf>
    <xf numFmtId="0" fontId="15" fillId="0" borderId="30" xfId="0" applyFont="1" applyFill="1" applyBorder="1" applyAlignment="1">
      <alignment vertical="center"/>
    </xf>
    <xf numFmtId="0" fontId="0" fillId="0" borderId="9" xfId="0" applyFont="1" applyBorder="1" applyAlignment="1">
      <alignment horizontal="center" vertical="center" wrapText="1"/>
    </xf>
    <xf numFmtId="0" fontId="15" fillId="0" borderId="7" xfId="0" applyFont="1" applyBorder="1" applyAlignment="1">
      <alignment horizontal="center" wrapText="1"/>
    </xf>
    <xf numFmtId="49" fontId="0" fillId="0" borderId="45" xfId="0" applyNumberFormat="1" applyFill="1" applyBorder="1" applyAlignment="1">
      <alignment horizontal="center" vertical="center"/>
    </xf>
    <xf numFmtId="0" fontId="13" fillId="0" borderId="43" xfId="0" applyNumberFormat="1" applyFont="1" applyFill="1" applyBorder="1" applyAlignment="1">
      <alignment horizontal="center" vertical="center"/>
    </xf>
    <xf numFmtId="0" fontId="13" fillId="0" borderId="11" xfId="0" applyNumberFormat="1" applyFont="1" applyFill="1" applyBorder="1" applyAlignment="1">
      <alignment horizontal="center" vertical="center"/>
    </xf>
    <xf numFmtId="166" fontId="16" fillId="0" borderId="31" xfId="1" applyNumberFormat="1" applyFont="1" applyBorder="1" applyAlignment="1">
      <alignment horizontal="center" vertical="center"/>
    </xf>
    <xf numFmtId="0" fontId="5" fillId="0" borderId="47" xfId="0" applyFont="1" applyFill="1" applyBorder="1" applyAlignment="1">
      <alignment vertical="center" wrapText="1"/>
    </xf>
    <xf numFmtId="0" fontId="5" fillId="0" borderId="40" xfId="0" applyFont="1" applyFill="1" applyBorder="1" applyAlignment="1">
      <alignment vertical="center" wrapText="1"/>
    </xf>
    <xf numFmtId="0" fontId="5" fillId="0" borderId="57" xfId="0" applyFont="1" applyFill="1" applyBorder="1" applyAlignment="1">
      <alignment horizontal="center" vertical="center" wrapText="1"/>
    </xf>
    <xf numFmtId="0" fontId="5" fillId="0" borderId="40" xfId="0" applyFont="1" applyFill="1" applyBorder="1" applyAlignment="1">
      <alignment horizontal="center" vertical="center" wrapText="1"/>
    </xf>
    <xf numFmtId="0" fontId="18" fillId="0" borderId="47" xfId="0" applyFont="1" applyBorder="1" applyAlignment="1">
      <alignment vertical="center" wrapText="1"/>
    </xf>
    <xf numFmtId="0" fontId="18" fillId="0" borderId="55" xfId="0" applyFont="1" applyBorder="1" applyAlignment="1">
      <alignment vertical="center" wrapText="1"/>
    </xf>
    <xf numFmtId="0" fontId="18" fillId="0" borderId="57" xfId="0" applyFont="1" applyBorder="1" applyAlignment="1">
      <alignment vertical="center" wrapText="1"/>
    </xf>
    <xf numFmtId="0" fontId="5" fillId="0" borderId="47" xfId="0" applyFont="1" applyBorder="1" applyAlignment="1">
      <alignment wrapText="1"/>
    </xf>
    <xf numFmtId="0" fontId="5" fillId="0" borderId="40" xfId="0" applyFont="1" applyBorder="1" applyAlignment="1">
      <alignment wrapText="1"/>
    </xf>
    <xf numFmtId="0" fontId="5" fillId="0" borderId="57" xfId="0" applyFont="1" applyBorder="1" applyAlignment="1">
      <alignment wrapText="1"/>
    </xf>
    <xf numFmtId="0" fontId="5" fillId="0" borderId="0" xfId="0" applyFont="1" applyBorder="1" applyAlignment="1">
      <alignment wrapText="1"/>
    </xf>
    <xf numFmtId="0" fontId="0" fillId="0" borderId="6" xfId="0" applyBorder="1" applyAlignment="1">
      <alignment wrapText="1"/>
    </xf>
    <xf numFmtId="0" fontId="13" fillId="0" borderId="27" xfId="0" applyNumberFormat="1" applyFont="1" applyFill="1" applyBorder="1" applyAlignment="1">
      <alignment horizontal="center" vertical="center"/>
    </xf>
    <xf numFmtId="0" fontId="12" fillId="0" borderId="19" xfId="0" applyFont="1" applyFill="1" applyBorder="1" applyAlignment="1">
      <alignment horizontal="center" vertical="center"/>
    </xf>
    <xf numFmtId="0" fontId="12" fillId="0" borderId="23" xfId="0" applyFont="1" applyFill="1" applyBorder="1" applyAlignment="1">
      <alignment horizontal="center" vertical="center"/>
    </xf>
    <xf numFmtId="0" fontId="12" fillId="0" borderId="28" xfId="0" applyFont="1" applyFill="1" applyBorder="1" applyAlignment="1">
      <alignment horizontal="center" vertical="center"/>
    </xf>
    <xf numFmtId="0" fontId="12" fillId="0" borderId="33" xfId="0" applyFont="1" applyFill="1" applyBorder="1" applyAlignment="1">
      <alignment horizontal="center" vertical="center"/>
    </xf>
    <xf numFmtId="0" fontId="12" fillId="0" borderId="37" xfId="0" applyFont="1" applyFill="1" applyBorder="1" applyAlignment="1">
      <alignment horizontal="center" vertical="center"/>
    </xf>
    <xf numFmtId="0" fontId="4" fillId="0" borderId="25" xfId="0" applyFont="1" applyFill="1" applyBorder="1" applyAlignment="1">
      <alignment horizontal="center" vertical="center"/>
    </xf>
    <xf numFmtId="0" fontId="9" fillId="0" borderId="25" xfId="0" applyFont="1" applyFill="1" applyBorder="1" applyAlignment="1">
      <alignment horizontal="center" vertical="center"/>
    </xf>
    <xf numFmtId="0" fontId="0" fillId="0" borderId="25" xfId="0" applyFill="1" applyBorder="1" applyAlignment="1">
      <alignment horizontal="center" vertical="center"/>
    </xf>
    <xf numFmtId="0" fontId="4" fillId="0" borderId="18" xfId="0" applyFont="1" applyFill="1" applyBorder="1" applyAlignment="1">
      <alignment vertical="center"/>
    </xf>
    <xf numFmtId="0" fontId="5" fillId="0" borderId="25" xfId="0" applyFont="1" applyFill="1" applyBorder="1"/>
    <xf numFmtId="0" fontId="15" fillId="0" borderId="25" xfId="0" applyFont="1" applyFill="1" applyBorder="1"/>
    <xf numFmtId="0" fontId="5" fillId="0" borderId="25" xfId="0" applyFont="1" applyFill="1" applyBorder="1" applyAlignment="1">
      <alignment horizontal="center" vertical="center" wrapText="1"/>
    </xf>
    <xf numFmtId="49" fontId="13" fillId="0" borderId="11" xfId="0" applyNumberFormat="1" applyFont="1" applyFill="1" applyBorder="1" applyAlignment="1">
      <alignment horizontal="center" vertical="center"/>
    </xf>
    <xf numFmtId="49" fontId="0" fillId="0" borderId="43" xfId="0" applyNumberFormat="1" applyFill="1" applyBorder="1" applyAlignment="1">
      <alignment horizontal="center" vertical="center"/>
    </xf>
    <xf numFmtId="166" fontId="16" fillId="0" borderId="31" xfId="1" applyNumberFormat="1" applyFont="1" applyFill="1" applyBorder="1" applyAlignment="1">
      <alignment horizontal="center" vertical="center"/>
    </xf>
    <xf numFmtId="166" fontId="16" fillId="0" borderId="4" xfId="1" applyNumberFormat="1" applyFont="1" applyFill="1" applyBorder="1" applyAlignment="1">
      <alignment horizontal="center" vertical="center"/>
    </xf>
    <xf numFmtId="168" fontId="10" fillId="0" borderId="3" xfId="1" applyNumberFormat="1" applyFont="1" applyFill="1" applyBorder="1" applyAlignment="1">
      <alignment horizontal="center" vertical="center"/>
    </xf>
    <xf numFmtId="0" fontId="12" fillId="0" borderId="30" xfId="0" applyFont="1" applyFill="1" applyBorder="1" applyAlignment="1">
      <alignment horizontal="center"/>
    </xf>
    <xf numFmtId="49" fontId="0" fillId="0" borderId="17" xfId="0" applyNumberFormat="1" applyFill="1" applyBorder="1" applyAlignment="1">
      <alignment horizontal="center" vertical="center"/>
    </xf>
    <xf numFmtId="49" fontId="0" fillId="0" borderId="32" xfId="0" applyNumberFormat="1" applyFill="1" applyBorder="1" applyAlignment="1">
      <alignment horizontal="center" vertical="center"/>
    </xf>
    <xf numFmtId="166" fontId="15" fillId="0" borderId="31" xfId="1" applyNumberFormat="1" applyFont="1" applyFill="1" applyBorder="1" applyAlignment="1">
      <alignment vertical="center"/>
    </xf>
    <xf numFmtId="0" fontId="12" fillId="0" borderId="0" xfId="0" applyFont="1" applyBorder="1" applyAlignment="1">
      <alignment horizontal="center" vertical="center"/>
    </xf>
    <xf numFmtId="168" fontId="15" fillId="0" borderId="0" xfId="1" applyNumberFormat="1" applyFont="1" applyBorder="1" applyAlignment="1">
      <alignment horizontal="center" vertical="center"/>
    </xf>
    <xf numFmtId="0" fontId="15" fillId="0" borderId="0" xfId="0" applyFont="1" applyFill="1" applyBorder="1" applyAlignment="1">
      <alignment horizontal="center" vertical="center"/>
    </xf>
    <xf numFmtId="0" fontId="15" fillId="0" borderId="0" xfId="0" applyFont="1" applyBorder="1"/>
    <xf numFmtId="49" fontId="10" fillId="0" borderId="0" xfId="0" applyNumberFormat="1" applyFont="1" applyFill="1" applyBorder="1" applyAlignment="1">
      <alignment horizontal="center" vertical="center" wrapText="1"/>
    </xf>
    <xf numFmtId="0" fontId="12" fillId="0" borderId="0" xfId="0" applyFont="1" applyBorder="1" applyAlignment="1">
      <alignment horizontal="center" vertical="center" wrapText="1"/>
    </xf>
    <xf numFmtId="1" fontId="12" fillId="0" borderId="0" xfId="0" applyNumberFormat="1" applyFont="1" applyBorder="1" applyAlignment="1">
      <alignment horizontal="center" vertical="center" wrapText="1"/>
    </xf>
    <xf numFmtId="0" fontId="12" fillId="0" borderId="30" xfId="0" applyFont="1" applyBorder="1" applyAlignment="1">
      <alignment vertical="center" wrapText="1"/>
    </xf>
    <xf numFmtId="0" fontId="12" fillId="0" borderId="3" xfId="0" applyFont="1" applyBorder="1" applyAlignment="1">
      <alignment vertical="center"/>
    </xf>
    <xf numFmtId="0" fontId="10" fillId="0" borderId="6" xfId="0" applyFont="1" applyFill="1" applyBorder="1" applyAlignment="1">
      <alignment horizontal="center" vertical="center" wrapText="1"/>
    </xf>
    <xf numFmtId="49" fontId="9" fillId="0" borderId="10" xfId="0" applyNumberFormat="1" applyFont="1" applyFill="1" applyBorder="1" applyAlignment="1">
      <alignment horizontal="center" vertical="center" shrinkToFit="1"/>
    </xf>
    <xf numFmtId="0" fontId="10" fillId="0" borderId="7" xfId="0" applyFont="1" applyFill="1" applyBorder="1" applyAlignment="1">
      <alignment horizontal="center" vertical="center" wrapText="1" shrinkToFit="1"/>
    </xf>
    <xf numFmtId="165" fontId="10" fillId="0" borderId="7" xfId="1" applyFont="1" applyFill="1" applyBorder="1" applyAlignment="1">
      <alignment horizontal="center" vertical="center" wrapText="1" shrinkToFit="1"/>
    </xf>
    <xf numFmtId="0" fontId="10" fillId="0" borderId="9" xfId="0" applyFont="1" applyFill="1" applyBorder="1" applyAlignment="1">
      <alignment horizontal="center" vertical="center" wrapText="1" shrinkToFit="1"/>
    </xf>
    <xf numFmtId="2" fontId="16" fillId="0" borderId="4" xfId="0" applyNumberFormat="1" applyFont="1" applyFill="1" applyBorder="1" applyAlignment="1">
      <alignment horizontal="center" vertical="center"/>
    </xf>
    <xf numFmtId="2" fontId="16" fillId="0" borderId="31" xfId="0" applyNumberFormat="1" applyFont="1" applyFill="1" applyBorder="1" applyAlignment="1">
      <alignment horizontal="center" vertical="center"/>
    </xf>
    <xf numFmtId="16" fontId="7" fillId="0" borderId="6" xfId="0" applyNumberFormat="1" applyFont="1" applyBorder="1" applyAlignment="1">
      <alignment horizontal="center" vertical="center"/>
    </xf>
    <xf numFmtId="0" fontId="16" fillId="0" borderId="10" xfId="0" applyNumberFormat="1" applyFont="1" applyFill="1" applyBorder="1" applyAlignment="1">
      <alignment horizontal="center" vertical="center"/>
    </xf>
    <xf numFmtId="0" fontId="16" fillId="0" borderId="31" xfId="0" applyFont="1" applyFill="1" applyBorder="1" applyAlignment="1">
      <alignment horizontal="center" vertical="center"/>
    </xf>
    <xf numFmtId="0" fontId="4" fillId="0" borderId="6" xfId="0" applyFont="1" applyBorder="1" applyAlignment="1">
      <alignment vertical="center"/>
    </xf>
    <xf numFmtId="0" fontId="15" fillId="0" borderId="31" xfId="0" applyFont="1" applyBorder="1" applyAlignment="1">
      <alignment horizontal="center" vertical="center" wrapText="1"/>
    </xf>
    <xf numFmtId="0" fontId="15" fillId="0" borderId="31" xfId="0" applyFont="1" applyFill="1" applyBorder="1" applyAlignment="1">
      <alignment horizontal="center" vertical="center" wrapText="1"/>
    </xf>
    <xf numFmtId="0" fontId="15" fillId="0" borderId="21" xfId="0" applyFont="1" applyFill="1" applyBorder="1" applyAlignment="1">
      <alignment horizontal="center" vertical="center" wrapText="1"/>
    </xf>
    <xf numFmtId="0" fontId="16" fillId="0" borderId="21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horizontal="center" vertical="center"/>
    </xf>
    <xf numFmtId="0" fontId="12" fillId="0" borderId="12" xfId="0" applyFont="1" applyFill="1" applyBorder="1" applyAlignment="1">
      <alignment horizontal="center" vertical="center" wrapText="1"/>
    </xf>
    <xf numFmtId="0" fontId="5" fillId="0" borderId="0" xfId="0" applyFont="1" applyAlignment="1"/>
    <xf numFmtId="0" fontId="5" fillId="0" borderId="0" xfId="0" applyFont="1" applyAlignment="1">
      <alignment vertical="center"/>
    </xf>
    <xf numFmtId="0" fontId="15" fillId="0" borderId="4" xfId="0" applyFont="1" applyBorder="1" applyAlignment="1">
      <alignment horizontal="center" vertical="center" wrapText="1"/>
    </xf>
    <xf numFmtId="0" fontId="16" fillId="0" borderId="4" xfId="0" applyFont="1" applyFill="1" applyBorder="1" applyAlignment="1">
      <alignment horizontal="center" vertical="center"/>
    </xf>
    <xf numFmtId="0" fontId="12" fillId="0" borderId="63" xfId="0" applyFont="1" applyFill="1" applyBorder="1" applyAlignment="1">
      <alignment horizontal="center" vertical="center"/>
    </xf>
    <xf numFmtId="0" fontId="15" fillId="0" borderId="49" xfId="0" applyFont="1" applyBorder="1" applyAlignment="1">
      <alignment horizontal="center" vertical="center" wrapText="1"/>
    </xf>
    <xf numFmtId="0" fontId="16" fillId="0" borderId="49" xfId="0" applyFont="1" applyFill="1" applyBorder="1" applyAlignment="1">
      <alignment horizontal="center" vertical="center"/>
    </xf>
    <xf numFmtId="0" fontId="15" fillId="0" borderId="4" xfId="0" applyFont="1" applyFill="1" applyBorder="1" applyAlignment="1">
      <alignment horizontal="center" vertical="center" wrapText="1"/>
    </xf>
    <xf numFmtId="0" fontId="15" fillId="0" borderId="49" xfId="0" applyFont="1" applyFill="1" applyBorder="1" applyAlignment="1">
      <alignment horizontal="center" vertical="center" wrapText="1"/>
    </xf>
    <xf numFmtId="0" fontId="12" fillId="0" borderId="51" xfId="0" applyFont="1" applyFill="1" applyBorder="1" applyAlignment="1">
      <alignment horizontal="center" vertical="center"/>
    </xf>
    <xf numFmtId="0" fontId="15" fillId="0" borderId="39" xfId="0" applyFont="1" applyFill="1" applyBorder="1" applyAlignment="1">
      <alignment horizontal="center" vertical="center" wrapText="1"/>
    </xf>
    <xf numFmtId="0" fontId="16" fillId="0" borderId="39" xfId="0" applyFont="1" applyFill="1" applyBorder="1" applyAlignment="1">
      <alignment horizontal="center" vertical="center"/>
    </xf>
    <xf numFmtId="0" fontId="15" fillId="0" borderId="39" xfId="0" applyFont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 wrapText="1" shrinkToFit="1"/>
    </xf>
    <xf numFmtId="0" fontId="12" fillId="0" borderId="51" xfId="0" applyFont="1" applyFill="1" applyBorder="1" applyAlignment="1">
      <alignment horizontal="center"/>
    </xf>
    <xf numFmtId="0" fontId="15" fillId="0" borderId="39" xfId="0" applyFont="1" applyFill="1" applyBorder="1" applyAlignment="1">
      <alignment horizontal="center" wrapText="1"/>
    </xf>
    <xf numFmtId="0" fontId="16" fillId="0" borderId="39" xfId="0" applyFont="1" applyFill="1" applyBorder="1" applyAlignment="1">
      <alignment horizontal="center"/>
    </xf>
    <xf numFmtId="0" fontId="15" fillId="0" borderId="39" xfId="0" applyFont="1" applyBorder="1" applyAlignment="1">
      <alignment horizontal="center" wrapText="1"/>
    </xf>
    <xf numFmtId="0" fontId="15" fillId="0" borderId="25" xfId="0" applyFont="1" applyFill="1" applyBorder="1" applyAlignment="1">
      <alignment horizontal="center" vertical="center"/>
    </xf>
    <xf numFmtId="0" fontId="12" fillId="0" borderId="62" xfId="0" applyFont="1" applyFill="1" applyBorder="1" applyAlignment="1">
      <alignment horizontal="center" vertical="center"/>
    </xf>
    <xf numFmtId="0" fontId="15" fillId="0" borderId="49" xfId="0" applyFont="1" applyFill="1" applyBorder="1" applyAlignment="1">
      <alignment horizontal="center" vertical="center"/>
    </xf>
    <xf numFmtId="0" fontId="15" fillId="0" borderId="25" xfId="0" applyFont="1" applyFill="1" applyBorder="1" applyAlignment="1">
      <alignment horizontal="center" vertical="center" wrapText="1"/>
    </xf>
    <xf numFmtId="0" fontId="15" fillId="0" borderId="35" xfId="0" applyFont="1" applyBorder="1" applyAlignment="1">
      <alignment horizontal="center" wrapText="1"/>
    </xf>
    <xf numFmtId="0" fontId="15" fillId="0" borderId="39" xfId="0" applyFont="1" applyFill="1" applyBorder="1" applyAlignment="1">
      <alignment horizontal="center" vertical="center"/>
    </xf>
    <xf numFmtId="0" fontId="15" fillId="0" borderId="18" xfId="0" applyFont="1" applyFill="1" applyBorder="1" applyAlignment="1">
      <alignment horizontal="center" vertical="center" wrapText="1"/>
    </xf>
    <xf numFmtId="1" fontId="16" fillId="0" borderId="35" xfId="0" applyNumberFormat="1" applyFont="1" applyFill="1" applyBorder="1" applyAlignment="1">
      <alignment horizontal="center" vertical="center"/>
    </xf>
    <xf numFmtId="0" fontId="12" fillId="0" borderId="3" xfId="0" applyFont="1" applyFill="1" applyBorder="1" applyAlignment="1">
      <alignment horizontal="center" vertical="center"/>
    </xf>
    <xf numFmtId="0" fontId="12" fillId="0" borderId="30" xfId="0" applyFont="1" applyFill="1" applyBorder="1" applyAlignment="1">
      <alignment horizontal="center" vertical="center"/>
    </xf>
    <xf numFmtId="168" fontId="16" fillId="0" borderId="49" xfId="1" applyNumberFormat="1" applyFont="1" applyFill="1" applyBorder="1" applyAlignment="1">
      <alignment horizontal="center" vertical="center" wrapText="1"/>
    </xf>
    <xf numFmtId="0" fontId="15" fillId="0" borderId="29" xfId="0" applyFont="1" applyBorder="1" applyAlignment="1">
      <alignment horizontal="center" wrapText="1"/>
    </xf>
    <xf numFmtId="0" fontId="15" fillId="0" borderId="7" xfId="0" applyFont="1" applyBorder="1" applyAlignment="1">
      <alignment horizontal="center" vertical="center" wrapText="1"/>
    </xf>
    <xf numFmtId="0" fontId="15" fillId="0" borderId="20" xfId="0" applyFont="1" applyBorder="1" applyAlignment="1">
      <alignment horizontal="center" vertical="center" wrapText="1"/>
    </xf>
    <xf numFmtId="0" fontId="12" fillId="0" borderId="3" xfId="0" applyFont="1" applyFill="1" applyBorder="1" applyAlignment="1">
      <alignment horizontal="center" vertical="center"/>
    </xf>
    <xf numFmtId="0" fontId="12" fillId="0" borderId="30" xfId="0" applyFont="1" applyFill="1" applyBorder="1" applyAlignment="1">
      <alignment horizontal="center" vertical="center"/>
    </xf>
    <xf numFmtId="0" fontId="15" fillId="0" borderId="7" xfId="0" applyFont="1" applyBorder="1" applyAlignment="1">
      <alignment horizontal="center" vertical="center"/>
    </xf>
    <xf numFmtId="0" fontId="15" fillId="0" borderId="20" xfId="0" applyFont="1" applyBorder="1" applyAlignment="1">
      <alignment horizontal="center" vertical="center"/>
    </xf>
    <xf numFmtId="0" fontId="15" fillId="0" borderId="29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/>
    </xf>
    <xf numFmtId="0" fontId="11" fillId="0" borderId="29" xfId="0" applyFont="1" applyBorder="1" applyAlignment="1">
      <alignment horizontal="center" vertical="center"/>
    </xf>
    <xf numFmtId="0" fontId="11" fillId="0" borderId="20" xfId="0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0" fontId="14" fillId="0" borderId="20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 wrapText="1"/>
    </xf>
    <xf numFmtId="0" fontId="11" fillId="0" borderId="29" xfId="0" applyFont="1" applyBorder="1" applyAlignment="1">
      <alignment horizontal="center" vertical="center" wrapText="1"/>
    </xf>
    <xf numFmtId="0" fontId="11" fillId="0" borderId="20" xfId="0" applyFont="1" applyBorder="1" applyAlignment="1">
      <alignment horizontal="center" vertical="center" wrapText="1"/>
    </xf>
    <xf numFmtId="0" fontId="17" fillId="0" borderId="13" xfId="0" applyFont="1" applyBorder="1" applyAlignment="1">
      <alignment horizontal="center" vertical="center" wrapText="1"/>
    </xf>
    <xf numFmtId="0" fontId="17" fillId="0" borderId="38" xfId="0" applyFont="1" applyBorder="1" applyAlignment="1">
      <alignment horizontal="center" vertical="center" wrapText="1"/>
    </xf>
    <xf numFmtId="0" fontId="17" fillId="0" borderId="42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17" fillId="0" borderId="7" xfId="0" applyFont="1" applyBorder="1" applyAlignment="1">
      <alignment horizontal="center" vertical="center"/>
    </xf>
    <xf numFmtId="0" fontId="17" fillId="0" borderId="29" xfId="0" applyFont="1" applyBorder="1" applyAlignment="1">
      <alignment horizontal="center" vertical="center"/>
    </xf>
    <xf numFmtId="0" fontId="17" fillId="0" borderId="20" xfId="0" applyFont="1" applyBorder="1" applyAlignment="1">
      <alignment horizontal="center" vertical="center"/>
    </xf>
    <xf numFmtId="0" fontId="14" fillId="0" borderId="29" xfId="0" applyFont="1" applyBorder="1" applyAlignment="1">
      <alignment horizontal="center" vertical="center"/>
    </xf>
    <xf numFmtId="0" fontId="15" fillId="2" borderId="30" xfId="0" applyFont="1" applyFill="1" applyBorder="1" applyAlignment="1">
      <alignment horizontal="center" vertical="center"/>
    </xf>
    <xf numFmtId="0" fontId="15" fillId="0" borderId="29" xfId="0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 wrapText="1"/>
    </xf>
    <xf numFmtId="0" fontId="14" fillId="0" borderId="29" xfId="0" applyFont="1" applyBorder="1" applyAlignment="1">
      <alignment horizontal="center" vertical="center" wrapText="1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A%20%20Relevamiento%20y%20Pedido%20Vigente/AA%20Relevamiento%20y%20Pedido%20VIGENT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sumo x Articulo"/>
      <sheetName val="Consumo x Parte"/>
      <sheetName val="Est Madre Loeke"/>
      <sheetName val="Est Madre Chef"/>
      <sheetName val="Est Madre LK 15-04"/>
      <sheetName val="Est Madre CH 15-04"/>
      <sheetName val="Consumo MB"/>
      <sheetName val="Consumo x Cod Articulo"/>
      <sheetName val="Formato Damian"/>
      <sheetName val="Relevamiento y OP VACIO"/>
      <sheetName val="Relev y OP Bolsas Plast VACIO"/>
      <sheetName val="Relevamiento y OP VACIO (2)"/>
      <sheetName val="Relevamiento y OP VACIO 8-04"/>
      <sheetName val="Relevamiento y OP Part 08-04-24"/>
      <sheetName val="Relev y OP Bolsas Plast 08-04"/>
      <sheetName val="Relev y OP Bolsas Plas 11-03-24"/>
      <sheetName val="Relevamiento y OP 11-03-24"/>
      <sheetName val="Relevamiento y OP 2-2-24"/>
      <sheetName val="Relev y OP Bolsas Plas 17-01-24"/>
      <sheetName val="Relevamiento y OP 16-01-24"/>
      <sheetName val="Relevamiento y OP 1-12"/>
      <sheetName val="Relev y OP Bolsas Plast 15-11"/>
      <sheetName val="Relevamiento y OP 6-11"/>
      <sheetName val="Relevamiento 06-10"/>
      <sheetName val="Relevamiento Virgilio 06-10"/>
      <sheetName val="Relev y OP Bolsas Plast 06-10"/>
      <sheetName val="Relev y OP Bolsas Plast 19-9"/>
      <sheetName val="Relevamiento y OP 14-09"/>
      <sheetName val="Relevamiento 20-07"/>
      <sheetName val="Relevamiento 22-06"/>
      <sheetName val="Relevamiento 09-06"/>
      <sheetName val="Relevamiento 31-5"/>
      <sheetName val="Relevamiento 29-05"/>
      <sheetName val="Relevamiento 8-5"/>
      <sheetName val="Relevamiento 2-3"/>
      <sheetName val="Relevamiento 05-04-23"/>
      <sheetName val="Relevamiento 8-2-23"/>
      <sheetName val="Releva Y Pide 27-01"/>
      <sheetName val="Relevamiento 19-12"/>
      <sheetName val="Relevamiento 13-12-22"/>
      <sheetName val="Pedido 13-12-22"/>
      <sheetName val="Relevamiento 21-10-2022"/>
      <sheetName val="Pedido 21-10-2022"/>
      <sheetName val="PEDIDO 26-09"/>
      <sheetName val="Pedido N 12-9"/>
      <sheetName val="RELEVAMIENTO 21-09"/>
      <sheetName val="Relevamiento 24-11"/>
      <sheetName val="Relevamiento 17-11-2022"/>
      <sheetName val="Pedido 17-11-2022"/>
      <sheetName val="RELEVAMIENTO 16-11"/>
      <sheetName val="RELEVAMIENTO 29-11"/>
      <sheetName val="Pedido 29-11"/>
      <sheetName val="Pedido Vacio"/>
      <sheetName val="CHEQUEO SECTORES"/>
      <sheetName val="Hoja1"/>
      <sheetName val="Sheet1"/>
      <sheetName val="Pedido Telleria"/>
      <sheetName val="Pedido SR"/>
      <sheetName val="Pedido Manolo"/>
      <sheetName val="Planimetría Plasticos."/>
      <sheetName val="Hoja2"/>
      <sheetName val="Hoja3"/>
      <sheetName val="Bocas x Matriz"/>
      <sheetName val="Consumos Generales INSUMOS"/>
      <sheetName val="Limpio Pedido INSUMOS"/>
      <sheetName val="Hoja4"/>
    </sheetNames>
    <sheetDataSet>
      <sheetData sheetId="0"/>
      <sheetData sheetId="1"/>
      <sheetData sheetId="2"/>
      <sheetData sheetId="3"/>
      <sheetData sheetId="4">
        <row r="1">
          <cell r="A1" t="str">
            <v>Cod Nuevo Isis</v>
          </cell>
          <cell r="B1" t="str">
            <v>Descripcion</v>
          </cell>
          <cell r="C1" t="str">
            <v>Prom x Mes Uni</v>
          </cell>
        </row>
        <row r="2">
          <cell r="A2">
            <v>26</v>
          </cell>
          <cell r="B2" t="str">
            <v xml:space="preserve">Colador N°8              </v>
          </cell>
          <cell r="C2">
            <v>8000</v>
          </cell>
        </row>
        <row r="3">
          <cell r="A3">
            <v>27</v>
          </cell>
          <cell r="B3" t="str">
            <v xml:space="preserve">Colador N°10             </v>
          </cell>
          <cell r="C3">
            <v>3600</v>
          </cell>
        </row>
        <row r="4">
          <cell r="A4">
            <v>29</v>
          </cell>
          <cell r="B4" t="str">
            <v xml:space="preserve">Colador N°16             </v>
          </cell>
          <cell r="C4">
            <v>1704</v>
          </cell>
        </row>
        <row r="5">
          <cell r="A5">
            <v>30</v>
          </cell>
          <cell r="B5" t="str">
            <v xml:space="preserve">Colador N°20             </v>
          </cell>
          <cell r="C5">
            <v>2184</v>
          </cell>
        </row>
        <row r="6">
          <cell r="A6">
            <v>31</v>
          </cell>
          <cell r="B6" t="str">
            <v xml:space="preserve">Filtro De Cafe           </v>
          </cell>
          <cell r="C6">
            <v>13000</v>
          </cell>
        </row>
        <row r="7">
          <cell r="A7">
            <v>34</v>
          </cell>
          <cell r="B7" t="str">
            <v>Filtro De Cafe Gastronomi</v>
          </cell>
          <cell r="C7">
            <v>1800</v>
          </cell>
        </row>
        <row r="8">
          <cell r="A8">
            <v>57</v>
          </cell>
          <cell r="B8" t="str">
            <v>Destapa Corona X1 Cromado</v>
          </cell>
          <cell r="C8">
            <v>1200</v>
          </cell>
        </row>
        <row r="9">
          <cell r="A9">
            <v>58</v>
          </cell>
          <cell r="B9" t="str">
            <v xml:space="preserve">Cierra Bolsa X2          </v>
          </cell>
          <cell r="C9">
            <v>240</v>
          </cell>
        </row>
        <row r="10">
          <cell r="A10">
            <v>59</v>
          </cell>
          <cell r="B10" t="str">
            <v>Cuchillito De Untar Plast</v>
          </cell>
          <cell r="C10">
            <v>168</v>
          </cell>
        </row>
        <row r="11">
          <cell r="A11">
            <v>207</v>
          </cell>
          <cell r="B11" t="str">
            <v>Ñoquera Mad. Mgo Redondo</v>
          </cell>
          <cell r="C11">
            <v>240</v>
          </cell>
        </row>
        <row r="12">
          <cell r="A12">
            <v>208</v>
          </cell>
          <cell r="B12" t="str">
            <v xml:space="preserve">Cucharita 13cm Azucarera </v>
          </cell>
          <cell r="C12">
            <v>192</v>
          </cell>
        </row>
        <row r="13">
          <cell r="A13">
            <v>220</v>
          </cell>
          <cell r="B13" t="str">
            <v>Cuchara Madera 40 Cm X 12</v>
          </cell>
          <cell r="C13">
            <v>480</v>
          </cell>
        </row>
        <row r="14">
          <cell r="A14">
            <v>221</v>
          </cell>
          <cell r="B14" t="str">
            <v>Cuchara Madera 45 Cm X 12</v>
          </cell>
          <cell r="C14">
            <v>396</v>
          </cell>
        </row>
        <row r="15">
          <cell r="A15">
            <v>222</v>
          </cell>
          <cell r="B15" t="str">
            <v xml:space="preserve">Bate Bife Madera         </v>
          </cell>
          <cell r="C15">
            <v>780</v>
          </cell>
        </row>
        <row r="16">
          <cell r="A16">
            <v>223</v>
          </cell>
          <cell r="B16" t="str">
            <v>Cuchara Madera 25 Cm X 12</v>
          </cell>
          <cell r="C16">
            <v>360</v>
          </cell>
        </row>
        <row r="17">
          <cell r="A17">
            <v>224</v>
          </cell>
          <cell r="B17" t="str">
            <v>Cuchara Madera 30 Cm X 12</v>
          </cell>
          <cell r="C17">
            <v>756</v>
          </cell>
        </row>
        <row r="18">
          <cell r="A18">
            <v>225</v>
          </cell>
          <cell r="B18" t="str">
            <v>Cuchara Madera 35 Cm X 12</v>
          </cell>
          <cell r="C18">
            <v>1680</v>
          </cell>
        </row>
        <row r="19">
          <cell r="A19">
            <v>229</v>
          </cell>
          <cell r="B19" t="str">
            <v xml:space="preserve">Ñoquera Madera           </v>
          </cell>
          <cell r="C19">
            <v>1200</v>
          </cell>
        </row>
        <row r="20">
          <cell r="A20">
            <v>246</v>
          </cell>
          <cell r="B20" t="str">
            <v xml:space="preserve">Prensa Matambre          </v>
          </cell>
          <cell r="C20">
            <v>180</v>
          </cell>
        </row>
        <row r="21">
          <cell r="A21">
            <v>248</v>
          </cell>
          <cell r="B21" t="str">
            <v>Cuchara De Cocina 33 Cm X 12</v>
          </cell>
          <cell r="C21">
            <v>984</v>
          </cell>
        </row>
        <row r="22">
          <cell r="A22">
            <v>280</v>
          </cell>
          <cell r="B22" t="str">
            <v>Manga Repostera + 4 Boqui</v>
          </cell>
          <cell r="C22">
            <v>984</v>
          </cell>
        </row>
        <row r="23">
          <cell r="A23">
            <v>299</v>
          </cell>
          <cell r="B23" t="str">
            <v>Muñeco Silicona Antiderra</v>
          </cell>
          <cell r="C23">
            <v>120</v>
          </cell>
        </row>
        <row r="24">
          <cell r="A24">
            <v>311</v>
          </cell>
          <cell r="B24" t="str">
            <v xml:space="preserve">Cuchillo Torta Acero Inox </v>
          </cell>
          <cell r="C24">
            <v>0</v>
          </cell>
        </row>
        <row r="25">
          <cell r="A25">
            <v>312</v>
          </cell>
          <cell r="B25" t="str">
            <v xml:space="preserve">Pala De Torta Acero Inox </v>
          </cell>
          <cell r="C25">
            <v>156</v>
          </cell>
        </row>
        <row r="26">
          <cell r="A26">
            <v>315</v>
          </cell>
          <cell r="B26" t="str">
            <v xml:space="preserve">Pisa Papas Acero Inox    </v>
          </cell>
          <cell r="C26">
            <v>1920</v>
          </cell>
        </row>
        <row r="27">
          <cell r="A27">
            <v>321</v>
          </cell>
          <cell r="B27" t="str">
            <v xml:space="preserve">Rallador Cilindrico      </v>
          </cell>
          <cell r="C27">
            <v>4800</v>
          </cell>
        </row>
        <row r="28">
          <cell r="A28">
            <v>323</v>
          </cell>
          <cell r="B28" t="str">
            <v>Rallador Cilindrico Chico</v>
          </cell>
          <cell r="C28">
            <v>240</v>
          </cell>
        </row>
        <row r="29">
          <cell r="A29">
            <v>325</v>
          </cell>
          <cell r="B29" t="str">
            <v xml:space="preserve">Espatula Repostera Plast </v>
          </cell>
          <cell r="C29">
            <v>6600</v>
          </cell>
        </row>
        <row r="30">
          <cell r="A30">
            <v>326</v>
          </cell>
          <cell r="B30" t="str">
            <v xml:space="preserve">Espatula Plastica 3 Usos </v>
          </cell>
          <cell r="C30">
            <v>192</v>
          </cell>
        </row>
        <row r="31">
          <cell r="A31">
            <v>332</v>
          </cell>
          <cell r="B31" t="str">
            <v xml:space="preserve">Espatula Acero Inox.     </v>
          </cell>
          <cell r="C31">
            <v>168</v>
          </cell>
        </row>
        <row r="32">
          <cell r="A32">
            <v>333</v>
          </cell>
          <cell r="B32" t="str">
            <v xml:space="preserve">Espumadera Ac.Inox.      </v>
          </cell>
          <cell r="C32">
            <v>288</v>
          </cell>
        </row>
        <row r="33">
          <cell r="A33">
            <v>334</v>
          </cell>
          <cell r="B33" t="str">
            <v xml:space="preserve">Cuchara Salsera Inox     </v>
          </cell>
          <cell r="C33">
            <v>144</v>
          </cell>
        </row>
        <row r="34">
          <cell r="A34">
            <v>335</v>
          </cell>
          <cell r="B34" t="str">
            <v xml:space="preserve">Cuchara Calada Ac.Inox.  </v>
          </cell>
          <cell r="C34">
            <v>120</v>
          </cell>
        </row>
        <row r="35">
          <cell r="A35">
            <v>336</v>
          </cell>
          <cell r="B35" t="str">
            <v xml:space="preserve">Cucharon Ac.Inox.        </v>
          </cell>
          <cell r="C35">
            <v>180</v>
          </cell>
        </row>
        <row r="36">
          <cell r="A36">
            <v>337</v>
          </cell>
          <cell r="B36" t="str">
            <v>Tenedor Ac Inox</v>
          </cell>
          <cell r="C36">
            <v>48</v>
          </cell>
        </row>
        <row r="37">
          <cell r="A37">
            <v>338</v>
          </cell>
          <cell r="B37" t="str">
            <v xml:space="preserve">Espatula Lisa Ac.Inox.   </v>
          </cell>
          <cell r="C37">
            <v>96</v>
          </cell>
        </row>
        <row r="38">
          <cell r="A38">
            <v>339</v>
          </cell>
          <cell r="B38" t="str">
            <v xml:space="preserve">Cuchara Spaghetti Ac Inox. </v>
          </cell>
          <cell r="C38">
            <v>144</v>
          </cell>
        </row>
        <row r="39">
          <cell r="A39">
            <v>355</v>
          </cell>
          <cell r="B39" t="str">
            <v>Pisa Papas Nylon Mgo Plas</v>
          </cell>
          <cell r="C39">
            <v>480</v>
          </cell>
        </row>
        <row r="40">
          <cell r="A40">
            <v>389</v>
          </cell>
          <cell r="B40" t="str">
            <v>Espumadera Nylon c/ Mgo</v>
          </cell>
          <cell r="C40">
            <v>168</v>
          </cell>
        </row>
        <row r="41">
          <cell r="A41">
            <v>390</v>
          </cell>
          <cell r="B41" t="str">
            <v>Cuchara Calada Nylon 1 Pz</v>
          </cell>
          <cell r="C41">
            <v>120</v>
          </cell>
        </row>
        <row r="42">
          <cell r="A42">
            <v>391</v>
          </cell>
          <cell r="B42" t="str">
            <v>Cuchara Pulpo Nylon 1 Pza</v>
          </cell>
          <cell r="C42">
            <v>288</v>
          </cell>
        </row>
        <row r="43">
          <cell r="A43">
            <v>392</v>
          </cell>
          <cell r="B43" t="str">
            <v xml:space="preserve">Cucharon Nylon 1 Pza     </v>
          </cell>
          <cell r="C43">
            <v>600</v>
          </cell>
        </row>
        <row r="44">
          <cell r="A44">
            <v>393</v>
          </cell>
          <cell r="B44" t="str">
            <v>Espatula Calada Nylon 1 P</v>
          </cell>
          <cell r="C44">
            <v>432</v>
          </cell>
        </row>
        <row r="45">
          <cell r="A45">
            <v>394</v>
          </cell>
          <cell r="B45" t="str">
            <v>Espatula Lisa Nylon 1 Pza</v>
          </cell>
          <cell r="C45">
            <v>360</v>
          </cell>
        </row>
        <row r="46">
          <cell r="A46">
            <v>395</v>
          </cell>
          <cell r="B46" t="str">
            <v>Descorazonador De Manzana</v>
          </cell>
          <cell r="C46">
            <v>336</v>
          </cell>
        </row>
        <row r="47">
          <cell r="A47">
            <v>396</v>
          </cell>
          <cell r="B47" t="str">
            <v xml:space="preserve">Enrulador De Manteca     </v>
          </cell>
          <cell r="C47">
            <v>192</v>
          </cell>
        </row>
        <row r="48">
          <cell r="A48">
            <v>498</v>
          </cell>
          <cell r="B48" t="str">
            <v>Destapador Pie Cromado</v>
          </cell>
          <cell r="C48">
            <v>300</v>
          </cell>
        </row>
        <row r="49">
          <cell r="A49">
            <v>499</v>
          </cell>
          <cell r="B49" t="str">
            <v xml:space="preserve">Destapador Pie Color     </v>
          </cell>
          <cell r="C49">
            <v>1200</v>
          </cell>
        </row>
        <row r="50">
          <cell r="A50">
            <v>500</v>
          </cell>
          <cell r="B50" t="str">
            <v xml:space="preserve">Abrelata Uña Pie Color   </v>
          </cell>
          <cell r="C50">
            <v>2940</v>
          </cell>
        </row>
        <row r="51">
          <cell r="A51">
            <v>501</v>
          </cell>
          <cell r="B51" t="str">
            <v xml:space="preserve">Abrelatas A Manija       </v>
          </cell>
          <cell r="C51">
            <v>5040</v>
          </cell>
        </row>
        <row r="52">
          <cell r="A52">
            <v>502</v>
          </cell>
          <cell r="B52" t="str">
            <v xml:space="preserve">Abrelatas A Mariposa     </v>
          </cell>
          <cell r="C52">
            <v>6420</v>
          </cell>
        </row>
        <row r="53">
          <cell r="A53">
            <v>504</v>
          </cell>
          <cell r="B53" t="str">
            <v xml:space="preserve">Afila Cuchillos          </v>
          </cell>
          <cell r="C53">
            <v>5600</v>
          </cell>
        </row>
        <row r="54">
          <cell r="A54">
            <v>505</v>
          </cell>
          <cell r="B54" t="str">
            <v xml:space="preserve">Pelador Mgo Plastico     </v>
          </cell>
          <cell r="C54">
            <v>21000</v>
          </cell>
        </row>
        <row r="55">
          <cell r="A55">
            <v>506</v>
          </cell>
          <cell r="B55" t="str">
            <v xml:space="preserve">Abrelatas Uña            </v>
          </cell>
          <cell r="C55">
            <v>18612</v>
          </cell>
        </row>
        <row r="56">
          <cell r="A56">
            <v>507</v>
          </cell>
          <cell r="B56" t="str">
            <v xml:space="preserve">Rompenueces              </v>
          </cell>
          <cell r="C56">
            <v>1200</v>
          </cell>
        </row>
        <row r="57">
          <cell r="A57">
            <v>508</v>
          </cell>
          <cell r="B57" t="str">
            <v xml:space="preserve">Sacafuentes Articulado   </v>
          </cell>
          <cell r="C57">
            <v>600</v>
          </cell>
        </row>
        <row r="58">
          <cell r="A58">
            <v>509</v>
          </cell>
          <cell r="B58" t="str">
            <v xml:space="preserve">Paleta Batidora          </v>
          </cell>
          <cell r="C58">
            <v>204</v>
          </cell>
        </row>
        <row r="59">
          <cell r="A59">
            <v>510</v>
          </cell>
          <cell r="B59" t="str">
            <v>Abrelata Uña Cromado</v>
          </cell>
          <cell r="C59">
            <v>6000</v>
          </cell>
        </row>
        <row r="60">
          <cell r="A60">
            <v>511</v>
          </cell>
          <cell r="B60" t="str">
            <v xml:space="preserve">3 En 1                   </v>
          </cell>
          <cell r="C60">
            <v>420</v>
          </cell>
        </row>
        <row r="61">
          <cell r="A61">
            <v>512</v>
          </cell>
          <cell r="B61" t="str">
            <v>Abrelata Mariposa Plastic</v>
          </cell>
          <cell r="C61">
            <v>984</v>
          </cell>
        </row>
        <row r="62">
          <cell r="A62">
            <v>513</v>
          </cell>
          <cell r="B62" t="str">
            <v xml:space="preserve">Pelador Mgo Metalico     </v>
          </cell>
          <cell r="C62">
            <v>20400</v>
          </cell>
        </row>
        <row r="63">
          <cell r="A63">
            <v>515</v>
          </cell>
          <cell r="B63" t="str">
            <v xml:space="preserve">Batidor Resorte          </v>
          </cell>
          <cell r="C63">
            <v>144</v>
          </cell>
        </row>
        <row r="64">
          <cell r="A64">
            <v>516</v>
          </cell>
          <cell r="B64" t="str">
            <v xml:space="preserve">Destapacorona Suelto     </v>
          </cell>
          <cell r="C64">
            <v>1100</v>
          </cell>
        </row>
        <row r="65">
          <cell r="A65">
            <v>518</v>
          </cell>
          <cell r="B65" t="str">
            <v xml:space="preserve">Sacafuente Gastronomico  </v>
          </cell>
          <cell r="C65">
            <v>864</v>
          </cell>
        </row>
        <row r="66">
          <cell r="A66">
            <v>519</v>
          </cell>
          <cell r="B66" t="str">
            <v>Cuchillo De Untar X 2 mad</v>
          </cell>
          <cell r="C66">
            <v>960</v>
          </cell>
        </row>
        <row r="67">
          <cell r="A67">
            <v>519</v>
          </cell>
          <cell r="B67" t="str">
            <v xml:space="preserve">Cuchillo De Untar Suelto </v>
          </cell>
          <cell r="C67">
            <v>960</v>
          </cell>
        </row>
        <row r="68">
          <cell r="A68">
            <v>520</v>
          </cell>
          <cell r="B68" t="str">
            <v>Sacacorcho Tipo Mozo Crom</v>
          </cell>
          <cell r="C68">
            <v>3600</v>
          </cell>
        </row>
        <row r="69">
          <cell r="A69">
            <v>521</v>
          </cell>
          <cell r="B69" t="str">
            <v>Sacacorcho Combinado Crom</v>
          </cell>
          <cell r="C69">
            <v>2640</v>
          </cell>
        </row>
        <row r="70">
          <cell r="A70">
            <v>523</v>
          </cell>
          <cell r="B70" t="str">
            <v xml:space="preserve">Sacacorcho Doble Aleta   </v>
          </cell>
          <cell r="C70">
            <v>1608</v>
          </cell>
        </row>
        <row r="71">
          <cell r="A71">
            <v>525</v>
          </cell>
          <cell r="B71" t="str">
            <v>Sacacorcho Cabo De Madera</v>
          </cell>
          <cell r="C71">
            <v>1728</v>
          </cell>
        </row>
        <row r="72">
          <cell r="A72">
            <v>530</v>
          </cell>
          <cell r="B72" t="str">
            <v>Sacacorcho Tipo Mozo Color</v>
          </cell>
          <cell r="C72">
            <v>3600</v>
          </cell>
        </row>
        <row r="73">
          <cell r="A73">
            <v>531</v>
          </cell>
          <cell r="B73" t="str">
            <v>Sacacorcho Combinado Color</v>
          </cell>
          <cell r="C73">
            <v>1500</v>
          </cell>
        </row>
        <row r="74">
          <cell r="A74">
            <v>532</v>
          </cell>
          <cell r="B74" t="str">
            <v xml:space="preserve">Cuchara De Helado        </v>
          </cell>
          <cell r="C74">
            <v>624</v>
          </cell>
        </row>
        <row r="75">
          <cell r="A75">
            <v>534</v>
          </cell>
          <cell r="B75" t="str">
            <v>Cepillo Lava Vajilla</v>
          </cell>
          <cell r="C75">
            <v>216</v>
          </cell>
        </row>
        <row r="76">
          <cell r="A76">
            <v>535</v>
          </cell>
          <cell r="B76" t="str">
            <v>Cepillo Limpia Vaso Mamad</v>
          </cell>
          <cell r="C76">
            <v>996</v>
          </cell>
        </row>
        <row r="77">
          <cell r="A77">
            <v>542</v>
          </cell>
          <cell r="B77" t="str">
            <v xml:space="preserve">Ahueca Papas             </v>
          </cell>
          <cell r="C77">
            <v>396</v>
          </cell>
        </row>
        <row r="78">
          <cell r="A78">
            <v>543</v>
          </cell>
          <cell r="B78" t="str">
            <v xml:space="preserve">Ahueca Frutas            </v>
          </cell>
          <cell r="C78">
            <v>300</v>
          </cell>
        </row>
        <row r="79">
          <cell r="A79">
            <v>544</v>
          </cell>
          <cell r="B79" t="str">
            <v xml:space="preserve">Batidor Pera Alambre     </v>
          </cell>
          <cell r="C79">
            <v>5600</v>
          </cell>
        </row>
        <row r="80">
          <cell r="A80">
            <v>546</v>
          </cell>
          <cell r="B80" t="str">
            <v xml:space="preserve">Corta Queso              </v>
          </cell>
          <cell r="C80">
            <v>4800</v>
          </cell>
        </row>
        <row r="81">
          <cell r="A81">
            <v>547</v>
          </cell>
          <cell r="B81" t="str">
            <v xml:space="preserve">Corta Torta              </v>
          </cell>
          <cell r="C81">
            <v>24</v>
          </cell>
        </row>
        <row r="82">
          <cell r="A82">
            <v>548</v>
          </cell>
          <cell r="B82" t="str">
            <v xml:space="preserve">Pincel Pastelero         </v>
          </cell>
          <cell r="C82">
            <v>360</v>
          </cell>
        </row>
        <row r="83">
          <cell r="A83">
            <v>550</v>
          </cell>
          <cell r="B83" t="str">
            <v xml:space="preserve">Filtro Para Bombillas    </v>
          </cell>
          <cell r="C83">
            <v>1224</v>
          </cell>
        </row>
        <row r="84">
          <cell r="A84">
            <v>551</v>
          </cell>
          <cell r="B84" t="str">
            <v>Cuchillo Untar Mgo Plast Inox</v>
          </cell>
          <cell r="C84">
            <v>360</v>
          </cell>
        </row>
        <row r="85">
          <cell r="A85">
            <v>552</v>
          </cell>
          <cell r="B85" t="str">
            <v>Bombilla Bolita</v>
          </cell>
          <cell r="C85">
            <v>0</v>
          </cell>
        </row>
        <row r="86">
          <cell r="A86">
            <v>553</v>
          </cell>
          <cell r="B86" t="str">
            <v>Bombilla Coco Hexagonal</v>
          </cell>
          <cell r="C86">
            <v>96</v>
          </cell>
        </row>
        <row r="87">
          <cell r="A87">
            <v>554</v>
          </cell>
          <cell r="B87" t="str">
            <v xml:space="preserve">Cucharita Matera         </v>
          </cell>
          <cell r="C87">
            <v>192</v>
          </cell>
        </row>
        <row r="88">
          <cell r="A88">
            <v>555</v>
          </cell>
          <cell r="B88" t="str">
            <v xml:space="preserve">Cepillo Limpia Bombilla  </v>
          </cell>
          <cell r="C88">
            <v>1728</v>
          </cell>
        </row>
        <row r="89">
          <cell r="A89">
            <v>556</v>
          </cell>
          <cell r="B89" t="str">
            <v>Sacayerba</v>
          </cell>
          <cell r="C89">
            <v>120</v>
          </cell>
        </row>
        <row r="90">
          <cell r="A90">
            <v>557</v>
          </cell>
          <cell r="B90" t="str">
            <v xml:space="preserve">Bombilla Resorte Chata   </v>
          </cell>
          <cell r="C90">
            <v>800</v>
          </cell>
        </row>
        <row r="91">
          <cell r="A91">
            <v>558</v>
          </cell>
          <cell r="B91" t="str">
            <v>Bombilla Resorte Tradicio</v>
          </cell>
          <cell r="C91">
            <v>2600</v>
          </cell>
        </row>
        <row r="92">
          <cell r="A92">
            <v>559</v>
          </cell>
          <cell r="B92" t="str">
            <v xml:space="preserve">Corta Ravioles           </v>
          </cell>
          <cell r="C92">
            <v>720</v>
          </cell>
        </row>
        <row r="93">
          <cell r="A93">
            <v>560</v>
          </cell>
          <cell r="B93" t="str">
            <v xml:space="preserve">Pinza Chica              </v>
          </cell>
          <cell r="C93">
            <v>720</v>
          </cell>
        </row>
        <row r="94">
          <cell r="A94">
            <v>562</v>
          </cell>
          <cell r="B94" t="str">
            <v>Corta Pizza Mgo 6cm</v>
          </cell>
          <cell r="C94">
            <v>720</v>
          </cell>
        </row>
        <row r="95">
          <cell r="A95">
            <v>563</v>
          </cell>
          <cell r="B95" t="str">
            <v xml:space="preserve">Pinza Hamburguesa       </v>
          </cell>
          <cell r="C95" t="str">
            <v>Disc.</v>
          </cell>
        </row>
        <row r="96">
          <cell r="A96">
            <v>564</v>
          </cell>
          <cell r="B96" t="str">
            <v xml:space="preserve">Corta Pizza Gastronomico </v>
          </cell>
          <cell r="C96">
            <v>600</v>
          </cell>
        </row>
        <row r="97">
          <cell r="A97">
            <v>565</v>
          </cell>
          <cell r="B97" t="str">
            <v xml:space="preserve">Pinza De Hielo           </v>
          </cell>
          <cell r="C97">
            <v>768</v>
          </cell>
        </row>
        <row r="98">
          <cell r="A98">
            <v>569</v>
          </cell>
          <cell r="B98" t="str">
            <v xml:space="preserve">Pelanaranjas X 1 Display </v>
          </cell>
          <cell r="C98">
            <v>240</v>
          </cell>
        </row>
        <row r="99">
          <cell r="A99">
            <v>570</v>
          </cell>
          <cell r="B99" t="str">
            <v xml:space="preserve">Pala De Canelones        </v>
          </cell>
          <cell r="C99">
            <v>296</v>
          </cell>
        </row>
        <row r="100">
          <cell r="A100">
            <v>571</v>
          </cell>
          <cell r="B100" t="str">
            <v>Pinza Reforzada</v>
          </cell>
          <cell r="C100">
            <v>180</v>
          </cell>
        </row>
        <row r="101">
          <cell r="A101">
            <v>573</v>
          </cell>
          <cell r="B101" t="str">
            <v>Bombilla Colores Metaliza</v>
          </cell>
          <cell r="C101">
            <v>400</v>
          </cell>
        </row>
        <row r="102">
          <cell r="A102">
            <v>575</v>
          </cell>
          <cell r="B102" t="str">
            <v>Tapon De Vino/Cerv X1  Negro</v>
          </cell>
          <cell r="C102">
            <v>2400</v>
          </cell>
        </row>
        <row r="103">
          <cell r="A103">
            <v>577</v>
          </cell>
          <cell r="B103" t="str">
            <v>Tapon De Vino/Cerveza Premium</v>
          </cell>
          <cell r="C103">
            <v>1020</v>
          </cell>
        </row>
        <row r="104">
          <cell r="A104">
            <v>578</v>
          </cell>
          <cell r="B104" t="str">
            <v>Descarozador De Aceitunas</v>
          </cell>
          <cell r="C104">
            <v>720</v>
          </cell>
        </row>
        <row r="105">
          <cell r="A105">
            <v>579</v>
          </cell>
          <cell r="B105" t="str">
            <v>Tapon De Vino/Cerv X 1 Color</v>
          </cell>
          <cell r="C105">
            <v>1104</v>
          </cell>
        </row>
        <row r="106">
          <cell r="A106">
            <v>581</v>
          </cell>
          <cell r="B106" t="str">
            <v>Sacacorcho Cabo Plastico</v>
          </cell>
          <cell r="C106">
            <v>300</v>
          </cell>
        </row>
        <row r="107">
          <cell r="A107">
            <v>586</v>
          </cell>
          <cell r="B107" t="str">
            <v xml:space="preserve">Pelapapas Mgo Ergonomico </v>
          </cell>
          <cell r="C107">
            <v>6000</v>
          </cell>
        </row>
        <row r="108">
          <cell r="A108">
            <v>587</v>
          </cell>
          <cell r="B108" t="str">
            <v>Pelapapas Cuchilla Corte Laser</v>
          </cell>
          <cell r="C108">
            <v>2760</v>
          </cell>
        </row>
        <row r="109">
          <cell r="A109">
            <v>592</v>
          </cell>
          <cell r="B109" t="str">
            <v xml:space="preserve">Tostador                 </v>
          </cell>
          <cell r="C109">
            <v>240</v>
          </cell>
        </row>
        <row r="110">
          <cell r="A110">
            <v>593</v>
          </cell>
          <cell r="B110" t="str">
            <v xml:space="preserve">Tostador Enlozado        </v>
          </cell>
          <cell r="C110">
            <v>240</v>
          </cell>
        </row>
        <row r="111">
          <cell r="A111">
            <v>594</v>
          </cell>
          <cell r="B111" t="str">
            <v>Pinza De Fideos Mgo Plast X 12</v>
          </cell>
          <cell r="C111">
            <v>300</v>
          </cell>
        </row>
        <row r="112">
          <cell r="A112">
            <v>595</v>
          </cell>
          <cell r="B112" t="str">
            <v>Pinza De Fiambre Mgo Plas X 12</v>
          </cell>
          <cell r="C112">
            <v>192</v>
          </cell>
        </row>
        <row r="113">
          <cell r="A113">
            <v>596</v>
          </cell>
          <cell r="B113" t="str">
            <v>Pinza De Ensalada Mgo Pla X 12</v>
          </cell>
          <cell r="C113">
            <v>252</v>
          </cell>
        </row>
        <row r="114">
          <cell r="A114">
            <v>654</v>
          </cell>
          <cell r="B114" t="str">
            <v>Bombilla Autolimpiante In</v>
          </cell>
          <cell r="C114">
            <v>900</v>
          </cell>
        </row>
        <row r="115">
          <cell r="A115">
            <v>655</v>
          </cell>
          <cell r="B115" t="str">
            <v>Bombilla Eco Plastica</v>
          </cell>
          <cell r="C115">
            <v>240</v>
          </cell>
        </row>
        <row r="116">
          <cell r="A116">
            <v>657</v>
          </cell>
          <cell r="B116" t="str">
            <v>Bombilla Autolimpiante Ni</v>
          </cell>
          <cell r="C116" t="str">
            <v>Disc.</v>
          </cell>
        </row>
        <row r="117">
          <cell r="A117">
            <v>658</v>
          </cell>
          <cell r="B117" t="str">
            <v>Bombilla Basica Larga Rec</v>
          </cell>
          <cell r="C117">
            <v>0</v>
          </cell>
        </row>
        <row r="118">
          <cell r="A118">
            <v>659</v>
          </cell>
          <cell r="B118" t="str">
            <v>Bombilla Basica Larga Cur</v>
          </cell>
          <cell r="C118">
            <v>0</v>
          </cell>
        </row>
        <row r="119">
          <cell r="A119">
            <v>823</v>
          </cell>
          <cell r="B119" t="str">
            <v xml:space="preserve">Exprimidor De Citricos   </v>
          </cell>
          <cell r="C119">
            <v>480</v>
          </cell>
        </row>
        <row r="120">
          <cell r="A120" t="str">
            <v>030E</v>
          </cell>
          <cell r="B120" t="str">
            <v>Colador 20 Cm Acero Inox</v>
          </cell>
          <cell r="C120" t="str">
            <v>-</v>
          </cell>
        </row>
        <row r="121">
          <cell r="A121">
            <v>66</v>
          </cell>
          <cell r="B121" t="str">
            <v>Abrelata Super Mariposa</v>
          </cell>
          <cell r="C121">
            <v>3000</v>
          </cell>
        </row>
        <row r="122">
          <cell r="A122" t="str">
            <v>328E</v>
          </cell>
          <cell r="B122" t="str">
            <v xml:space="preserve">Rallador Plano 3 Usos Ac </v>
          </cell>
          <cell r="C122">
            <v>360</v>
          </cell>
        </row>
        <row r="123">
          <cell r="A123" t="str">
            <v>360E</v>
          </cell>
          <cell r="B123" t="str">
            <v xml:space="preserve">Rallador 4 Lados A/I Mgo </v>
          </cell>
          <cell r="C123">
            <v>360</v>
          </cell>
        </row>
        <row r="124">
          <cell r="A124" t="str">
            <v>361E</v>
          </cell>
          <cell r="B124" t="str">
            <v>Rallador 4 Lados Ac Inox(</v>
          </cell>
          <cell r="C124">
            <v>480</v>
          </cell>
        </row>
        <row r="125">
          <cell r="A125" t="str">
            <v>362E</v>
          </cell>
          <cell r="B125" t="str">
            <v>Rallador 4 Lados Ac Inox(</v>
          </cell>
          <cell r="C125">
            <v>420</v>
          </cell>
        </row>
        <row r="126">
          <cell r="A126" t="str">
            <v>363E</v>
          </cell>
          <cell r="B126" t="str">
            <v>Rallador Gurmet Grano Fin</v>
          </cell>
          <cell r="C126">
            <v>360</v>
          </cell>
        </row>
        <row r="127">
          <cell r="A127" t="str">
            <v>364E</v>
          </cell>
          <cell r="B127" t="str">
            <v>Rallador Gourmet Grano Me</v>
          </cell>
          <cell r="C127">
            <v>150</v>
          </cell>
        </row>
        <row r="128">
          <cell r="A128" t="str">
            <v>365E</v>
          </cell>
          <cell r="B128" t="str">
            <v>Rallador Gourmet Grano Gr</v>
          </cell>
          <cell r="C128">
            <v>80</v>
          </cell>
        </row>
        <row r="129">
          <cell r="A129" t="str">
            <v>366E</v>
          </cell>
          <cell r="B129" t="str">
            <v>Rallador Conico A/I X 12</v>
          </cell>
          <cell r="C129">
            <v>24</v>
          </cell>
        </row>
        <row r="130">
          <cell r="A130" t="str">
            <v>368e</v>
          </cell>
          <cell r="B130" t="str">
            <v>Rallador Hexagonal A/I Con Bas 25cm</v>
          </cell>
          <cell r="C130">
            <v>0</v>
          </cell>
        </row>
        <row r="131">
          <cell r="A131" t="str">
            <v>369e</v>
          </cell>
          <cell r="B131" t="str">
            <v>Rallador 4 Lados A/I Mgo C/Bas 25cm</v>
          </cell>
          <cell r="C131">
            <v>0</v>
          </cell>
        </row>
        <row r="132">
          <cell r="A132" t="str">
            <v>367E</v>
          </cell>
          <cell r="B132" t="str">
            <v>Rallador Hexagonal Ac Ino</v>
          </cell>
          <cell r="C132">
            <v>48</v>
          </cell>
        </row>
        <row r="133">
          <cell r="A133" t="str">
            <v>388E</v>
          </cell>
          <cell r="B133" t="str">
            <v xml:space="preserve">Maquina Corta Papa       </v>
          </cell>
          <cell r="C133">
            <v>70</v>
          </cell>
        </row>
        <row r="134">
          <cell r="A134" t="str">
            <v>435E</v>
          </cell>
          <cell r="B134" t="str">
            <v xml:space="preserve">Colador Acero Inox 10 Cm </v>
          </cell>
          <cell r="C134">
            <v>6384</v>
          </cell>
        </row>
        <row r="135">
          <cell r="A135" t="str">
            <v>436E</v>
          </cell>
          <cell r="B135" t="str">
            <v xml:space="preserve">Colador Acero Inox 14 Cm </v>
          </cell>
          <cell r="C135">
            <v>300</v>
          </cell>
        </row>
        <row r="136">
          <cell r="A136" t="str">
            <v>437E</v>
          </cell>
          <cell r="B136" t="str">
            <v xml:space="preserve">Colador Acero Inox 16 Cm </v>
          </cell>
          <cell r="C136">
            <v>260</v>
          </cell>
        </row>
        <row r="137">
          <cell r="A137" t="str">
            <v>438E</v>
          </cell>
          <cell r="B137" t="str">
            <v xml:space="preserve">Colador Acero Inox 20 Cm </v>
          </cell>
          <cell r="C137">
            <v>800</v>
          </cell>
        </row>
        <row r="138">
          <cell r="A138" t="str">
            <v>438E</v>
          </cell>
          <cell r="B138" t="str">
            <v xml:space="preserve">Colador Acero Inox 20 Cm </v>
          </cell>
          <cell r="C138">
            <v>800</v>
          </cell>
        </row>
        <row r="139">
          <cell r="A139" t="str">
            <v>439E</v>
          </cell>
          <cell r="B139" t="str">
            <v>Colapasta Metal Perforado</v>
          </cell>
          <cell r="C139">
            <v>48</v>
          </cell>
        </row>
        <row r="140">
          <cell r="A140" t="str">
            <v>440E</v>
          </cell>
          <cell r="B140" t="str">
            <v>Colador Extensib. A/I 34X</v>
          </cell>
          <cell r="C140">
            <v>40</v>
          </cell>
        </row>
        <row r="141">
          <cell r="A141" t="str">
            <v>478E</v>
          </cell>
          <cell r="B141" t="str">
            <v xml:space="preserve">Sacacorcho Doble Impulso </v>
          </cell>
          <cell r="C141">
            <v>2040</v>
          </cell>
        </row>
        <row r="142">
          <cell r="A142" t="str">
            <v>502E</v>
          </cell>
          <cell r="B142" t="str">
            <v xml:space="preserve">Abrelata Mariposa        </v>
          </cell>
          <cell r="C142">
            <v>0</v>
          </cell>
        </row>
        <row r="143">
          <cell r="A143" t="str">
            <v>502T</v>
          </cell>
          <cell r="B143" t="str">
            <v>Abrelata Mariposa Tira Imp.</v>
          </cell>
          <cell r="C143">
            <v>0</v>
          </cell>
        </row>
        <row r="144">
          <cell r="A144" t="str">
            <v>503E</v>
          </cell>
          <cell r="B144" t="str">
            <v>Abrelatas Doble Engranaje</v>
          </cell>
          <cell r="C144">
            <v>600</v>
          </cell>
        </row>
        <row r="145">
          <cell r="A145" t="str">
            <v>504A</v>
          </cell>
          <cell r="B145" t="str">
            <v>Afila Cuchillos Azul</v>
          </cell>
          <cell r="C145">
            <v>0</v>
          </cell>
        </row>
        <row r="146">
          <cell r="A146" t="str">
            <v>510T</v>
          </cell>
          <cell r="B146" t="str">
            <v>Abrelata Uña Crom Tira Imp</v>
          </cell>
          <cell r="C146">
            <v>0</v>
          </cell>
        </row>
        <row r="147">
          <cell r="A147" t="str">
            <v>512E</v>
          </cell>
          <cell r="B147" t="str">
            <v>Abrelata Mariposa Plastic</v>
          </cell>
          <cell r="C147">
            <v>0</v>
          </cell>
        </row>
        <row r="148">
          <cell r="A148" t="str">
            <v>520T</v>
          </cell>
          <cell r="B148" t="str">
            <v>Sac. Tipo Mozo Cromado Tira Imp.</v>
          </cell>
          <cell r="C148">
            <v>0</v>
          </cell>
        </row>
        <row r="149">
          <cell r="A149" t="str">
            <v>525E</v>
          </cell>
          <cell r="B149" t="str">
            <v>Sacacorcho Cabo Madera</v>
          </cell>
          <cell r="C149">
            <v>2040</v>
          </cell>
        </row>
        <row r="150">
          <cell r="A150" t="str">
            <v>529E</v>
          </cell>
          <cell r="B150" t="str">
            <v xml:space="preserve">Sacacorcho Doble Impulso </v>
          </cell>
          <cell r="C150">
            <v>2400</v>
          </cell>
        </row>
        <row r="151">
          <cell r="A151" t="str">
            <v>580E</v>
          </cell>
          <cell r="B151" t="str">
            <v>Mini Batidor Pera x1</v>
          </cell>
          <cell r="C151">
            <v>480</v>
          </cell>
        </row>
        <row r="152">
          <cell r="A152" t="str">
            <v>544E</v>
          </cell>
          <cell r="B152" t="str">
            <v xml:space="preserve">Batidor Pera Display     </v>
          </cell>
          <cell r="C152">
            <v>0</v>
          </cell>
        </row>
        <row r="153">
          <cell r="A153" t="str">
            <v>574E</v>
          </cell>
          <cell r="B153" t="str">
            <v xml:space="preserve">Corta Queso De Alambre   </v>
          </cell>
          <cell r="C153">
            <v>600</v>
          </cell>
        </row>
        <row r="154">
          <cell r="A154" t="str">
            <v>580E</v>
          </cell>
          <cell r="B154" t="str">
            <v>Batidor Mini</v>
          </cell>
          <cell r="C154">
            <v>480</v>
          </cell>
        </row>
        <row r="155">
          <cell r="A155" t="str">
            <v>581T</v>
          </cell>
          <cell r="B155" t="str">
            <v>Sac. Cabo Nylon Tira Imp</v>
          </cell>
          <cell r="C155">
            <v>0</v>
          </cell>
        </row>
        <row r="156">
          <cell r="A156" t="str">
            <v>585E</v>
          </cell>
          <cell r="B156" t="str">
            <v>Sac.Doble Aleta Fundicion</v>
          </cell>
          <cell r="C156">
            <v>480</v>
          </cell>
        </row>
        <row r="157">
          <cell r="A157" t="str">
            <v>587T</v>
          </cell>
          <cell r="B157" t="str">
            <v>Pelador Cuchilla Laser Tira Imp</v>
          </cell>
          <cell r="C157">
            <v>0</v>
          </cell>
        </row>
        <row r="158">
          <cell r="A158" t="str">
            <v>809E</v>
          </cell>
          <cell r="B158" t="str">
            <v>Corta Pizza Familiar</v>
          </cell>
          <cell r="C158">
            <v>480</v>
          </cell>
        </row>
        <row r="159">
          <cell r="A159" t="str">
            <v>810E</v>
          </cell>
          <cell r="B159" t="str">
            <v>Corta Queso Semiduros A/I</v>
          </cell>
          <cell r="C159">
            <v>360</v>
          </cell>
        </row>
        <row r="160">
          <cell r="A160" t="str">
            <v>811E</v>
          </cell>
          <cell r="B160" t="str">
            <v>Corta Pizza C/Mgo Ergonom</v>
          </cell>
          <cell r="C160">
            <v>612</v>
          </cell>
        </row>
        <row r="161">
          <cell r="A161" t="str">
            <v>812E</v>
          </cell>
          <cell r="B161" t="str">
            <v xml:space="preserve">Corta Huevo              </v>
          </cell>
          <cell r="C161">
            <v>300</v>
          </cell>
        </row>
        <row r="162">
          <cell r="A162" t="str">
            <v>813E</v>
          </cell>
          <cell r="B162" t="str">
            <v xml:space="preserve">Afila Cuchillo           </v>
          </cell>
          <cell r="C162" t="str">
            <v>Disc.</v>
          </cell>
        </row>
        <row r="163">
          <cell r="A163" t="str">
            <v>814E</v>
          </cell>
          <cell r="B163" t="str">
            <v>Mariposa Manopla Magnetic</v>
          </cell>
          <cell r="C163" t="str">
            <v>Disc.</v>
          </cell>
        </row>
        <row r="164">
          <cell r="A164" t="str">
            <v>815E</v>
          </cell>
          <cell r="B164" t="str">
            <v>Batidor Pera Con Mgo Ergo</v>
          </cell>
          <cell r="C164" t="str">
            <v>Disc.</v>
          </cell>
        </row>
        <row r="165">
          <cell r="A165" t="str">
            <v>816E</v>
          </cell>
          <cell r="B165" t="str">
            <v xml:space="preserve">Pelador "V" Horizontal   </v>
          </cell>
          <cell r="C165">
            <v>2400</v>
          </cell>
        </row>
        <row r="166">
          <cell r="A166" t="str">
            <v>817E</v>
          </cell>
          <cell r="B166" t="str">
            <v>Rallador C/Mgo Ergonomico</v>
          </cell>
          <cell r="C166">
            <v>200</v>
          </cell>
        </row>
        <row r="167">
          <cell r="A167" t="str">
            <v>818E</v>
          </cell>
          <cell r="B167" t="str">
            <v>Corta Pizza Manual</v>
          </cell>
          <cell r="C167" t="str">
            <v>Disc.</v>
          </cell>
        </row>
        <row r="168">
          <cell r="A168" t="str">
            <v>819E</v>
          </cell>
          <cell r="B168" t="str">
            <v xml:space="preserve">Sacacorcho "Fish" Grande </v>
          </cell>
          <cell r="C168">
            <v>600</v>
          </cell>
        </row>
      </sheetData>
      <sheetData sheetId="5">
        <row r="1">
          <cell r="A1" t="str">
            <v>Cod.Art.</v>
          </cell>
          <cell r="B1" t="str">
            <v>Descripcion</v>
          </cell>
          <cell r="C1" t="str">
            <v>Prom Uni</v>
          </cell>
        </row>
        <row r="2">
          <cell r="A2">
            <v>836</v>
          </cell>
          <cell r="B2" t="str">
            <v xml:space="preserve">Filtro Para Cafe         </v>
          </cell>
          <cell r="C2">
            <v>2520</v>
          </cell>
        </row>
        <row r="3">
          <cell r="A3">
            <v>706</v>
          </cell>
          <cell r="B3" t="str">
            <v xml:space="preserve">Abrelatas Uñas           </v>
          </cell>
          <cell r="C3">
            <v>4000</v>
          </cell>
        </row>
        <row r="4">
          <cell r="A4">
            <v>713</v>
          </cell>
          <cell r="B4" t="str">
            <v xml:space="preserve">Pelapapas Metalico       </v>
          </cell>
          <cell r="C4">
            <v>3720</v>
          </cell>
        </row>
        <row r="5">
          <cell r="A5">
            <v>825</v>
          </cell>
          <cell r="B5" t="str">
            <v xml:space="preserve">Colador 10 Cm            </v>
          </cell>
          <cell r="C5">
            <v>1750</v>
          </cell>
        </row>
        <row r="6">
          <cell r="A6">
            <v>824</v>
          </cell>
          <cell r="B6" t="str">
            <v xml:space="preserve">Colador 8 Cm             </v>
          </cell>
          <cell r="C6">
            <v>1875</v>
          </cell>
        </row>
        <row r="7">
          <cell r="A7">
            <v>840</v>
          </cell>
          <cell r="B7" t="str">
            <v xml:space="preserve">Rallador Cilindrico      </v>
          </cell>
          <cell r="C7">
            <v>1920</v>
          </cell>
        </row>
        <row r="8">
          <cell r="A8">
            <v>702</v>
          </cell>
          <cell r="B8" t="str">
            <v xml:space="preserve">Abrelatas Mariposa       </v>
          </cell>
          <cell r="C8">
            <v>1500</v>
          </cell>
        </row>
        <row r="9">
          <cell r="A9" t="str">
            <v>702E</v>
          </cell>
          <cell r="B9" t="str">
            <v xml:space="preserve">Abrelatas Mariposa       </v>
          </cell>
          <cell r="C9" t="str">
            <v>X</v>
          </cell>
        </row>
        <row r="10">
          <cell r="A10">
            <v>809</v>
          </cell>
          <cell r="B10" t="str">
            <v xml:space="preserve">Corta Queso              </v>
          </cell>
          <cell r="C10">
            <v>600</v>
          </cell>
        </row>
        <row r="11">
          <cell r="A11" t="str">
            <v>809E</v>
          </cell>
          <cell r="B11" t="str">
            <v>Corta Queso Blandos Mango Alambre</v>
          </cell>
          <cell r="C11" t="str">
            <v>X</v>
          </cell>
        </row>
        <row r="12">
          <cell r="A12">
            <v>760</v>
          </cell>
          <cell r="B12" t="str">
            <v xml:space="preserve">Filtro Para Bombilla     </v>
          </cell>
          <cell r="C12">
            <v>864</v>
          </cell>
        </row>
        <row r="13">
          <cell r="A13">
            <v>764</v>
          </cell>
          <cell r="B13" t="str">
            <v xml:space="preserve">Limpia Bombilla          </v>
          </cell>
          <cell r="C13">
            <v>864</v>
          </cell>
        </row>
        <row r="14">
          <cell r="A14" t="str">
            <v>712E</v>
          </cell>
          <cell r="B14" t="str">
            <v>Pelador Mgo Plastico Econ</v>
          </cell>
          <cell r="C14" t="str">
            <v>X</v>
          </cell>
        </row>
        <row r="15">
          <cell r="A15">
            <v>730</v>
          </cell>
          <cell r="B15" t="str">
            <v>Sacacorcho Tipo Mozo Colo</v>
          </cell>
          <cell r="C15">
            <v>1560</v>
          </cell>
        </row>
        <row r="16">
          <cell r="A16">
            <v>802</v>
          </cell>
          <cell r="B16" t="str">
            <v xml:space="preserve">Batidor Pera Display     </v>
          </cell>
          <cell r="C16">
            <v>1560</v>
          </cell>
        </row>
        <row r="17">
          <cell r="A17">
            <v>701</v>
          </cell>
          <cell r="B17" t="str">
            <v xml:space="preserve">Abrelatas A Manija       </v>
          </cell>
          <cell r="C17">
            <v>600</v>
          </cell>
        </row>
        <row r="18">
          <cell r="A18">
            <v>901</v>
          </cell>
          <cell r="B18" t="str">
            <v>Cuchara Madera 35 Display X 12</v>
          </cell>
          <cell r="C18">
            <v>780</v>
          </cell>
        </row>
        <row r="19">
          <cell r="A19">
            <v>99</v>
          </cell>
          <cell r="B19" t="str">
            <v>Pelapapas Mgo Plast Verde</v>
          </cell>
          <cell r="C19">
            <v>1476</v>
          </cell>
        </row>
        <row r="20">
          <cell r="A20">
            <v>731</v>
          </cell>
          <cell r="B20" t="str">
            <v>Sacacocrcho Combinado Col</v>
          </cell>
          <cell r="C20">
            <v>984</v>
          </cell>
        </row>
        <row r="21">
          <cell r="A21">
            <v>723</v>
          </cell>
          <cell r="B21" t="str">
            <v xml:space="preserve">Sacacorcho Doble Aleta   </v>
          </cell>
          <cell r="C21">
            <v>192</v>
          </cell>
        </row>
        <row r="22">
          <cell r="A22">
            <v>816</v>
          </cell>
          <cell r="B22" t="str">
            <v xml:space="preserve">Tapon Gaseosa            </v>
          </cell>
          <cell r="C22">
            <v>0</v>
          </cell>
        </row>
        <row r="23">
          <cell r="A23">
            <v>817</v>
          </cell>
          <cell r="B23" t="str">
            <v>Tapon De Gaseosa X 2 Negr</v>
          </cell>
          <cell r="C23">
            <v>525</v>
          </cell>
        </row>
        <row r="24">
          <cell r="A24">
            <v>859</v>
          </cell>
          <cell r="B24" t="str">
            <v xml:space="preserve">Corta Ravioles           </v>
          </cell>
          <cell r="C24">
            <v>144</v>
          </cell>
        </row>
        <row r="25">
          <cell r="A25">
            <v>725</v>
          </cell>
          <cell r="B25" t="str">
            <v>Sacacorcho Cabo De Madera</v>
          </cell>
          <cell r="C25">
            <v>552</v>
          </cell>
        </row>
        <row r="26">
          <cell r="A26" t="str">
            <v>725E</v>
          </cell>
          <cell r="B26" t="str">
            <v>Sacacorcho Cabo De Madera</v>
          </cell>
          <cell r="C26" t="str">
            <v>X</v>
          </cell>
        </row>
        <row r="27">
          <cell r="A27">
            <v>609</v>
          </cell>
          <cell r="B27" t="str">
            <v xml:space="preserve">Pisa Papas               </v>
          </cell>
          <cell r="C27">
            <v>600</v>
          </cell>
        </row>
        <row r="28">
          <cell r="A28" t="str">
            <v>727E</v>
          </cell>
          <cell r="B28" t="str">
            <v xml:space="preserve">Sacacorcho Doble Impulso </v>
          </cell>
          <cell r="C28" t="str">
            <v>X</v>
          </cell>
        </row>
        <row r="29">
          <cell r="A29">
            <v>902</v>
          </cell>
          <cell r="B29" t="str">
            <v>Cuchara Madera 45 Display X 12</v>
          </cell>
          <cell r="C29">
            <v>120</v>
          </cell>
        </row>
        <row r="30">
          <cell r="A30">
            <v>97</v>
          </cell>
          <cell r="B30" t="str">
            <v>Afila Cuchillo Con Base V</v>
          </cell>
          <cell r="C30">
            <v>450</v>
          </cell>
        </row>
        <row r="31">
          <cell r="A31">
            <v>307</v>
          </cell>
          <cell r="B31" t="str">
            <v xml:space="preserve">Limpia Mamadera A/I      </v>
          </cell>
          <cell r="C31">
            <v>480</v>
          </cell>
        </row>
        <row r="32">
          <cell r="A32">
            <v>839</v>
          </cell>
          <cell r="B32" t="str">
            <v xml:space="preserve">Rallador Chico Chocolate </v>
          </cell>
          <cell r="C32">
            <v>360</v>
          </cell>
        </row>
        <row r="33">
          <cell r="A33">
            <v>911</v>
          </cell>
          <cell r="B33" t="str">
            <v>Cuchara Madera 30 Display X 12</v>
          </cell>
          <cell r="C33">
            <v>360</v>
          </cell>
        </row>
        <row r="34">
          <cell r="A34">
            <v>920</v>
          </cell>
          <cell r="B34" t="str">
            <v>Cuchara Madera 40 Display X 12</v>
          </cell>
          <cell r="C34">
            <v>300</v>
          </cell>
        </row>
        <row r="35">
          <cell r="A35">
            <v>842</v>
          </cell>
          <cell r="B35" t="str">
            <v xml:space="preserve">Espatula Lisa Plastica   </v>
          </cell>
          <cell r="C35">
            <v>120</v>
          </cell>
        </row>
        <row r="36">
          <cell r="A36">
            <v>700</v>
          </cell>
          <cell r="B36" t="str">
            <v xml:space="preserve">Destapaca Corona Pint. X </v>
          </cell>
          <cell r="C36">
            <v>240</v>
          </cell>
        </row>
        <row r="37">
          <cell r="A37">
            <v>708</v>
          </cell>
          <cell r="B37" t="str">
            <v>Sacafuentes Articulado</v>
          </cell>
          <cell r="C37">
            <v>72</v>
          </cell>
        </row>
        <row r="38">
          <cell r="A38">
            <v>909</v>
          </cell>
          <cell r="B38" t="str">
            <v xml:space="preserve">Ñoquera Display          </v>
          </cell>
          <cell r="C38">
            <v>390</v>
          </cell>
        </row>
        <row r="39">
          <cell r="A39">
            <v>846</v>
          </cell>
          <cell r="B39" t="str">
            <v xml:space="preserve">Espatula Calada Plastica </v>
          </cell>
          <cell r="C39">
            <v>144</v>
          </cell>
        </row>
        <row r="40">
          <cell r="A40">
            <v>847</v>
          </cell>
          <cell r="B40" t="str">
            <v>Espatula Repostera Plasti</v>
          </cell>
          <cell r="C40">
            <v>480</v>
          </cell>
        </row>
        <row r="41">
          <cell r="A41">
            <v>848</v>
          </cell>
          <cell r="B41" t="str">
            <v xml:space="preserve">Espatula Repostera Plast </v>
          </cell>
          <cell r="C41">
            <v>264</v>
          </cell>
        </row>
        <row r="42">
          <cell r="A42">
            <v>43</v>
          </cell>
          <cell r="B42" t="str">
            <v xml:space="preserve">Tres En Uno              </v>
          </cell>
          <cell r="C42">
            <v>240</v>
          </cell>
        </row>
        <row r="43">
          <cell r="A43">
            <v>707</v>
          </cell>
          <cell r="B43" t="str">
            <v xml:space="preserve">Rompenueces              </v>
          </cell>
          <cell r="C43">
            <v>264</v>
          </cell>
        </row>
        <row r="44">
          <cell r="A44">
            <v>755</v>
          </cell>
          <cell r="B44" t="str">
            <v>Bomb. Resorte Color Metal</v>
          </cell>
          <cell r="C44">
            <v>240</v>
          </cell>
        </row>
        <row r="45">
          <cell r="A45">
            <v>789</v>
          </cell>
          <cell r="B45" t="str">
            <v xml:space="preserve">Pisa Papa Nylon          </v>
          </cell>
          <cell r="C45">
            <v>240</v>
          </cell>
        </row>
        <row r="46">
          <cell r="A46">
            <v>845</v>
          </cell>
          <cell r="B46" t="str">
            <v xml:space="preserve">Cucharon Plastico        </v>
          </cell>
          <cell r="C46">
            <v>144</v>
          </cell>
        </row>
        <row r="47">
          <cell r="A47">
            <v>852</v>
          </cell>
          <cell r="B47" t="str">
            <v xml:space="preserve">Pinza Hielo Display      </v>
          </cell>
          <cell r="C47">
            <v>276</v>
          </cell>
        </row>
        <row r="48">
          <cell r="A48" t="str">
            <v>733E</v>
          </cell>
          <cell r="B48" t="str">
            <v xml:space="preserve">Sacacorcho Doble Impulso </v>
          </cell>
          <cell r="C48" t="str">
            <v>X</v>
          </cell>
        </row>
        <row r="49">
          <cell r="A49">
            <v>922</v>
          </cell>
          <cell r="B49" t="str">
            <v>Cuchara Madera 25 Display X 12</v>
          </cell>
          <cell r="C49">
            <v>168</v>
          </cell>
        </row>
        <row r="50">
          <cell r="A50">
            <v>55</v>
          </cell>
          <cell r="B50" t="str">
            <v xml:space="preserve">Pinza De Fideos*Arte*  </v>
          </cell>
          <cell r="C50">
            <v>144</v>
          </cell>
        </row>
        <row r="51">
          <cell r="A51">
            <v>910</v>
          </cell>
          <cell r="B51" t="str">
            <v>Bate Bife Display</v>
          </cell>
          <cell r="C51">
            <v>270</v>
          </cell>
        </row>
        <row r="52">
          <cell r="A52">
            <v>862</v>
          </cell>
          <cell r="B52" t="str">
            <v xml:space="preserve">Corta Pizza Mgo Chef 6cm              </v>
          </cell>
          <cell r="C52">
            <v>396</v>
          </cell>
        </row>
        <row r="53">
          <cell r="A53">
            <v>863</v>
          </cell>
          <cell r="B53" t="str">
            <v xml:space="preserve">Corta Pizza Grande       </v>
          </cell>
          <cell r="C53">
            <v>96</v>
          </cell>
        </row>
        <row r="54">
          <cell r="A54">
            <v>867</v>
          </cell>
          <cell r="B54" t="str">
            <v>Filtro De Tela Gastronomi</v>
          </cell>
          <cell r="C54">
            <v>250</v>
          </cell>
        </row>
        <row r="55">
          <cell r="A55">
            <v>54</v>
          </cell>
          <cell r="B55" t="str">
            <v>Pinza De Ensaladas*Arte* X 12</v>
          </cell>
          <cell r="C55">
            <v>60</v>
          </cell>
        </row>
        <row r="56">
          <cell r="A56">
            <v>453</v>
          </cell>
          <cell r="B56" t="str">
            <v>Cuchara Fideos Nylon C/Mgo</v>
          </cell>
          <cell r="C56">
            <v>24</v>
          </cell>
        </row>
        <row r="57">
          <cell r="A57">
            <v>454</v>
          </cell>
          <cell r="B57" t="str">
            <v xml:space="preserve">Cucharon Nylon C/Mgo   </v>
          </cell>
          <cell r="C57">
            <v>24</v>
          </cell>
        </row>
        <row r="58">
          <cell r="A58">
            <v>455</v>
          </cell>
          <cell r="B58" t="str">
            <v>Espatula Calada Nylon C/Mgo</v>
          </cell>
          <cell r="C58">
            <v>24</v>
          </cell>
        </row>
        <row r="59">
          <cell r="A59">
            <v>456</v>
          </cell>
          <cell r="B59" t="str">
            <v>Espatula Lisa Nylon C/Mgo</v>
          </cell>
          <cell r="C59">
            <v>120</v>
          </cell>
        </row>
        <row r="60">
          <cell r="A60">
            <v>613</v>
          </cell>
          <cell r="B60" t="str">
            <v>Cuchara Calada 1 Pieza Ac. Inox</v>
          </cell>
          <cell r="C60">
            <v>80</v>
          </cell>
        </row>
        <row r="61">
          <cell r="A61">
            <v>715</v>
          </cell>
          <cell r="B61" t="str">
            <v xml:space="preserve">Cierra Bolsa X 4         </v>
          </cell>
          <cell r="C61">
            <v>120</v>
          </cell>
        </row>
        <row r="62">
          <cell r="A62">
            <v>732</v>
          </cell>
          <cell r="B62" t="str">
            <v xml:space="preserve">Cuchara Helado           </v>
          </cell>
          <cell r="C62">
            <v>240</v>
          </cell>
        </row>
        <row r="63">
          <cell r="A63">
            <v>763</v>
          </cell>
          <cell r="B63" t="str">
            <v>Bombilla Resorte Tradicio</v>
          </cell>
          <cell r="C63">
            <v>240</v>
          </cell>
        </row>
        <row r="64">
          <cell r="A64">
            <v>878</v>
          </cell>
          <cell r="B64" t="str">
            <v xml:space="preserve">Cuchillitos De Untar Mgo </v>
          </cell>
          <cell r="C64">
            <v>168</v>
          </cell>
        </row>
        <row r="65">
          <cell r="A65">
            <v>879</v>
          </cell>
          <cell r="B65" t="str">
            <v>Set X 3 Espatulas Plastic</v>
          </cell>
          <cell r="C65">
            <v>96</v>
          </cell>
        </row>
        <row r="66">
          <cell r="A66">
            <v>908</v>
          </cell>
          <cell r="B66" t="str">
            <v>Cuchara De Cocina 33Cm X 12</v>
          </cell>
          <cell r="C66">
            <v>24</v>
          </cell>
        </row>
        <row r="67">
          <cell r="A67">
            <v>615</v>
          </cell>
          <cell r="B67" t="str">
            <v xml:space="preserve">Batidor Resorte          </v>
          </cell>
          <cell r="C67">
            <v>0</v>
          </cell>
        </row>
        <row r="68">
          <cell r="A68" t="str">
            <v>865E</v>
          </cell>
          <cell r="B68" t="str">
            <v>Rallador Plano A/I 3 Usos</v>
          </cell>
          <cell r="C68">
            <v>0</v>
          </cell>
        </row>
        <row r="69">
          <cell r="A69" t="str">
            <v>868E</v>
          </cell>
          <cell r="B69" t="str">
            <v xml:space="preserve">Rallador 4 Lados A/I Mgo </v>
          </cell>
          <cell r="C69">
            <v>0</v>
          </cell>
        </row>
        <row r="70">
          <cell r="A70">
            <v>858</v>
          </cell>
          <cell r="B70" t="str">
            <v xml:space="preserve">Pala De Canelones        </v>
          </cell>
          <cell r="C70">
            <v>60</v>
          </cell>
        </row>
        <row r="71">
          <cell r="A71">
            <v>630</v>
          </cell>
          <cell r="B71" t="str">
            <v>Cucharon Ac Inox C/Mgo Ch</v>
          </cell>
          <cell r="C71">
            <v>60</v>
          </cell>
        </row>
        <row r="72">
          <cell r="A72">
            <v>720</v>
          </cell>
          <cell r="B72" t="str">
            <v xml:space="preserve">Ahueca Papa              </v>
          </cell>
          <cell r="C72">
            <v>72</v>
          </cell>
        </row>
        <row r="73">
          <cell r="A73">
            <v>765</v>
          </cell>
          <cell r="B73" t="str">
            <v>Sacayerba</v>
          </cell>
          <cell r="C73">
            <v>0</v>
          </cell>
        </row>
        <row r="74">
          <cell r="A74">
            <v>769</v>
          </cell>
          <cell r="B74" t="str">
            <v>Bomb. Autolimpiante Ac. I</v>
          </cell>
          <cell r="C74">
            <v>120</v>
          </cell>
        </row>
        <row r="75">
          <cell r="A75">
            <v>873</v>
          </cell>
          <cell r="B75" t="str">
            <v xml:space="preserve">Tostador Enlozado        </v>
          </cell>
          <cell r="C75">
            <v>96</v>
          </cell>
        </row>
        <row r="76">
          <cell r="A76" t="str">
            <v>692E</v>
          </cell>
          <cell r="B76" t="str">
            <v xml:space="preserve">Pelador "V" Horizontal   </v>
          </cell>
          <cell r="C76">
            <v>0</v>
          </cell>
        </row>
        <row r="77">
          <cell r="A77" t="str">
            <v>729E</v>
          </cell>
          <cell r="B77" t="str">
            <v>Sac Doble Aleta Fund Eco</v>
          </cell>
          <cell r="C77">
            <v>124</v>
          </cell>
        </row>
        <row r="78">
          <cell r="A78" t="str">
            <v>877E</v>
          </cell>
          <cell r="B78" t="str">
            <v>Corta Pizza Con Mgo Chino</v>
          </cell>
          <cell r="C78">
            <v>72</v>
          </cell>
        </row>
        <row r="79">
          <cell r="A79">
            <v>633</v>
          </cell>
          <cell r="B79" t="str">
            <v>Cuchara Salsera Ac Inox</v>
          </cell>
          <cell r="C79">
            <v>24</v>
          </cell>
        </row>
        <row r="80">
          <cell r="A80">
            <v>636</v>
          </cell>
          <cell r="B80" t="str">
            <v>Espatula Calada Ac Inox</v>
          </cell>
          <cell r="C80">
            <v>48</v>
          </cell>
        </row>
        <row r="81">
          <cell r="A81">
            <v>719</v>
          </cell>
          <cell r="B81" t="str">
            <v>Cuch Untar Mgo Madera X2</v>
          </cell>
          <cell r="C81">
            <v>144</v>
          </cell>
        </row>
        <row r="82">
          <cell r="A82">
            <v>856</v>
          </cell>
          <cell r="B82" t="str">
            <v xml:space="preserve">Pala Torta               </v>
          </cell>
          <cell r="C82">
            <v>48</v>
          </cell>
        </row>
        <row r="83">
          <cell r="A83">
            <v>864</v>
          </cell>
          <cell r="B83" t="str">
            <v xml:space="preserve">Pincel Pastelero         </v>
          </cell>
          <cell r="C83">
            <v>120</v>
          </cell>
        </row>
        <row r="84">
          <cell r="A84">
            <v>912</v>
          </cell>
          <cell r="B84" t="str">
            <v>Tenedor Madera 35cm</v>
          </cell>
          <cell r="C84">
            <v>48</v>
          </cell>
        </row>
        <row r="85">
          <cell r="A85">
            <v>52</v>
          </cell>
          <cell r="B85" t="str">
            <v xml:space="preserve">Lavavajilla C/Mgo.Arte   </v>
          </cell>
          <cell r="C85">
            <v>48</v>
          </cell>
        </row>
        <row r="86">
          <cell r="A86">
            <v>53</v>
          </cell>
          <cell r="B86" t="str">
            <v>Pinza De Fiambre*Arte* X 12</v>
          </cell>
          <cell r="C86">
            <v>84</v>
          </cell>
        </row>
        <row r="87">
          <cell r="A87">
            <v>617</v>
          </cell>
          <cell r="B87" t="str">
            <v>Pinza Del Chef</v>
          </cell>
          <cell r="C87">
            <v>48</v>
          </cell>
        </row>
        <row r="88">
          <cell r="A88">
            <v>618</v>
          </cell>
          <cell r="B88" t="str">
            <v>Espat. Repost. Goma Gastr</v>
          </cell>
          <cell r="C88">
            <v>84</v>
          </cell>
        </row>
        <row r="89">
          <cell r="A89">
            <v>619</v>
          </cell>
          <cell r="B89" t="str">
            <v>Espatula Repost. Goma Com</v>
          </cell>
          <cell r="C89">
            <v>72</v>
          </cell>
        </row>
        <row r="90">
          <cell r="A90">
            <v>631</v>
          </cell>
          <cell r="B90" t="str">
            <v xml:space="preserve">Espumadera Ac Inox C/Mgo </v>
          </cell>
          <cell r="C90">
            <v>72</v>
          </cell>
        </row>
        <row r="91">
          <cell r="A91">
            <v>632</v>
          </cell>
          <cell r="B91" t="str">
            <v>Pinche Ac Inox C/Mgo Chef</v>
          </cell>
          <cell r="C91">
            <v>48</v>
          </cell>
        </row>
        <row r="92">
          <cell r="A92">
            <v>634</v>
          </cell>
          <cell r="B92" t="str">
            <v>Cuchara Calada Ac Inox</v>
          </cell>
          <cell r="C92">
            <v>24</v>
          </cell>
        </row>
        <row r="93">
          <cell r="A93">
            <v>635</v>
          </cell>
          <cell r="B93" t="str">
            <v>Espatula Lisa Ac Inox</v>
          </cell>
          <cell r="C93">
            <v>48</v>
          </cell>
        </row>
        <row r="94">
          <cell r="A94">
            <v>637</v>
          </cell>
          <cell r="B94" t="str">
            <v>Cuchara Spaghetti Ac. Inox</v>
          </cell>
          <cell r="C94">
            <v>0</v>
          </cell>
        </row>
        <row r="95">
          <cell r="A95">
            <v>718</v>
          </cell>
          <cell r="B95" t="str">
            <v xml:space="preserve">Cuch. Untar Blanco X 4   </v>
          </cell>
          <cell r="C95">
            <v>24</v>
          </cell>
        </row>
        <row r="96">
          <cell r="A96">
            <v>761</v>
          </cell>
          <cell r="B96" t="str">
            <v xml:space="preserve">Cucharita Matera         </v>
          </cell>
          <cell r="C96">
            <v>96</v>
          </cell>
        </row>
        <row r="97">
          <cell r="A97">
            <v>762</v>
          </cell>
          <cell r="B97" t="str">
            <v xml:space="preserve">Bombilla Resorte Chata   </v>
          </cell>
          <cell r="C97">
            <v>96</v>
          </cell>
        </row>
        <row r="98">
          <cell r="A98">
            <v>800</v>
          </cell>
          <cell r="B98" t="str">
            <v xml:space="preserve">Pinza Chica Display      </v>
          </cell>
          <cell r="C98">
            <v>84</v>
          </cell>
        </row>
        <row r="99">
          <cell r="A99">
            <v>843</v>
          </cell>
          <cell r="B99" t="str">
            <v xml:space="preserve">Cuchara Calada Plastica  </v>
          </cell>
          <cell r="C99">
            <v>48</v>
          </cell>
        </row>
        <row r="100">
          <cell r="A100">
            <v>844</v>
          </cell>
          <cell r="B100" t="str">
            <v xml:space="preserve">Cuchara Pulpo Plastica   </v>
          </cell>
          <cell r="C100">
            <v>72</v>
          </cell>
        </row>
        <row r="101">
          <cell r="A101">
            <v>857</v>
          </cell>
          <cell r="B101" t="str">
            <v>Cuchillo De Torta</v>
          </cell>
          <cell r="C101">
            <v>48</v>
          </cell>
        </row>
        <row r="102">
          <cell r="A102">
            <v>860</v>
          </cell>
          <cell r="B102" t="str">
            <v xml:space="preserve">Tenedor Copetin X 6      </v>
          </cell>
          <cell r="C102">
            <v>144</v>
          </cell>
        </row>
        <row r="103">
          <cell r="A103">
            <v>872</v>
          </cell>
          <cell r="B103" t="str">
            <v xml:space="preserve">Tostador                 </v>
          </cell>
          <cell r="C103">
            <v>120</v>
          </cell>
        </row>
        <row r="104">
          <cell r="A104">
            <v>61</v>
          </cell>
          <cell r="B104" t="str">
            <v>Pinza Chica Detalles Bco Azul</v>
          </cell>
          <cell r="C104">
            <v>48</v>
          </cell>
        </row>
        <row r="105">
          <cell r="A105">
            <v>709</v>
          </cell>
          <cell r="B105" t="str">
            <v>Descorazonador De Manzana</v>
          </cell>
          <cell r="C105">
            <v>60</v>
          </cell>
        </row>
        <row r="106">
          <cell r="A106">
            <v>710</v>
          </cell>
          <cell r="B106" t="str">
            <v>Enrulador Manteca</v>
          </cell>
          <cell r="C106">
            <v>0</v>
          </cell>
        </row>
        <row r="107">
          <cell r="A107">
            <v>722</v>
          </cell>
          <cell r="B107" t="str">
            <v xml:space="preserve">Ahueca Frutas            </v>
          </cell>
          <cell r="C107">
            <v>36</v>
          </cell>
        </row>
        <row r="108">
          <cell r="A108">
            <v>724</v>
          </cell>
          <cell r="B108" t="str">
            <v>Espumante</v>
          </cell>
          <cell r="C108">
            <v>48</v>
          </cell>
        </row>
        <row r="109">
          <cell r="A109">
            <v>818</v>
          </cell>
          <cell r="B109" t="str">
            <v>Corta Torta Plast</v>
          </cell>
          <cell r="C109">
            <v>0</v>
          </cell>
        </row>
        <row r="110">
          <cell r="A110">
            <v>900</v>
          </cell>
          <cell r="B110" t="str">
            <v xml:space="preserve">Prensa Matambre Display  </v>
          </cell>
          <cell r="C110">
            <v>84</v>
          </cell>
        </row>
        <row r="111">
          <cell r="A111">
            <v>717</v>
          </cell>
          <cell r="B111" t="str">
            <v>Cuchillo de Untar Acrilico Transp.</v>
          </cell>
          <cell r="C111">
            <v>24</v>
          </cell>
        </row>
        <row r="112">
          <cell r="A112">
            <v>747</v>
          </cell>
          <cell r="B112" t="str">
            <v>Bombilla Coco Hexagonal</v>
          </cell>
          <cell r="C112">
            <v>120</v>
          </cell>
        </row>
        <row r="113">
          <cell r="A113">
            <v>748</v>
          </cell>
          <cell r="B113" t="str">
            <v xml:space="preserve">Bombilla Coco Bolita </v>
          </cell>
          <cell r="C113">
            <v>48</v>
          </cell>
        </row>
      </sheetData>
      <sheetData sheetId="6"/>
      <sheetData sheetId="7"/>
      <sheetData sheetId="8"/>
      <sheetData sheetId="9">
        <row r="19">
          <cell r="R19">
            <v>3500</v>
          </cell>
        </row>
        <row r="23">
          <cell r="R23">
            <v>1000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7" tint="0.59999389629810485"/>
    <pageSetUpPr fitToPage="1"/>
  </sheetPr>
  <dimension ref="A1:P281"/>
  <sheetViews>
    <sheetView view="pageBreakPreview" zoomScale="120" zoomScaleNormal="100" zoomScaleSheetLayoutView="120" workbookViewId="0">
      <pane xSplit="9" ySplit="3" topLeftCell="J4" activePane="bottomRight" state="frozen"/>
      <selection activeCell="I1" sqref="I1"/>
      <selection pane="topRight" activeCell="J1" sqref="J1"/>
      <selection pane="bottomLeft" activeCell="I4" sqref="I4"/>
      <selection pane="bottomRight" activeCell="M4" sqref="M4"/>
    </sheetView>
  </sheetViews>
  <sheetFormatPr baseColWidth="10" defaultRowHeight="15" x14ac:dyDescent="0.25"/>
  <cols>
    <col min="1" max="1" width="17" hidden="1" customWidth="1"/>
    <col min="2" max="2" width="6.7109375" hidden="1" customWidth="1"/>
    <col min="3" max="3" width="7.5703125" style="106" hidden="1" customWidth="1"/>
    <col min="4" max="4" width="7.5703125" style="103" hidden="1" customWidth="1"/>
    <col min="5" max="5" width="5.42578125" style="110" customWidth="1"/>
    <col min="6" max="6" width="31.85546875" style="111" hidden="1" customWidth="1"/>
    <col min="7" max="7" width="6.140625" style="112" hidden="1" customWidth="1"/>
    <col min="8" max="8" width="8.85546875" style="113" hidden="1" customWidth="1"/>
    <col min="9" max="9" width="25.42578125" style="115" customWidth="1"/>
    <col min="10" max="10" width="8.5703125" style="104" customWidth="1"/>
    <col min="11" max="11" width="8.7109375" style="104" customWidth="1"/>
    <col min="12" max="13" width="8.85546875" style="104" customWidth="1"/>
    <col min="14" max="14" width="10.140625" style="114" customWidth="1"/>
    <col min="15" max="15" width="11.28515625" style="105" customWidth="1"/>
    <col min="16" max="16" width="11.7109375" customWidth="1"/>
  </cols>
  <sheetData>
    <row r="1" spans="1:16" ht="20.25" hidden="1" customHeight="1" thickBot="1" x14ac:dyDescent="0.3">
      <c r="A1" s="1"/>
      <c r="B1" s="2"/>
      <c r="C1" s="274"/>
      <c r="D1" s="2"/>
      <c r="E1" s="3"/>
      <c r="F1" s="2"/>
      <c r="G1" s="2"/>
      <c r="H1" s="2"/>
      <c r="I1" s="2"/>
      <c r="J1" s="2"/>
      <c r="K1" s="2"/>
      <c r="L1" s="2"/>
      <c r="M1" s="2"/>
      <c r="N1" s="4"/>
      <c r="O1" s="2"/>
    </row>
    <row r="2" spans="1:16" ht="19.5" customHeight="1" thickBot="1" x14ac:dyDescent="0.3">
      <c r="A2" s="1"/>
      <c r="B2" s="3"/>
      <c r="C2" s="271"/>
      <c r="D2" s="5"/>
      <c r="E2" s="6"/>
      <c r="F2" s="6"/>
      <c r="G2" s="6"/>
      <c r="H2" s="6"/>
      <c r="I2" s="8"/>
      <c r="J2" s="9">
        <v>45397</v>
      </c>
      <c r="K2" s="9">
        <v>45397</v>
      </c>
      <c r="L2" s="9">
        <v>45397</v>
      </c>
      <c r="M2" s="303"/>
      <c r="N2" s="7"/>
      <c r="O2" s="10"/>
    </row>
    <row r="3" spans="1:16" s="13" customFormat="1" ht="51.4" customHeight="1" thickBot="1" x14ac:dyDescent="0.3">
      <c r="A3" s="11" t="s">
        <v>0</v>
      </c>
      <c r="B3" s="12" t="s">
        <v>1</v>
      </c>
      <c r="C3" s="272" t="s">
        <v>2</v>
      </c>
      <c r="D3" s="146" t="s">
        <v>205</v>
      </c>
      <c r="E3" s="296" t="s">
        <v>3</v>
      </c>
      <c r="F3" s="296" t="s">
        <v>4</v>
      </c>
      <c r="G3" s="297" t="s">
        <v>5</v>
      </c>
      <c r="H3" s="297" t="s">
        <v>6</v>
      </c>
      <c r="I3" s="300" t="s">
        <v>8</v>
      </c>
      <c r="J3" s="298" t="s">
        <v>212</v>
      </c>
      <c r="K3" s="298" t="s">
        <v>211</v>
      </c>
      <c r="L3" s="298" t="s">
        <v>213</v>
      </c>
      <c r="M3" s="298" t="s">
        <v>214</v>
      </c>
      <c r="N3" s="159" t="s">
        <v>7</v>
      </c>
      <c r="O3" s="299" t="s">
        <v>9</v>
      </c>
      <c r="P3" s="299" t="s">
        <v>207</v>
      </c>
    </row>
    <row r="4" spans="1:16" s="17" customFormat="1" ht="18.75" x14ac:dyDescent="0.3">
      <c r="A4" s="352" t="s">
        <v>10</v>
      </c>
      <c r="B4" s="139">
        <v>6000</v>
      </c>
      <c r="C4" s="31" t="s">
        <v>11</v>
      </c>
      <c r="D4" s="266"/>
      <c r="E4" s="14">
        <v>43</v>
      </c>
      <c r="F4" s="15" t="s">
        <v>12</v>
      </c>
      <c r="G4" s="16" t="s">
        <v>13</v>
      </c>
      <c r="H4" s="157" t="s">
        <v>14</v>
      </c>
      <c r="I4" s="160" t="s">
        <v>15</v>
      </c>
      <c r="J4" s="168"/>
      <c r="K4" s="168">
        <f>+VLOOKUP(E4,'[1]Est Madre CH 15-04'!$A$1:$C$65536,3,0)</f>
        <v>240</v>
      </c>
      <c r="L4" s="301">
        <f>K4/'[1]Relevamiento y OP VACIO'!$R$19</f>
        <v>6.8571428571428575E-2</v>
      </c>
      <c r="M4" s="301"/>
      <c r="N4" s="169">
        <v>2E-3</v>
      </c>
      <c r="O4" s="186">
        <f>+N4*(K4+J4)</f>
        <v>0.48</v>
      </c>
      <c r="P4" s="171">
        <v>3500</v>
      </c>
    </row>
    <row r="5" spans="1:16" s="17" customFormat="1" ht="18.75" x14ac:dyDescent="0.25">
      <c r="A5" s="353"/>
      <c r="B5" s="60"/>
      <c r="C5" s="31"/>
      <c r="D5" s="156"/>
      <c r="E5" s="129"/>
      <c r="F5" s="130"/>
      <c r="G5" s="109"/>
      <c r="H5" s="162"/>
      <c r="I5" s="163" t="s">
        <v>206</v>
      </c>
      <c r="J5" s="172"/>
      <c r="K5" s="172">
        <f>K4</f>
        <v>240</v>
      </c>
      <c r="L5" s="302">
        <f>SUM(L4)</f>
        <v>6.8571428571428575E-2</v>
      </c>
      <c r="M5" s="302"/>
      <c r="N5" s="187" t="s">
        <v>209</v>
      </c>
      <c r="O5" s="174" t="s">
        <v>208</v>
      </c>
      <c r="P5" s="188" t="s">
        <v>210</v>
      </c>
    </row>
    <row r="6" spans="1:16" s="17" customFormat="1" ht="19.5" thickBot="1" x14ac:dyDescent="0.35">
      <c r="A6" s="353"/>
      <c r="B6" s="60"/>
      <c r="C6" s="31"/>
      <c r="D6" s="156"/>
      <c r="E6" s="129"/>
      <c r="F6" s="130"/>
      <c r="G6" s="109"/>
      <c r="H6" s="162"/>
      <c r="I6" s="161" t="s">
        <v>202</v>
      </c>
      <c r="J6" s="176"/>
      <c r="K6" s="176"/>
      <c r="L6" s="220">
        <f>L5*3</f>
        <v>0.20571428571428574</v>
      </c>
      <c r="M6" s="220"/>
      <c r="N6" s="189">
        <v>1</v>
      </c>
      <c r="O6" s="185" t="s">
        <v>11</v>
      </c>
      <c r="P6" s="178">
        <v>4</v>
      </c>
    </row>
    <row r="7" spans="1:16" s="17" customFormat="1" ht="9.75" customHeight="1" thickBot="1" x14ac:dyDescent="0.35">
      <c r="A7" s="353"/>
      <c r="B7" s="60"/>
      <c r="C7" s="275"/>
      <c r="I7" s="179"/>
      <c r="J7" s="179"/>
      <c r="K7" s="179"/>
      <c r="L7" s="179"/>
      <c r="M7" s="179"/>
      <c r="N7" s="179"/>
      <c r="O7" s="179"/>
      <c r="P7" s="179"/>
    </row>
    <row r="8" spans="1:16" s="17" customFormat="1" ht="19.5" thickBot="1" x14ac:dyDescent="0.35">
      <c r="A8" s="354"/>
      <c r="B8" s="140">
        <v>6000</v>
      </c>
      <c r="C8" s="31" t="s">
        <v>16</v>
      </c>
      <c r="D8" s="267"/>
      <c r="E8" s="19">
        <v>511</v>
      </c>
      <c r="F8" s="20" t="s">
        <v>17</v>
      </c>
      <c r="G8" s="21" t="s">
        <v>18</v>
      </c>
      <c r="H8" s="158" t="s">
        <v>14</v>
      </c>
      <c r="I8" s="165" t="s">
        <v>19</v>
      </c>
      <c r="J8" s="168">
        <f>+VLOOKUP(E8,'[1]Est Madre LK 15-04'!$A$1:$C$65536,3,0)</f>
        <v>420</v>
      </c>
      <c r="K8" s="168"/>
      <c r="L8" s="168">
        <f>J8/1000</f>
        <v>0.42</v>
      </c>
      <c r="M8" s="168"/>
      <c r="N8" s="169">
        <v>2E-3</v>
      </c>
      <c r="O8" s="186">
        <f>+N8*(K8+J8)</f>
        <v>0.84</v>
      </c>
      <c r="P8" s="171">
        <v>1000</v>
      </c>
    </row>
    <row r="9" spans="1:16" s="17" customFormat="1" ht="21" x14ac:dyDescent="0.25">
      <c r="A9" s="75"/>
      <c r="B9" s="60"/>
      <c r="C9" s="31"/>
      <c r="D9" s="156"/>
      <c r="E9" s="131"/>
      <c r="F9" s="130"/>
      <c r="G9" s="127"/>
      <c r="H9" s="164"/>
      <c r="I9" s="163" t="s">
        <v>206</v>
      </c>
      <c r="J9" s="172">
        <f>J8</f>
        <v>420</v>
      </c>
      <c r="K9" s="172"/>
      <c r="L9" s="172">
        <f>SUM(L8)</f>
        <v>0.42</v>
      </c>
      <c r="M9" s="172"/>
      <c r="N9" s="187" t="s">
        <v>204</v>
      </c>
      <c r="O9" s="174" t="s">
        <v>208</v>
      </c>
      <c r="P9" s="188" t="s">
        <v>210</v>
      </c>
    </row>
    <row r="10" spans="1:16" s="17" customFormat="1" ht="21.75" thickBot="1" x14ac:dyDescent="0.35">
      <c r="A10" s="75"/>
      <c r="B10" s="60"/>
      <c r="C10" s="31"/>
      <c r="D10" s="156"/>
      <c r="E10" s="131"/>
      <c r="F10" s="130"/>
      <c r="G10" s="127"/>
      <c r="H10" s="164"/>
      <c r="I10" s="161" t="s">
        <v>202</v>
      </c>
      <c r="J10" s="176"/>
      <c r="K10" s="176"/>
      <c r="L10" s="182">
        <f>L9*3</f>
        <v>1.26</v>
      </c>
      <c r="M10" s="182"/>
      <c r="N10" s="189">
        <v>2</v>
      </c>
      <c r="O10" s="185" t="s">
        <v>16</v>
      </c>
      <c r="P10" s="178">
        <v>2</v>
      </c>
    </row>
    <row r="11" spans="1:16" s="17" customFormat="1" ht="15" customHeight="1" thickBot="1" x14ac:dyDescent="0.35">
      <c r="A11" s="75"/>
      <c r="B11" s="60"/>
      <c r="C11" s="31"/>
      <c r="D11" s="156"/>
      <c r="E11" s="131"/>
      <c r="F11" s="130"/>
      <c r="G11" s="127"/>
      <c r="H11" s="164"/>
      <c r="I11" s="179"/>
      <c r="J11" s="179"/>
      <c r="K11" s="179"/>
      <c r="L11" s="179"/>
      <c r="M11" s="179"/>
      <c r="N11" s="179"/>
      <c r="O11" s="179"/>
      <c r="P11" s="179"/>
    </row>
    <row r="12" spans="1:16" s="17" customFormat="1" ht="15.75" customHeight="1" x14ac:dyDescent="0.3">
      <c r="A12" s="355" t="s">
        <v>20</v>
      </c>
      <c r="B12" s="137">
        <v>5000</v>
      </c>
      <c r="C12" s="31" t="s">
        <v>21</v>
      </c>
      <c r="D12" s="268"/>
      <c r="E12" s="22">
        <v>546</v>
      </c>
      <c r="F12" s="23"/>
      <c r="G12" s="24" t="s">
        <v>18</v>
      </c>
      <c r="H12" s="166"/>
      <c r="I12" s="347" t="s">
        <v>22</v>
      </c>
      <c r="J12" s="168">
        <f>+VLOOKUP(E12,'[1]Est Madre LK 15-04'!$A$1:$C$65536,3,0)</f>
        <v>4800</v>
      </c>
      <c r="K12" s="168"/>
      <c r="L12" s="168">
        <f>J12/5000</f>
        <v>0.96</v>
      </c>
      <c r="M12" s="168"/>
      <c r="N12" s="169">
        <v>2.2000000000000001E-3</v>
      </c>
      <c r="O12" s="170">
        <f>+N12*(K12+J12)</f>
        <v>10.56</v>
      </c>
      <c r="P12" s="171">
        <v>5000</v>
      </c>
    </row>
    <row r="13" spans="1:16" s="17" customFormat="1" ht="18.75" x14ac:dyDescent="0.3">
      <c r="A13" s="368"/>
      <c r="B13" s="135">
        <v>5000</v>
      </c>
      <c r="C13" s="31" t="s">
        <v>21</v>
      </c>
      <c r="D13" s="269"/>
      <c r="E13" s="26">
        <v>515</v>
      </c>
      <c r="F13" s="27"/>
      <c r="G13" s="28" t="s">
        <v>18</v>
      </c>
      <c r="H13" s="167"/>
      <c r="I13" s="348"/>
      <c r="J13" s="172">
        <f>+VLOOKUP(E13,'[1]Est Madre LK 15-04'!$A$1:$C$65536,3,0)</f>
        <v>144</v>
      </c>
      <c r="K13" s="172"/>
      <c r="L13" s="172">
        <f>J13/5000</f>
        <v>2.8799999999999999E-2</v>
      </c>
      <c r="M13" s="172"/>
      <c r="N13" s="173">
        <v>2.2000000000000001E-3</v>
      </c>
      <c r="O13" s="174">
        <f>+N13*(K13+J13)</f>
        <v>0.31680000000000003</v>
      </c>
      <c r="P13" s="175">
        <v>5000</v>
      </c>
    </row>
    <row r="14" spans="1:16" s="17" customFormat="1" ht="18.75" x14ac:dyDescent="0.25">
      <c r="A14" s="368"/>
      <c r="B14" s="135"/>
      <c r="C14" s="31"/>
      <c r="D14" s="269"/>
      <c r="E14" s="26"/>
      <c r="F14" s="27"/>
      <c r="G14" s="28"/>
      <c r="H14" s="167"/>
      <c r="I14" s="163" t="s">
        <v>206</v>
      </c>
      <c r="J14" s="172">
        <f>SUM(J12:J13)</f>
        <v>4944</v>
      </c>
      <c r="K14" s="172"/>
      <c r="L14" s="181">
        <f>SUM(L12:L13)</f>
        <v>0.98880000000000001</v>
      </c>
      <c r="M14" s="181"/>
      <c r="N14" s="187" t="s">
        <v>204</v>
      </c>
      <c r="O14" s="174" t="s">
        <v>208</v>
      </c>
      <c r="P14" s="188" t="s">
        <v>210</v>
      </c>
    </row>
    <row r="15" spans="1:16" s="17" customFormat="1" ht="19.5" thickBot="1" x14ac:dyDescent="0.35">
      <c r="A15" s="368"/>
      <c r="B15" s="135"/>
      <c r="C15" s="31"/>
      <c r="D15" s="269"/>
      <c r="E15" s="26"/>
      <c r="F15" s="27"/>
      <c r="G15" s="28"/>
      <c r="H15" s="167"/>
      <c r="I15" s="161" t="s">
        <v>202</v>
      </c>
      <c r="J15" s="176"/>
      <c r="K15" s="176"/>
      <c r="L15" s="183">
        <f>L14*3</f>
        <v>2.9664000000000001</v>
      </c>
      <c r="M15" s="183"/>
      <c r="N15" s="189">
        <v>3</v>
      </c>
      <c r="O15" s="219" t="s">
        <v>21</v>
      </c>
      <c r="P15" s="178">
        <v>4</v>
      </c>
    </row>
    <row r="16" spans="1:16" s="17" customFormat="1" ht="13.5" customHeight="1" thickBot="1" x14ac:dyDescent="0.35">
      <c r="A16" s="368"/>
      <c r="B16" s="135"/>
      <c r="C16" s="31"/>
      <c r="D16" s="269"/>
      <c r="E16" s="26"/>
      <c r="F16" s="27"/>
      <c r="G16" s="28"/>
      <c r="H16" s="167"/>
      <c r="I16" s="287"/>
      <c r="J16" s="195"/>
      <c r="K16" s="195"/>
      <c r="L16" s="124"/>
      <c r="M16" s="124"/>
      <c r="N16" s="288"/>
      <c r="O16" s="289"/>
      <c r="P16" s="290"/>
    </row>
    <row r="17" spans="1:16" s="17" customFormat="1" ht="18.75" x14ac:dyDescent="0.3">
      <c r="A17" s="368"/>
      <c r="B17" s="135">
        <v>5000</v>
      </c>
      <c r="C17" s="31" t="s">
        <v>23</v>
      </c>
      <c r="D17" s="269"/>
      <c r="E17" s="26">
        <v>332</v>
      </c>
      <c r="F17" s="29" t="s">
        <v>24</v>
      </c>
      <c r="G17" s="28" t="s">
        <v>18</v>
      </c>
      <c r="H17" s="167" t="s">
        <v>14</v>
      </c>
      <c r="I17" s="347" t="s">
        <v>25</v>
      </c>
      <c r="J17" s="168">
        <f>+VLOOKUP(E17,'[1]Est Madre LK 15-04'!$A$1:$C$65536,3,0)</f>
        <v>168</v>
      </c>
      <c r="K17" s="168"/>
      <c r="L17" s="168">
        <f>J17/P17</f>
        <v>0.16800000000000001</v>
      </c>
      <c r="M17" s="168"/>
      <c r="N17" s="169">
        <v>2.2000000000000001E-3</v>
      </c>
      <c r="O17" s="170">
        <f t="shared" ref="O17:O32" si="0">+N17*(K17+J17)</f>
        <v>0.36960000000000004</v>
      </c>
      <c r="P17" s="171">
        <v>1000</v>
      </c>
    </row>
    <row r="18" spans="1:16" s="17" customFormat="1" ht="18.75" x14ac:dyDescent="0.3">
      <c r="A18" s="368"/>
      <c r="B18" s="135">
        <v>5000</v>
      </c>
      <c r="C18" s="31" t="s">
        <v>23</v>
      </c>
      <c r="D18" s="269"/>
      <c r="E18" s="26">
        <v>333</v>
      </c>
      <c r="F18" s="27"/>
      <c r="G18" s="28" t="s">
        <v>18</v>
      </c>
      <c r="H18" s="167"/>
      <c r="I18" s="369"/>
      <c r="J18" s="172">
        <f>+VLOOKUP(E18,'[1]Est Madre LK 15-04'!$A$1:$C$65536,3,0)</f>
        <v>288</v>
      </c>
      <c r="K18" s="172"/>
      <c r="L18" s="172">
        <f t="shared" ref="L18:L32" si="1">J18/P18</f>
        <v>0.28799999999999998</v>
      </c>
      <c r="M18" s="172"/>
      <c r="N18" s="173">
        <v>2.2000000000000001E-3</v>
      </c>
      <c r="O18" s="174">
        <f t="shared" si="0"/>
        <v>0.63360000000000005</v>
      </c>
      <c r="P18" s="175">
        <v>1000</v>
      </c>
    </row>
    <row r="19" spans="1:16" s="17" customFormat="1" ht="18.75" x14ac:dyDescent="0.3">
      <c r="A19" s="368"/>
      <c r="B19" s="135">
        <v>5000</v>
      </c>
      <c r="C19" s="31" t="s">
        <v>23</v>
      </c>
      <c r="D19" s="269"/>
      <c r="E19" s="26">
        <v>334</v>
      </c>
      <c r="F19" s="27"/>
      <c r="G19" s="28" t="s">
        <v>18</v>
      </c>
      <c r="H19" s="167"/>
      <c r="I19" s="369"/>
      <c r="J19" s="172">
        <f>+VLOOKUP(E19,'[1]Est Madre LK 15-04'!$A$1:$C$65536,3,0)</f>
        <v>144</v>
      </c>
      <c r="K19" s="172"/>
      <c r="L19" s="172">
        <f t="shared" si="1"/>
        <v>0.14399999999999999</v>
      </c>
      <c r="M19" s="172"/>
      <c r="N19" s="173">
        <v>2.2000000000000001E-3</v>
      </c>
      <c r="O19" s="174">
        <f t="shared" si="0"/>
        <v>0.31680000000000003</v>
      </c>
      <c r="P19" s="175">
        <v>1000</v>
      </c>
    </row>
    <row r="20" spans="1:16" s="17" customFormat="1" ht="18.75" x14ac:dyDescent="0.3">
      <c r="A20" s="368"/>
      <c r="B20" s="135">
        <v>5000</v>
      </c>
      <c r="C20" s="31" t="s">
        <v>23</v>
      </c>
      <c r="D20" s="269"/>
      <c r="E20" s="26">
        <v>335</v>
      </c>
      <c r="F20" s="27"/>
      <c r="G20" s="28" t="s">
        <v>18</v>
      </c>
      <c r="H20" s="167"/>
      <c r="I20" s="369"/>
      <c r="J20" s="172">
        <f>+VLOOKUP(E20,'[1]Est Madre LK 15-04'!$A$1:$C$65536,3,0)</f>
        <v>120</v>
      </c>
      <c r="K20" s="172"/>
      <c r="L20" s="172">
        <f t="shared" si="1"/>
        <v>0.12</v>
      </c>
      <c r="M20" s="172"/>
      <c r="N20" s="173">
        <v>2.2000000000000001E-3</v>
      </c>
      <c r="O20" s="174">
        <f t="shared" si="0"/>
        <v>0.26400000000000001</v>
      </c>
      <c r="P20" s="175">
        <v>1000</v>
      </c>
    </row>
    <row r="21" spans="1:16" s="17" customFormat="1" ht="18.75" x14ac:dyDescent="0.3">
      <c r="A21" s="368"/>
      <c r="B21" s="135">
        <v>5000</v>
      </c>
      <c r="C21" s="31" t="s">
        <v>23</v>
      </c>
      <c r="D21" s="269"/>
      <c r="E21" s="26">
        <v>336</v>
      </c>
      <c r="F21" s="27"/>
      <c r="G21" s="28" t="s">
        <v>18</v>
      </c>
      <c r="H21" s="167"/>
      <c r="I21" s="369"/>
      <c r="J21" s="172">
        <f>+VLOOKUP(E21,'[1]Est Madre LK 15-04'!$A$1:$C$65536,3,0)</f>
        <v>180</v>
      </c>
      <c r="K21" s="172"/>
      <c r="L21" s="172">
        <f t="shared" si="1"/>
        <v>0.18</v>
      </c>
      <c r="M21" s="172"/>
      <c r="N21" s="173">
        <v>2.2000000000000001E-3</v>
      </c>
      <c r="O21" s="174">
        <f t="shared" si="0"/>
        <v>0.39600000000000002</v>
      </c>
      <c r="P21" s="175">
        <v>1000</v>
      </c>
    </row>
    <row r="22" spans="1:16" s="17" customFormat="1" ht="18.75" x14ac:dyDescent="0.3">
      <c r="A22" s="368"/>
      <c r="B22" s="135">
        <v>5000</v>
      </c>
      <c r="C22" s="31" t="s">
        <v>23</v>
      </c>
      <c r="D22" s="269"/>
      <c r="E22" s="26">
        <v>337</v>
      </c>
      <c r="F22" s="27"/>
      <c r="G22" s="28" t="s">
        <v>18</v>
      </c>
      <c r="H22" s="167"/>
      <c r="I22" s="369"/>
      <c r="J22" s="172">
        <f>+VLOOKUP(E22,'[1]Est Madre LK 15-04'!$A$1:$C$65536,3,0)</f>
        <v>48</v>
      </c>
      <c r="K22" s="172"/>
      <c r="L22" s="172">
        <f t="shared" si="1"/>
        <v>4.8000000000000001E-2</v>
      </c>
      <c r="M22" s="172"/>
      <c r="N22" s="173">
        <v>2.2000000000000001E-3</v>
      </c>
      <c r="O22" s="174">
        <f t="shared" si="0"/>
        <v>0.1056</v>
      </c>
      <c r="P22" s="175">
        <v>1000</v>
      </c>
    </row>
    <row r="23" spans="1:16" s="17" customFormat="1" ht="18.75" x14ac:dyDescent="0.3">
      <c r="A23" s="368"/>
      <c r="B23" s="135">
        <v>5000</v>
      </c>
      <c r="C23" s="31" t="s">
        <v>23</v>
      </c>
      <c r="D23" s="269"/>
      <c r="E23" s="26">
        <v>338</v>
      </c>
      <c r="F23" s="27"/>
      <c r="G23" s="28" t="s">
        <v>18</v>
      </c>
      <c r="H23" s="167"/>
      <c r="I23" s="369"/>
      <c r="J23" s="172">
        <f>+VLOOKUP(E23,'[1]Est Madre LK 15-04'!$A$1:$C$65536,3,0)</f>
        <v>96</v>
      </c>
      <c r="K23" s="172"/>
      <c r="L23" s="172">
        <f t="shared" si="1"/>
        <v>9.6000000000000002E-2</v>
      </c>
      <c r="M23" s="172"/>
      <c r="N23" s="173">
        <v>2.2000000000000001E-3</v>
      </c>
      <c r="O23" s="174">
        <f t="shared" si="0"/>
        <v>0.2112</v>
      </c>
      <c r="P23" s="175">
        <v>1000</v>
      </c>
    </row>
    <row r="24" spans="1:16" s="17" customFormat="1" ht="18.75" x14ac:dyDescent="0.3">
      <c r="A24" s="368"/>
      <c r="B24" s="135">
        <v>5000</v>
      </c>
      <c r="C24" s="31" t="s">
        <v>23</v>
      </c>
      <c r="D24" s="269"/>
      <c r="E24" s="26">
        <v>542</v>
      </c>
      <c r="F24" s="27"/>
      <c r="G24" s="28" t="s">
        <v>18</v>
      </c>
      <c r="H24" s="167"/>
      <c r="I24" s="369"/>
      <c r="J24" s="172">
        <f>+VLOOKUP(E24,'[1]Est Madre LK 15-04'!$A$1:$C$65536,3,0)</f>
        <v>396</v>
      </c>
      <c r="K24" s="172"/>
      <c r="L24" s="172">
        <f t="shared" si="1"/>
        <v>0.39600000000000002</v>
      </c>
      <c r="M24" s="172"/>
      <c r="N24" s="173">
        <v>2.2000000000000001E-3</v>
      </c>
      <c r="O24" s="174">
        <f t="shared" si="0"/>
        <v>0.87120000000000009</v>
      </c>
      <c r="P24" s="175">
        <v>1000</v>
      </c>
    </row>
    <row r="25" spans="1:16" s="17" customFormat="1" ht="18.75" x14ac:dyDescent="0.3">
      <c r="A25" s="368"/>
      <c r="B25" s="135">
        <v>5000</v>
      </c>
      <c r="C25" s="31" t="s">
        <v>23</v>
      </c>
      <c r="D25" s="269"/>
      <c r="E25" s="26">
        <v>543</v>
      </c>
      <c r="F25" s="27"/>
      <c r="G25" s="28" t="s">
        <v>18</v>
      </c>
      <c r="H25" s="167"/>
      <c r="I25" s="369"/>
      <c r="J25" s="172">
        <f>+VLOOKUP(E25,'[1]Est Madre LK 15-04'!$A$1:$C$65536,3,0)</f>
        <v>300</v>
      </c>
      <c r="K25" s="172"/>
      <c r="L25" s="172">
        <f t="shared" si="1"/>
        <v>0.3</v>
      </c>
      <c r="M25" s="172"/>
      <c r="N25" s="173">
        <v>2.2000000000000001E-3</v>
      </c>
      <c r="O25" s="174">
        <f t="shared" si="0"/>
        <v>0.66</v>
      </c>
      <c r="P25" s="175">
        <v>1000</v>
      </c>
    </row>
    <row r="26" spans="1:16" s="17" customFormat="1" ht="18.75" x14ac:dyDescent="0.3">
      <c r="A26" s="368"/>
      <c r="B26" s="135">
        <v>5000</v>
      </c>
      <c r="C26" s="31" t="s">
        <v>23</v>
      </c>
      <c r="D26" s="269"/>
      <c r="E26" s="26">
        <v>546</v>
      </c>
      <c r="F26" s="27"/>
      <c r="G26" s="28" t="s">
        <v>18</v>
      </c>
      <c r="H26" s="167"/>
      <c r="I26" s="369"/>
      <c r="J26" s="172">
        <f>+VLOOKUP(E26,'[1]Est Madre LK 15-04'!$A$1:$C$65536,3,0)</f>
        <v>4800</v>
      </c>
      <c r="K26" s="172"/>
      <c r="L26" s="172">
        <f t="shared" si="1"/>
        <v>4.8</v>
      </c>
      <c r="M26" s="172"/>
      <c r="N26" s="173">
        <v>2.2000000000000001E-3</v>
      </c>
      <c r="O26" s="174">
        <f t="shared" si="0"/>
        <v>10.56</v>
      </c>
      <c r="P26" s="175">
        <v>1000</v>
      </c>
    </row>
    <row r="27" spans="1:16" s="17" customFormat="1" ht="18.75" x14ac:dyDescent="0.3">
      <c r="A27" s="368"/>
      <c r="B27" s="135">
        <v>5000</v>
      </c>
      <c r="C27" s="31" t="s">
        <v>23</v>
      </c>
      <c r="D27" s="269"/>
      <c r="E27" s="26">
        <v>559</v>
      </c>
      <c r="F27" s="27"/>
      <c r="G27" s="28" t="s">
        <v>18</v>
      </c>
      <c r="H27" s="167"/>
      <c r="I27" s="369"/>
      <c r="J27" s="172">
        <f>+VLOOKUP(E27,'[1]Est Madre LK 15-04'!$A$1:$C$65536,3,0)</f>
        <v>720</v>
      </c>
      <c r="K27" s="172"/>
      <c r="L27" s="172">
        <f t="shared" si="1"/>
        <v>0.72</v>
      </c>
      <c r="M27" s="172"/>
      <c r="N27" s="173">
        <v>2.2000000000000001E-3</v>
      </c>
      <c r="O27" s="174">
        <f t="shared" si="0"/>
        <v>1.5840000000000001</v>
      </c>
      <c r="P27" s="175">
        <v>1000</v>
      </c>
    </row>
    <row r="28" spans="1:16" s="17" customFormat="1" ht="18.75" x14ac:dyDescent="0.3">
      <c r="A28" s="368"/>
      <c r="B28" s="135">
        <v>5000</v>
      </c>
      <c r="C28" s="31" t="s">
        <v>23</v>
      </c>
      <c r="D28" s="269"/>
      <c r="E28" s="26">
        <v>312</v>
      </c>
      <c r="F28" s="27"/>
      <c r="G28" s="28" t="s">
        <v>18</v>
      </c>
      <c r="H28" s="167"/>
      <c r="I28" s="369"/>
      <c r="J28" s="172">
        <f>+VLOOKUP(E28,'[1]Est Madre LK 15-04'!$A$1:$C$65536,3,0)</f>
        <v>156</v>
      </c>
      <c r="K28" s="172"/>
      <c r="L28" s="172">
        <f t="shared" si="1"/>
        <v>0.156</v>
      </c>
      <c r="M28" s="172"/>
      <c r="N28" s="173">
        <v>2.2000000000000001E-3</v>
      </c>
      <c r="O28" s="174">
        <f t="shared" si="0"/>
        <v>0.34320000000000001</v>
      </c>
      <c r="P28" s="175">
        <v>1000</v>
      </c>
    </row>
    <row r="29" spans="1:16" s="17" customFormat="1" ht="18.75" x14ac:dyDescent="0.3">
      <c r="A29" s="368"/>
      <c r="B29" s="135">
        <v>5000</v>
      </c>
      <c r="C29" s="31" t="s">
        <v>23</v>
      </c>
      <c r="D29" s="269"/>
      <c r="E29" s="26">
        <v>570</v>
      </c>
      <c r="F29" s="27"/>
      <c r="G29" s="28" t="s">
        <v>18</v>
      </c>
      <c r="H29" s="167"/>
      <c r="I29" s="369"/>
      <c r="J29" s="172">
        <f>+VLOOKUP(E29,'[1]Est Madre LK 15-04'!$A$1:$C$65536,3,0)</f>
        <v>296</v>
      </c>
      <c r="K29" s="172"/>
      <c r="L29" s="172">
        <f t="shared" si="1"/>
        <v>0.29599999999999999</v>
      </c>
      <c r="M29" s="172"/>
      <c r="N29" s="173">
        <v>2.2000000000000001E-3</v>
      </c>
      <c r="O29" s="174">
        <f t="shared" si="0"/>
        <v>0.6512</v>
      </c>
      <c r="P29" s="175">
        <v>1000</v>
      </c>
    </row>
    <row r="30" spans="1:16" s="17" customFormat="1" ht="18.75" x14ac:dyDescent="0.3">
      <c r="A30" s="368"/>
      <c r="B30" s="135">
        <v>5000</v>
      </c>
      <c r="C30" s="31" t="s">
        <v>23</v>
      </c>
      <c r="D30" s="269"/>
      <c r="E30" s="26">
        <v>587</v>
      </c>
      <c r="F30" s="27"/>
      <c r="G30" s="28" t="s">
        <v>18</v>
      </c>
      <c r="H30" s="167"/>
      <c r="I30" s="369"/>
      <c r="J30" s="172">
        <f>+VLOOKUP(E30,'[1]Est Madre LK 15-04'!$A$1:$C$65536,3,0)</f>
        <v>2760</v>
      </c>
      <c r="K30" s="172"/>
      <c r="L30" s="172">
        <f t="shared" si="1"/>
        <v>2.76</v>
      </c>
      <c r="M30" s="172"/>
      <c r="N30" s="173">
        <v>2.2000000000000001E-3</v>
      </c>
      <c r="O30" s="174">
        <f t="shared" si="0"/>
        <v>6.0720000000000001</v>
      </c>
      <c r="P30" s="175">
        <v>1000</v>
      </c>
    </row>
    <row r="31" spans="1:16" s="17" customFormat="1" ht="18.75" x14ac:dyDescent="0.3">
      <c r="A31" s="368"/>
      <c r="B31" s="135">
        <v>5000</v>
      </c>
      <c r="C31" s="31" t="s">
        <v>23</v>
      </c>
      <c r="D31" s="269"/>
      <c r="E31" s="26">
        <v>395</v>
      </c>
      <c r="F31" s="27"/>
      <c r="G31" s="28" t="s">
        <v>18</v>
      </c>
      <c r="H31" s="167"/>
      <c r="I31" s="369"/>
      <c r="J31" s="172">
        <f>+VLOOKUP(E31,'[1]Est Madre LK 15-04'!$A$1:$C$65536,3,0)</f>
        <v>336</v>
      </c>
      <c r="K31" s="172"/>
      <c r="L31" s="172">
        <f t="shared" si="1"/>
        <v>0.33600000000000002</v>
      </c>
      <c r="M31" s="172"/>
      <c r="N31" s="173">
        <v>2.2000000000000001E-3</v>
      </c>
      <c r="O31" s="174">
        <f t="shared" si="0"/>
        <v>0.73920000000000008</v>
      </c>
      <c r="P31" s="175">
        <v>1000</v>
      </c>
    </row>
    <row r="32" spans="1:16" s="17" customFormat="1" ht="18.75" x14ac:dyDescent="0.3">
      <c r="A32" s="368"/>
      <c r="B32" s="135">
        <v>5000</v>
      </c>
      <c r="C32" s="31" t="s">
        <v>23</v>
      </c>
      <c r="D32" s="269"/>
      <c r="E32" s="26">
        <v>396</v>
      </c>
      <c r="F32" s="27"/>
      <c r="G32" s="28" t="s">
        <v>18</v>
      </c>
      <c r="H32" s="167"/>
      <c r="I32" s="369"/>
      <c r="J32" s="172">
        <f>+VLOOKUP(E32,'[1]Est Madre LK 15-04'!$A$1:$C$65536,3,0)</f>
        <v>192</v>
      </c>
      <c r="K32" s="172"/>
      <c r="L32" s="172">
        <f t="shared" si="1"/>
        <v>0.192</v>
      </c>
      <c r="M32" s="172"/>
      <c r="N32" s="173">
        <v>2.2000000000000001E-3</v>
      </c>
      <c r="O32" s="174">
        <f t="shared" si="0"/>
        <v>0.4224</v>
      </c>
      <c r="P32" s="175">
        <v>1000</v>
      </c>
    </row>
    <row r="33" spans="1:16" s="17" customFormat="1" ht="18.75" x14ac:dyDescent="0.25">
      <c r="A33" s="368"/>
      <c r="B33" s="135"/>
      <c r="C33" s="31"/>
      <c r="D33" s="269"/>
      <c r="E33" s="26"/>
      <c r="F33" s="27"/>
      <c r="G33" s="28"/>
      <c r="H33" s="167"/>
      <c r="I33" s="163" t="s">
        <v>206</v>
      </c>
      <c r="J33" s="172">
        <f>SUM(J17:J32)</f>
        <v>11000</v>
      </c>
      <c r="K33" s="172"/>
      <c r="L33" s="172">
        <f>SUM(L17:L32)</f>
        <v>11</v>
      </c>
      <c r="M33" s="172"/>
      <c r="N33" s="187" t="s">
        <v>204</v>
      </c>
      <c r="O33" s="174" t="s">
        <v>208</v>
      </c>
      <c r="P33" s="188" t="s">
        <v>210</v>
      </c>
    </row>
    <row r="34" spans="1:16" s="17" customFormat="1" ht="19.5" thickBot="1" x14ac:dyDescent="0.35">
      <c r="A34" s="368"/>
      <c r="B34" s="135"/>
      <c r="C34" s="31"/>
      <c r="D34" s="269"/>
      <c r="E34" s="26"/>
      <c r="F34" s="27"/>
      <c r="G34" s="28"/>
      <c r="H34" s="167"/>
      <c r="I34" s="161" t="s">
        <v>202</v>
      </c>
      <c r="J34" s="176"/>
      <c r="K34" s="176"/>
      <c r="L34" s="192">
        <f>L33*3</f>
        <v>33</v>
      </c>
      <c r="M34" s="192"/>
      <c r="N34" s="189">
        <v>35</v>
      </c>
      <c r="O34" s="185" t="s">
        <v>23</v>
      </c>
      <c r="P34" s="178">
        <v>47</v>
      </c>
    </row>
    <row r="35" spans="1:16" s="17" customFormat="1" ht="18.75" x14ac:dyDescent="0.3">
      <c r="A35" s="368"/>
      <c r="B35" s="135">
        <v>5000</v>
      </c>
      <c r="C35" s="31" t="s">
        <v>26</v>
      </c>
      <c r="D35" s="269"/>
      <c r="E35" s="30">
        <v>548</v>
      </c>
      <c r="F35" s="29" t="s">
        <v>27</v>
      </c>
      <c r="G35" s="28" t="s">
        <v>18</v>
      </c>
      <c r="H35" s="167" t="s">
        <v>14</v>
      </c>
      <c r="I35" s="190" t="s">
        <v>28</v>
      </c>
      <c r="J35" s="168">
        <f>+VLOOKUP(E35,'[1]Est Madre LK 15-04'!$A$1:$C$65536,3,0)</f>
        <v>360</v>
      </c>
      <c r="K35" s="168"/>
      <c r="L35" s="168">
        <f>J35/P35</f>
        <v>0.36</v>
      </c>
      <c r="M35" s="168"/>
      <c r="N35" s="191">
        <v>2.2000000000000001E-3</v>
      </c>
      <c r="O35" s="170">
        <f>+N35*(K35+J35)</f>
        <v>0.79200000000000004</v>
      </c>
      <c r="P35" s="171">
        <v>1000</v>
      </c>
    </row>
    <row r="36" spans="1:16" s="17" customFormat="1" ht="18.75" x14ac:dyDescent="0.25">
      <c r="A36" s="368"/>
      <c r="B36" s="135"/>
      <c r="C36" s="31"/>
      <c r="D36" s="269"/>
      <c r="E36" s="30"/>
      <c r="F36" s="29"/>
      <c r="G36" s="28"/>
      <c r="H36" s="167"/>
      <c r="I36" s="163" t="s">
        <v>206</v>
      </c>
      <c r="J36" s="172">
        <f>SUM(J35)</f>
        <v>360</v>
      </c>
      <c r="K36" s="172"/>
      <c r="L36" s="172">
        <f>SUM(L35)</f>
        <v>0.36</v>
      </c>
      <c r="M36" s="172"/>
      <c r="N36" s="187" t="s">
        <v>204</v>
      </c>
      <c r="O36" s="174" t="s">
        <v>208</v>
      </c>
      <c r="P36" s="188" t="s">
        <v>210</v>
      </c>
    </row>
    <row r="37" spans="1:16" s="17" customFormat="1" ht="19.5" thickBot="1" x14ac:dyDescent="0.35">
      <c r="A37" s="368"/>
      <c r="B37" s="135"/>
      <c r="C37" s="31"/>
      <c r="D37" s="269"/>
      <c r="E37" s="30"/>
      <c r="F37" s="29"/>
      <c r="G37" s="28"/>
      <c r="H37" s="167"/>
      <c r="I37" s="161" t="s">
        <v>202</v>
      </c>
      <c r="J37" s="176"/>
      <c r="K37" s="176"/>
      <c r="L37" s="183">
        <f>L36*3</f>
        <v>1.08</v>
      </c>
      <c r="M37" s="183"/>
      <c r="N37" s="189">
        <v>1</v>
      </c>
      <c r="O37" s="185" t="s">
        <v>26</v>
      </c>
      <c r="P37" s="178">
        <v>1</v>
      </c>
    </row>
    <row r="38" spans="1:16" s="17" customFormat="1" ht="18.75" x14ac:dyDescent="0.3">
      <c r="A38" s="368"/>
      <c r="B38" s="135">
        <v>5000</v>
      </c>
      <c r="C38" s="31" t="s">
        <v>29</v>
      </c>
      <c r="D38" s="269"/>
      <c r="E38" s="26">
        <v>315</v>
      </c>
      <c r="F38" s="29" t="s">
        <v>30</v>
      </c>
      <c r="G38" s="28" t="s">
        <v>18</v>
      </c>
      <c r="H38" s="167" t="s">
        <v>14</v>
      </c>
      <c r="I38" s="347" t="s">
        <v>31</v>
      </c>
      <c r="J38" s="168">
        <f>+VLOOKUP(E38,'[1]Est Madre LK 15-04'!$A$1:$C$65536,3,0)</f>
        <v>1920</v>
      </c>
      <c r="K38" s="168"/>
      <c r="L38" s="168">
        <f>J38/P38</f>
        <v>1.92</v>
      </c>
      <c r="M38" s="168"/>
      <c r="N38" s="169">
        <v>2.2000000000000001E-3</v>
      </c>
      <c r="O38" s="170">
        <f>+N38*(K38+J38)</f>
        <v>4.2240000000000002</v>
      </c>
      <c r="P38" s="171">
        <v>1000</v>
      </c>
    </row>
    <row r="39" spans="1:16" s="17" customFormat="1" ht="18.75" x14ac:dyDescent="0.3">
      <c r="A39" s="368"/>
      <c r="B39" s="135">
        <v>5000</v>
      </c>
      <c r="C39" s="31" t="s">
        <v>29</v>
      </c>
      <c r="D39" s="269"/>
      <c r="E39" s="26">
        <v>355</v>
      </c>
      <c r="F39" s="27"/>
      <c r="G39" s="28" t="s">
        <v>18</v>
      </c>
      <c r="H39" s="167"/>
      <c r="I39" s="369"/>
      <c r="J39" s="172">
        <f>+VLOOKUP(E39,'[1]Est Madre LK 15-04'!$A$1:$C$65536,3,0)</f>
        <v>480</v>
      </c>
      <c r="K39" s="172"/>
      <c r="L39" s="172">
        <f t="shared" ref="L39:L40" si="2">J39/P39</f>
        <v>0.48</v>
      </c>
      <c r="M39" s="172"/>
      <c r="N39" s="173">
        <v>2.2000000000000001E-3</v>
      </c>
      <c r="O39" s="174">
        <f>+N39*(K39+J39)</f>
        <v>1.056</v>
      </c>
      <c r="P39" s="175">
        <v>1000</v>
      </c>
    </row>
    <row r="40" spans="1:16" s="17" customFormat="1" ht="19.5" thickBot="1" x14ac:dyDescent="0.35">
      <c r="A40" s="356"/>
      <c r="B40" s="136">
        <v>5000</v>
      </c>
      <c r="C40" s="31" t="s">
        <v>29</v>
      </c>
      <c r="D40" s="270"/>
      <c r="E40" s="32">
        <v>535</v>
      </c>
      <c r="F40" s="33"/>
      <c r="G40" s="34" t="s">
        <v>18</v>
      </c>
      <c r="H40" s="198"/>
      <c r="I40" s="369"/>
      <c r="J40" s="172">
        <f>+VLOOKUP(E40,'[1]Est Madre LK 15-04'!$A$1:$C$65536,3,0)</f>
        <v>996</v>
      </c>
      <c r="K40" s="172"/>
      <c r="L40" s="172">
        <f t="shared" si="2"/>
        <v>0.996</v>
      </c>
      <c r="M40" s="172"/>
      <c r="N40" s="173">
        <v>2.2000000000000001E-3</v>
      </c>
      <c r="O40" s="174">
        <f>+N40*(K40+J40)</f>
        <v>2.1912000000000003</v>
      </c>
      <c r="P40" s="175">
        <v>1000</v>
      </c>
    </row>
    <row r="41" spans="1:16" s="17" customFormat="1" ht="23.25" x14ac:dyDescent="0.25">
      <c r="A41" s="25"/>
      <c r="B41" s="60"/>
      <c r="C41" s="31"/>
      <c r="D41" s="156"/>
      <c r="E41" s="131"/>
      <c r="F41" s="132"/>
      <c r="G41" s="127"/>
      <c r="H41" s="164"/>
      <c r="I41" s="163" t="s">
        <v>206</v>
      </c>
      <c r="J41" s="172">
        <f>SUM(J38:J40)</f>
        <v>3396</v>
      </c>
      <c r="K41" s="172"/>
      <c r="L41" s="172">
        <f>SUM(L38:L40)</f>
        <v>3.3959999999999999</v>
      </c>
      <c r="M41" s="172"/>
      <c r="N41" s="187" t="s">
        <v>204</v>
      </c>
      <c r="O41" s="174" t="s">
        <v>208</v>
      </c>
      <c r="P41" s="188" t="s">
        <v>210</v>
      </c>
    </row>
    <row r="42" spans="1:16" s="17" customFormat="1" ht="24" thickBot="1" x14ac:dyDescent="0.35">
      <c r="A42" s="25"/>
      <c r="B42" s="60"/>
      <c r="C42" s="31"/>
      <c r="D42" s="156"/>
      <c r="E42" s="131"/>
      <c r="F42" s="132"/>
      <c r="G42" s="127"/>
      <c r="H42" s="164"/>
      <c r="I42" s="161" t="s">
        <v>202</v>
      </c>
      <c r="J42" s="176"/>
      <c r="K42" s="176"/>
      <c r="L42" s="183">
        <f>L41*3</f>
        <v>10.187999999999999</v>
      </c>
      <c r="M42" s="183"/>
      <c r="N42" s="189">
        <v>12</v>
      </c>
      <c r="O42" s="185" t="s">
        <v>29</v>
      </c>
      <c r="P42" s="178">
        <v>17</v>
      </c>
    </row>
    <row r="43" spans="1:16" s="17" customFormat="1" ht="18" customHeight="1" thickBot="1" x14ac:dyDescent="0.3">
      <c r="A43" s="25"/>
      <c r="B43" s="60"/>
      <c r="C43" s="275"/>
    </row>
    <row r="44" spans="1:16" s="17" customFormat="1" ht="18.75" x14ac:dyDescent="0.3">
      <c r="A44" s="349" t="s">
        <v>32</v>
      </c>
      <c r="B44" s="253"/>
      <c r="C44" s="31" t="s">
        <v>33</v>
      </c>
      <c r="D44" s="266"/>
      <c r="E44" s="35">
        <v>551</v>
      </c>
      <c r="F44" s="36"/>
      <c r="G44" s="37" t="s">
        <v>18</v>
      </c>
      <c r="H44" s="204" t="s">
        <v>34</v>
      </c>
      <c r="I44" s="206" t="s">
        <v>35</v>
      </c>
      <c r="J44" s="168">
        <f>+VLOOKUP(E44,'[1]Est Madre LK 15-04'!$A$1:$C$65536,3,0)</f>
        <v>360</v>
      </c>
      <c r="K44" s="168"/>
      <c r="L44" s="168">
        <f>J44/P44</f>
        <v>0.18</v>
      </c>
      <c r="M44" s="168"/>
      <c r="N44" s="191">
        <v>0.01</v>
      </c>
      <c r="O44" s="38">
        <f>+N44*(K44+J44)</f>
        <v>3.6</v>
      </c>
      <c r="P44" s="171">
        <v>2000</v>
      </c>
    </row>
    <row r="45" spans="1:16" s="17" customFormat="1" ht="18.75" x14ac:dyDescent="0.25">
      <c r="A45" s="370"/>
      <c r="B45" s="254"/>
      <c r="C45" s="31"/>
      <c r="D45" s="156"/>
      <c r="E45" s="200"/>
      <c r="F45" s="201"/>
      <c r="G45" s="127"/>
      <c r="H45" s="205"/>
      <c r="I45" s="163" t="s">
        <v>206</v>
      </c>
      <c r="J45" s="172">
        <f>SUM(J42:J44)</f>
        <v>360</v>
      </c>
      <c r="K45" s="172"/>
      <c r="L45" s="172">
        <f>SUM(L44)</f>
        <v>0.18</v>
      </c>
      <c r="M45" s="172"/>
      <c r="N45" s="187" t="s">
        <v>204</v>
      </c>
      <c r="O45" s="174" t="s">
        <v>208</v>
      </c>
      <c r="P45" s="188" t="s">
        <v>210</v>
      </c>
    </row>
    <row r="46" spans="1:16" s="17" customFormat="1" ht="18.95" customHeight="1" thickBot="1" x14ac:dyDescent="0.35">
      <c r="A46" s="370"/>
      <c r="B46" s="254"/>
      <c r="C46" s="31"/>
      <c r="D46" s="156"/>
      <c r="E46" s="200"/>
      <c r="F46" s="201"/>
      <c r="G46" s="127"/>
      <c r="H46" s="205"/>
      <c r="I46" s="161" t="s">
        <v>202</v>
      </c>
      <c r="J46" s="176"/>
      <c r="K46" s="176"/>
      <c r="L46" s="182">
        <f>L45*3</f>
        <v>0.54</v>
      </c>
      <c r="M46" s="182"/>
      <c r="N46" s="189">
        <v>1</v>
      </c>
      <c r="O46" s="185" t="s">
        <v>33</v>
      </c>
      <c r="P46" s="178">
        <v>1</v>
      </c>
    </row>
    <row r="47" spans="1:16" s="17" customFormat="1" ht="19.5" thickBot="1" x14ac:dyDescent="0.35">
      <c r="A47" s="370"/>
      <c r="B47" s="254"/>
      <c r="C47" s="276"/>
      <c r="D47" s="179"/>
      <c r="E47" s="179"/>
      <c r="F47" s="179"/>
      <c r="G47" s="179"/>
      <c r="H47" s="179"/>
      <c r="I47" s="179"/>
      <c r="J47" s="179"/>
      <c r="K47" s="179"/>
      <c r="L47" s="179"/>
      <c r="M47" s="179"/>
      <c r="N47" s="179"/>
      <c r="O47" s="179"/>
      <c r="P47" s="179"/>
    </row>
    <row r="48" spans="1:16" s="17" customFormat="1" ht="19.5" thickBot="1" x14ac:dyDescent="0.35">
      <c r="A48" s="350"/>
      <c r="B48" s="255"/>
      <c r="C48" s="31" t="s">
        <v>36</v>
      </c>
      <c r="D48" s="270"/>
      <c r="E48" s="39">
        <v>878</v>
      </c>
      <c r="F48" s="40"/>
      <c r="G48" s="34" t="s">
        <v>13</v>
      </c>
      <c r="H48" s="207" t="s">
        <v>34</v>
      </c>
      <c r="I48" s="209" t="s">
        <v>37</v>
      </c>
      <c r="J48" s="168"/>
      <c r="K48" s="168">
        <f>+VLOOKUP(E48,'[1]Est Madre CH 15-04'!$A$1:$C$65536,3,0)</f>
        <v>168</v>
      </c>
      <c r="L48" s="168">
        <f>K48/P48</f>
        <v>8.4000000000000005E-2</v>
      </c>
      <c r="M48" s="304"/>
      <c r="N48" s="210">
        <f>10/1000</f>
        <v>0.01</v>
      </c>
      <c r="O48" s="211">
        <f>+N48*(K48+J48)</f>
        <v>1.68</v>
      </c>
      <c r="P48" s="212">
        <v>2000</v>
      </c>
    </row>
    <row r="49" spans="1:16" s="17" customFormat="1" ht="18.75" x14ac:dyDescent="0.25">
      <c r="A49" s="202"/>
      <c r="B49" s="256"/>
      <c r="C49" s="31"/>
      <c r="D49" s="156"/>
      <c r="E49" s="200"/>
      <c r="F49" s="201"/>
      <c r="G49" s="127"/>
      <c r="H49" s="208"/>
      <c r="I49" s="163" t="s">
        <v>206</v>
      </c>
      <c r="J49" s="172"/>
      <c r="K49" s="172">
        <f>SUM(K48)</f>
        <v>168</v>
      </c>
      <c r="L49" s="172">
        <f>SUM(L48)</f>
        <v>8.4000000000000005E-2</v>
      </c>
      <c r="M49" s="172"/>
      <c r="N49" s="187" t="s">
        <v>204</v>
      </c>
      <c r="O49" s="174" t="s">
        <v>208</v>
      </c>
      <c r="P49" s="188" t="s">
        <v>210</v>
      </c>
    </row>
    <row r="50" spans="1:16" s="17" customFormat="1" ht="19.5" thickBot="1" x14ac:dyDescent="0.35">
      <c r="A50" s="202"/>
      <c r="B50" s="256"/>
      <c r="C50" s="31"/>
      <c r="D50" s="156"/>
      <c r="E50" s="200"/>
      <c r="F50" s="201"/>
      <c r="G50" s="127"/>
      <c r="H50" s="208"/>
      <c r="I50" s="161" t="s">
        <v>202</v>
      </c>
      <c r="J50" s="176"/>
      <c r="K50" s="176"/>
      <c r="L50" s="182">
        <f>L49*3</f>
        <v>0.252</v>
      </c>
      <c r="M50" s="182"/>
      <c r="N50" s="189">
        <v>1</v>
      </c>
      <c r="O50" s="185" t="s">
        <v>36</v>
      </c>
      <c r="P50" s="178">
        <v>1</v>
      </c>
    </row>
    <row r="51" spans="1:16" s="17" customFormat="1" ht="19.5" thickBot="1" x14ac:dyDescent="0.35">
      <c r="A51" s="202"/>
      <c r="B51" s="256"/>
      <c r="C51" s="31"/>
      <c r="D51" s="156"/>
      <c r="E51" s="200"/>
      <c r="F51" s="201"/>
      <c r="G51" s="127"/>
      <c r="H51" s="203"/>
      <c r="I51" s="179"/>
      <c r="J51" s="179"/>
      <c r="K51" s="179"/>
      <c r="L51" s="179"/>
      <c r="M51" s="179"/>
      <c r="N51" s="179"/>
      <c r="O51" s="179"/>
      <c r="P51" s="179"/>
    </row>
    <row r="52" spans="1:16" s="17" customFormat="1" ht="18" customHeight="1" x14ac:dyDescent="0.25">
      <c r="A52" s="371" t="s">
        <v>38</v>
      </c>
      <c r="B52" s="139">
        <v>5000</v>
      </c>
      <c r="C52" s="31" t="s">
        <v>39</v>
      </c>
      <c r="D52" s="266"/>
      <c r="E52" s="14">
        <v>856</v>
      </c>
      <c r="F52" s="15" t="s">
        <v>40</v>
      </c>
      <c r="G52" s="16" t="s">
        <v>13</v>
      </c>
      <c r="H52" s="157" t="s">
        <v>14</v>
      </c>
      <c r="I52" s="347" t="s">
        <v>41</v>
      </c>
      <c r="J52" s="168"/>
      <c r="K52" s="168">
        <f>+VLOOKUP(E52,'[1]Est Madre CH 15-04'!$A$1:$C$65536,3,0)</f>
        <v>48</v>
      </c>
      <c r="L52" s="168">
        <f>K52/P52</f>
        <v>1.411764705882353E-2</v>
      </c>
      <c r="M52" s="168"/>
      <c r="N52" s="191">
        <v>5.0000000000000001E-3</v>
      </c>
      <c r="O52" s="170">
        <f>+N52*(K52+J52)</f>
        <v>0.24</v>
      </c>
      <c r="P52" s="214">
        <v>3400</v>
      </c>
    </row>
    <row r="53" spans="1:16" s="17" customFormat="1" ht="18.75" x14ac:dyDescent="0.25">
      <c r="A53" s="372"/>
      <c r="B53" s="135">
        <v>5000</v>
      </c>
      <c r="C53" s="31" t="s">
        <v>39</v>
      </c>
      <c r="D53" s="269"/>
      <c r="E53" s="42">
        <v>857</v>
      </c>
      <c r="F53" s="29" t="s">
        <v>42</v>
      </c>
      <c r="G53" s="43" t="s">
        <v>13</v>
      </c>
      <c r="H53" s="213" t="s">
        <v>14</v>
      </c>
      <c r="I53" s="348"/>
      <c r="J53" s="172"/>
      <c r="K53" s="172">
        <f>+VLOOKUP(E53,'[1]Est Madre CH 15-04'!$A$1:$C$65536,3,0)</f>
        <v>48</v>
      </c>
      <c r="L53" s="172">
        <f>K53/P53</f>
        <v>1.411764705882353E-2</v>
      </c>
      <c r="M53" s="172"/>
      <c r="N53" s="180">
        <v>5.0000000000000001E-3</v>
      </c>
      <c r="O53" s="174">
        <f>+N53*(K53+J53)</f>
        <v>0.24</v>
      </c>
      <c r="P53" s="215">
        <v>3400</v>
      </c>
    </row>
    <row r="54" spans="1:16" s="17" customFormat="1" ht="18.75" x14ac:dyDescent="0.25">
      <c r="A54" s="372"/>
      <c r="B54" s="135">
        <v>5000</v>
      </c>
      <c r="C54" s="31" t="s">
        <v>39</v>
      </c>
      <c r="D54" s="269"/>
      <c r="E54" s="42">
        <v>710</v>
      </c>
      <c r="F54" s="29" t="s">
        <v>43</v>
      </c>
      <c r="G54" s="43" t="s">
        <v>13</v>
      </c>
      <c r="H54" s="213" t="s">
        <v>14</v>
      </c>
      <c r="I54" s="348"/>
      <c r="J54" s="172"/>
      <c r="K54" s="172">
        <f>+VLOOKUP(E54,'[1]Est Madre CH 15-04'!$A$1:$C$65536,3,0)</f>
        <v>0</v>
      </c>
      <c r="L54" s="172">
        <f t="shared" ref="L54" si="3">K54/P54</f>
        <v>0</v>
      </c>
      <c r="M54" s="172"/>
      <c r="N54" s="180">
        <v>5.0000000000000001E-3</v>
      </c>
      <c r="O54" s="174">
        <f>+N54*(K54+J54)</f>
        <v>0</v>
      </c>
      <c r="P54" s="215">
        <v>3400</v>
      </c>
    </row>
    <row r="55" spans="1:16" s="17" customFormat="1" ht="18.75" x14ac:dyDescent="0.25">
      <c r="A55" s="372"/>
      <c r="B55" s="135"/>
      <c r="C55" s="31"/>
      <c r="D55" s="269"/>
      <c r="E55" s="42"/>
      <c r="F55" s="29"/>
      <c r="G55" s="43"/>
      <c r="H55" s="213"/>
      <c r="I55" s="163" t="s">
        <v>206</v>
      </c>
      <c r="J55" s="172"/>
      <c r="K55" s="172">
        <f>SUM(K52:K54)</f>
        <v>96</v>
      </c>
      <c r="L55" s="172">
        <f>SUM(L52:L54)</f>
        <v>2.823529411764706E-2</v>
      </c>
      <c r="M55" s="172"/>
      <c r="N55" s="187" t="s">
        <v>204</v>
      </c>
      <c r="O55" s="174" t="s">
        <v>208</v>
      </c>
      <c r="P55" s="188" t="s">
        <v>210</v>
      </c>
    </row>
    <row r="56" spans="1:16" s="17" customFormat="1" ht="19.5" thickBot="1" x14ac:dyDescent="0.35">
      <c r="A56" s="372"/>
      <c r="B56" s="135"/>
      <c r="C56" s="31"/>
      <c r="D56" s="269"/>
      <c r="E56" s="42"/>
      <c r="F56" s="29"/>
      <c r="G56" s="43"/>
      <c r="H56" s="213"/>
      <c r="I56" s="161" t="s">
        <v>202</v>
      </c>
      <c r="J56" s="176"/>
      <c r="K56" s="176"/>
      <c r="L56" s="182">
        <f>L55*3</f>
        <v>8.4705882352941186E-2</v>
      </c>
      <c r="M56" s="182"/>
      <c r="N56" s="189">
        <v>0</v>
      </c>
      <c r="O56" s="177" t="str">
        <f>C52</f>
        <v>HP2</v>
      </c>
      <c r="P56" s="178">
        <v>10</v>
      </c>
    </row>
    <row r="57" spans="1:16" s="17" customFormat="1" ht="19.5" thickBot="1" x14ac:dyDescent="0.35">
      <c r="A57" s="372"/>
      <c r="B57" s="135"/>
      <c r="C57" s="276"/>
      <c r="D57" s="179"/>
      <c r="E57" s="179"/>
      <c r="F57" s="179"/>
      <c r="G57" s="179"/>
      <c r="H57" s="179"/>
      <c r="I57" s="179"/>
      <c r="J57" s="179"/>
      <c r="K57" s="179"/>
      <c r="L57" s="179"/>
      <c r="M57" s="179"/>
      <c r="N57" s="179"/>
      <c r="O57" s="179"/>
      <c r="P57" s="179"/>
    </row>
    <row r="58" spans="1:16" s="17" customFormat="1" ht="18.75" x14ac:dyDescent="0.3">
      <c r="A58" s="372"/>
      <c r="B58" s="135">
        <v>5000</v>
      </c>
      <c r="C58" s="31" t="s">
        <v>44</v>
      </c>
      <c r="D58" s="269"/>
      <c r="E58" s="42">
        <v>720</v>
      </c>
      <c r="F58" s="29" t="s">
        <v>45</v>
      </c>
      <c r="G58" s="43" t="s">
        <v>13</v>
      </c>
      <c r="H58" s="213" t="s">
        <v>14</v>
      </c>
      <c r="I58" s="347" t="s">
        <v>46</v>
      </c>
      <c r="J58" s="168"/>
      <c r="K58" s="168">
        <f>+VLOOKUP(E58,'[1]Est Madre CH 15-04'!$A$1:$C$65536,3,0)</f>
        <v>72</v>
      </c>
      <c r="L58" s="168">
        <f>K58/P58</f>
        <v>2.1176470588235293E-2</v>
      </c>
      <c r="M58" s="168"/>
      <c r="N58" s="191">
        <v>5.0000000000000001E-3</v>
      </c>
      <c r="O58" s="170">
        <f>+N58*(K58+J58)</f>
        <v>0.36</v>
      </c>
      <c r="P58" s="171">
        <v>3400</v>
      </c>
    </row>
    <row r="59" spans="1:16" s="17" customFormat="1" ht="18.75" x14ac:dyDescent="0.3">
      <c r="A59" s="372"/>
      <c r="B59" s="135">
        <v>5000</v>
      </c>
      <c r="C59" s="31" t="s">
        <v>44</v>
      </c>
      <c r="D59" s="269"/>
      <c r="E59" s="42">
        <v>722</v>
      </c>
      <c r="F59" s="29" t="s">
        <v>47</v>
      </c>
      <c r="G59" s="43" t="s">
        <v>13</v>
      </c>
      <c r="H59" s="213" t="s">
        <v>14</v>
      </c>
      <c r="I59" s="348"/>
      <c r="J59" s="172"/>
      <c r="K59" s="172">
        <f>+VLOOKUP(E59,'[1]Est Madre CH 15-04'!$A$1:$C$65536,3,0)</f>
        <v>36</v>
      </c>
      <c r="L59" s="172">
        <f t="shared" ref="L59:L61" si="4">K59/P59</f>
        <v>1.0588235294117647E-2</v>
      </c>
      <c r="M59" s="172"/>
      <c r="N59" s="180">
        <v>5.0000000000000001E-3</v>
      </c>
      <c r="O59" s="174">
        <f>+N59*(K59+J59)</f>
        <v>0.18</v>
      </c>
      <c r="P59" s="175">
        <v>3400</v>
      </c>
    </row>
    <row r="60" spans="1:16" s="17" customFormat="1" ht="18.75" x14ac:dyDescent="0.3">
      <c r="A60" s="372"/>
      <c r="B60" s="135">
        <v>5000</v>
      </c>
      <c r="C60" s="31" t="s">
        <v>44</v>
      </c>
      <c r="D60" s="269"/>
      <c r="E60" s="42">
        <v>859</v>
      </c>
      <c r="F60" s="29" t="s">
        <v>48</v>
      </c>
      <c r="G60" s="43" t="s">
        <v>13</v>
      </c>
      <c r="H60" s="213" t="s">
        <v>14</v>
      </c>
      <c r="I60" s="348"/>
      <c r="J60" s="172"/>
      <c r="K60" s="172">
        <f>+VLOOKUP(E60,'[1]Est Madre CH 15-04'!$A$1:$C$65536,3,0)</f>
        <v>144</v>
      </c>
      <c r="L60" s="172">
        <f t="shared" si="4"/>
        <v>4.2352941176470586E-2</v>
      </c>
      <c r="M60" s="172"/>
      <c r="N60" s="180">
        <v>5.0000000000000001E-3</v>
      </c>
      <c r="O60" s="174">
        <f>+N60*(K60+J60)</f>
        <v>0.72</v>
      </c>
      <c r="P60" s="175">
        <v>3400</v>
      </c>
    </row>
    <row r="61" spans="1:16" s="17" customFormat="1" ht="18.75" x14ac:dyDescent="0.3">
      <c r="A61" s="372"/>
      <c r="B61" s="135">
        <v>5000</v>
      </c>
      <c r="C61" s="31" t="s">
        <v>44</v>
      </c>
      <c r="D61" s="269"/>
      <c r="E61" s="42">
        <v>863</v>
      </c>
      <c r="F61" s="29" t="s">
        <v>49</v>
      </c>
      <c r="G61" s="43" t="s">
        <v>13</v>
      </c>
      <c r="H61" s="213" t="s">
        <v>14</v>
      </c>
      <c r="I61" s="348"/>
      <c r="J61" s="172"/>
      <c r="K61" s="172">
        <f>+VLOOKUP(E61,'[1]Est Madre CH 15-04'!$A$1:$C$65536,3,0)</f>
        <v>96</v>
      </c>
      <c r="L61" s="172">
        <f t="shared" si="4"/>
        <v>2.823529411764706E-2</v>
      </c>
      <c r="M61" s="172"/>
      <c r="N61" s="180">
        <v>5.0000000000000001E-3</v>
      </c>
      <c r="O61" s="174">
        <f>+N61*(K61+J61)</f>
        <v>0.48</v>
      </c>
      <c r="P61" s="175">
        <v>3400</v>
      </c>
    </row>
    <row r="62" spans="1:16" s="17" customFormat="1" ht="18.75" x14ac:dyDescent="0.3">
      <c r="A62" s="372"/>
      <c r="B62" s="135"/>
      <c r="C62" s="276"/>
      <c r="D62" s="179"/>
      <c r="E62" s="179"/>
      <c r="F62" s="179"/>
      <c r="G62" s="179"/>
      <c r="H62" s="179"/>
      <c r="I62" s="163" t="s">
        <v>206</v>
      </c>
      <c r="J62" s="172"/>
      <c r="K62" s="172">
        <f>SUM(K58:K61)</f>
        <v>348</v>
      </c>
      <c r="L62" s="172">
        <f>SUM(L58:L61)</f>
        <v>0.10235294117647059</v>
      </c>
      <c r="M62" s="172"/>
      <c r="N62" s="187" t="s">
        <v>204</v>
      </c>
      <c r="O62" s="174" t="s">
        <v>208</v>
      </c>
      <c r="P62" s="188" t="s">
        <v>210</v>
      </c>
    </row>
    <row r="63" spans="1:16" s="17" customFormat="1" ht="19.5" thickBot="1" x14ac:dyDescent="0.35">
      <c r="A63" s="372"/>
      <c r="B63" s="135"/>
      <c r="C63" s="276"/>
      <c r="D63" s="179"/>
      <c r="E63" s="179"/>
      <c r="F63" s="179"/>
      <c r="G63" s="179"/>
      <c r="H63" s="179"/>
      <c r="I63" s="161" t="s">
        <v>202</v>
      </c>
      <c r="J63" s="176"/>
      <c r="K63" s="176"/>
      <c r="L63" s="182">
        <f>L62*3</f>
        <v>0.30705882352941177</v>
      </c>
      <c r="M63" s="182"/>
      <c r="N63" s="189">
        <v>1</v>
      </c>
      <c r="O63" s="177" t="str">
        <f>C59</f>
        <v>EP8</v>
      </c>
      <c r="P63" s="178">
        <v>1</v>
      </c>
    </row>
    <row r="64" spans="1:16" s="17" customFormat="1" ht="19.5" thickBot="1" x14ac:dyDescent="0.35">
      <c r="A64" s="372"/>
      <c r="B64" s="135"/>
      <c r="C64" s="276"/>
      <c r="D64" s="179"/>
      <c r="E64" s="179"/>
      <c r="F64" s="179"/>
      <c r="G64" s="179"/>
      <c r="H64" s="179"/>
      <c r="I64" s="179"/>
      <c r="J64" s="179"/>
      <c r="K64" s="179"/>
      <c r="L64" s="179"/>
      <c r="M64" s="179"/>
      <c r="N64" s="179"/>
      <c r="O64" s="179"/>
      <c r="P64" s="179"/>
    </row>
    <row r="65" spans="1:16" s="17" customFormat="1" ht="18.75" x14ac:dyDescent="0.3">
      <c r="A65" s="372"/>
      <c r="B65" s="135">
        <v>5000</v>
      </c>
      <c r="C65" s="31" t="s">
        <v>50</v>
      </c>
      <c r="D65" s="269"/>
      <c r="E65" s="42">
        <v>609</v>
      </c>
      <c r="F65" s="29" t="s">
        <v>51</v>
      </c>
      <c r="G65" s="43" t="s">
        <v>13</v>
      </c>
      <c r="H65" s="213" t="s">
        <v>14</v>
      </c>
      <c r="I65" s="347" t="s">
        <v>52</v>
      </c>
      <c r="J65" s="168"/>
      <c r="K65" s="168">
        <f>+VLOOKUP(E65,'[1]Est Madre CH 15-04'!$A$1:$C$65536,3,0)</f>
        <v>600</v>
      </c>
      <c r="L65" s="168">
        <f>K65/P65</f>
        <v>0.12</v>
      </c>
      <c r="M65" s="168"/>
      <c r="N65" s="191">
        <v>5.0000000000000001E-3</v>
      </c>
      <c r="O65" s="170">
        <f>+N65*(K65+J65)</f>
        <v>3</v>
      </c>
      <c r="P65" s="171">
        <v>5000</v>
      </c>
    </row>
    <row r="66" spans="1:16" s="17" customFormat="1" ht="18.75" x14ac:dyDescent="0.3">
      <c r="A66" s="372"/>
      <c r="B66" s="135">
        <v>5000</v>
      </c>
      <c r="C66" s="31" t="s">
        <v>50</v>
      </c>
      <c r="D66" s="269"/>
      <c r="E66" s="42">
        <v>789</v>
      </c>
      <c r="F66" s="29" t="s">
        <v>53</v>
      </c>
      <c r="G66" s="43" t="s">
        <v>13</v>
      </c>
      <c r="H66" s="213" t="s">
        <v>14</v>
      </c>
      <c r="I66" s="348"/>
      <c r="J66" s="172"/>
      <c r="K66" s="172">
        <f>+VLOOKUP(E66,'[1]Est Madre CH 15-04'!$A$1:$C$65536,3,0)</f>
        <v>240</v>
      </c>
      <c r="L66" s="172">
        <f t="shared" ref="L66:L68" si="5">K66/P66</f>
        <v>4.8000000000000001E-2</v>
      </c>
      <c r="M66" s="172"/>
      <c r="N66" s="180">
        <v>5.0000000000000001E-3</v>
      </c>
      <c r="O66" s="174">
        <f>+N66*(K66+J66)</f>
        <v>1.2</v>
      </c>
      <c r="P66" s="175">
        <v>5000</v>
      </c>
    </row>
    <row r="67" spans="1:16" s="17" customFormat="1" ht="18.75" x14ac:dyDescent="0.3">
      <c r="A67" s="372"/>
      <c r="B67" s="135">
        <v>5000</v>
      </c>
      <c r="C67" s="31" t="s">
        <v>50</v>
      </c>
      <c r="D67" s="269"/>
      <c r="E67" s="42">
        <v>708</v>
      </c>
      <c r="F67" s="29" t="s">
        <v>54</v>
      </c>
      <c r="G67" s="43" t="s">
        <v>13</v>
      </c>
      <c r="H67" s="213" t="s">
        <v>14</v>
      </c>
      <c r="I67" s="348"/>
      <c r="J67" s="172"/>
      <c r="K67" s="172">
        <f>+VLOOKUP(E67,'[1]Est Madre CH 15-04'!$A$1:$C$65536,3,0)</f>
        <v>72</v>
      </c>
      <c r="L67" s="172">
        <f t="shared" si="5"/>
        <v>1.44E-2</v>
      </c>
      <c r="M67" s="172"/>
      <c r="N67" s="180">
        <v>5.0000000000000001E-3</v>
      </c>
      <c r="O67" s="174">
        <f>+N67*(K67+J67)</f>
        <v>0.36</v>
      </c>
      <c r="P67" s="175">
        <v>5000</v>
      </c>
    </row>
    <row r="68" spans="1:16" s="17" customFormat="1" ht="18.75" x14ac:dyDescent="0.3">
      <c r="A68" s="372"/>
      <c r="B68" s="135">
        <v>5000</v>
      </c>
      <c r="C68" s="31" t="s">
        <v>50</v>
      </c>
      <c r="D68" s="269"/>
      <c r="E68" s="42">
        <v>307</v>
      </c>
      <c r="F68" s="29" t="s">
        <v>55</v>
      </c>
      <c r="G68" s="43" t="s">
        <v>13</v>
      </c>
      <c r="H68" s="213" t="s">
        <v>14</v>
      </c>
      <c r="I68" s="348"/>
      <c r="J68" s="172"/>
      <c r="K68" s="172">
        <f>+VLOOKUP(E68,'[1]Est Madre CH 15-04'!$A$1:$C$65536,3,0)</f>
        <v>480</v>
      </c>
      <c r="L68" s="172">
        <f t="shared" si="5"/>
        <v>9.6000000000000002E-2</v>
      </c>
      <c r="M68" s="172"/>
      <c r="N68" s="180">
        <v>5.0000000000000001E-3</v>
      </c>
      <c r="O68" s="174">
        <f>+N68*(K68+J68)</f>
        <v>2.4</v>
      </c>
      <c r="P68" s="175">
        <v>5000</v>
      </c>
    </row>
    <row r="69" spans="1:16" s="17" customFormat="1" ht="18.75" x14ac:dyDescent="0.25">
      <c r="A69" s="372"/>
      <c r="B69" s="135"/>
      <c r="C69" s="275"/>
      <c r="I69" s="163" t="s">
        <v>206</v>
      </c>
      <c r="J69" s="172"/>
      <c r="K69" s="172">
        <f>SUM(K65:K68)</f>
        <v>1392</v>
      </c>
      <c r="L69" s="172">
        <f>SUM(L65:L68)</f>
        <v>0.27839999999999998</v>
      </c>
      <c r="M69" s="172"/>
      <c r="N69" s="187" t="s">
        <v>204</v>
      </c>
      <c r="O69" s="174" t="s">
        <v>208</v>
      </c>
      <c r="P69" s="188" t="s">
        <v>210</v>
      </c>
    </row>
    <row r="70" spans="1:16" s="17" customFormat="1" ht="19.5" thickBot="1" x14ac:dyDescent="0.35">
      <c r="A70" s="372"/>
      <c r="B70" s="135"/>
      <c r="C70" s="275"/>
      <c r="I70" s="161" t="s">
        <v>202</v>
      </c>
      <c r="J70" s="176"/>
      <c r="K70" s="176"/>
      <c r="L70" s="182">
        <f>L69*3</f>
        <v>0.83519999999999994</v>
      </c>
      <c r="M70" s="182"/>
      <c r="N70" s="189">
        <v>1</v>
      </c>
      <c r="O70" s="177" t="str">
        <f>C66</f>
        <v>HP1</v>
      </c>
      <c r="P70" s="178">
        <v>1</v>
      </c>
    </row>
    <row r="71" spans="1:16" s="17" customFormat="1" ht="19.5" thickBot="1" x14ac:dyDescent="0.35">
      <c r="A71" s="372"/>
      <c r="B71" s="135"/>
      <c r="C71" s="276"/>
      <c r="D71" s="179"/>
      <c r="E71" s="179"/>
      <c r="F71" s="179"/>
      <c r="G71" s="179"/>
      <c r="H71" s="179"/>
      <c r="I71" s="179"/>
      <c r="J71" s="179"/>
      <c r="K71" s="179"/>
      <c r="L71" s="179"/>
      <c r="M71" s="179"/>
      <c r="N71" s="179"/>
      <c r="O71" s="179"/>
      <c r="P71" s="179"/>
    </row>
    <row r="72" spans="1:16" s="17" customFormat="1" ht="19.5" thickBot="1" x14ac:dyDescent="0.35">
      <c r="A72" s="372"/>
      <c r="B72" s="140">
        <v>5000</v>
      </c>
      <c r="C72" s="31" t="s">
        <v>57</v>
      </c>
      <c r="D72" s="267"/>
      <c r="E72" s="44">
        <v>858</v>
      </c>
      <c r="F72" s="20" t="s">
        <v>58</v>
      </c>
      <c r="G72" s="45" t="s">
        <v>13</v>
      </c>
      <c r="H72" s="221" t="s">
        <v>14</v>
      </c>
      <c r="I72" s="190" t="s">
        <v>59</v>
      </c>
      <c r="J72" s="168"/>
      <c r="K72" s="168">
        <f>+VLOOKUP(E72,'[1]Est Madre CH 15-04'!$A$1:$C$65536,3,0)</f>
        <v>60</v>
      </c>
      <c r="L72" s="168">
        <f>K72/P72</f>
        <v>1.2E-2</v>
      </c>
      <c r="M72" s="168"/>
      <c r="N72" s="191">
        <v>5.0000000000000001E-3</v>
      </c>
      <c r="O72" s="170">
        <f>+N72*(K72+J72)</f>
        <v>0.3</v>
      </c>
      <c r="P72" s="171">
        <v>5000</v>
      </c>
    </row>
    <row r="73" spans="1:16" s="17" customFormat="1" ht="23.25" x14ac:dyDescent="0.3">
      <c r="A73" s="41"/>
      <c r="B73" s="60"/>
      <c r="C73" s="276"/>
      <c r="D73" s="179"/>
      <c r="E73" s="179"/>
      <c r="F73" s="179"/>
      <c r="G73" s="179"/>
      <c r="H73" s="179"/>
      <c r="I73" s="163" t="s">
        <v>206</v>
      </c>
      <c r="J73" s="172"/>
      <c r="K73" s="172">
        <f>SUM(K69:K72)</f>
        <v>1452</v>
      </c>
      <c r="L73" s="172">
        <f>SUM(L72)</f>
        <v>1.2E-2</v>
      </c>
      <c r="M73" s="172"/>
      <c r="N73" s="187" t="s">
        <v>204</v>
      </c>
      <c r="O73" s="174" t="s">
        <v>208</v>
      </c>
      <c r="P73" s="188" t="s">
        <v>210</v>
      </c>
    </row>
    <row r="74" spans="1:16" s="17" customFormat="1" ht="24" thickBot="1" x14ac:dyDescent="0.35">
      <c r="A74" s="41"/>
      <c r="B74" s="60"/>
      <c r="C74" s="276"/>
      <c r="D74" s="179"/>
      <c r="E74" s="179"/>
      <c r="F74" s="179"/>
      <c r="G74" s="179"/>
      <c r="H74" s="179"/>
      <c r="I74" s="161" t="s">
        <v>202</v>
      </c>
      <c r="J74" s="176"/>
      <c r="K74" s="176"/>
      <c r="L74" s="220">
        <f>L73*3</f>
        <v>3.6000000000000004E-2</v>
      </c>
      <c r="M74" s="220"/>
      <c r="N74" s="189">
        <v>0</v>
      </c>
      <c r="O74" s="177" t="str">
        <f>C72</f>
        <v>AP9</v>
      </c>
      <c r="P74" s="178">
        <v>1</v>
      </c>
    </row>
    <row r="75" spans="1:16" s="17" customFormat="1" ht="24" thickBot="1" x14ac:dyDescent="0.35">
      <c r="A75" s="41"/>
      <c r="B75" s="60"/>
      <c r="C75" s="276"/>
      <c r="D75" s="179"/>
      <c r="E75" s="179"/>
      <c r="F75" s="179"/>
      <c r="G75" s="179"/>
      <c r="H75" s="179"/>
      <c r="I75" s="179"/>
      <c r="J75" s="179"/>
      <c r="K75" s="179"/>
      <c r="L75" s="179"/>
      <c r="M75" s="179"/>
      <c r="N75" s="179"/>
      <c r="O75" s="179"/>
      <c r="P75" s="179"/>
    </row>
    <row r="76" spans="1:16" s="17" customFormat="1" ht="19.5" thickBot="1" x14ac:dyDescent="0.35">
      <c r="A76" s="366" t="s">
        <v>60</v>
      </c>
      <c r="B76" s="133"/>
      <c r="C76" s="31" t="s">
        <v>61</v>
      </c>
      <c r="D76" s="147"/>
      <c r="E76" s="47">
        <v>312</v>
      </c>
      <c r="F76" s="48" t="s">
        <v>62</v>
      </c>
      <c r="G76" s="24" t="s">
        <v>18</v>
      </c>
      <c r="H76" s="166" t="s">
        <v>14</v>
      </c>
      <c r="I76" s="190" t="s">
        <v>63</v>
      </c>
      <c r="J76" s="168">
        <f>+VLOOKUP(E76,'[1]Est Madre LK 15-04'!$A$1:$C$65536,3,0)</f>
        <v>156</v>
      </c>
      <c r="K76" s="168"/>
      <c r="L76" s="168">
        <f>J76/P76</f>
        <v>0.156</v>
      </c>
      <c r="M76" s="168"/>
      <c r="N76" s="191">
        <v>1.4999999999999999E-2</v>
      </c>
      <c r="O76" s="170">
        <f>+N76*(K76+J76)</f>
        <v>2.34</v>
      </c>
      <c r="P76" s="171">
        <v>1000</v>
      </c>
    </row>
    <row r="77" spans="1:16" s="17" customFormat="1" ht="18.75" x14ac:dyDescent="0.3">
      <c r="A77" s="366"/>
      <c r="B77" s="133"/>
      <c r="C77" s="276"/>
      <c r="D77" s="179"/>
      <c r="E77" s="179"/>
      <c r="F77" s="179"/>
      <c r="G77" s="179"/>
      <c r="H77" s="179"/>
      <c r="I77" s="163" t="s">
        <v>206</v>
      </c>
      <c r="J77" s="172">
        <f>SUM(J76)</f>
        <v>156</v>
      </c>
      <c r="K77" s="172"/>
      <c r="L77" s="172">
        <f>SUM(L76)</f>
        <v>0.156</v>
      </c>
      <c r="M77" s="172"/>
      <c r="N77" s="187" t="s">
        <v>204</v>
      </c>
      <c r="O77" s="174" t="s">
        <v>208</v>
      </c>
      <c r="P77" s="188" t="s">
        <v>210</v>
      </c>
    </row>
    <row r="78" spans="1:16" s="17" customFormat="1" ht="19.5" thickBot="1" x14ac:dyDescent="0.35">
      <c r="A78" s="366"/>
      <c r="B78" s="133"/>
      <c r="C78" s="276"/>
      <c r="D78" s="179"/>
      <c r="E78" s="179"/>
      <c r="F78" s="179"/>
      <c r="G78" s="179"/>
      <c r="H78" s="179"/>
      <c r="I78" s="161" t="s">
        <v>202</v>
      </c>
      <c r="J78" s="176"/>
      <c r="K78" s="176"/>
      <c r="L78" s="220">
        <f>L77*3</f>
        <v>0.46799999999999997</v>
      </c>
      <c r="M78" s="220"/>
      <c r="N78" s="189">
        <v>1</v>
      </c>
      <c r="O78" s="177" t="str">
        <f>C76</f>
        <v>BP1</v>
      </c>
      <c r="P78" s="178">
        <v>1</v>
      </c>
    </row>
    <row r="79" spans="1:16" s="17" customFormat="1" ht="19.5" thickBot="1" x14ac:dyDescent="0.35">
      <c r="A79" s="366"/>
      <c r="B79" s="133"/>
      <c r="C79" s="276"/>
      <c r="D79" s="179"/>
      <c r="E79" s="179"/>
      <c r="F79" s="179"/>
      <c r="G79" s="179"/>
      <c r="H79" s="179"/>
      <c r="I79" s="179"/>
      <c r="J79" s="179"/>
      <c r="K79" s="179"/>
      <c r="L79" s="179"/>
      <c r="M79" s="179"/>
      <c r="N79" s="179"/>
      <c r="O79" s="179"/>
      <c r="P79" s="179"/>
    </row>
    <row r="80" spans="1:16" s="17" customFormat="1" ht="19.5" thickBot="1" x14ac:dyDescent="0.35">
      <c r="A80" s="366"/>
      <c r="B80" s="134"/>
      <c r="C80" s="31" t="s">
        <v>64</v>
      </c>
      <c r="D80" s="148"/>
      <c r="E80" s="49">
        <v>315</v>
      </c>
      <c r="F80" s="50" t="s">
        <v>30</v>
      </c>
      <c r="G80" s="28" t="s">
        <v>18</v>
      </c>
      <c r="H80" s="167" t="s">
        <v>14</v>
      </c>
      <c r="I80" s="363" t="s">
        <v>65</v>
      </c>
      <c r="J80" s="168">
        <f>+VLOOKUP(E80,'[1]Est Madre LK 15-04'!$A$1:$C$65536,3,0)</f>
        <v>1920</v>
      </c>
      <c r="K80" s="168"/>
      <c r="L80" s="168">
        <f>+J80/P80</f>
        <v>1.92</v>
      </c>
      <c r="M80" s="168"/>
      <c r="N80" s="169">
        <v>1.4999999999999999E-2</v>
      </c>
      <c r="O80" s="170">
        <f>+N80*(K80+J80)</f>
        <v>28.799999999999997</v>
      </c>
      <c r="P80" s="171">
        <v>1000</v>
      </c>
    </row>
    <row r="81" spans="1:16" s="17" customFormat="1" ht="19.5" thickBot="1" x14ac:dyDescent="0.35">
      <c r="A81" s="366"/>
      <c r="B81" s="134"/>
      <c r="C81" s="31" t="s">
        <v>64</v>
      </c>
      <c r="D81" s="148"/>
      <c r="E81" s="49">
        <v>355</v>
      </c>
      <c r="F81" s="50" t="s">
        <v>66</v>
      </c>
      <c r="G81" s="28" t="s">
        <v>18</v>
      </c>
      <c r="H81" s="167" t="s">
        <v>14</v>
      </c>
      <c r="I81" s="364"/>
      <c r="J81" s="172">
        <f>+VLOOKUP(E81,'[1]Est Madre LK 15-04'!$A$1:$C$65536,3,0)</f>
        <v>480</v>
      </c>
      <c r="K81" s="172"/>
      <c r="L81" s="172">
        <f>+J81/P81</f>
        <v>0.48</v>
      </c>
      <c r="M81" s="172"/>
      <c r="N81" s="173">
        <v>1.4999999999999999E-2</v>
      </c>
      <c r="O81" s="174">
        <f>+N81*(K81+J81)</f>
        <v>7.1999999999999993</v>
      </c>
      <c r="P81" s="175">
        <v>1000</v>
      </c>
    </row>
    <row r="82" spans="1:16" s="17" customFormat="1" ht="18.75" x14ac:dyDescent="0.3">
      <c r="A82" s="366"/>
      <c r="B82" s="134"/>
      <c r="C82" s="276"/>
      <c r="D82" s="179"/>
      <c r="E82" s="179"/>
      <c r="F82" s="179"/>
      <c r="G82" s="179"/>
      <c r="H82" s="179"/>
      <c r="I82" s="163" t="s">
        <v>206</v>
      </c>
      <c r="J82" s="172">
        <f>SUM(J80:J81)</f>
        <v>2400</v>
      </c>
      <c r="K82" s="172"/>
      <c r="L82" s="172">
        <f>SUM(L80:L81)</f>
        <v>2.4</v>
      </c>
      <c r="M82" s="172"/>
      <c r="N82" s="187" t="s">
        <v>204</v>
      </c>
      <c r="O82" s="174" t="s">
        <v>208</v>
      </c>
      <c r="P82" s="188" t="s">
        <v>210</v>
      </c>
    </row>
    <row r="83" spans="1:16" s="17" customFormat="1" ht="19.5" thickBot="1" x14ac:dyDescent="0.35">
      <c r="A83" s="366"/>
      <c r="B83" s="134"/>
      <c r="C83" s="276"/>
      <c r="D83" s="179"/>
      <c r="E83" s="179"/>
      <c r="F83" s="179"/>
      <c r="G83" s="179"/>
      <c r="H83" s="179"/>
      <c r="I83" s="161" t="s">
        <v>202</v>
      </c>
      <c r="J83" s="176"/>
      <c r="K83" s="176"/>
      <c r="L83" s="183">
        <f>L82*3</f>
        <v>7.1999999999999993</v>
      </c>
      <c r="M83" s="183"/>
      <c r="N83" s="189">
        <v>9</v>
      </c>
      <c r="O83" s="177" t="str">
        <f>C81</f>
        <v>CP8</v>
      </c>
      <c r="P83" s="178">
        <v>13</v>
      </c>
    </row>
    <row r="84" spans="1:16" s="17" customFormat="1" ht="19.5" thickBot="1" x14ac:dyDescent="0.35">
      <c r="A84" s="366"/>
      <c r="B84" s="134"/>
      <c r="C84" s="276"/>
      <c r="D84" s="179"/>
      <c r="E84" s="179"/>
      <c r="F84" s="179"/>
      <c r="G84" s="179"/>
      <c r="H84" s="179"/>
      <c r="I84" s="287"/>
      <c r="J84" s="195"/>
      <c r="K84" s="195"/>
      <c r="L84" s="124"/>
      <c r="M84" s="124"/>
      <c r="N84" s="288"/>
      <c r="O84" s="196"/>
      <c r="P84" s="290"/>
    </row>
    <row r="85" spans="1:16" s="17" customFormat="1" ht="19.5" thickBot="1" x14ac:dyDescent="0.35">
      <c r="A85" s="366"/>
      <c r="B85" s="134"/>
      <c r="C85" s="31" t="s">
        <v>67</v>
      </c>
      <c r="D85" s="148"/>
      <c r="E85" s="49">
        <v>332</v>
      </c>
      <c r="F85" s="50" t="s">
        <v>24</v>
      </c>
      <c r="G85" s="28" t="s">
        <v>18</v>
      </c>
      <c r="H85" s="167" t="s">
        <v>14</v>
      </c>
      <c r="I85" s="363" t="s">
        <v>68</v>
      </c>
      <c r="J85" s="168">
        <f>+VLOOKUP(E85,'[1]Est Madre LK 15-04'!$A$1:$C$65536,3,0)</f>
        <v>168</v>
      </c>
      <c r="K85" s="168"/>
      <c r="L85" s="168">
        <f>+J85/'[1]Relevamiento y OP VACIO'!$R$23</f>
        <v>0.16800000000000001</v>
      </c>
      <c r="M85" s="168"/>
      <c r="N85" s="169">
        <v>1.4999999999999999E-2</v>
      </c>
      <c r="O85" s="170">
        <f t="shared" ref="O85:O99" si="6">+N85*(K85+J85)</f>
        <v>2.52</v>
      </c>
      <c r="P85" s="171">
        <v>1000</v>
      </c>
    </row>
    <row r="86" spans="1:16" s="17" customFormat="1" ht="19.5" thickBot="1" x14ac:dyDescent="0.35">
      <c r="A86" s="366"/>
      <c r="B86" s="134"/>
      <c r="C86" s="31" t="s">
        <v>67</v>
      </c>
      <c r="D86" s="148"/>
      <c r="E86" s="49">
        <v>333</v>
      </c>
      <c r="F86" s="50" t="s">
        <v>69</v>
      </c>
      <c r="G86" s="28" t="s">
        <v>18</v>
      </c>
      <c r="H86" s="167" t="s">
        <v>14</v>
      </c>
      <c r="I86" s="364"/>
      <c r="J86" s="172">
        <f>+VLOOKUP(E86,'[1]Est Madre LK 15-04'!$A$1:$C$65536,3,0)</f>
        <v>288</v>
      </c>
      <c r="K86" s="172"/>
      <c r="L86" s="172">
        <f>+J86/'[1]Relevamiento y OP VACIO'!$R$23</f>
        <v>0.28799999999999998</v>
      </c>
      <c r="M86" s="172"/>
      <c r="N86" s="173">
        <v>1.4999999999999999E-2</v>
      </c>
      <c r="O86" s="174">
        <f t="shared" si="6"/>
        <v>4.32</v>
      </c>
      <c r="P86" s="175">
        <v>1000</v>
      </c>
    </row>
    <row r="87" spans="1:16" s="17" customFormat="1" ht="19.5" thickBot="1" x14ac:dyDescent="0.35">
      <c r="A87" s="366"/>
      <c r="B87" s="134"/>
      <c r="C87" s="31" t="s">
        <v>67</v>
      </c>
      <c r="D87" s="148"/>
      <c r="E87" s="49">
        <v>334</v>
      </c>
      <c r="F87" s="50" t="s">
        <v>70</v>
      </c>
      <c r="G87" s="28" t="s">
        <v>18</v>
      </c>
      <c r="H87" s="167" t="s">
        <v>14</v>
      </c>
      <c r="I87" s="364"/>
      <c r="J87" s="172">
        <f>+VLOOKUP(E87,'[1]Est Madre LK 15-04'!$A$1:$C$65536,3,0)</f>
        <v>144</v>
      </c>
      <c r="K87" s="172"/>
      <c r="L87" s="172">
        <f>+J87/'[1]Relevamiento y OP VACIO'!$R$23</f>
        <v>0.14399999999999999</v>
      </c>
      <c r="M87" s="172"/>
      <c r="N87" s="173">
        <v>1.4999999999999999E-2</v>
      </c>
      <c r="O87" s="174">
        <f t="shared" si="6"/>
        <v>2.16</v>
      </c>
      <c r="P87" s="175">
        <v>1000</v>
      </c>
    </row>
    <row r="88" spans="1:16" s="17" customFormat="1" ht="19.5" thickBot="1" x14ac:dyDescent="0.35">
      <c r="A88" s="366"/>
      <c r="B88" s="134"/>
      <c r="C88" s="31" t="s">
        <v>67</v>
      </c>
      <c r="D88" s="148"/>
      <c r="E88" s="49">
        <v>335</v>
      </c>
      <c r="F88" s="50" t="s">
        <v>71</v>
      </c>
      <c r="G88" s="28" t="s">
        <v>18</v>
      </c>
      <c r="H88" s="167" t="s">
        <v>14</v>
      </c>
      <c r="I88" s="364"/>
      <c r="J88" s="172">
        <f>+VLOOKUP(E88,'[1]Est Madre LK 15-04'!$A$1:$C$65536,3,0)</f>
        <v>120</v>
      </c>
      <c r="K88" s="172"/>
      <c r="L88" s="172">
        <f>+J88/'[1]Relevamiento y OP VACIO'!$R$23</f>
        <v>0.12</v>
      </c>
      <c r="M88" s="172"/>
      <c r="N88" s="173">
        <v>1.4999999999999999E-2</v>
      </c>
      <c r="O88" s="174">
        <f t="shared" si="6"/>
        <v>1.7999999999999998</v>
      </c>
      <c r="P88" s="175">
        <v>1000</v>
      </c>
    </row>
    <row r="89" spans="1:16" s="17" customFormat="1" ht="19.5" thickBot="1" x14ac:dyDescent="0.35">
      <c r="A89" s="366"/>
      <c r="B89" s="135"/>
      <c r="C89" s="31" t="s">
        <v>67</v>
      </c>
      <c r="D89" s="148"/>
      <c r="E89" s="49">
        <v>336</v>
      </c>
      <c r="F89" s="50" t="s">
        <v>72</v>
      </c>
      <c r="G89" s="28" t="s">
        <v>18</v>
      </c>
      <c r="H89" s="167" t="s">
        <v>14</v>
      </c>
      <c r="I89" s="364"/>
      <c r="J89" s="172">
        <f>+VLOOKUP(E89,'[1]Est Madre LK 15-04'!$A$1:$C$65536,3,0)</f>
        <v>180</v>
      </c>
      <c r="K89" s="172"/>
      <c r="L89" s="172">
        <f>+J89/'[1]Relevamiento y OP VACIO'!$R$23</f>
        <v>0.18</v>
      </c>
      <c r="M89" s="172"/>
      <c r="N89" s="173">
        <v>1.4999999999999999E-2</v>
      </c>
      <c r="O89" s="174">
        <f t="shared" si="6"/>
        <v>2.6999999999999997</v>
      </c>
      <c r="P89" s="175">
        <v>1000</v>
      </c>
    </row>
    <row r="90" spans="1:16" s="17" customFormat="1" ht="19.5" thickBot="1" x14ac:dyDescent="0.35">
      <c r="A90" s="366"/>
      <c r="B90" s="135"/>
      <c r="C90" s="31" t="s">
        <v>67</v>
      </c>
      <c r="D90" s="148"/>
      <c r="E90" s="49">
        <v>337</v>
      </c>
      <c r="F90" s="50" t="s">
        <v>73</v>
      </c>
      <c r="G90" s="28" t="s">
        <v>18</v>
      </c>
      <c r="H90" s="167" t="s">
        <v>14</v>
      </c>
      <c r="I90" s="364"/>
      <c r="J90" s="172">
        <f>+VLOOKUP(E90,'[1]Est Madre LK 15-04'!$A$1:$C$65536,3,0)</f>
        <v>48</v>
      </c>
      <c r="K90" s="172"/>
      <c r="L90" s="172">
        <f>+J90/'[1]Relevamiento y OP VACIO'!$R$23</f>
        <v>4.8000000000000001E-2</v>
      </c>
      <c r="M90" s="172"/>
      <c r="N90" s="173">
        <v>1.4999999999999999E-2</v>
      </c>
      <c r="O90" s="174">
        <f t="shared" si="6"/>
        <v>0.72</v>
      </c>
      <c r="P90" s="175">
        <v>1000</v>
      </c>
    </row>
    <row r="91" spans="1:16" s="17" customFormat="1" ht="19.5" thickBot="1" x14ac:dyDescent="0.35">
      <c r="A91" s="366"/>
      <c r="B91" s="135"/>
      <c r="C91" s="31" t="s">
        <v>67</v>
      </c>
      <c r="D91" s="148"/>
      <c r="E91" s="49">
        <v>338</v>
      </c>
      <c r="F91" s="50" t="s">
        <v>74</v>
      </c>
      <c r="G91" s="28" t="s">
        <v>18</v>
      </c>
      <c r="H91" s="167" t="s">
        <v>14</v>
      </c>
      <c r="I91" s="364"/>
      <c r="J91" s="172">
        <f>+VLOOKUP(E91,'[1]Est Madre LK 15-04'!$A$1:$C$65536,3,0)</f>
        <v>96</v>
      </c>
      <c r="K91" s="172"/>
      <c r="L91" s="172">
        <f>+J91/'[1]Relevamiento y OP VACIO'!$R$23</f>
        <v>9.6000000000000002E-2</v>
      </c>
      <c r="M91" s="172"/>
      <c r="N91" s="173">
        <v>1.4999999999999999E-2</v>
      </c>
      <c r="O91" s="174">
        <f t="shared" si="6"/>
        <v>1.44</v>
      </c>
      <c r="P91" s="175">
        <v>1000</v>
      </c>
    </row>
    <row r="92" spans="1:16" s="17" customFormat="1" ht="19.5" thickBot="1" x14ac:dyDescent="0.35">
      <c r="A92" s="366"/>
      <c r="B92" s="135"/>
      <c r="C92" s="31" t="s">
        <v>67</v>
      </c>
      <c r="D92" s="148"/>
      <c r="E92" s="49">
        <v>535</v>
      </c>
      <c r="F92" s="50" t="s">
        <v>75</v>
      </c>
      <c r="G92" s="28" t="s">
        <v>18</v>
      </c>
      <c r="H92" s="167" t="s">
        <v>14</v>
      </c>
      <c r="I92" s="364"/>
      <c r="J92" s="172">
        <f>+VLOOKUP(E92,'[1]Est Madre LK 15-04'!$A$1:$C$65536,3,0)</f>
        <v>996</v>
      </c>
      <c r="K92" s="172"/>
      <c r="L92" s="172">
        <f>+J92/'[1]Relevamiento y OP VACIO'!$R$23</f>
        <v>0.996</v>
      </c>
      <c r="M92" s="172"/>
      <c r="N92" s="173">
        <v>1.4999999999999999E-2</v>
      </c>
      <c r="O92" s="174">
        <f t="shared" si="6"/>
        <v>14.94</v>
      </c>
      <c r="P92" s="175">
        <v>1000</v>
      </c>
    </row>
    <row r="93" spans="1:16" s="17" customFormat="1" ht="19.5" thickBot="1" x14ac:dyDescent="0.35">
      <c r="A93" s="366"/>
      <c r="B93" s="135"/>
      <c r="C93" s="31" t="s">
        <v>67</v>
      </c>
      <c r="D93" s="148"/>
      <c r="E93" s="49">
        <v>542</v>
      </c>
      <c r="F93" s="50" t="s">
        <v>76</v>
      </c>
      <c r="G93" s="28" t="s">
        <v>18</v>
      </c>
      <c r="H93" s="167" t="s">
        <v>14</v>
      </c>
      <c r="I93" s="364"/>
      <c r="J93" s="172">
        <f>+VLOOKUP(E93,'[1]Est Madre LK 15-04'!$A$1:$C$65536,3,0)</f>
        <v>396</v>
      </c>
      <c r="K93" s="172"/>
      <c r="L93" s="172">
        <f>+J93/'[1]Relevamiento y OP VACIO'!$R$23</f>
        <v>0.39600000000000002</v>
      </c>
      <c r="M93" s="172"/>
      <c r="N93" s="173">
        <v>1.4999999999999999E-2</v>
      </c>
      <c r="O93" s="174">
        <f t="shared" si="6"/>
        <v>5.9399999999999995</v>
      </c>
      <c r="P93" s="175">
        <v>1000</v>
      </c>
    </row>
    <row r="94" spans="1:16" s="17" customFormat="1" ht="19.5" thickBot="1" x14ac:dyDescent="0.35">
      <c r="A94" s="366"/>
      <c r="B94" s="135"/>
      <c r="C94" s="31" t="s">
        <v>67</v>
      </c>
      <c r="D94" s="148"/>
      <c r="E94" s="49">
        <v>543</v>
      </c>
      <c r="F94" s="50" t="s">
        <v>47</v>
      </c>
      <c r="G94" s="28" t="s">
        <v>18</v>
      </c>
      <c r="H94" s="167" t="s">
        <v>14</v>
      </c>
      <c r="I94" s="364"/>
      <c r="J94" s="172">
        <f>+VLOOKUP(E94,'[1]Est Madre LK 15-04'!$A$1:$C$65536,3,0)</f>
        <v>300</v>
      </c>
      <c r="K94" s="172"/>
      <c r="L94" s="172">
        <f>+J94/'[1]Relevamiento y OP VACIO'!$R$23</f>
        <v>0.3</v>
      </c>
      <c r="M94" s="172"/>
      <c r="N94" s="173">
        <v>1.4999999999999999E-2</v>
      </c>
      <c r="O94" s="174">
        <f t="shared" si="6"/>
        <v>4.5</v>
      </c>
      <c r="P94" s="175">
        <v>1000</v>
      </c>
    </row>
    <row r="95" spans="1:16" s="17" customFormat="1" ht="19.5" thickBot="1" x14ac:dyDescent="0.35">
      <c r="A95" s="366"/>
      <c r="B95" s="135"/>
      <c r="C95" s="31" t="s">
        <v>67</v>
      </c>
      <c r="D95" s="148"/>
      <c r="E95" s="49">
        <v>559</v>
      </c>
      <c r="F95" s="50" t="s">
        <v>48</v>
      </c>
      <c r="G95" s="28" t="s">
        <v>18</v>
      </c>
      <c r="H95" s="167" t="s">
        <v>14</v>
      </c>
      <c r="I95" s="364"/>
      <c r="J95" s="172">
        <f>+VLOOKUP(E95,'[1]Est Madre LK 15-04'!$A$1:$C$65536,3,0)</f>
        <v>720</v>
      </c>
      <c r="K95" s="172"/>
      <c r="L95" s="172">
        <f>+J95/'[1]Relevamiento y OP VACIO'!$R$23</f>
        <v>0.72</v>
      </c>
      <c r="M95" s="172"/>
      <c r="N95" s="173">
        <v>1.4999999999999999E-2</v>
      </c>
      <c r="O95" s="174">
        <f t="shared" si="6"/>
        <v>10.799999999999999</v>
      </c>
      <c r="P95" s="175">
        <v>1000</v>
      </c>
    </row>
    <row r="96" spans="1:16" s="17" customFormat="1" ht="19.5" thickBot="1" x14ac:dyDescent="0.35">
      <c r="A96" s="366"/>
      <c r="B96" s="135"/>
      <c r="C96" s="31" t="s">
        <v>67</v>
      </c>
      <c r="D96" s="148"/>
      <c r="E96" s="49">
        <v>570</v>
      </c>
      <c r="F96" s="50" t="s">
        <v>58</v>
      </c>
      <c r="G96" s="28" t="s">
        <v>18</v>
      </c>
      <c r="H96" s="167" t="s">
        <v>14</v>
      </c>
      <c r="I96" s="364"/>
      <c r="J96" s="172">
        <f>+VLOOKUP(E96,'[1]Est Madre LK 15-04'!$A$1:$C$65536,3,0)</f>
        <v>296</v>
      </c>
      <c r="K96" s="172"/>
      <c r="L96" s="172">
        <f>+J96/'[1]Relevamiento y OP VACIO'!$R$23</f>
        <v>0.29599999999999999</v>
      </c>
      <c r="M96" s="172"/>
      <c r="N96" s="173">
        <v>1.4999999999999999E-2</v>
      </c>
      <c r="O96" s="174">
        <f t="shared" si="6"/>
        <v>4.4399999999999995</v>
      </c>
      <c r="P96" s="175">
        <v>1000</v>
      </c>
    </row>
    <row r="97" spans="1:16" s="17" customFormat="1" ht="19.5" thickBot="1" x14ac:dyDescent="0.35">
      <c r="A97" s="366"/>
      <c r="B97" s="135"/>
      <c r="C97" s="31" t="s">
        <v>67</v>
      </c>
      <c r="D97" s="148"/>
      <c r="E97" s="49">
        <v>587</v>
      </c>
      <c r="F97" s="50" t="s">
        <v>77</v>
      </c>
      <c r="G97" s="28" t="s">
        <v>18</v>
      </c>
      <c r="H97" s="167" t="s">
        <v>14</v>
      </c>
      <c r="I97" s="364"/>
      <c r="J97" s="172">
        <f>+VLOOKUP(E97,'[1]Est Madre LK 15-04'!$A$1:$C$65536,3,0)</f>
        <v>2760</v>
      </c>
      <c r="K97" s="172"/>
      <c r="L97" s="172">
        <f>+J97/'[1]Relevamiento y OP VACIO'!$R$23</f>
        <v>2.76</v>
      </c>
      <c r="M97" s="172"/>
      <c r="N97" s="173">
        <v>1.4999999999999999E-2</v>
      </c>
      <c r="O97" s="174">
        <f t="shared" si="6"/>
        <v>41.4</v>
      </c>
      <c r="P97" s="175">
        <v>1000</v>
      </c>
    </row>
    <row r="98" spans="1:16" s="17" customFormat="1" ht="19.5" thickBot="1" x14ac:dyDescent="0.35">
      <c r="A98" s="366"/>
      <c r="B98" s="135"/>
      <c r="C98" s="31" t="s">
        <v>67</v>
      </c>
      <c r="D98" s="148"/>
      <c r="E98" s="49">
        <v>395</v>
      </c>
      <c r="F98" s="50" t="s">
        <v>56</v>
      </c>
      <c r="G98" s="28" t="s">
        <v>18</v>
      </c>
      <c r="H98" s="167" t="s">
        <v>14</v>
      </c>
      <c r="I98" s="364"/>
      <c r="J98" s="172">
        <f>+VLOOKUP(E98,'[1]Est Madre LK 15-04'!$A$1:$C$65536,3,0)</f>
        <v>336</v>
      </c>
      <c r="K98" s="172"/>
      <c r="L98" s="172">
        <f>+J98/'[1]Relevamiento y OP VACIO'!$R$23</f>
        <v>0.33600000000000002</v>
      </c>
      <c r="M98" s="172"/>
      <c r="N98" s="173">
        <v>1.4999999999999999E-2</v>
      </c>
      <c r="O98" s="174">
        <f t="shared" si="6"/>
        <v>5.04</v>
      </c>
      <c r="P98" s="175">
        <v>1000</v>
      </c>
    </row>
    <row r="99" spans="1:16" s="17" customFormat="1" ht="19.5" thickBot="1" x14ac:dyDescent="0.35">
      <c r="A99" s="366"/>
      <c r="B99" s="136"/>
      <c r="C99" s="31" t="s">
        <v>67</v>
      </c>
      <c r="D99" s="149"/>
      <c r="E99" s="51">
        <v>396</v>
      </c>
      <c r="F99" s="63" t="s">
        <v>78</v>
      </c>
      <c r="G99" s="34" t="s">
        <v>18</v>
      </c>
      <c r="H99" s="198" t="s">
        <v>14</v>
      </c>
      <c r="I99" s="364"/>
      <c r="J99" s="172">
        <f>+VLOOKUP(E99,'[1]Est Madre LK 15-04'!$A$1:$C$65536,3,0)</f>
        <v>192</v>
      </c>
      <c r="K99" s="172"/>
      <c r="L99" s="172">
        <f>+J99/'[1]Relevamiento y OP VACIO'!$R$23</f>
        <v>0.192</v>
      </c>
      <c r="M99" s="172"/>
      <c r="N99" s="173">
        <v>1.4999999999999999E-2</v>
      </c>
      <c r="O99" s="174">
        <f t="shared" si="6"/>
        <v>2.88</v>
      </c>
      <c r="P99" s="175">
        <v>1000</v>
      </c>
    </row>
    <row r="100" spans="1:16" s="17" customFormat="1" ht="19.5" thickBot="1" x14ac:dyDescent="0.3">
      <c r="A100" s="366"/>
      <c r="B100" s="116"/>
      <c r="C100" s="277"/>
      <c r="D100" s="117"/>
      <c r="E100" s="117"/>
      <c r="F100" s="117"/>
      <c r="G100" s="117"/>
      <c r="H100" s="117"/>
      <c r="I100" s="223" t="s">
        <v>203</v>
      </c>
      <c r="J100" s="222">
        <f>+SUM(J85:J99)</f>
        <v>7040</v>
      </c>
      <c r="K100" s="172"/>
      <c r="L100" s="199">
        <f>+SUM(L85:L99)</f>
        <v>7.0399999999999991</v>
      </c>
      <c r="M100" s="199"/>
      <c r="N100" s="187" t="s">
        <v>204</v>
      </c>
      <c r="O100" s="174" t="s">
        <v>208</v>
      </c>
      <c r="P100" s="188" t="s">
        <v>210</v>
      </c>
    </row>
    <row r="101" spans="1:16" s="17" customFormat="1" ht="19.5" thickBot="1" x14ac:dyDescent="0.3">
      <c r="A101" s="366"/>
      <c r="B101" s="122"/>
      <c r="C101" s="277"/>
      <c r="D101" s="123"/>
      <c r="E101" s="123"/>
      <c r="F101" s="123"/>
      <c r="G101" s="123"/>
      <c r="H101" s="123"/>
      <c r="I101" s="224" t="s">
        <v>202</v>
      </c>
      <c r="J101" s="225"/>
      <c r="K101" s="226"/>
      <c r="L101" s="227">
        <f>L100*3</f>
        <v>21.119999999999997</v>
      </c>
      <c r="M101" s="227"/>
      <c r="N101" s="18">
        <v>23</v>
      </c>
      <c r="O101" s="18" t="str">
        <f>C85</f>
        <v>CP6</v>
      </c>
      <c r="P101" s="228">
        <v>33</v>
      </c>
    </row>
    <row r="102" spans="1:16" s="17" customFormat="1" ht="11.25" customHeight="1" thickBot="1" x14ac:dyDescent="0.3">
      <c r="A102" s="366"/>
      <c r="B102" s="122"/>
      <c r="C102" s="277"/>
      <c r="D102" s="123"/>
      <c r="E102" s="123"/>
      <c r="F102" s="123"/>
      <c r="G102" s="123"/>
      <c r="H102" s="123"/>
      <c r="I102" s="291"/>
      <c r="J102" s="193"/>
      <c r="K102" s="292"/>
      <c r="L102" s="293"/>
      <c r="M102" s="293"/>
      <c r="N102" s="152"/>
      <c r="O102" s="152"/>
      <c r="P102" s="193"/>
    </row>
    <row r="103" spans="1:16" s="17" customFormat="1" ht="19.5" thickBot="1" x14ac:dyDescent="0.35">
      <c r="A103" s="366"/>
      <c r="B103" s="137"/>
      <c r="C103" s="31" t="s">
        <v>79</v>
      </c>
      <c r="D103" s="147"/>
      <c r="E103" s="125">
        <v>515</v>
      </c>
      <c r="F103" s="128" t="s">
        <v>80</v>
      </c>
      <c r="G103" s="37" t="s">
        <v>18</v>
      </c>
      <c r="H103" s="232" t="s">
        <v>14</v>
      </c>
      <c r="I103" s="190" t="s">
        <v>81</v>
      </c>
      <c r="J103" s="168">
        <f>+VLOOKUP(E103,'[1]Est Madre LK 15-04'!$A$1:$C$65536,3,0)</f>
        <v>144</v>
      </c>
      <c r="K103" s="168"/>
      <c r="L103" s="168">
        <f>J103/P103</f>
        <v>0.14399999999999999</v>
      </c>
      <c r="M103" s="168"/>
      <c r="N103" s="191">
        <v>1.4999999999999999E-2</v>
      </c>
      <c r="O103" s="170">
        <f>+N103*(K103+J103)</f>
        <v>2.16</v>
      </c>
      <c r="P103" s="233">
        <v>1000</v>
      </c>
    </row>
    <row r="104" spans="1:16" s="17" customFormat="1" ht="19.5" thickBot="1" x14ac:dyDescent="0.35">
      <c r="A104" s="366"/>
      <c r="B104" s="134"/>
      <c r="C104" s="31" t="s">
        <v>79</v>
      </c>
      <c r="D104" s="148"/>
      <c r="E104" s="126">
        <v>546</v>
      </c>
      <c r="F104" s="128" t="s">
        <v>82</v>
      </c>
      <c r="G104" s="21" t="s">
        <v>18</v>
      </c>
      <c r="H104" s="158" t="s">
        <v>14</v>
      </c>
      <c r="I104" s="234" t="s">
        <v>83</v>
      </c>
      <c r="J104" s="172">
        <f>+VLOOKUP(E104,'[1]Est Madre LK 15-04'!$A$1:$C$65536,3,0)</f>
        <v>4800</v>
      </c>
      <c r="K104" s="172"/>
      <c r="L104" s="172">
        <f>J104/P104</f>
        <v>4.8</v>
      </c>
      <c r="M104" s="172"/>
      <c r="N104" s="180">
        <v>1.4999999999999999E-2</v>
      </c>
      <c r="O104" s="174">
        <f>+N104*(K104+J104)</f>
        <v>72</v>
      </c>
      <c r="P104" s="235">
        <v>1000</v>
      </c>
    </row>
    <row r="105" spans="1:16" s="17" customFormat="1" ht="19.5" thickBot="1" x14ac:dyDescent="0.3">
      <c r="A105" s="366"/>
      <c r="B105" s="138"/>
      <c r="C105" s="31"/>
      <c r="D105" s="149"/>
      <c r="E105" s="51"/>
      <c r="F105" s="48"/>
      <c r="G105" s="127"/>
      <c r="H105" s="164"/>
      <c r="I105" s="236" t="s">
        <v>206</v>
      </c>
      <c r="J105" s="222">
        <f>+SUM(J103:J104)</f>
        <v>4944</v>
      </c>
      <c r="K105" s="172"/>
      <c r="L105" s="199">
        <f>SUM(L103:L104)</f>
        <v>4.944</v>
      </c>
      <c r="M105" s="199"/>
      <c r="N105" s="229" t="s">
        <v>204</v>
      </c>
      <c r="O105" s="174" t="s">
        <v>208</v>
      </c>
      <c r="P105" s="230" t="s">
        <v>210</v>
      </c>
    </row>
    <row r="106" spans="1:16" s="17" customFormat="1" ht="19.5" thickBot="1" x14ac:dyDescent="0.3">
      <c r="A106" s="366"/>
      <c r="B106" s="138"/>
      <c r="C106" s="31"/>
      <c r="D106" s="149"/>
      <c r="E106" s="51"/>
      <c r="F106" s="48"/>
      <c r="G106" s="127"/>
      <c r="H106" s="164"/>
      <c r="I106" s="224" t="s">
        <v>202</v>
      </c>
      <c r="J106" s="192"/>
      <c r="K106" s="176"/>
      <c r="L106" s="183">
        <f>L105*3</f>
        <v>14.832000000000001</v>
      </c>
      <c r="M106" s="183"/>
      <c r="N106" s="18">
        <v>23</v>
      </c>
      <c r="O106" s="18" t="str">
        <f>C103</f>
        <v>CP7</v>
      </c>
      <c r="P106" s="231">
        <v>15</v>
      </c>
    </row>
    <row r="107" spans="1:16" s="17" customFormat="1" ht="10.5" customHeight="1" thickBot="1" x14ac:dyDescent="0.35">
      <c r="A107" s="366"/>
      <c r="B107" s="138"/>
      <c r="C107" s="276"/>
      <c r="D107" s="179"/>
      <c r="E107" s="179"/>
      <c r="F107" s="179"/>
      <c r="G107" s="179"/>
      <c r="H107" s="179"/>
      <c r="I107" s="179"/>
      <c r="J107" s="179"/>
      <c r="K107" s="179"/>
      <c r="L107" s="179"/>
      <c r="M107" s="179"/>
      <c r="N107" s="179"/>
      <c r="O107" s="179"/>
      <c r="P107" s="179"/>
    </row>
    <row r="108" spans="1:16" s="17" customFormat="1" ht="19.5" thickBot="1" x14ac:dyDescent="0.35">
      <c r="A108" s="367"/>
      <c r="B108" s="138"/>
      <c r="C108" s="31" t="s">
        <v>84</v>
      </c>
      <c r="D108" s="149"/>
      <c r="E108" s="51">
        <v>548</v>
      </c>
      <c r="F108" s="50" t="s">
        <v>27</v>
      </c>
      <c r="G108" s="34" t="s">
        <v>18</v>
      </c>
      <c r="H108" s="198" t="s">
        <v>14</v>
      </c>
      <c r="I108" s="165" t="s">
        <v>85</v>
      </c>
      <c r="J108" s="168">
        <f>+VLOOKUP(E108,'[1]Est Madre LK 15-04'!$A$1:$C$65536,3,0)</f>
        <v>360</v>
      </c>
      <c r="K108" s="168"/>
      <c r="L108" s="168">
        <f>J108/P108</f>
        <v>0.36</v>
      </c>
      <c r="M108" s="168"/>
      <c r="N108" s="169">
        <v>1.4999999999999999E-2</v>
      </c>
      <c r="O108" s="170">
        <f>+N108*(K108+J108)</f>
        <v>5.3999999999999995</v>
      </c>
      <c r="P108" s="171">
        <v>1000</v>
      </c>
    </row>
    <row r="109" spans="1:16" s="17" customFormat="1" ht="26.25" x14ac:dyDescent="0.3">
      <c r="A109" s="46"/>
      <c r="B109" s="254"/>
      <c r="C109" s="276"/>
      <c r="D109" s="179"/>
      <c r="E109" s="179"/>
      <c r="F109" s="179"/>
      <c r="G109" s="179"/>
      <c r="H109" s="179"/>
      <c r="I109" s="163" t="s">
        <v>206</v>
      </c>
      <c r="J109" s="172">
        <f>SUM(J107:J108)</f>
        <v>360</v>
      </c>
      <c r="K109" s="172"/>
      <c r="L109" s="172">
        <f>SUM(L107:L108)</f>
        <v>0.36</v>
      </c>
      <c r="M109" s="172"/>
      <c r="N109" s="187" t="s">
        <v>204</v>
      </c>
      <c r="O109" s="174" t="s">
        <v>208</v>
      </c>
      <c r="P109" s="188" t="s">
        <v>210</v>
      </c>
    </row>
    <row r="110" spans="1:16" s="17" customFormat="1" ht="27" thickBot="1" x14ac:dyDescent="0.35">
      <c r="A110" s="46"/>
      <c r="B110" s="254"/>
      <c r="C110" s="276"/>
      <c r="D110" s="179"/>
      <c r="E110" s="179"/>
      <c r="F110" s="179"/>
      <c r="G110" s="179"/>
      <c r="H110" s="179"/>
      <c r="I110" s="161" t="s">
        <v>202</v>
      </c>
      <c r="J110" s="176"/>
      <c r="K110" s="176"/>
      <c r="L110" s="183">
        <f>L109*3</f>
        <v>1.08</v>
      </c>
      <c r="M110" s="183"/>
      <c r="N110" s="189">
        <v>1</v>
      </c>
      <c r="O110" s="177" t="str">
        <f>C108</f>
        <v>CP4</v>
      </c>
      <c r="P110" s="178">
        <v>1</v>
      </c>
    </row>
    <row r="111" spans="1:16" s="17" customFormat="1" ht="10.5" customHeight="1" thickBot="1" x14ac:dyDescent="0.35">
      <c r="A111" s="120"/>
      <c r="B111" s="254"/>
      <c r="C111" s="276"/>
      <c r="D111" s="179"/>
      <c r="E111" s="179"/>
      <c r="F111" s="179"/>
      <c r="G111" s="179"/>
      <c r="H111" s="179"/>
      <c r="I111" s="287"/>
      <c r="J111" s="195"/>
      <c r="K111" s="195"/>
      <c r="L111" s="124"/>
      <c r="M111" s="124"/>
      <c r="N111" s="288"/>
      <c r="O111" s="196"/>
      <c r="P111" s="290"/>
    </row>
    <row r="112" spans="1:16" s="17" customFormat="1" ht="19.5" thickBot="1" x14ac:dyDescent="0.35">
      <c r="A112" s="357" t="s">
        <v>86</v>
      </c>
      <c r="B112" s="139">
        <v>1000</v>
      </c>
      <c r="C112" s="31" t="s">
        <v>87</v>
      </c>
      <c r="D112" s="150"/>
      <c r="E112" s="52">
        <v>53</v>
      </c>
      <c r="F112" s="50" t="s">
        <v>88</v>
      </c>
      <c r="G112" s="16" t="s">
        <v>13</v>
      </c>
      <c r="H112" s="157" t="s">
        <v>14</v>
      </c>
      <c r="I112" s="295" t="s">
        <v>89</v>
      </c>
      <c r="J112" s="168"/>
      <c r="K112" s="168">
        <f>+VLOOKUP(E112,'[1]Est Madre CH 15-04'!$A$1:$C$65536,3,0)</f>
        <v>84</v>
      </c>
      <c r="L112" s="168">
        <f>K112/P112</f>
        <v>8.4000000000000005E-2</v>
      </c>
      <c r="M112" s="168"/>
      <c r="N112" s="191">
        <v>2.3E-2</v>
      </c>
      <c r="O112" s="170">
        <f t="shared" ref="O112:O117" si="7">+N112*(K112+J112)</f>
        <v>1.9319999999999999</v>
      </c>
      <c r="P112" s="171">
        <v>1000</v>
      </c>
    </row>
    <row r="113" spans="1:16" s="17" customFormat="1" ht="19.5" thickBot="1" x14ac:dyDescent="0.35">
      <c r="A113" s="358"/>
      <c r="B113" s="135">
        <v>1000</v>
      </c>
      <c r="C113" s="31" t="s">
        <v>87</v>
      </c>
      <c r="D113" s="148"/>
      <c r="E113" s="54">
        <v>54</v>
      </c>
      <c r="F113" s="50" t="s">
        <v>90</v>
      </c>
      <c r="G113" s="43" t="s">
        <v>13</v>
      </c>
      <c r="H113" s="213" t="s">
        <v>14</v>
      </c>
      <c r="I113" s="295" t="s">
        <v>89</v>
      </c>
      <c r="J113" s="172"/>
      <c r="K113" s="172">
        <f>+VLOOKUP(E113,'[1]Est Madre CH 15-04'!$A$1:$C$65536,3,0)</f>
        <v>60</v>
      </c>
      <c r="L113" s="172">
        <f t="shared" ref="L113:L114" si="8">K113/P113</f>
        <v>0.06</v>
      </c>
      <c r="M113" s="172"/>
      <c r="N113" s="180">
        <v>2.3E-2</v>
      </c>
      <c r="O113" s="174">
        <f t="shared" si="7"/>
        <v>1.38</v>
      </c>
      <c r="P113" s="175">
        <v>1000</v>
      </c>
    </row>
    <row r="114" spans="1:16" s="17" customFormat="1" ht="19.5" thickBot="1" x14ac:dyDescent="0.35">
      <c r="A114" s="358"/>
      <c r="B114" s="135">
        <v>1000</v>
      </c>
      <c r="C114" s="31" t="s">
        <v>87</v>
      </c>
      <c r="D114" s="148"/>
      <c r="E114" s="54">
        <v>55</v>
      </c>
      <c r="F114" s="50" t="s">
        <v>91</v>
      </c>
      <c r="G114" s="43" t="s">
        <v>13</v>
      </c>
      <c r="H114" s="213" t="s">
        <v>14</v>
      </c>
      <c r="I114" s="295" t="s">
        <v>89</v>
      </c>
      <c r="J114" s="172"/>
      <c r="K114" s="172">
        <f>+VLOOKUP(E114,'[1]Est Madre CH 15-04'!$A$1:$C$65536,3,0)</f>
        <v>144</v>
      </c>
      <c r="L114" s="172">
        <f t="shared" si="8"/>
        <v>0.14399999999999999</v>
      </c>
      <c r="M114" s="172"/>
      <c r="N114" s="180">
        <v>2.3E-2</v>
      </c>
      <c r="O114" s="174">
        <f t="shared" si="7"/>
        <v>3.3119999999999998</v>
      </c>
      <c r="P114" s="175">
        <v>1000</v>
      </c>
    </row>
    <row r="115" spans="1:16" s="17" customFormat="1" ht="15.75" customHeight="1" thickBot="1" x14ac:dyDescent="0.35">
      <c r="A115" s="358"/>
      <c r="B115" s="135">
        <v>1000</v>
      </c>
      <c r="C115" s="31" t="s">
        <v>92</v>
      </c>
      <c r="D115" s="148"/>
      <c r="E115" s="49">
        <v>594</v>
      </c>
      <c r="F115" s="50" t="s">
        <v>93</v>
      </c>
      <c r="G115" s="28" t="s">
        <v>18</v>
      </c>
      <c r="H115" s="167" t="s">
        <v>14</v>
      </c>
      <c r="I115" s="294" t="s">
        <v>89</v>
      </c>
      <c r="J115" s="172">
        <f>+VLOOKUP(E115,'[1]Est Madre LK 15-04'!$A$1:$C$65536,3,0)</f>
        <v>300</v>
      </c>
      <c r="K115" s="172"/>
      <c r="L115" s="172">
        <f>J115/P115</f>
        <v>0.3</v>
      </c>
      <c r="M115" s="172"/>
      <c r="N115" s="180">
        <v>2.3E-2</v>
      </c>
      <c r="O115" s="174">
        <f t="shared" si="7"/>
        <v>6.8999999999999995</v>
      </c>
      <c r="P115" s="175">
        <v>1000</v>
      </c>
    </row>
    <row r="116" spans="1:16" s="17" customFormat="1" ht="15" customHeight="1" thickBot="1" x14ac:dyDescent="0.35">
      <c r="A116" s="358"/>
      <c r="B116" s="135">
        <v>1000</v>
      </c>
      <c r="C116" s="31" t="s">
        <v>92</v>
      </c>
      <c r="D116" s="148"/>
      <c r="E116" s="49">
        <v>595</v>
      </c>
      <c r="F116" s="50" t="s">
        <v>94</v>
      </c>
      <c r="G116" s="28" t="s">
        <v>18</v>
      </c>
      <c r="H116" s="167" t="s">
        <v>14</v>
      </c>
      <c r="I116" s="294" t="s">
        <v>89</v>
      </c>
      <c r="J116" s="172">
        <f>+VLOOKUP(E116,'[1]Est Madre LK 15-04'!$A$1:$C$65536,3,0)</f>
        <v>192</v>
      </c>
      <c r="K116" s="172"/>
      <c r="L116" s="172">
        <f t="shared" ref="L116:L117" si="9">J116/P116</f>
        <v>0.192</v>
      </c>
      <c r="M116" s="172"/>
      <c r="N116" s="180">
        <v>2.3E-2</v>
      </c>
      <c r="O116" s="174">
        <f t="shared" si="7"/>
        <v>4.4160000000000004</v>
      </c>
      <c r="P116" s="175">
        <v>1000</v>
      </c>
    </row>
    <row r="117" spans="1:16" s="17" customFormat="1" ht="15" customHeight="1" thickBot="1" x14ac:dyDescent="0.35">
      <c r="A117" s="359"/>
      <c r="B117" s="136">
        <v>1000</v>
      </c>
      <c r="C117" s="31" t="s">
        <v>92</v>
      </c>
      <c r="D117" s="149"/>
      <c r="E117" s="51">
        <v>596</v>
      </c>
      <c r="F117" s="50" t="s">
        <v>95</v>
      </c>
      <c r="G117" s="34" t="s">
        <v>18</v>
      </c>
      <c r="H117" s="198" t="s">
        <v>14</v>
      </c>
      <c r="I117" s="294" t="s">
        <v>89</v>
      </c>
      <c r="J117" s="172">
        <f>+VLOOKUP(E117,'[1]Est Madre LK 15-04'!$A$1:$C$65536,3,0)</f>
        <v>252</v>
      </c>
      <c r="K117" s="172"/>
      <c r="L117" s="172">
        <f t="shared" si="9"/>
        <v>0.252</v>
      </c>
      <c r="M117" s="172"/>
      <c r="N117" s="180">
        <v>2.3E-2</v>
      </c>
      <c r="O117" s="174">
        <f t="shared" si="7"/>
        <v>5.7960000000000003</v>
      </c>
      <c r="P117" s="175">
        <v>1000</v>
      </c>
    </row>
    <row r="118" spans="1:16" s="17" customFormat="1" ht="21" x14ac:dyDescent="0.3">
      <c r="A118" s="53"/>
      <c r="B118" s="60"/>
      <c r="C118" s="276"/>
      <c r="D118" s="179"/>
      <c r="E118" s="179"/>
      <c r="F118" s="179"/>
      <c r="G118" s="179"/>
      <c r="H118" s="179"/>
      <c r="I118" s="163" t="s">
        <v>206</v>
      </c>
      <c r="J118" s="172"/>
      <c r="K118" s="172"/>
      <c r="L118" s="172">
        <f>SUM(L112:L117)</f>
        <v>1.032</v>
      </c>
      <c r="M118" s="172"/>
      <c r="N118" s="187" t="s">
        <v>204</v>
      </c>
      <c r="O118" s="174" t="s">
        <v>208</v>
      </c>
      <c r="P118" s="188" t="s">
        <v>210</v>
      </c>
    </row>
    <row r="119" spans="1:16" s="17" customFormat="1" ht="21.75" thickBot="1" x14ac:dyDescent="0.35">
      <c r="A119" s="53"/>
      <c r="B119" s="60"/>
      <c r="C119" s="276"/>
      <c r="D119" s="179"/>
      <c r="E119" s="179"/>
      <c r="F119" s="179"/>
      <c r="G119" s="179"/>
      <c r="H119" s="179"/>
      <c r="I119" s="161" t="s">
        <v>202</v>
      </c>
      <c r="J119" s="176"/>
      <c r="K119" s="176"/>
      <c r="L119" s="183">
        <f>L118*3</f>
        <v>3.0960000000000001</v>
      </c>
      <c r="M119" s="183"/>
      <c r="N119" s="189">
        <v>1</v>
      </c>
      <c r="O119" s="177" t="str">
        <f>C112</f>
        <v>FP2</v>
      </c>
      <c r="P119" s="178">
        <v>1</v>
      </c>
    </row>
    <row r="120" spans="1:16" s="17" customFormat="1" ht="21" x14ac:dyDescent="0.3">
      <c r="A120" s="119"/>
      <c r="B120" s="60"/>
      <c r="C120" s="276"/>
      <c r="D120" s="179"/>
      <c r="E120" s="179"/>
      <c r="F120" s="179"/>
      <c r="G120" s="179"/>
      <c r="H120" s="179"/>
      <c r="I120" s="287"/>
      <c r="J120" s="195"/>
      <c r="K120" s="195"/>
      <c r="L120" s="124"/>
      <c r="M120" s="124"/>
      <c r="N120" s="288"/>
      <c r="O120" s="196"/>
      <c r="P120" s="290"/>
    </row>
    <row r="121" spans="1:16" s="17" customFormat="1" ht="21" x14ac:dyDescent="0.3">
      <c r="A121" s="119"/>
      <c r="B121" s="60"/>
      <c r="C121" s="276"/>
      <c r="D121" s="179"/>
      <c r="E121" s="179"/>
      <c r="F121" s="179"/>
      <c r="G121" s="179"/>
      <c r="H121" s="179"/>
      <c r="I121" s="287"/>
      <c r="J121" s="195"/>
      <c r="K121" s="195"/>
      <c r="L121" s="124"/>
      <c r="M121" s="124"/>
      <c r="N121" s="288"/>
      <c r="O121" s="196"/>
      <c r="P121" s="290"/>
    </row>
    <row r="122" spans="1:16" s="17" customFormat="1" ht="21.75" thickBot="1" x14ac:dyDescent="0.35">
      <c r="A122" s="53"/>
      <c r="B122" s="60"/>
      <c r="C122" s="276"/>
      <c r="D122" s="179"/>
      <c r="E122" s="179"/>
      <c r="F122" s="179"/>
      <c r="G122" s="179"/>
      <c r="H122" s="179"/>
      <c r="I122" s="179"/>
      <c r="J122" s="179"/>
      <c r="K122" s="179"/>
      <c r="L122" s="179"/>
      <c r="M122" s="179"/>
      <c r="N122" s="179"/>
      <c r="O122" s="179"/>
      <c r="P122" s="179"/>
    </row>
    <row r="123" spans="1:16" s="17" customFormat="1" ht="19.5" thickBot="1" x14ac:dyDescent="0.35">
      <c r="A123" s="345" t="s">
        <v>96</v>
      </c>
      <c r="B123" s="257">
        <v>3000</v>
      </c>
      <c r="C123" s="31" t="s">
        <v>97</v>
      </c>
      <c r="D123" s="151"/>
      <c r="E123" s="56">
        <v>512</v>
      </c>
      <c r="F123" s="50" t="s">
        <v>98</v>
      </c>
      <c r="G123" s="37" t="s">
        <v>18</v>
      </c>
      <c r="H123" s="232" t="s">
        <v>14</v>
      </c>
      <c r="I123" s="165" t="s">
        <v>99</v>
      </c>
      <c r="J123" s="168">
        <f>+VLOOKUP(E123,'[1]Est Madre LK 15-04'!$A$1:$C$65536,3,0)</f>
        <v>984</v>
      </c>
      <c r="K123" s="168"/>
      <c r="L123" s="168">
        <f>J123/P123</f>
        <v>0.49199999999999999</v>
      </c>
      <c r="M123" s="168"/>
      <c r="N123" s="169">
        <v>3.5000000000000001E-3</v>
      </c>
      <c r="O123" s="170">
        <f>+N123*(K123+J123)</f>
        <v>3.444</v>
      </c>
      <c r="P123" s="171">
        <v>2000</v>
      </c>
    </row>
    <row r="124" spans="1:16" s="17" customFormat="1" ht="18" customHeight="1" thickBot="1" x14ac:dyDescent="0.35">
      <c r="A124" s="351"/>
      <c r="B124" s="107"/>
      <c r="C124" s="276"/>
      <c r="D124" s="179"/>
      <c r="E124" s="179"/>
      <c r="F124" s="179"/>
      <c r="G124" s="179"/>
      <c r="H124" s="179"/>
      <c r="I124" s="163" t="s">
        <v>206</v>
      </c>
      <c r="J124" s="172"/>
      <c r="K124" s="172"/>
      <c r="L124" s="172">
        <f>SUM(L123)</f>
        <v>0.49199999999999999</v>
      </c>
      <c r="M124" s="172"/>
      <c r="N124" s="187" t="s">
        <v>204</v>
      </c>
      <c r="O124" s="174" t="s">
        <v>208</v>
      </c>
      <c r="P124" s="188" t="s">
        <v>210</v>
      </c>
    </row>
    <row r="125" spans="1:16" s="17" customFormat="1" ht="18" customHeight="1" thickBot="1" x14ac:dyDescent="0.35">
      <c r="A125" s="351"/>
      <c r="B125" s="107"/>
      <c r="C125" s="276"/>
      <c r="D125" s="179"/>
      <c r="E125" s="179"/>
      <c r="F125" s="179"/>
      <c r="G125" s="179"/>
      <c r="H125" s="179"/>
      <c r="I125" s="161" t="s">
        <v>202</v>
      </c>
      <c r="J125" s="176"/>
      <c r="K125" s="176"/>
      <c r="L125" s="183">
        <f>L124*3</f>
        <v>1.476</v>
      </c>
      <c r="M125" s="183"/>
      <c r="N125" s="189">
        <v>2</v>
      </c>
      <c r="O125" s="177" t="str">
        <f>C123</f>
        <v>EP6</v>
      </c>
      <c r="P125" s="178">
        <v>2</v>
      </c>
    </row>
    <row r="126" spans="1:16" s="17" customFormat="1" ht="18" customHeight="1" thickBot="1" x14ac:dyDescent="0.35">
      <c r="A126" s="351"/>
      <c r="B126" s="107"/>
      <c r="C126" s="276"/>
      <c r="D126" s="179"/>
      <c r="E126" s="179"/>
      <c r="F126" s="179"/>
      <c r="G126" s="179"/>
      <c r="H126" s="179"/>
      <c r="I126" s="179"/>
      <c r="J126" s="179"/>
      <c r="K126" s="179"/>
      <c r="L126" s="179"/>
      <c r="M126" s="179"/>
      <c r="N126" s="179"/>
      <c r="O126" s="179"/>
      <c r="P126" s="179"/>
    </row>
    <row r="127" spans="1:16" s="17" customFormat="1" ht="16.5" customHeight="1" thickBot="1" x14ac:dyDescent="0.35">
      <c r="A127" s="346" t="s">
        <v>100</v>
      </c>
      <c r="B127" s="57">
        <v>10000</v>
      </c>
      <c r="C127" s="31" t="s">
        <v>101</v>
      </c>
      <c r="D127" s="152"/>
      <c r="E127" s="58">
        <v>609</v>
      </c>
      <c r="F127" s="50" t="s">
        <v>51</v>
      </c>
      <c r="G127" s="59" t="s">
        <v>13</v>
      </c>
      <c r="H127" s="59" t="s">
        <v>14</v>
      </c>
      <c r="I127" s="363" t="s">
        <v>102</v>
      </c>
      <c r="J127" s="168"/>
      <c r="K127" s="168">
        <f>+VLOOKUP(E127,'[1]Est Madre CH 15-04'!$A$1:$C$65536,3,0)</f>
        <v>600</v>
      </c>
      <c r="L127" s="168">
        <f>K127/P127</f>
        <v>1.2</v>
      </c>
      <c r="M127" s="168"/>
      <c r="N127" s="169">
        <f t="shared" ref="N127:N145" si="10">1/1000</f>
        <v>1E-3</v>
      </c>
      <c r="O127" s="170">
        <f t="shared" ref="O127:O145" si="11">+N127*(K127+J127)</f>
        <v>0.6</v>
      </c>
      <c r="P127" s="171">
        <v>500</v>
      </c>
    </row>
    <row r="128" spans="1:16" s="17" customFormat="1" ht="15.75" customHeight="1" thickBot="1" x14ac:dyDescent="0.35">
      <c r="A128" s="365" t="s">
        <v>103</v>
      </c>
      <c r="B128" s="60">
        <v>10000</v>
      </c>
      <c r="C128" s="31" t="s">
        <v>101</v>
      </c>
      <c r="D128" s="152"/>
      <c r="E128" s="61">
        <v>789</v>
      </c>
      <c r="F128" s="50" t="s">
        <v>53</v>
      </c>
      <c r="G128" s="62" t="s">
        <v>13</v>
      </c>
      <c r="H128" s="62" t="s">
        <v>14</v>
      </c>
      <c r="I128" s="364" t="s">
        <v>102</v>
      </c>
      <c r="J128" s="172"/>
      <c r="K128" s="172">
        <f>+VLOOKUP(E128,'[1]Est Madre CH 15-04'!$A$1:$C$65536,3,0)</f>
        <v>240</v>
      </c>
      <c r="L128" s="172">
        <f t="shared" ref="L128:L145" si="12">K128/P128</f>
        <v>0.48</v>
      </c>
      <c r="M128" s="172"/>
      <c r="N128" s="173">
        <f t="shared" si="10"/>
        <v>1E-3</v>
      </c>
      <c r="O128" s="174">
        <f t="shared" si="11"/>
        <v>0.24</v>
      </c>
      <c r="P128" s="175">
        <v>500</v>
      </c>
    </row>
    <row r="129" spans="1:16" s="17" customFormat="1" ht="15.75" customHeight="1" thickBot="1" x14ac:dyDescent="0.35">
      <c r="A129" s="366"/>
      <c r="B129" s="60">
        <v>10000</v>
      </c>
      <c r="C129" s="31" t="s">
        <v>101</v>
      </c>
      <c r="D129" s="152"/>
      <c r="E129" s="61">
        <v>856</v>
      </c>
      <c r="F129" s="50" t="s">
        <v>40</v>
      </c>
      <c r="G129" s="62" t="s">
        <v>13</v>
      </c>
      <c r="H129" s="62" t="s">
        <v>14</v>
      </c>
      <c r="I129" s="364" t="s">
        <v>102</v>
      </c>
      <c r="J129" s="172"/>
      <c r="K129" s="172">
        <f>+VLOOKUP(E129,'[1]Est Madre CH 15-04'!$A$1:$C$65536,3,0)</f>
        <v>48</v>
      </c>
      <c r="L129" s="172">
        <f t="shared" si="12"/>
        <v>9.6000000000000002E-2</v>
      </c>
      <c r="M129" s="172"/>
      <c r="N129" s="173">
        <f t="shared" si="10"/>
        <v>1E-3</v>
      </c>
      <c r="O129" s="174">
        <f t="shared" si="11"/>
        <v>4.8000000000000001E-2</v>
      </c>
      <c r="P129" s="175">
        <v>500</v>
      </c>
    </row>
    <row r="130" spans="1:16" s="17" customFormat="1" ht="15.75" customHeight="1" thickBot="1" x14ac:dyDescent="0.35">
      <c r="A130" s="366"/>
      <c r="B130" s="60">
        <v>10000</v>
      </c>
      <c r="C130" s="31" t="s">
        <v>101</v>
      </c>
      <c r="D130" s="152"/>
      <c r="E130" s="61">
        <v>857</v>
      </c>
      <c r="F130" s="50" t="s">
        <v>42</v>
      </c>
      <c r="G130" s="62" t="s">
        <v>13</v>
      </c>
      <c r="H130" s="62" t="s">
        <v>14</v>
      </c>
      <c r="I130" s="364" t="s">
        <v>102</v>
      </c>
      <c r="J130" s="172"/>
      <c r="K130" s="172">
        <f>+VLOOKUP(E130,'[1]Est Madre CH 15-04'!$A$1:$C$65536,3,0)</f>
        <v>48</v>
      </c>
      <c r="L130" s="172">
        <f t="shared" si="12"/>
        <v>9.6000000000000002E-2</v>
      </c>
      <c r="M130" s="172"/>
      <c r="N130" s="173">
        <f t="shared" si="10"/>
        <v>1E-3</v>
      </c>
      <c r="O130" s="174">
        <f t="shared" si="11"/>
        <v>4.8000000000000001E-2</v>
      </c>
      <c r="P130" s="175">
        <v>500</v>
      </c>
    </row>
    <row r="131" spans="1:16" s="17" customFormat="1" ht="15.75" customHeight="1" thickBot="1" x14ac:dyDescent="0.35">
      <c r="A131" s="366"/>
      <c r="B131" s="60">
        <v>10000</v>
      </c>
      <c r="C131" s="31" t="s">
        <v>101</v>
      </c>
      <c r="D131" s="152"/>
      <c r="E131" s="61">
        <v>858</v>
      </c>
      <c r="F131" s="50" t="s">
        <v>58</v>
      </c>
      <c r="G131" s="62" t="s">
        <v>13</v>
      </c>
      <c r="H131" s="62" t="s">
        <v>14</v>
      </c>
      <c r="I131" s="364" t="s">
        <v>102</v>
      </c>
      <c r="J131" s="172"/>
      <c r="K131" s="172">
        <f>+VLOOKUP(E131,'[1]Est Madre CH 15-04'!$A$1:$C$65536,3,0)</f>
        <v>60</v>
      </c>
      <c r="L131" s="172">
        <f t="shared" si="12"/>
        <v>0.12</v>
      </c>
      <c r="M131" s="172"/>
      <c r="N131" s="173">
        <f t="shared" si="10"/>
        <v>1E-3</v>
      </c>
      <c r="O131" s="174">
        <f t="shared" si="11"/>
        <v>0.06</v>
      </c>
      <c r="P131" s="175">
        <v>500</v>
      </c>
    </row>
    <row r="132" spans="1:16" s="17" customFormat="1" ht="15.75" customHeight="1" thickBot="1" x14ac:dyDescent="0.35">
      <c r="A132" s="366"/>
      <c r="B132" s="60">
        <v>10000</v>
      </c>
      <c r="C132" s="31" t="s">
        <v>101</v>
      </c>
      <c r="D132" s="152"/>
      <c r="E132" s="61">
        <v>630</v>
      </c>
      <c r="F132" s="50" t="s">
        <v>104</v>
      </c>
      <c r="G132" s="62" t="s">
        <v>13</v>
      </c>
      <c r="H132" s="62" t="s">
        <v>14</v>
      </c>
      <c r="I132" s="364" t="s">
        <v>102</v>
      </c>
      <c r="J132" s="172"/>
      <c r="K132" s="172">
        <f>+VLOOKUP(E132,'[1]Est Madre CH 15-04'!$A$1:$C$65536,3,0)</f>
        <v>60</v>
      </c>
      <c r="L132" s="172">
        <f t="shared" si="12"/>
        <v>0.12</v>
      </c>
      <c r="M132" s="172"/>
      <c r="N132" s="173">
        <f t="shared" si="10"/>
        <v>1E-3</v>
      </c>
      <c r="O132" s="174">
        <f t="shared" si="11"/>
        <v>0.06</v>
      </c>
      <c r="P132" s="175">
        <v>500</v>
      </c>
    </row>
    <row r="133" spans="1:16" s="17" customFormat="1" ht="15.75" customHeight="1" thickBot="1" x14ac:dyDescent="0.35">
      <c r="A133" s="366"/>
      <c r="B133" s="60">
        <v>10000</v>
      </c>
      <c r="C133" s="31" t="s">
        <v>101</v>
      </c>
      <c r="D133" s="152"/>
      <c r="E133" s="61">
        <v>631</v>
      </c>
      <c r="F133" s="50" t="s">
        <v>105</v>
      </c>
      <c r="G133" s="62" t="s">
        <v>13</v>
      </c>
      <c r="H133" s="62" t="s">
        <v>14</v>
      </c>
      <c r="I133" s="364" t="s">
        <v>102</v>
      </c>
      <c r="J133" s="172"/>
      <c r="K133" s="172">
        <f>+VLOOKUP(E133,'[1]Est Madre CH 15-04'!$A$1:$C$65536,3,0)</f>
        <v>72</v>
      </c>
      <c r="L133" s="172">
        <f t="shared" si="12"/>
        <v>0.14399999999999999</v>
      </c>
      <c r="M133" s="172"/>
      <c r="N133" s="173">
        <f t="shared" si="10"/>
        <v>1E-3</v>
      </c>
      <c r="O133" s="174">
        <f t="shared" si="11"/>
        <v>7.2000000000000008E-2</v>
      </c>
      <c r="P133" s="175">
        <v>500</v>
      </c>
    </row>
    <row r="134" spans="1:16" s="17" customFormat="1" ht="15.75" customHeight="1" thickBot="1" x14ac:dyDescent="0.35">
      <c r="A134" s="366"/>
      <c r="B134" s="60">
        <v>10000</v>
      </c>
      <c r="C134" s="31" t="s">
        <v>101</v>
      </c>
      <c r="D134" s="152"/>
      <c r="E134" s="61">
        <v>632</v>
      </c>
      <c r="F134" s="50" t="s">
        <v>106</v>
      </c>
      <c r="G134" s="62" t="s">
        <v>13</v>
      </c>
      <c r="H134" s="62" t="s">
        <v>14</v>
      </c>
      <c r="I134" s="364" t="s">
        <v>102</v>
      </c>
      <c r="J134" s="172"/>
      <c r="K134" s="172">
        <f>+VLOOKUP(E134,'[1]Est Madre CH 15-04'!$A$1:$C$65536,3,0)</f>
        <v>48</v>
      </c>
      <c r="L134" s="172">
        <f t="shared" si="12"/>
        <v>9.6000000000000002E-2</v>
      </c>
      <c r="M134" s="172"/>
      <c r="N134" s="173">
        <f t="shared" si="10"/>
        <v>1E-3</v>
      </c>
      <c r="O134" s="174">
        <f t="shared" si="11"/>
        <v>4.8000000000000001E-2</v>
      </c>
      <c r="P134" s="175">
        <v>500</v>
      </c>
    </row>
    <row r="135" spans="1:16" s="17" customFormat="1" ht="15.75" customHeight="1" thickBot="1" x14ac:dyDescent="0.35">
      <c r="A135" s="366"/>
      <c r="B135" s="60">
        <v>10000</v>
      </c>
      <c r="C135" s="31" t="s">
        <v>101</v>
      </c>
      <c r="D135" s="152"/>
      <c r="E135" s="61">
        <v>633</v>
      </c>
      <c r="F135" s="50" t="s">
        <v>107</v>
      </c>
      <c r="G135" s="62" t="s">
        <v>13</v>
      </c>
      <c r="H135" s="62" t="s">
        <v>14</v>
      </c>
      <c r="I135" s="364" t="s">
        <v>102</v>
      </c>
      <c r="J135" s="172"/>
      <c r="K135" s="172">
        <f>+VLOOKUP(E135,'[1]Est Madre CH 15-04'!$A$1:$C$65536,3,0)</f>
        <v>24</v>
      </c>
      <c r="L135" s="172">
        <f t="shared" si="12"/>
        <v>4.8000000000000001E-2</v>
      </c>
      <c r="M135" s="172"/>
      <c r="N135" s="173">
        <f t="shared" si="10"/>
        <v>1E-3</v>
      </c>
      <c r="O135" s="174">
        <f t="shared" si="11"/>
        <v>2.4E-2</v>
      </c>
      <c r="P135" s="175">
        <v>500</v>
      </c>
    </row>
    <row r="136" spans="1:16" s="17" customFormat="1" ht="15.75" customHeight="1" thickBot="1" x14ac:dyDescent="0.35">
      <c r="A136" s="366"/>
      <c r="B136" s="60">
        <v>10000</v>
      </c>
      <c r="C136" s="31" t="s">
        <v>101</v>
      </c>
      <c r="D136" s="152"/>
      <c r="E136" s="61">
        <v>634</v>
      </c>
      <c r="F136" s="50" t="s">
        <v>108</v>
      </c>
      <c r="G136" s="62" t="s">
        <v>13</v>
      </c>
      <c r="H136" s="62" t="s">
        <v>14</v>
      </c>
      <c r="I136" s="364" t="s">
        <v>102</v>
      </c>
      <c r="J136" s="172"/>
      <c r="K136" s="172">
        <f>+VLOOKUP(E136,'[1]Est Madre CH 15-04'!$A$1:$C$65536,3,0)</f>
        <v>24</v>
      </c>
      <c r="L136" s="172">
        <f t="shared" si="12"/>
        <v>4.8000000000000001E-2</v>
      </c>
      <c r="M136" s="172"/>
      <c r="N136" s="173">
        <f t="shared" si="10"/>
        <v>1E-3</v>
      </c>
      <c r="O136" s="174">
        <f t="shared" si="11"/>
        <v>2.4E-2</v>
      </c>
      <c r="P136" s="175">
        <v>500</v>
      </c>
    </row>
    <row r="137" spans="1:16" s="17" customFormat="1" ht="15.75" customHeight="1" thickBot="1" x14ac:dyDescent="0.35">
      <c r="A137" s="366"/>
      <c r="B137" s="60">
        <v>10000</v>
      </c>
      <c r="C137" s="31" t="s">
        <v>101</v>
      </c>
      <c r="D137" s="152"/>
      <c r="E137" s="61">
        <v>635</v>
      </c>
      <c r="F137" s="50" t="s">
        <v>109</v>
      </c>
      <c r="G137" s="62" t="s">
        <v>13</v>
      </c>
      <c r="H137" s="62" t="s">
        <v>14</v>
      </c>
      <c r="I137" s="364" t="s">
        <v>102</v>
      </c>
      <c r="J137" s="172"/>
      <c r="K137" s="172">
        <f>+VLOOKUP(E137,'[1]Est Madre CH 15-04'!$A$1:$C$65536,3,0)</f>
        <v>48</v>
      </c>
      <c r="L137" s="172">
        <f t="shared" si="12"/>
        <v>9.6000000000000002E-2</v>
      </c>
      <c r="M137" s="172"/>
      <c r="N137" s="173">
        <f t="shared" si="10"/>
        <v>1E-3</v>
      </c>
      <c r="O137" s="174">
        <f t="shared" si="11"/>
        <v>4.8000000000000001E-2</v>
      </c>
      <c r="P137" s="175">
        <v>500</v>
      </c>
    </row>
    <row r="138" spans="1:16" s="17" customFormat="1" ht="15.75" customHeight="1" thickBot="1" x14ac:dyDescent="0.35">
      <c r="A138" s="366"/>
      <c r="B138" s="60">
        <v>10000</v>
      </c>
      <c r="C138" s="31" t="s">
        <v>101</v>
      </c>
      <c r="D138" s="152"/>
      <c r="E138" s="61">
        <v>636</v>
      </c>
      <c r="F138" s="50" t="s">
        <v>110</v>
      </c>
      <c r="G138" s="62" t="s">
        <v>13</v>
      </c>
      <c r="H138" s="62" t="s">
        <v>14</v>
      </c>
      <c r="I138" s="364" t="s">
        <v>102</v>
      </c>
      <c r="J138" s="172"/>
      <c r="K138" s="172">
        <f>+VLOOKUP(E138,'[1]Est Madre CH 15-04'!$A$1:$C$65536,3,0)</f>
        <v>48</v>
      </c>
      <c r="L138" s="172">
        <f t="shared" si="12"/>
        <v>9.6000000000000002E-2</v>
      </c>
      <c r="M138" s="172"/>
      <c r="N138" s="173">
        <f t="shared" si="10"/>
        <v>1E-3</v>
      </c>
      <c r="O138" s="174">
        <f t="shared" si="11"/>
        <v>4.8000000000000001E-2</v>
      </c>
      <c r="P138" s="175">
        <v>500</v>
      </c>
    </row>
    <row r="139" spans="1:16" s="17" customFormat="1" ht="15.75" customHeight="1" thickBot="1" x14ac:dyDescent="0.35">
      <c r="A139" s="366"/>
      <c r="B139" s="60">
        <v>10000</v>
      </c>
      <c r="C139" s="31" t="s">
        <v>101</v>
      </c>
      <c r="D139" s="152"/>
      <c r="E139" s="61">
        <v>709</v>
      </c>
      <c r="F139" s="50" t="s">
        <v>56</v>
      </c>
      <c r="G139" s="62" t="s">
        <v>13</v>
      </c>
      <c r="H139" s="62" t="s">
        <v>14</v>
      </c>
      <c r="I139" s="364" t="s">
        <v>102</v>
      </c>
      <c r="J139" s="172"/>
      <c r="K139" s="172">
        <f>+VLOOKUP(E139,'[1]Est Madre CH 15-04'!$A$1:$C$65536,3,0)</f>
        <v>60</v>
      </c>
      <c r="L139" s="172">
        <f t="shared" si="12"/>
        <v>0.12</v>
      </c>
      <c r="M139" s="172"/>
      <c r="N139" s="173">
        <f t="shared" si="10"/>
        <v>1E-3</v>
      </c>
      <c r="O139" s="174">
        <f t="shared" si="11"/>
        <v>0.06</v>
      </c>
      <c r="P139" s="175">
        <v>500</v>
      </c>
    </row>
    <row r="140" spans="1:16" s="17" customFormat="1" ht="15.75" customHeight="1" thickBot="1" x14ac:dyDescent="0.35">
      <c r="A140" s="366"/>
      <c r="B140" s="60">
        <v>10000</v>
      </c>
      <c r="C140" s="31" t="s">
        <v>101</v>
      </c>
      <c r="D140" s="152"/>
      <c r="E140" s="61">
        <v>710</v>
      </c>
      <c r="F140" s="50" t="s">
        <v>43</v>
      </c>
      <c r="G140" s="62" t="s">
        <v>13</v>
      </c>
      <c r="H140" s="62" t="s">
        <v>14</v>
      </c>
      <c r="I140" s="364" t="s">
        <v>102</v>
      </c>
      <c r="J140" s="172"/>
      <c r="K140" s="172">
        <f>+VLOOKUP(E140,'[1]Est Madre CH 15-04'!$A$1:$C$65536,3,0)</f>
        <v>0</v>
      </c>
      <c r="L140" s="172">
        <f t="shared" si="12"/>
        <v>0</v>
      </c>
      <c r="M140" s="172"/>
      <c r="N140" s="173">
        <f t="shared" si="10"/>
        <v>1E-3</v>
      </c>
      <c r="O140" s="174">
        <f t="shared" si="11"/>
        <v>0</v>
      </c>
      <c r="P140" s="175">
        <v>500</v>
      </c>
    </row>
    <row r="141" spans="1:16" s="17" customFormat="1" ht="15.75" customHeight="1" thickBot="1" x14ac:dyDescent="0.35">
      <c r="A141" s="366"/>
      <c r="B141" s="60">
        <v>10000</v>
      </c>
      <c r="C141" s="31" t="s">
        <v>101</v>
      </c>
      <c r="D141" s="152"/>
      <c r="E141" s="61">
        <v>720</v>
      </c>
      <c r="F141" s="50" t="s">
        <v>45</v>
      </c>
      <c r="G141" s="62" t="s">
        <v>13</v>
      </c>
      <c r="H141" s="62" t="s">
        <v>14</v>
      </c>
      <c r="I141" s="364" t="s">
        <v>102</v>
      </c>
      <c r="J141" s="172"/>
      <c r="K141" s="172">
        <f>+VLOOKUP(E141,'[1]Est Madre CH 15-04'!$A$1:$C$65536,3,0)</f>
        <v>72</v>
      </c>
      <c r="L141" s="172">
        <f t="shared" si="12"/>
        <v>0.14399999999999999</v>
      </c>
      <c r="M141" s="172"/>
      <c r="N141" s="173">
        <f t="shared" si="10"/>
        <v>1E-3</v>
      </c>
      <c r="O141" s="174">
        <f t="shared" si="11"/>
        <v>7.2000000000000008E-2</v>
      </c>
      <c r="P141" s="175">
        <v>500</v>
      </c>
    </row>
    <row r="142" spans="1:16" s="17" customFormat="1" ht="15.75" customHeight="1" thickBot="1" x14ac:dyDescent="0.35">
      <c r="A142" s="366"/>
      <c r="B142" s="60">
        <v>10000</v>
      </c>
      <c r="C142" s="31" t="s">
        <v>101</v>
      </c>
      <c r="D142" s="152"/>
      <c r="E142" s="61">
        <v>722</v>
      </c>
      <c r="F142" s="50" t="s">
        <v>47</v>
      </c>
      <c r="G142" s="62" t="s">
        <v>13</v>
      </c>
      <c r="H142" s="62" t="s">
        <v>14</v>
      </c>
      <c r="I142" s="364" t="s">
        <v>102</v>
      </c>
      <c r="J142" s="172"/>
      <c r="K142" s="172">
        <f>+VLOOKUP(E142,'[1]Est Madre CH 15-04'!$A$1:$C$65536,3,0)</f>
        <v>36</v>
      </c>
      <c r="L142" s="172">
        <f t="shared" si="12"/>
        <v>7.1999999999999995E-2</v>
      </c>
      <c r="M142" s="172"/>
      <c r="N142" s="173">
        <f t="shared" si="10"/>
        <v>1E-3</v>
      </c>
      <c r="O142" s="174">
        <f t="shared" si="11"/>
        <v>3.6000000000000004E-2</v>
      </c>
      <c r="P142" s="175">
        <v>500</v>
      </c>
    </row>
    <row r="143" spans="1:16" s="17" customFormat="1" ht="15.75" customHeight="1" thickBot="1" x14ac:dyDescent="0.35">
      <c r="A143" s="366"/>
      <c r="B143" s="60">
        <v>10000</v>
      </c>
      <c r="C143" s="31" t="s">
        <v>101</v>
      </c>
      <c r="D143" s="152"/>
      <c r="E143" s="61">
        <v>859</v>
      </c>
      <c r="F143" s="50" t="s">
        <v>48</v>
      </c>
      <c r="G143" s="62" t="s">
        <v>13</v>
      </c>
      <c r="H143" s="62" t="s">
        <v>14</v>
      </c>
      <c r="I143" s="364" t="s">
        <v>102</v>
      </c>
      <c r="J143" s="172"/>
      <c r="K143" s="172">
        <f>+VLOOKUP(E143,'[1]Est Madre CH 15-04'!$A$1:$C$65536,3,0)</f>
        <v>144</v>
      </c>
      <c r="L143" s="172">
        <f t="shared" si="12"/>
        <v>0.28799999999999998</v>
      </c>
      <c r="M143" s="172"/>
      <c r="N143" s="173">
        <f t="shared" si="10"/>
        <v>1E-3</v>
      </c>
      <c r="O143" s="174">
        <f t="shared" si="11"/>
        <v>0.14400000000000002</v>
      </c>
      <c r="P143" s="175">
        <v>500</v>
      </c>
    </row>
    <row r="144" spans="1:16" s="17" customFormat="1" ht="15.75" customHeight="1" thickBot="1" x14ac:dyDescent="0.35">
      <c r="A144" s="366"/>
      <c r="B144" s="60">
        <v>10000</v>
      </c>
      <c r="C144" s="31" t="s">
        <v>101</v>
      </c>
      <c r="D144" s="152"/>
      <c r="E144" s="61">
        <v>863</v>
      </c>
      <c r="F144" s="50" t="s">
        <v>49</v>
      </c>
      <c r="G144" s="62" t="s">
        <v>13</v>
      </c>
      <c r="H144" s="62" t="s">
        <v>14</v>
      </c>
      <c r="I144" s="364" t="s">
        <v>102</v>
      </c>
      <c r="J144" s="172"/>
      <c r="K144" s="172">
        <f>+VLOOKUP(E144,'[1]Est Madre CH 15-04'!$A$1:$C$65536,3,0)</f>
        <v>96</v>
      </c>
      <c r="L144" s="172">
        <f t="shared" si="12"/>
        <v>0.192</v>
      </c>
      <c r="M144" s="172"/>
      <c r="N144" s="173">
        <f t="shared" si="10"/>
        <v>1E-3</v>
      </c>
      <c r="O144" s="174">
        <f t="shared" si="11"/>
        <v>9.6000000000000002E-2</v>
      </c>
      <c r="P144" s="175">
        <v>500</v>
      </c>
    </row>
    <row r="145" spans="1:16" s="17" customFormat="1" ht="16.5" customHeight="1" thickBot="1" x14ac:dyDescent="0.35">
      <c r="A145" s="367"/>
      <c r="B145" s="60">
        <v>10000</v>
      </c>
      <c r="C145" s="31" t="s">
        <v>101</v>
      </c>
      <c r="D145" s="152"/>
      <c r="E145" s="61">
        <v>864</v>
      </c>
      <c r="F145" s="63" t="s">
        <v>27</v>
      </c>
      <c r="G145" s="62" t="s">
        <v>13</v>
      </c>
      <c r="H145" s="62" t="s">
        <v>14</v>
      </c>
      <c r="I145" s="364" t="s">
        <v>102</v>
      </c>
      <c r="J145" s="172"/>
      <c r="K145" s="172">
        <f>+VLOOKUP(E145,'[1]Est Madre CH 15-04'!$A$1:$C$65536,3,0)</f>
        <v>120</v>
      </c>
      <c r="L145" s="172">
        <f t="shared" si="12"/>
        <v>0.24</v>
      </c>
      <c r="M145" s="172"/>
      <c r="N145" s="173">
        <f t="shared" si="10"/>
        <v>1E-3</v>
      </c>
      <c r="O145" s="174">
        <f t="shared" si="11"/>
        <v>0.12</v>
      </c>
      <c r="P145" s="175">
        <v>500</v>
      </c>
    </row>
    <row r="146" spans="1:16" s="17" customFormat="1" ht="16.5" customHeight="1" x14ac:dyDescent="0.25">
      <c r="A146" s="46"/>
      <c r="B146" s="60"/>
      <c r="C146" s="118"/>
      <c r="D146" s="196"/>
      <c r="E146" s="196"/>
      <c r="F146" s="196"/>
      <c r="G146" s="196"/>
      <c r="H146" s="196"/>
      <c r="I146" s="163" t="s">
        <v>206</v>
      </c>
      <c r="J146" s="172"/>
      <c r="K146" s="172"/>
      <c r="L146" s="172">
        <f>SUM(L127:L145)</f>
        <v>3.6960000000000006</v>
      </c>
      <c r="M146" s="172"/>
      <c r="N146" s="187" t="s">
        <v>204</v>
      </c>
      <c r="O146" s="174" t="s">
        <v>208</v>
      </c>
      <c r="P146" s="188" t="s">
        <v>210</v>
      </c>
    </row>
    <row r="147" spans="1:16" s="17" customFormat="1" ht="16.5" customHeight="1" thickBot="1" x14ac:dyDescent="0.35">
      <c r="A147" s="46"/>
      <c r="B147" s="60"/>
      <c r="C147" s="118"/>
      <c r="D147" s="196"/>
      <c r="E147" s="196"/>
      <c r="F147" s="196"/>
      <c r="G147" s="196"/>
      <c r="H147" s="196"/>
      <c r="I147" s="161" t="s">
        <v>202</v>
      </c>
      <c r="J147" s="176"/>
      <c r="K147" s="176"/>
      <c r="L147" s="183">
        <f>L146*3</f>
        <v>11.088000000000001</v>
      </c>
      <c r="M147" s="183"/>
      <c r="N147" s="189">
        <v>20</v>
      </c>
      <c r="O147" s="177" t="str">
        <f>C145</f>
        <v>EP7</v>
      </c>
      <c r="P147" s="178">
        <v>20</v>
      </c>
    </row>
    <row r="148" spans="1:16" s="17" customFormat="1" ht="16.5" customHeight="1" thickBot="1" x14ac:dyDescent="0.35">
      <c r="A148" s="46"/>
      <c r="B148" s="60"/>
      <c r="C148" s="118"/>
      <c r="D148" s="196"/>
      <c r="E148" s="196"/>
      <c r="F148" s="196"/>
      <c r="G148" s="196"/>
      <c r="H148" s="196"/>
      <c r="I148" s="196"/>
      <c r="J148" s="196"/>
      <c r="K148" s="196"/>
      <c r="L148" s="196"/>
      <c r="M148" s="196"/>
      <c r="N148" s="196"/>
      <c r="O148" s="196"/>
      <c r="P148" s="179"/>
    </row>
    <row r="149" spans="1:16" s="17" customFormat="1" ht="15.6" customHeight="1" x14ac:dyDescent="0.3">
      <c r="A149" s="355" t="s">
        <v>111</v>
      </c>
      <c r="B149" s="139">
        <v>300</v>
      </c>
      <c r="C149" s="31" t="s">
        <v>112</v>
      </c>
      <c r="D149" s="268"/>
      <c r="E149" s="64">
        <v>504</v>
      </c>
      <c r="F149" s="65"/>
      <c r="G149" s="37" t="s">
        <v>18</v>
      </c>
      <c r="H149" s="232" t="s">
        <v>113</v>
      </c>
      <c r="I149" s="347" t="s">
        <v>114</v>
      </c>
      <c r="J149" s="168">
        <f>+VLOOKUP(E149,'[1]Est Madre LK 15-04'!$A$1:$C$65536,3,0)</f>
        <v>5600</v>
      </c>
      <c r="K149" s="168"/>
      <c r="L149" s="168">
        <f>J149/P149</f>
        <v>5.6</v>
      </c>
      <c r="M149" s="168"/>
      <c r="N149" s="191">
        <v>4.9000000000000002E-2</v>
      </c>
      <c r="O149" s="170">
        <f>+N149*(K149+J149)</f>
        <v>274.40000000000003</v>
      </c>
      <c r="P149" s="233">
        <v>1000</v>
      </c>
    </row>
    <row r="150" spans="1:16" s="17" customFormat="1" ht="16.149999999999999" customHeight="1" thickBot="1" x14ac:dyDescent="0.35">
      <c r="A150" s="356"/>
      <c r="B150" s="140">
        <v>300</v>
      </c>
      <c r="C150" s="31" t="s">
        <v>112</v>
      </c>
      <c r="D150" s="267"/>
      <c r="E150" s="44">
        <v>97</v>
      </c>
      <c r="F150" s="44"/>
      <c r="G150" s="45" t="s">
        <v>18</v>
      </c>
      <c r="H150" s="158" t="s">
        <v>113</v>
      </c>
      <c r="I150" s="348"/>
      <c r="J150" s="172"/>
      <c r="K150" s="172">
        <f>+VLOOKUP(E150,'[1]Est Madre CH 15-04'!$A$1:$C$65536,3,0)</f>
        <v>450</v>
      </c>
      <c r="L150" s="172">
        <f>+K150/P150</f>
        <v>0.45</v>
      </c>
      <c r="M150" s="172"/>
      <c r="N150" s="180">
        <v>4.9000000000000002E-2</v>
      </c>
      <c r="O150" s="174">
        <f>+N150*(K150+J150)</f>
        <v>22.05</v>
      </c>
      <c r="P150" s="235">
        <v>1000</v>
      </c>
    </row>
    <row r="151" spans="1:16" s="17" customFormat="1" ht="16.149999999999999" customHeight="1" x14ac:dyDescent="0.25">
      <c r="A151" s="25"/>
      <c r="B151" s="60"/>
      <c r="C151" s="118"/>
      <c r="D151" s="196"/>
      <c r="E151" s="196"/>
      <c r="F151" s="196"/>
      <c r="G151" s="196"/>
      <c r="H151" s="196"/>
      <c r="I151" s="234" t="s">
        <v>206</v>
      </c>
      <c r="J151" s="172"/>
      <c r="K151" s="172"/>
      <c r="L151" s="172">
        <f>SUM(L149:L150)</f>
        <v>6.05</v>
      </c>
      <c r="M151" s="172"/>
      <c r="N151" s="229" t="s">
        <v>204</v>
      </c>
      <c r="O151" s="174" t="s">
        <v>208</v>
      </c>
      <c r="P151" s="230" t="s">
        <v>210</v>
      </c>
    </row>
    <row r="152" spans="1:16" s="17" customFormat="1" ht="24" thickBot="1" x14ac:dyDescent="0.35">
      <c r="A152" s="25"/>
      <c r="B152" s="60"/>
      <c r="C152" s="118"/>
      <c r="D152" s="196"/>
      <c r="E152" s="196"/>
      <c r="F152" s="196"/>
      <c r="G152" s="196"/>
      <c r="H152" s="196"/>
      <c r="I152" s="237" t="s">
        <v>202</v>
      </c>
      <c r="J152" s="176"/>
      <c r="K152" s="176"/>
      <c r="L152" s="183">
        <f>L151*3</f>
        <v>18.149999999999999</v>
      </c>
      <c r="M152" s="183"/>
      <c r="N152" s="184">
        <v>18</v>
      </c>
      <c r="O152" s="177" t="str">
        <f>C150</f>
        <v>CP5</v>
      </c>
      <c r="P152" s="238">
        <v>22</v>
      </c>
    </row>
    <row r="153" spans="1:16" s="17" customFormat="1" ht="15.75" customHeight="1" thickBot="1" x14ac:dyDescent="0.35">
      <c r="A153" s="121"/>
      <c r="B153" s="60"/>
      <c r="C153" s="118"/>
      <c r="D153" s="196"/>
      <c r="E153" s="196"/>
      <c r="F153" s="196"/>
      <c r="G153" s="196"/>
      <c r="H153" s="196"/>
      <c r="I153" s="152"/>
      <c r="J153" s="195"/>
      <c r="K153" s="195"/>
      <c r="L153" s="124"/>
      <c r="M153" s="124"/>
      <c r="N153" s="242"/>
      <c r="O153" s="196"/>
      <c r="P153" s="197"/>
    </row>
    <row r="154" spans="1:16" s="17" customFormat="1" ht="21.75" thickBot="1" x14ac:dyDescent="0.35">
      <c r="A154" s="55"/>
      <c r="B154" s="136">
        <v>1800</v>
      </c>
      <c r="C154" s="31" t="s">
        <v>116</v>
      </c>
      <c r="D154" s="149"/>
      <c r="E154" s="51">
        <v>505</v>
      </c>
      <c r="F154" s="63" t="s">
        <v>115</v>
      </c>
      <c r="G154" s="34" t="s">
        <v>18</v>
      </c>
      <c r="H154" s="198" t="s">
        <v>14</v>
      </c>
      <c r="I154" s="165" t="s">
        <v>117</v>
      </c>
      <c r="J154" s="168">
        <f>+VLOOKUP(E154,'[1]Est Madre LK 15-04'!$A$1:$C$65536,3,0)</f>
        <v>21000</v>
      </c>
      <c r="K154" s="168"/>
      <c r="L154" s="168">
        <f>J154/P154</f>
        <v>11.666666666666666</v>
      </c>
      <c r="M154" s="168"/>
      <c r="N154" s="169">
        <v>5.5999999999999999E-3</v>
      </c>
      <c r="O154" s="170">
        <f>+N154*(K154+J154)</f>
        <v>117.6</v>
      </c>
      <c r="P154" s="171">
        <v>1800</v>
      </c>
    </row>
    <row r="155" spans="1:16" s="17" customFormat="1" ht="21" x14ac:dyDescent="0.3">
      <c r="A155" s="53"/>
      <c r="B155" s="60"/>
      <c r="C155" s="276"/>
      <c r="D155" s="179"/>
      <c r="E155" s="179"/>
      <c r="F155" s="179"/>
      <c r="G155" s="179"/>
      <c r="H155" s="179"/>
      <c r="I155" s="234" t="s">
        <v>206</v>
      </c>
      <c r="J155" s="172"/>
      <c r="K155" s="172"/>
      <c r="L155" s="172">
        <f>SUM(L154:L154)</f>
        <v>11.666666666666666</v>
      </c>
      <c r="M155" s="172"/>
      <c r="N155" s="229" t="s">
        <v>204</v>
      </c>
      <c r="O155" s="174" t="s">
        <v>208</v>
      </c>
      <c r="P155" s="230" t="s">
        <v>210</v>
      </c>
    </row>
    <row r="156" spans="1:16" s="17" customFormat="1" ht="21.75" thickBot="1" x14ac:dyDescent="0.35">
      <c r="A156" s="53"/>
      <c r="B156" s="60"/>
      <c r="C156" s="276"/>
      <c r="D156" s="179"/>
      <c r="E156" s="179"/>
      <c r="F156" s="179"/>
      <c r="G156" s="179"/>
      <c r="H156" s="179"/>
      <c r="I156" s="237" t="s">
        <v>202</v>
      </c>
      <c r="J156" s="176"/>
      <c r="K156" s="176"/>
      <c r="L156" s="183">
        <f>L155*3</f>
        <v>35</v>
      </c>
      <c r="M156" s="183"/>
      <c r="N156" s="184">
        <v>50</v>
      </c>
      <c r="O156" s="177" t="str">
        <f>C154</f>
        <v>DP1</v>
      </c>
      <c r="P156" s="238">
        <v>22</v>
      </c>
    </row>
    <row r="157" spans="1:16" s="17" customFormat="1" ht="15" customHeight="1" thickBot="1" x14ac:dyDescent="0.35">
      <c r="A157" s="53"/>
      <c r="B157" s="60"/>
      <c r="C157" s="276"/>
      <c r="D157" s="179"/>
      <c r="E157" s="179"/>
      <c r="F157" s="179"/>
      <c r="G157" s="179"/>
      <c r="H157" s="179"/>
      <c r="I157" s="179"/>
      <c r="J157" s="179"/>
      <c r="K157" s="179"/>
      <c r="L157" s="179"/>
      <c r="M157" s="179"/>
      <c r="N157" s="179"/>
      <c r="O157" s="179"/>
      <c r="P157" s="179"/>
    </row>
    <row r="158" spans="1:16" s="17" customFormat="1" ht="17.25" customHeight="1" x14ac:dyDescent="0.3">
      <c r="A158" s="352" t="s">
        <v>118</v>
      </c>
      <c r="B158" s="139">
        <v>1500</v>
      </c>
      <c r="C158" s="31" t="s">
        <v>119</v>
      </c>
      <c r="D158" s="266"/>
      <c r="E158" s="64">
        <v>58</v>
      </c>
      <c r="F158" s="64"/>
      <c r="G158" s="37" t="s">
        <v>18</v>
      </c>
      <c r="H158" s="240" t="s">
        <v>120</v>
      </c>
      <c r="I158" s="347" t="s">
        <v>121</v>
      </c>
      <c r="J158" s="168">
        <f>+VLOOKUP(E158,'[1]Est Madre LK 15-04'!$A$1:$C$65536,3,0)</f>
        <v>240</v>
      </c>
      <c r="K158" s="168"/>
      <c r="L158" s="168">
        <f>J158/P158</f>
        <v>0.16</v>
      </c>
      <c r="M158" s="168"/>
      <c r="N158" s="191"/>
      <c r="O158" s="170">
        <f>+N158*(K158+J158)</f>
        <v>0</v>
      </c>
      <c r="P158" s="233">
        <v>1500</v>
      </c>
    </row>
    <row r="159" spans="1:16" s="17" customFormat="1" ht="19.5" thickBot="1" x14ac:dyDescent="0.35">
      <c r="A159" s="354"/>
      <c r="B159" s="140">
        <v>1500</v>
      </c>
      <c r="C159" s="31" t="s">
        <v>119</v>
      </c>
      <c r="D159" s="267"/>
      <c r="E159" s="44">
        <v>715</v>
      </c>
      <c r="F159" s="44"/>
      <c r="G159" s="45" t="s">
        <v>13</v>
      </c>
      <c r="H159" s="241" t="s">
        <v>120</v>
      </c>
      <c r="I159" s="348"/>
      <c r="J159" s="172"/>
      <c r="K159" s="172">
        <f>+VLOOKUP(E159,'[1]Est Madre CH 15-04'!$A$1:$C$65536,3,0)</f>
        <v>120</v>
      </c>
      <c r="L159" s="172">
        <f>K159/P159</f>
        <v>0.08</v>
      </c>
      <c r="M159" s="172"/>
      <c r="N159" s="180"/>
      <c r="O159" s="174">
        <f>+N159*(K159+J159)</f>
        <v>0</v>
      </c>
      <c r="P159" s="235">
        <v>1500</v>
      </c>
    </row>
    <row r="160" spans="1:16" s="17" customFormat="1" ht="21" x14ac:dyDescent="0.25">
      <c r="A160" s="75"/>
      <c r="B160" s="60"/>
      <c r="C160" s="118"/>
      <c r="D160" s="196"/>
      <c r="E160" s="196"/>
      <c r="F160" s="196"/>
      <c r="G160" s="196"/>
      <c r="H160" s="196"/>
      <c r="I160" s="234" t="s">
        <v>206</v>
      </c>
      <c r="J160" s="172"/>
      <c r="K160" s="172"/>
      <c r="L160" s="172">
        <f>SUM(L158:L159)</f>
        <v>0.24</v>
      </c>
      <c r="M160" s="172"/>
      <c r="N160" s="229" t="s">
        <v>204</v>
      </c>
      <c r="O160" s="174" t="s">
        <v>208</v>
      </c>
      <c r="P160" s="230" t="s">
        <v>210</v>
      </c>
    </row>
    <row r="161" spans="1:16" s="17" customFormat="1" ht="21.75" thickBot="1" x14ac:dyDescent="0.35">
      <c r="A161" s="75"/>
      <c r="B161" s="60"/>
      <c r="C161" s="118"/>
      <c r="D161" s="196"/>
      <c r="E161" s="196"/>
      <c r="F161" s="196"/>
      <c r="G161" s="196"/>
      <c r="H161" s="196"/>
      <c r="I161" s="237" t="s">
        <v>202</v>
      </c>
      <c r="J161" s="176"/>
      <c r="K161" s="176"/>
      <c r="L161" s="183">
        <f>L160*3</f>
        <v>0.72</v>
      </c>
      <c r="M161" s="183"/>
      <c r="N161" s="184">
        <v>1</v>
      </c>
      <c r="O161" s="177" t="str">
        <f>C159</f>
        <v>DP4</v>
      </c>
      <c r="P161" s="238">
        <v>2</v>
      </c>
    </row>
    <row r="162" spans="1:16" s="17" customFormat="1" ht="23.25" customHeight="1" thickBot="1" x14ac:dyDescent="0.35">
      <c r="A162" s="357" t="s">
        <v>122</v>
      </c>
      <c r="B162" s="139">
        <v>2400</v>
      </c>
      <c r="C162" s="31" t="s">
        <v>123</v>
      </c>
      <c r="D162" s="150"/>
      <c r="E162" s="56">
        <v>501</v>
      </c>
      <c r="F162" s="50" t="s">
        <v>124</v>
      </c>
      <c r="G162" s="37" t="s">
        <v>18</v>
      </c>
      <c r="H162" s="232" t="s">
        <v>14</v>
      </c>
      <c r="I162" s="190" t="s">
        <v>125</v>
      </c>
      <c r="J162" s="168">
        <f>+VLOOKUP(E162,'[1]Est Madre LK 15-04'!$A$1:$C$65536,3,0)</f>
        <v>5040</v>
      </c>
      <c r="K162" s="168"/>
      <c r="L162" s="168">
        <f>J162/P162</f>
        <v>2.1</v>
      </c>
      <c r="M162" s="168"/>
      <c r="N162" s="191">
        <v>8.9999999999999993E-3</v>
      </c>
      <c r="O162" s="170">
        <f>+N162*(K162+J162)</f>
        <v>45.36</v>
      </c>
      <c r="P162" s="233">
        <v>2400</v>
      </c>
    </row>
    <row r="163" spans="1:16" s="17" customFormat="1" ht="23.25" customHeight="1" x14ac:dyDescent="0.3">
      <c r="A163" s="358"/>
      <c r="B163" s="137"/>
      <c r="C163" s="276"/>
      <c r="D163" s="179"/>
      <c r="E163" s="179"/>
      <c r="F163" s="179"/>
      <c r="G163" s="179"/>
      <c r="H163" s="179"/>
      <c r="I163" s="234" t="s">
        <v>206</v>
      </c>
      <c r="J163" s="172"/>
      <c r="K163" s="172"/>
      <c r="L163" s="172">
        <f>SUM(L162:L162)</f>
        <v>2.1</v>
      </c>
      <c r="M163" s="172"/>
      <c r="N163" s="229" t="s">
        <v>204</v>
      </c>
      <c r="O163" s="174" t="s">
        <v>208</v>
      </c>
      <c r="P163" s="230" t="s">
        <v>210</v>
      </c>
    </row>
    <row r="164" spans="1:16" s="17" customFormat="1" ht="23.25" customHeight="1" thickBot="1" x14ac:dyDescent="0.35">
      <c r="A164" s="358"/>
      <c r="B164" s="137"/>
      <c r="C164" s="276"/>
      <c r="D164" s="179"/>
      <c r="E164" s="179"/>
      <c r="F164" s="179"/>
      <c r="G164" s="179"/>
      <c r="H164" s="179"/>
      <c r="I164" s="237" t="s">
        <v>202</v>
      </c>
      <c r="J164" s="176"/>
      <c r="K164" s="176"/>
      <c r="L164" s="183">
        <f>L163*3</f>
        <v>6.3000000000000007</v>
      </c>
      <c r="M164" s="183"/>
      <c r="N164" s="184">
        <v>8</v>
      </c>
      <c r="O164" s="177" t="str">
        <f>C162</f>
        <v>FP5</v>
      </c>
      <c r="P164" s="238">
        <v>8</v>
      </c>
    </row>
    <row r="165" spans="1:16" s="17" customFormat="1" ht="19.5" thickBot="1" x14ac:dyDescent="0.35">
      <c r="A165" s="358"/>
      <c r="B165" s="137"/>
      <c r="C165" s="276"/>
      <c r="D165" s="179"/>
      <c r="E165" s="179"/>
      <c r="F165" s="179"/>
      <c r="G165" s="179"/>
      <c r="H165" s="179"/>
      <c r="I165" s="179"/>
      <c r="J165" s="179"/>
      <c r="K165" s="179"/>
      <c r="L165" s="179"/>
      <c r="M165" s="179"/>
      <c r="N165" s="179"/>
      <c r="O165" s="179"/>
      <c r="P165" s="179"/>
    </row>
    <row r="166" spans="1:16" s="17" customFormat="1" ht="16.149999999999999" customHeight="1" thickBot="1" x14ac:dyDescent="0.35">
      <c r="A166" s="359"/>
      <c r="B166" s="135">
        <v>2400</v>
      </c>
      <c r="C166" s="31" t="s">
        <v>126</v>
      </c>
      <c r="D166" s="148"/>
      <c r="E166" s="54">
        <v>701</v>
      </c>
      <c r="F166" s="50" t="s">
        <v>124</v>
      </c>
      <c r="G166" s="43" t="s">
        <v>13</v>
      </c>
      <c r="H166" s="213" t="s">
        <v>14</v>
      </c>
      <c r="I166" s="190" t="s">
        <v>127</v>
      </c>
      <c r="J166" s="168"/>
      <c r="K166" s="168">
        <f>+VLOOKUP(E166,'[1]Est Madre CH 15-04'!$A$1:$C$65536,3,0)</f>
        <v>600</v>
      </c>
      <c r="L166" s="168">
        <f>K166/P166</f>
        <v>0.25</v>
      </c>
      <c r="M166" s="168"/>
      <c r="N166" s="191">
        <v>8.9999999999999993E-3</v>
      </c>
      <c r="O166" s="170">
        <f>+N166*(K166+J166)</f>
        <v>5.3999999999999995</v>
      </c>
      <c r="P166" s="233">
        <v>2400</v>
      </c>
    </row>
    <row r="167" spans="1:16" s="17" customFormat="1" ht="16.5" customHeight="1" thickBot="1" x14ac:dyDescent="0.35">
      <c r="A167" s="66"/>
      <c r="B167" s="137"/>
      <c r="C167" s="276"/>
      <c r="D167" s="179"/>
      <c r="E167" s="179"/>
      <c r="F167" s="179"/>
      <c r="G167" s="179"/>
      <c r="H167" s="179"/>
      <c r="I167" s="234" t="s">
        <v>206</v>
      </c>
      <c r="J167" s="172"/>
      <c r="K167" s="172"/>
      <c r="L167" s="172">
        <f>SUM(L166)</f>
        <v>0.25</v>
      </c>
      <c r="M167" s="172"/>
      <c r="N167" s="229" t="s">
        <v>204</v>
      </c>
      <c r="O167" s="174" t="s">
        <v>208</v>
      </c>
      <c r="P167" s="230" t="s">
        <v>210</v>
      </c>
    </row>
    <row r="168" spans="1:16" s="17" customFormat="1" ht="16.5" customHeight="1" thickBot="1" x14ac:dyDescent="0.35">
      <c r="A168" s="66"/>
      <c r="B168" s="137"/>
      <c r="C168" s="276"/>
      <c r="D168" s="179"/>
      <c r="E168" s="179"/>
      <c r="F168" s="179"/>
      <c r="G168" s="179"/>
      <c r="H168" s="179"/>
      <c r="I168" s="237" t="s">
        <v>202</v>
      </c>
      <c r="J168" s="176"/>
      <c r="K168" s="176"/>
      <c r="L168" s="183">
        <f>L167*3</f>
        <v>0.75</v>
      </c>
      <c r="M168" s="183"/>
      <c r="N168" s="184">
        <v>1</v>
      </c>
      <c r="O168" s="177" t="str">
        <f>C170</f>
        <v>GP1</v>
      </c>
      <c r="P168" s="238">
        <v>8</v>
      </c>
    </row>
    <row r="169" spans="1:16" s="17" customFormat="1" ht="16.5" customHeight="1" thickBot="1" x14ac:dyDescent="0.35">
      <c r="A169" s="66"/>
      <c r="B169" s="137"/>
      <c r="C169" s="276"/>
      <c r="D169" s="179"/>
      <c r="E169" s="179"/>
      <c r="F169" s="179"/>
      <c r="G169" s="179"/>
      <c r="H169" s="179"/>
      <c r="I169" s="152"/>
      <c r="J169" s="195"/>
      <c r="K169" s="195"/>
      <c r="L169" s="124"/>
      <c r="M169" s="124"/>
      <c r="N169" s="242"/>
      <c r="O169" s="196"/>
      <c r="P169" s="197"/>
    </row>
    <row r="170" spans="1:16" s="17" customFormat="1" ht="16.5" customHeight="1" thickBot="1" x14ac:dyDescent="0.35">
      <c r="A170" s="66" t="s">
        <v>128</v>
      </c>
      <c r="B170" s="137">
        <v>6000</v>
      </c>
      <c r="C170" s="31" t="s">
        <v>129</v>
      </c>
      <c r="D170" s="147"/>
      <c r="E170" s="67">
        <v>501</v>
      </c>
      <c r="F170" s="48" t="s">
        <v>124</v>
      </c>
      <c r="G170" s="24" t="s">
        <v>18</v>
      </c>
      <c r="H170" s="166" t="s">
        <v>14</v>
      </c>
      <c r="I170" s="190" t="s">
        <v>130</v>
      </c>
      <c r="J170" s="168">
        <f>+VLOOKUP(E170,'[1]Est Madre LK 15-04'!$A$1:$C$65536,3,0)</f>
        <v>5040</v>
      </c>
      <c r="K170" s="168"/>
      <c r="L170" s="168">
        <f>J170/P170</f>
        <v>2.016</v>
      </c>
      <c r="M170" s="168"/>
      <c r="N170" s="191">
        <v>5.5999999999999995E-4</v>
      </c>
      <c r="O170" s="170">
        <f>+N170*(K170+J170)</f>
        <v>2.8223999999999996</v>
      </c>
      <c r="P170" s="233">
        <v>2500</v>
      </c>
    </row>
    <row r="171" spans="1:16" s="17" customFormat="1" ht="16.5" customHeight="1" thickBot="1" x14ac:dyDescent="0.35">
      <c r="A171" s="66"/>
      <c r="B171" s="137"/>
      <c r="C171" s="276"/>
      <c r="D171" s="179"/>
      <c r="E171" s="179"/>
      <c r="F171" s="179"/>
      <c r="G171" s="179"/>
      <c r="H171" s="179"/>
      <c r="I171" s="234" t="s">
        <v>206</v>
      </c>
      <c r="J171" s="172"/>
      <c r="K171" s="172"/>
      <c r="L171" s="172">
        <f>SUM(L170)</f>
        <v>2.016</v>
      </c>
      <c r="M171" s="172"/>
      <c r="N171" s="229" t="s">
        <v>204</v>
      </c>
      <c r="O171" s="174" t="s">
        <v>208</v>
      </c>
      <c r="P171" s="230" t="s">
        <v>210</v>
      </c>
    </row>
    <row r="172" spans="1:16" s="17" customFormat="1" ht="16.5" customHeight="1" thickBot="1" x14ac:dyDescent="0.35">
      <c r="A172" s="66"/>
      <c r="B172" s="137"/>
      <c r="C172" s="276"/>
      <c r="D172" s="179"/>
      <c r="E172" s="179"/>
      <c r="F172" s="179"/>
      <c r="G172" s="179"/>
      <c r="H172" s="179"/>
      <c r="I172" s="237" t="s">
        <v>202</v>
      </c>
      <c r="J172" s="176"/>
      <c r="K172" s="176"/>
      <c r="L172" s="183">
        <f>L171*3</f>
        <v>6.048</v>
      </c>
      <c r="M172" s="183"/>
      <c r="N172" s="184">
        <v>8</v>
      </c>
      <c r="O172" s="177" t="str">
        <f>C170</f>
        <v>GP1</v>
      </c>
      <c r="P172" s="238">
        <v>8</v>
      </c>
    </row>
    <row r="173" spans="1:16" s="17" customFormat="1" ht="16.5" customHeight="1" thickBot="1" x14ac:dyDescent="0.3">
      <c r="A173" s="66"/>
      <c r="B173" s="137"/>
      <c r="C173" s="275"/>
    </row>
    <row r="174" spans="1:16" s="17" customFormat="1" ht="15.75" customHeight="1" thickBot="1" x14ac:dyDescent="0.35">
      <c r="A174" s="349" t="s">
        <v>131</v>
      </c>
      <c r="B174" s="139">
        <v>33000</v>
      </c>
      <c r="C174" s="31" t="s">
        <v>132</v>
      </c>
      <c r="D174" s="150"/>
      <c r="E174" s="56">
        <v>502</v>
      </c>
      <c r="F174" s="50" t="s">
        <v>133</v>
      </c>
      <c r="G174" s="37" t="s">
        <v>18</v>
      </c>
      <c r="H174" s="232" t="s">
        <v>14</v>
      </c>
      <c r="I174" s="347" t="s">
        <v>134</v>
      </c>
      <c r="J174" s="168">
        <f>+VLOOKUP(E174,'[1]Est Madre LK 15-04'!$A$1:$C$65536,3,0)</f>
        <v>6420</v>
      </c>
      <c r="K174" s="168"/>
      <c r="L174" s="168">
        <f>J174/P174</f>
        <v>0.214</v>
      </c>
      <c r="M174" s="168"/>
      <c r="N174" s="191">
        <v>6.3000000000000003E-4</v>
      </c>
      <c r="O174" s="170">
        <f>+N174*(K174+J174)</f>
        <v>4.0446</v>
      </c>
      <c r="P174" s="233">
        <v>30000</v>
      </c>
    </row>
    <row r="175" spans="1:16" s="17" customFormat="1" ht="16.5" customHeight="1" thickBot="1" x14ac:dyDescent="0.35">
      <c r="A175" s="350"/>
      <c r="B175" s="135">
        <v>33000</v>
      </c>
      <c r="C175" s="31" t="s">
        <v>132</v>
      </c>
      <c r="D175" s="149"/>
      <c r="E175" s="49">
        <v>512</v>
      </c>
      <c r="F175" s="50" t="s">
        <v>98</v>
      </c>
      <c r="G175" s="28" t="s">
        <v>18</v>
      </c>
      <c r="H175" s="167" t="s">
        <v>14</v>
      </c>
      <c r="I175" s="348"/>
      <c r="J175" s="172">
        <f>+VLOOKUP(E175,'[1]Est Madre LK 15-04'!$A$1:$C$65536,3,0)</f>
        <v>984</v>
      </c>
      <c r="K175" s="172"/>
      <c r="L175" s="172">
        <f>J175/P175</f>
        <v>3.2800000000000003E-2</v>
      </c>
      <c r="M175" s="172"/>
      <c r="N175" s="180">
        <v>6.3000000000000003E-4</v>
      </c>
      <c r="O175" s="174">
        <f>+N175*(K175+J175)</f>
        <v>0.61992000000000003</v>
      </c>
      <c r="P175" s="235">
        <v>30000</v>
      </c>
    </row>
    <row r="176" spans="1:16" s="17" customFormat="1" ht="16.5" customHeight="1" thickBot="1" x14ac:dyDescent="0.35">
      <c r="A176" s="68"/>
      <c r="B176" s="137"/>
      <c r="C176" s="276"/>
      <c r="D176" s="179"/>
      <c r="E176" s="179"/>
      <c r="F176" s="179"/>
      <c r="G176" s="179"/>
      <c r="H176" s="179"/>
      <c r="I176" s="234" t="s">
        <v>206</v>
      </c>
      <c r="J176" s="172"/>
      <c r="K176" s="172"/>
      <c r="L176" s="172">
        <f>SUM(L174:L175)</f>
        <v>0.24679999999999999</v>
      </c>
      <c r="M176" s="172"/>
      <c r="N176" s="229" t="s">
        <v>204</v>
      </c>
      <c r="O176" s="174" t="s">
        <v>208</v>
      </c>
      <c r="P176" s="230" t="s">
        <v>210</v>
      </c>
    </row>
    <row r="177" spans="1:16" s="17" customFormat="1" ht="16.5" customHeight="1" thickBot="1" x14ac:dyDescent="0.35">
      <c r="A177" s="68"/>
      <c r="B177" s="137"/>
      <c r="C177" s="276"/>
      <c r="D177" s="179"/>
      <c r="E177" s="179"/>
      <c r="F177" s="179"/>
      <c r="G177" s="179"/>
      <c r="H177" s="179"/>
      <c r="I177" s="237" t="s">
        <v>202</v>
      </c>
      <c r="J177" s="176"/>
      <c r="K177" s="176"/>
      <c r="L177" s="183">
        <f>L176*3</f>
        <v>0.74039999999999995</v>
      </c>
      <c r="M177" s="183"/>
      <c r="N177" s="184">
        <v>1</v>
      </c>
      <c r="O177" s="177" t="str">
        <f>C175</f>
        <v>BP9</v>
      </c>
      <c r="P177" s="238"/>
    </row>
    <row r="178" spans="1:16" s="17" customFormat="1" ht="16.5" customHeight="1" thickBot="1" x14ac:dyDescent="0.35">
      <c r="A178" s="68"/>
      <c r="B178" s="137"/>
      <c r="C178" s="276"/>
      <c r="D178" s="179"/>
      <c r="E178" s="179"/>
      <c r="F178" s="179"/>
      <c r="G178" s="179"/>
      <c r="H178" s="179"/>
      <c r="I178" s="179"/>
      <c r="J178" s="179"/>
      <c r="K178" s="179"/>
      <c r="L178" s="179"/>
      <c r="M178" s="179"/>
      <c r="N178" s="179"/>
      <c r="O178" s="179"/>
      <c r="P178" s="179"/>
    </row>
    <row r="179" spans="1:16" s="17" customFormat="1" ht="19.5" thickBot="1" x14ac:dyDescent="0.35">
      <c r="A179" s="68" t="s">
        <v>135</v>
      </c>
      <c r="B179" s="258">
        <v>800</v>
      </c>
      <c r="C179" s="31" t="s">
        <v>136</v>
      </c>
      <c r="D179" s="268"/>
      <c r="E179" s="22">
        <v>586</v>
      </c>
      <c r="F179" s="23"/>
      <c r="G179" s="24" t="s">
        <v>18</v>
      </c>
      <c r="H179" s="166" t="s">
        <v>34</v>
      </c>
      <c r="I179" s="190" t="s">
        <v>137</v>
      </c>
      <c r="J179" s="168">
        <f>+VLOOKUP(E179,'[1]Est Madre LK 15-04'!$A$1:$C$65536,3,0)</f>
        <v>6000</v>
      </c>
      <c r="K179" s="168"/>
      <c r="L179" s="168">
        <f>J179/P179</f>
        <v>17.142857142857142</v>
      </c>
      <c r="M179" s="168"/>
      <c r="N179" s="169">
        <f>16.5/1000</f>
        <v>1.6500000000000001E-2</v>
      </c>
      <c r="O179" s="170">
        <f>+N179*(K179+J179)</f>
        <v>99</v>
      </c>
      <c r="P179" s="171">
        <v>350</v>
      </c>
    </row>
    <row r="180" spans="1:16" s="17" customFormat="1" ht="19.5" thickBot="1" x14ac:dyDescent="0.35">
      <c r="A180" s="68"/>
      <c r="B180" s="108"/>
      <c r="C180" s="276"/>
      <c r="D180" s="179"/>
      <c r="E180" s="179"/>
      <c r="F180" s="179"/>
      <c r="G180" s="179"/>
      <c r="H180" s="179"/>
      <c r="I180" s="234" t="s">
        <v>206</v>
      </c>
      <c r="J180" s="172"/>
      <c r="K180" s="172"/>
      <c r="L180" s="172">
        <f>SUM(L179)</f>
        <v>17.142857142857142</v>
      </c>
      <c r="M180" s="172"/>
      <c r="N180" s="229" t="s">
        <v>204</v>
      </c>
      <c r="O180" s="174" t="s">
        <v>208</v>
      </c>
      <c r="P180" s="230" t="s">
        <v>210</v>
      </c>
    </row>
    <row r="181" spans="1:16" s="17" customFormat="1" ht="19.5" thickBot="1" x14ac:dyDescent="0.35">
      <c r="A181" s="68"/>
      <c r="B181" s="108"/>
      <c r="C181" s="276"/>
      <c r="D181" s="179"/>
      <c r="E181" s="179"/>
      <c r="F181" s="179"/>
      <c r="G181" s="179"/>
      <c r="H181" s="179"/>
      <c r="I181" s="237" t="s">
        <v>202</v>
      </c>
      <c r="J181" s="176"/>
      <c r="K181" s="176"/>
      <c r="L181" s="183">
        <f>L180*3</f>
        <v>51.428571428571431</v>
      </c>
      <c r="M181" s="183"/>
      <c r="N181" s="184">
        <v>84</v>
      </c>
      <c r="O181" s="177" t="str">
        <f>C179</f>
        <v>MP1</v>
      </c>
      <c r="P181" s="238">
        <v>84</v>
      </c>
    </row>
    <row r="182" spans="1:16" s="17" customFormat="1" ht="17.25" customHeight="1" thickBot="1" x14ac:dyDescent="0.35">
      <c r="A182" s="68"/>
      <c r="B182" s="108"/>
      <c r="C182" s="276"/>
      <c r="D182" s="179"/>
      <c r="E182" s="179"/>
      <c r="F182" s="179"/>
      <c r="G182" s="179"/>
      <c r="H182" s="179"/>
      <c r="I182" s="179"/>
      <c r="J182" s="179"/>
      <c r="K182" s="179"/>
      <c r="L182" s="179"/>
      <c r="M182" s="179"/>
      <c r="N182" s="179"/>
      <c r="O182" s="179"/>
      <c r="P182" s="179"/>
    </row>
    <row r="183" spans="1:16" s="17" customFormat="1" ht="29.25" customHeight="1" thickBot="1" x14ac:dyDescent="0.35">
      <c r="A183" s="70" t="s">
        <v>138</v>
      </c>
      <c r="B183" s="259">
        <v>800</v>
      </c>
      <c r="C183" s="31" t="s">
        <v>139</v>
      </c>
      <c r="D183" s="156"/>
      <c r="E183" s="71">
        <v>99</v>
      </c>
      <c r="F183" s="71"/>
      <c r="G183" s="72" t="s">
        <v>13</v>
      </c>
      <c r="H183" s="239" t="s">
        <v>34</v>
      </c>
      <c r="I183" s="190" t="s">
        <v>140</v>
      </c>
      <c r="J183" s="168"/>
      <c r="K183" s="168">
        <f>+VLOOKUP(E183,'[1]Est Madre CH 15-04'!$A$1:$C$65536,3,0)</f>
        <v>1476</v>
      </c>
      <c r="L183" s="168">
        <f>K183/P183</f>
        <v>3.69</v>
      </c>
      <c r="M183" s="168"/>
      <c r="N183" s="191">
        <f>16.5/1000</f>
        <v>1.6500000000000001E-2</v>
      </c>
      <c r="O183" s="170">
        <f>+N183*(K183+J183)</f>
        <v>24.354000000000003</v>
      </c>
      <c r="P183" s="233">
        <v>400</v>
      </c>
    </row>
    <row r="184" spans="1:16" s="17" customFormat="1" ht="21" x14ac:dyDescent="0.3">
      <c r="A184" s="218"/>
      <c r="B184" s="108"/>
      <c r="C184" s="276"/>
      <c r="D184" s="179"/>
      <c r="E184" s="179"/>
      <c r="F184" s="179"/>
      <c r="G184" s="179"/>
      <c r="H184" s="179"/>
      <c r="I184" s="234" t="s">
        <v>206</v>
      </c>
      <c r="J184" s="172"/>
      <c r="K184" s="172"/>
      <c r="L184" s="172">
        <f>SUM(L183)</f>
        <v>3.69</v>
      </c>
      <c r="M184" s="172"/>
      <c r="N184" s="229" t="s">
        <v>204</v>
      </c>
      <c r="O184" s="174" t="s">
        <v>208</v>
      </c>
      <c r="P184" s="230" t="s">
        <v>210</v>
      </c>
    </row>
    <row r="185" spans="1:16" s="17" customFormat="1" ht="21.75" thickBot="1" x14ac:dyDescent="0.35">
      <c r="A185" s="218"/>
      <c r="B185" s="108"/>
      <c r="C185" s="276"/>
      <c r="D185" s="179"/>
      <c r="E185" s="179"/>
      <c r="F185" s="179"/>
      <c r="G185" s="179"/>
      <c r="H185" s="179"/>
      <c r="I185" s="237" t="s">
        <v>202</v>
      </c>
      <c r="J185" s="176"/>
      <c r="K185" s="176"/>
      <c r="L185" s="183">
        <f>L184*3</f>
        <v>11.07</v>
      </c>
      <c r="M185" s="183"/>
      <c r="N185" s="184">
        <v>8</v>
      </c>
      <c r="O185" s="177" t="str">
        <f>C183</f>
        <v>MP2</v>
      </c>
      <c r="P185" s="238">
        <v>35</v>
      </c>
    </row>
    <row r="186" spans="1:16" s="17" customFormat="1" ht="21.75" thickBot="1" x14ac:dyDescent="0.35">
      <c r="A186" s="218"/>
      <c r="B186" s="108"/>
      <c r="C186" s="276"/>
      <c r="D186" s="179"/>
      <c r="E186" s="179"/>
      <c r="F186" s="179"/>
      <c r="G186" s="179"/>
      <c r="H186" s="179"/>
      <c r="I186" s="152"/>
      <c r="J186" s="195"/>
      <c r="K186" s="195"/>
      <c r="L186" s="124"/>
      <c r="M186" s="124"/>
      <c r="N186" s="242"/>
      <c r="O186" s="196"/>
      <c r="P186" s="197"/>
    </row>
    <row r="187" spans="1:16" s="17" customFormat="1" ht="15.75" customHeight="1" thickBot="1" x14ac:dyDescent="0.35">
      <c r="A187" s="360" t="s">
        <v>141</v>
      </c>
      <c r="B187" s="139">
        <v>1000</v>
      </c>
      <c r="C187" s="31" t="s">
        <v>142</v>
      </c>
      <c r="D187" s="150"/>
      <c r="E187" s="52">
        <v>609</v>
      </c>
      <c r="F187" s="50" t="s">
        <v>51</v>
      </c>
      <c r="G187" s="16" t="s">
        <v>13</v>
      </c>
      <c r="H187" s="157" t="s">
        <v>14</v>
      </c>
      <c r="I187" s="347" t="s">
        <v>141</v>
      </c>
      <c r="J187" s="168"/>
      <c r="K187" s="168">
        <f>+VLOOKUP(E187,'[1]Est Madre CH 15-04'!$A$1:$C$65536,3,0)</f>
        <v>600</v>
      </c>
      <c r="L187" s="168">
        <f>K187/P187</f>
        <v>0.6</v>
      </c>
      <c r="M187" s="168"/>
      <c r="N187" s="191">
        <v>1.37E-2</v>
      </c>
      <c r="O187" s="170">
        <f t="shared" ref="O187:O205" si="13">+N187*(K187+J187)</f>
        <v>8.2200000000000006</v>
      </c>
      <c r="P187" s="233">
        <v>1000</v>
      </c>
    </row>
    <row r="188" spans="1:16" s="17" customFormat="1" ht="15.6" customHeight="1" thickBot="1" x14ac:dyDescent="0.35">
      <c r="A188" s="361"/>
      <c r="B188" s="135">
        <v>1000</v>
      </c>
      <c r="C188" s="31" t="s">
        <v>142</v>
      </c>
      <c r="D188" s="148"/>
      <c r="E188" s="54">
        <v>789</v>
      </c>
      <c r="F188" s="50" t="s">
        <v>53</v>
      </c>
      <c r="G188" s="43" t="s">
        <v>13</v>
      </c>
      <c r="H188" s="213" t="s">
        <v>14</v>
      </c>
      <c r="I188" s="348"/>
      <c r="J188" s="172"/>
      <c r="K188" s="172">
        <f>+VLOOKUP(E188,'[1]Est Madre CH 15-04'!$A$1:$C$65536,3,0)</f>
        <v>240</v>
      </c>
      <c r="L188" s="172">
        <f t="shared" ref="L188:L205" si="14">K188/P188</f>
        <v>0.24</v>
      </c>
      <c r="M188" s="172"/>
      <c r="N188" s="180">
        <v>1.37E-2</v>
      </c>
      <c r="O188" s="174">
        <f t="shared" si="13"/>
        <v>3.2880000000000003</v>
      </c>
      <c r="P188" s="235">
        <v>1000</v>
      </c>
    </row>
    <row r="189" spans="1:16" s="17" customFormat="1" ht="15.6" customHeight="1" thickBot="1" x14ac:dyDescent="0.35">
      <c r="A189" s="361"/>
      <c r="B189" s="135">
        <v>1000</v>
      </c>
      <c r="C189" s="31" t="s">
        <v>142</v>
      </c>
      <c r="D189" s="148"/>
      <c r="E189" s="54">
        <v>856</v>
      </c>
      <c r="F189" s="50" t="s">
        <v>40</v>
      </c>
      <c r="G189" s="43" t="s">
        <v>13</v>
      </c>
      <c r="H189" s="213" t="s">
        <v>14</v>
      </c>
      <c r="I189" s="348"/>
      <c r="J189" s="172"/>
      <c r="K189" s="172">
        <f>+VLOOKUP(E189,'[1]Est Madre CH 15-04'!$A$1:$C$65536,3,0)</f>
        <v>48</v>
      </c>
      <c r="L189" s="172">
        <f t="shared" si="14"/>
        <v>4.8000000000000001E-2</v>
      </c>
      <c r="M189" s="172"/>
      <c r="N189" s="180">
        <v>1.37E-2</v>
      </c>
      <c r="O189" s="174">
        <f t="shared" si="13"/>
        <v>0.65759999999999996</v>
      </c>
      <c r="P189" s="235">
        <v>1000</v>
      </c>
    </row>
    <row r="190" spans="1:16" s="17" customFormat="1" ht="15.6" customHeight="1" thickBot="1" x14ac:dyDescent="0.35">
      <c r="A190" s="361"/>
      <c r="B190" s="135">
        <v>1000</v>
      </c>
      <c r="C190" s="31" t="s">
        <v>142</v>
      </c>
      <c r="D190" s="148"/>
      <c r="E190" s="54">
        <v>857</v>
      </c>
      <c r="F190" s="50" t="s">
        <v>42</v>
      </c>
      <c r="G190" s="43" t="s">
        <v>13</v>
      </c>
      <c r="H190" s="213" t="s">
        <v>14</v>
      </c>
      <c r="I190" s="348"/>
      <c r="J190" s="172"/>
      <c r="K190" s="172">
        <f>+VLOOKUP(E190,'[1]Est Madre CH 15-04'!$A$1:$C$65536,3,0)</f>
        <v>48</v>
      </c>
      <c r="L190" s="172">
        <f t="shared" si="14"/>
        <v>4.8000000000000001E-2</v>
      </c>
      <c r="M190" s="172"/>
      <c r="N190" s="180">
        <v>1.37E-2</v>
      </c>
      <c r="O190" s="174">
        <f t="shared" si="13"/>
        <v>0.65759999999999996</v>
      </c>
      <c r="P190" s="235">
        <v>1000</v>
      </c>
    </row>
    <row r="191" spans="1:16" s="17" customFormat="1" ht="15.6" customHeight="1" thickBot="1" x14ac:dyDescent="0.35">
      <c r="A191" s="361"/>
      <c r="B191" s="135">
        <v>1000</v>
      </c>
      <c r="C191" s="31" t="s">
        <v>142</v>
      </c>
      <c r="D191" s="148"/>
      <c r="E191" s="54">
        <v>858</v>
      </c>
      <c r="F191" s="50" t="s">
        <v>58</v>
      </c>
      <c r="G191" s="43" t="s">
        <v>13</v>
      </c>
      <c r="H191" s="213" t="s">
        <v>14</v>
      </c>
      <c r="I191" s="348"/>
      <c r="J191" s="172"/>
      <c r="K191" s="172">
        <f>+VLOOKUP(E191,'[1]Est Madre CH 15-04'!$A$1:$C$65536,3,0)</f>
        <v>60</v>
      </c>
      <c r="L191" s="172">
        <f t="shared" si="14"/>
        <v>0.06</v>
      </c>
      <c r="M191" s="172"/>
      <c r="N191" s="180">
        <v>1.37E-2</v>
      </c>
      <c r="O191" s="174">
        <f t="shared" si="13"/>
        <v>0.82200000000000006</v>
      </c>
      <c r="P191" s="235">
        <v>1000</v>
      </c>
    </row>
    <row r="192" spans="1:16" s="17" customFormat="1" ht="15.6" customHeight="1" thickBot="1" x14ac:dyDescent="0.35">
      <c r="A192" s="361"/>
      <c r="B192" s="135">
        <v>1000</v>
      </c>
      <c r="C192" s="31" t="s">
        <v>142</v>
      </c>
      <c r="D192" s="148"/>
      <c r="E192" s="54">
        <v>630</v>
      </c>
      <c r="F192" s="50" t="s">
        <v>104</v>
      </c>
      <c r="G192" s="43" t="s">
        <v>13</v>
      </c>
      <c r="H192" s="213" t="s">
        <v>14</v>
      </c>
      <c r="I192" s="348"/>
      <c r="J192" s="172"/>
      <c r="K192" s="172">
        <f>+VLOOKUP(E192,'[1]Est Madre CH 15-04'!$A$1:$C$65536,3,0)</f>
        <v>60</v>
      </c>
      <c r="L192" s="172">
        <f t="shared" si="14"/>
        <v>0.06</v>
      </c>
      <c r="M192" s="172"/>
      <c r="N192" s="180">
        <v>1.37E-2</v>
      </c>
      <c r="O192" s="174">
        <f t="shared" si="13"/>
        <v>0.82200000000000006</v>
      </c>
      <c r="P192" s="235">
        <v>1000</v>
      </c>
    </row>
    <row r="193" spans="1:16" s="17" customFormat="1" ht="15.6" customHeight="1" thickBot="1" x14ac:dyDescent="0.35">
      <c r="A193" s="361"/>
      <c r="B193" s="135">
        <v>1000</v>
      </c>
      <c r="C193" s="31" t="s">
        <v>142</v>
      </c>
      <c r="D193" s="148"/>
      <c r="E193" s="54">
        <v>631</v>
      </c>
      <c r="F193" s="50" t="s">
        <v>105</v>
      </c>
      <c r="G193" s="43" t="s">
        <v>13</v>
      </c>
      <c r="H193" s="213" t="s">
        <v>14</v>
      </c>
      <c r="I193" s="348"/>
      <c r="J193" s="172"/>
      <c r="K193" s="172">
        <f>+VLOOKUP(E193,'[1]Est Madre CH 15-04'!$A$1:$C$65536,3,0)</f>
        <v>72</v>
      </c>
      <c r="L193" s="172">
        <f t="shared" si="14"/>
        <v>7.1999999999999995E-2</v>
      </c>
      <c r="M193" s="172"/>
      <c r="N193" s="180">
        <v>1.37E-2</v>
      </c>
      <c r="O193" s="174">
        <f t="shared" si="13"/>
        <v>0.98640000000000005</v>
      </c>
      <c r="P193" s="235">
        <v>1000</v>
      </c>
    </row>
    <row r="194" spans="1:16" s="17" customFormat="1" ht="15.6" customHeight="1" thickBot="1" x14ac:dyDescent="0.35">
      <c r="A194" s="361"/>
      <c r="B194" s="135">
        <v>1000</v>
      </c>
      <c r="C194" s="31" t="s">
        <v>142</v>
      </c>
      <c r="D194" s="148"/>
      <c r="E194" s="54">
        <v>632</v>
      </c>
      <c r="F194" s="50" t="s">
        <v>106</v>
      </c>
      <c r="G194" s="43" t="s">
        <v>13</v>
      </c>
      <c r="H194" s="213" t="s">
        <v>14</v>
      </c>
      <c r="I194" s="348"/>
      <c r="J194" s="172"/>
      <c r="K194" s="172">
        <f>+VLOOKUP(E194,'[1]Est Madre CH 15-04'!$A$1:$C$65536,3,0)</f>
        <v>48</v>
      </c>
      <c r="L194" s="172">
        <f t="shared" si="14"/>
        <v>4.8000000000000001E-2</v>
      </c>
      <c r="M194" s="172"/>
      <c r="N194" s="180">
        <v>1.37E-2</v>
      </c>
      <c r="O194" s="174">
        <f t="shared" si="13"/>
        <v>0.65759999999999996</v>
      </c>
      <c r="P194" s="235">
        <v>1000</v>
      </c>
    </row>
    <row r="195" spans="1:16" s="17" customFormat="1" ht="15.6" customHeight="1" thickBot="1" x14ac:dyDescent="0.35">
      <c r="A195" s="361"/>
      <c r="B195" s="135">
        <v>1000</v>
      </c>
      <c r="C195" s="31" t="s">
        <v>142</v>
      </c>
      <c r="D195" s="148"/>
      <c r="E195" s="54">
        <v>633</v>
      </c>
      <c r="F195" s="50" t="s">
        <v>107</v>
      </c>
      <c r="G195" s="43" t="s">
        <v>13</v>
      </c>
      <c r="H195" s="213" t="s">
        <v>14</v>
      </c>
      <c r="I195" s="348"/>
      <c r="J195" s="172"/>
      <c r="K195" s="172">
        <f>+VLOOKUP(E195,'[1]Est Madre CH 15-04'!$A$1:$C$65536,3,0)</f>
        <v>24</v>
      </c>
      <c r="L195" s="172">
        <f t="shared" si="14"/>
        <v>2.4E-2</v>
      </c>
      <c r="M195" s="172"/>
      <c r="N195" s="180">
        <v>1.37E-2</v>
      </c>
      <c r="O195" s="174">
        <f t="shared" si="13"/>
        <v>0.32879999999999998</v>
      </c>
      <c r="P195" s="235">
        <v>1000</v>
      </c>
    </row>
    <row r="196" spans="1:16" s="17" customFormat="1" ht="15.6" customHeight="1" thickBot="1" x14ac:dyDescent="0.35">
      <c r="A196" s="361"/>
      <c r="B196" s="135">
        <v>1000</v>
      </c>
      <c r="C196" s="31" t="s">
        <v>142</v>
      </c>
      <c r="D196" s="148"/>
      <c r="E196" s="54">
        <v>634</v>
      </c>
      <c r="F196" s="50" t="s">
        <v>108</v>
      </c>
      <c r="G196" s="43" t="s">
        <v>13</v>
      </c>
      <c r="H196" s="213" t="s">
        <v>14</v>
      </c>
      <c r="I196" s="348"/>
      <c r="J196" s="172"/>
      <c r="K196" s="172">
        <f>+VLOOKUP(E196,'[1]Est Madre CH 15-04'!$A$1:$C$65536,3,0)</f>
        <v>24</v>
      </c>
      <c r="L196" s="172">
        <f t="shared" si="14"/>
        <v>2.4E-2</v>
      </c>
      <c r="M196" s="172"/>
      <c r="N196" s="180">
        <v>1.37E-2</v>
      </c>
      <c r="O196" s="174">
        <f t="shared" si="13"/>
        <v>0.32879999999999998</v>
      </c>
      <c r="P196" s="235">
        <v>1000</v>
      </c>
    </row>
    <row r="197" spans="1:16" s="17" customFormat="1" ht="15.6" customHeight="1" thickBot="1" x14ac:dyDescent="0.35">
      <c r="A197" s="361"/>
      <c r="B197" s="135">
        <v>1000</v>
      </c>
      <c r="C197" s="31" t="s">
        <v>142</v>
      </c>
      <c r="D197" s="148"/>
      <c r="E197" s="54">
        <v>635</v>
      </c>
      <c r="F197" s="50" t="s">
        <v>109</v>
      </c>
      <c r="G197" s="43" t="s">
        <v>13</v>
      </c>
      <c r="H197" s="213" t="s">
        <v>14</v>
      </c>
      <c r="I197" s="348"/>
      <c r="J197" s="172"/>
      <c r="K197" s="172">
        <f>+VLOOKUP(E197,'[1]Est Madre CH 15-04'!$A$1:$C$65536,3,0)</f>
        <v>48</v>
      </c>
      <c r="L197" s="172">
        <f t="shared" si="14"/>
        <v>4.8000000000000001E-2</v>
      </c>
      <c r="M197" s="172"/>
      <c r="N197" s="180">
        <v>1.37E-2</v>
      </c>
      <c r="O197" s="174">
        <f t="shared" si="13"/>
        <v>0.65759999999999996</v>
      </c>
      <c r="P197" s="235">
        <v>1000</v>
      </c>
    </row>
    <row r="198" spans="1:16" s="17" customFormat="1" ht="15.6" customHeight="1" thickBot="1" x14ac:dyDescent="0.35">
      <c r="A198" s="361"/>
      <c r="B198" s="135">
        <v>1000</v>
      </c>
      <c r="C198" s="31" t="s">
        <v>142</v>
      </c>
      <c r="D198" s="148"/>
      <c r="E198" s="54">
        <v>636</v>
      </c>
      <c r="F198" s="50" t="s">
        <v>110</v>
      </c>
      <c r="G198" s="43" t="s">
        <v>13</v>
      </c>
      <c r="H198" s="213" t="s">
        <v>14</v>
      </c>
      <c r="I198" s="348"/>
      <c r="J198" s="172"/>
      <c r="K198" s="172">
        <f>+VLOOKUP(E198,'[1]Est Madre CH 15-04'!$A$1:$C$65536,3,0)</f>
        <v>48</v>
      </c>
      <c r="L198" s="172">
        <f t="shared" si="14"/>
        <v>4.8000000000000001E-2</v>
      </c>
      <c r="M198" s="172"/>
      <c r="N198" s="180">
        <v>1.37E-2</v>
      </c>
      <c r="O198" s="174">
        <f t="shared" si="13"/>
        <v>0.65759999999999996</v>
      </c>
      <c r="P198" s="235">
        <v>1000</v>
      </c>
    </row>
    <row r="199" spans="1:16" s="17" customFormat="1" ht="15.6" customHeight="1" thickBot="1" x14ac:dyDescent="0.35">
      <c r="A199" s="361"/>
      <c r="B199" s="135">
        <v>1000</v>
      </c>
      <c r="C199" s="31" t="s">
        <v>142</v>
      </c>
      <c r="D199" s="148"/>
      <c r="E199" s="54">
        <v>709</v>
      </c>
      <c r="F199" s="50" t="s">
        <v>56</v>
      </c>
      <c r="G199" s="43" t="s">
        <v>13</v>
      </c>
      <c r="H199" s="213" t="s">
        <v>14</v>
      </c>
      <c r="I199" s="348"/>
      <c r="J199" s="172"/>
      <c r="K199" s="172">
        <f>+VLOOKUP(E199,'[1]Est Madre CH 15-04'!$A$1:$C$65536,3,0)</f>
        <v>60</v>
      </c>
      <c r="L199" s="172">
        <f t="shared" si="14"/>
        <v>0.06</v>
      </c>
      <c r="M199" s="172"/>
      <c r="N199" s="180">
        <v>1.37E-2</v>
      </c>
      <c r="O199" s="174">
        <f t="shared" si="13"/>
        <v>0.82200000000000006</v>
      </c>
      <c r="P199" s="235">
        <v>1000</v>
      </c>
    </row>
    <row r="200" spans="1:16" s="17" customFormat="1" ht="15.6" customHeight="1" thickBot="1" x14ac:dyDescent="0.35">
      <c r="A200" s="361"/>
      <c r="B200" s="135">
        <v>1000</v>
      </c>
      <c r="C200" s="31" t="s">
        <v>142</v>
      </c>
      <c r="D200" s="148"/>
      <c r="E200" s="54">
        <v>710</v>
      </c>
      <c r="F200" s="50" t="s">
        <v>43</v>
      </c>
      <c r="G200" s="43" t="s">
        <v>13</v>
      </c>
      <c r="H200" s="213" t="s">
        <v>14</v>
      </c>
      <c r="I200" s="348"/>
      <c r="J200" s="172"/>
      <c r="K200" s="172">
        <f>+VLOOKUP(E200,'[1]Est Madre CH 15-04'!$A$1:$C$65536,3,0)</f>
        <v>0</v>
      </c>
      <c r="L200" s="172">
        <f t="shared" si="14"/>
        <v>0</v>
      </c>
      <c r="M200" s="172"/>
      <c r="N200" s="180">
        <v>1.37E-2</v>
      </c>
      <c r="O200" s="174">
        <f t="shared" si="13"/>
        <v>0</v>
      </c>
      <c r="P200" s="235">
        <v>1000</v>
      </c>
    </row>
    <row r="201" spans="1:16" s="17" customFormat="1" ht="15.6" customHeight="1" thickBot="1" x14ac:dyDescent="0.35">
      <c r="A201" s="361"/>
      <c r="B201" s="135">
        <v>1000</v>
      </c>
      <c r="C201" s="31" t="s">
        <v>142</v>
      </c>
      <c r="D201" s="148"/>
      <c r="E201" s="54">
        <v>720</v>
      </c>
      <c r="F201" s="50" t="s">
        <v>45</v>
      </c>
      <c r="G201" s="43" t="s">
        <v>13</v>
      </c>
      <c r="H201" s="213" t="s">
        <v>14</v>
      </c>
      <c r="I201" s="348"/>
      <c r="J201" s="172"/>
      <c r="K201" s="172">
        <f>+VLOOKUP(E201,'[1]Est Madre CH 15-04'!$A$1:$C$65536,3,0)</f>
        <v>72</v>
      </c>
      <c r="L201" s="172">
        <f t="shared" si="14"/>
        <v>7.1999999999999995E-2</v>
      </c>
      <c r="M201" s="172"/>
      <c r="N201" s="180">
        <v>1.37E-2</v>
      </c>
      <c r="O201" s="174">
        <f t="shared" si="13"/>
        <v>0.98640000000000005</v>
      </c>
      <c r="P201" s="235">
        <v>1000</v>
      </c>
    </row>
    <row r="202" spans="1:16" s="17" customFormat="1" ht="15.6" customHeight="1" thickBot="1" x14ac:dyDescent="0.35">
      <c r="A202" s="361"/>
      <c r="B202" s="135">
        <v>1000</v>
      </c>
      <c r="C202" s="31" t="s">
        <v>142</v>
      </c>
      <c r="D202" s="148"/>
      <c r="E202" s="54">
        <v>722</v>
      </c>
      <c r="F202" s="50" t="s">
        <v>47</v>
      </c>
      <c r="G202" s="43" t="s">
        <v>13</v>
      </c>
      <c r="H202" s="213" t="s">
        <v>14</v>
      </c>
      <c r="I202" s="348"/>
      <c r="J202" s="172"/>
      <c r="K202" s="172">
        <f>+VLOOKUP(E202,'[1]Est Madre CH 15-04'!$A$1:$C$65536,3,0)</f>
        <v>36</v>
      </c>
      <c r="L202" s="172">
        <f t="shared" si="14"/>
        <v>3.5999999999999997E-2</v>
      </c>
      <c r="M202" s="172"/>
      <c r="N202" s="180">
        <v>1.37E-2</v>
      </c>
      <c r="O202" s="174">
        <f t="shared" si="13"/>
        <v>0.49320000000000003</v>
      </c>
      <c r="P202" s="235">
        <v>1000</v>
      </c>
    </row>
    <row r="203" spans="1:16" s="17" customFormat="1" ht="15.6" customHeight="1" thickBot="1" x14ac:dyDescent="0.35">
      <c r="A203" s="361"/>
      <c r="B203" s="135">
        <v>1000</v>
      </c>
      <c r="C203" s="31" t="s">
        <v>142</v>
      </c>
      <c r="D203" s="148"/>
      <c r="E203" s="54">
        <v>859</v>
      </c>
      <c r="F203" s="50" t="s">
        <v>48</v>
      </c>
      <c r="G203" s="43" t="s">
        <v>13</v>
      </c>
      <c r="H203" s="213" t="s">
        <v>14</v>
      </c>
      <c r="I203" s="348"/>
      <c r="J203" s="172"/>
      <c r="K203" s="172">
        <f>+VLOOKUP(E203,'[1]Est Madre CH 15-04'!$A$1:$C$65536,3,0)</f>
        <v>144</v>
      </c>
      <c r="L203" s="172">
        <f t="shared" si="14"/>
        <v>0.14399999999999999</v>
      </c>
      <c r="M203" s="172"/>
      <c r="N203" s="180">
        <v>1.37E-2</v>
      </c>
      <c r="O203" s="174">
        <f t="shared" si="13"/>
        <v>1.9728000000000001</v>
      </c>
      <c r="P203" s="235">
        <v>1000</v>
      </c>
    </row>
    <row r="204" spans="1:16" s="17" customFormat="1" ht="15.6" customHeight="1" thickBot="1" x14ac:dyDescent="0.35">
      <c r="A204" s="361"/>
      <c r="B204" s="135">
        <v>1000</v>
      </c>
      <c r="C204" s="31" t="s">
        <v>142</v>
      </c>
      <c r="D204" s="148"/>
      <c r="E204" s="54">
        <v>863</v>
      </c>
      <c r="F204" s="50" t="s">
        <v>49</v>
      </c>
      <c r="G204" s="43" t="s">
        <v>13</v>
      </c>
      <c r="H204" s="213" t="s">
        <v>14</v>
      </c>
      <c r="I204" s="348"/>
      <c r="J204" s="172"/>
      <c r="K204" s="172">
        <f>+VLOOKUP(E204,'[1]Est Madre CH 15-04'!$A$1:$C$65536,3,0)</f>
        <v>96</v>
      </c>
      <c r="L204" s="172">
        <f t="shared" si="14"/>
        <v>9.6000000000000002E-2</v>
      </c>
      <c r="M204" s="172"/>
      <c r="N204" s="180">
        <v>1.37E-2</v>
      </c>
      <c r="O204" s="174">
        <f t="shared" si="13"/>
        <v>1.3151999999999999</v>
      </c>
      <c r="P204" s="235">
        <v>1000</v>
      </c>
    </row>
    <row r="205" spans="1:16" s="17" customFormat="1" ht="16.149999999999999" customHeight="1" thickBot="1" x14ac:dyDescent="0.35">
      <c r="A205" s="362"/>
      <c r="B205" s="136">
        <v>1000</v>
      </c>
      <c r="C205" s="31" t="s">
        <v>142</v>
      </c>
      <c r="D205" s="149"/>
      <c r="E205" s="74">
        <v>864</v>
      </c>
      <c r="F205" s="50" t="s">
        <v>27</v>
      </c>
      <c r="G205" s="72" t="s">
        <v>13</v>
      </c>
      <c r="H205" s="239" t="s">
        <v>14</v>
      </c>
      <c r="I205" s="348"/>
      <c r="J205" s="172"/>
      <c r="K205" s="172">
        <f>+VLOOKUP(E205,'[1]Est Madre CH 15-04'!$A$1:$C$65536,3,0)</f>
        <v>120</v>
      </c>
      <c r="L205" s="172">
        <f t="shared" si="14"/>
        <v>0.12</v>
      </c>
      <c r="M205" s="172"/>
      <c r="N205" s="180">
        <v>1.37E-2</v>
      </c>
      <c r="O205" s="174">
        <f t="shared" si="13"/>
        <v>1.6440000000000001</v>
      </c>
      <c r="P205" s="235">
        <v>1000</v>
      </c>
    </row>
    <row r="206" spans="1:16" s="17" customFormat="1" ht="16.149999999999999" customHeight="1" x14ac:dyDescent="0.3">
      <c r="A206" s="73"/>
      <c r="B206" s="60"/>
      <c r="C206" s="276"/>
      <c r="D206" s="179"/>
      <c r="E206" s="179"/>
      <c r="F206" s="179"/>
      <c r="G206" s="179"/>
      <c r="H206" s="179"/>
      <c r="I206" s="234" t="s">
        <v>206</v>
      </c>
      <c r="J206" s="172"/>
      <c r="K206" s="172"/>
      <c r="L206" s="172">
        <f>SUM(L187:L205)</f>
        <v>1.8480000000000003</v>
      </c>
      <c r="M206" s="172"/>
      <c r="N206" s="229" t="s">
        <v>204</v>
      </c>
      <c r="O206" s="174" t="s">
        <v>208</v>
      </c>
      <c r="P206" s="230" t="s">
        <v>210</v>
      </c>
    </row>
    <row r="207" spans="1:16" s="17" customFormat="1" ht="16.149999999999999" customHeight="1" thickBot="1" x14ac:dyDescent="0.35">
      <c r="A207" s="73"/>
      <c r="B207" s="60"/>
      <c r="C207" s="276"/>
      <c r="D207" s="179"/>
      <c r="E207" s="179"/>
      <c r="F207" s="179"/>
      <c r="G207" s="179"/>
      <c r="H207" s="179"/>
      <c r="I207" s="237" t="s">
        <v>202</v>
      </c>
      <c r="J207" s="176"/>
      <c r="K207" s="176"/>
      <c r="L207" s="183">
        <f>L206*3</f>
        <v>5.5440000000000005</v>
      </c>
      <c r="M207" s="183"/>
      <c r="N207" s="184">
        <v>10</v>
      </c>
      <c r="O207" s="177" t="str">
        <f>C205</f>
        <v>IP1</v>
      </c>
      <c r="P207" s="238">
        <v>22</v>
      </c>
    </row>
    <row r="208" spans="1:16" s="17" customFormat="1" ht="16.149999999999999" customHeight="1" thickBot="1" x14ac:dyDescent="0.35">
      <c r="A208" s="73"/>
      <c r="B208" s="60"/>
      <c r="C208" s="276"/>
      <c r="D208" s="179"/>
      <c r="E208" s="179"/>
      <c r="F208" s="179"/>
      <c r="G208" s="179"/>
      <c r="H208" s="179"/>
      <c r="I208" s="179"/>
      <c r="J208" s="179"/>
      <c r="K208" s="179"/>
      <c r="L208" s="179"/>
      <c r="M208" s="179"/>
      <c r="N208" s="179"/>
      <c r="O208" s="179"/>
      <c r="P208" s="179"/>
    </row>
    <row r="209" spans="1:16" s="17" customFormat="1" ht="16.350000000000001" customHeight="1" x14ac:dyDescent="0.3">
      <c r="A209" s="353"/>
      <c r="B209" s="135">
        <v>10000</v>
      </c>
      <c r="C209" s="31" t="s">
        <v>143</v>
      </c>
      <c r="D209" s="269"/>
      <c r="E209" s="42">
        <v>717</v>
      </c>
      <c r="F209" s="42"/>
      <c r="G209" s="43" t="s">
        <v>13</v>
      </c>
      <c r="H209" s="243" t="s">
        <v>120</v>
      </c>
      <c r="I209" s="245" t="s">
        <v>144</v>
      </c>
      <c r="J209" s="168"/>
      <c r="K209" s="168">
        <f>+VLOOKUP(E209,'[1]Est Madre CH 15-04'!$A$1:$C$65536,3,0)</f>
        <v>24</v>
      </c>
      <c r="L209" s="168">
        <f>K209/P209</f>
        <v>1.2E-2</v>
      </c>
      <c r="M209" s="168"/>
      <c r="N209" s="191">
        <f>9/1000</f>
        <v>8.9999999999999993E-3</v>
      </c>
      <c r="O209" s="170">
        <f>+N209*(K209+J209)</f>
        <v>0.21599999999999997</v>
      </c>
      <c r="P209" s="233">
        <v>2000</v>
      </c>
    </row>
    <row r="210" spans="1:16" s="17" customFormat="1" ht="16.350000000000001" customHeight="1" x14ac:dyDescent="0.3">
      <c r="A210" s="353"/>
      <c r="B210" s="135"/>
      <c r="C210" s="276"/>
      <c r="D210" s="179"/>
      <c r="E210" s="179"/>
      <c r="F210" s="179"/>
      <c r="G210" s="179"/>
      <c r="H210" s="179"/>
      <c r="I210" s="234" t="s">
        <v>206</v>
      </c>
      <c r="J210" s="172"/>
      <c r="K210" s="172"/>
      <c r="L210" s="172">
        <f>SUM(L209)</f>
        <v>1.2E-2</v>
      </c>
      <c r="M210" s="172"/>
      <c r="N210" s="229" t="s">
        <v>204</v>
      </c>
      <c r="O210" s="174" t="s">
        <v>208</v>
      </c>
      <c r="P210" s="230" t="s">
        <v>210</v>
      </c>
    </row>
    <row r="211" spans="1:16" s="17" customFormat="1" ht="16.350000000000001" customHeight="1" thickBot="1" x14ac:dyDescent="0.35">
      <c r="A211" s="353"/>
      <c r="B211" s="135"/>
      <c r="C211" s="276"/>
      <c r="D211" s="179"/>
      <c r="E211" s="179"/>
      <c r="F211" s="179"/>
      <c r="G211" s="179"/>
      <c r="H211" s="179"/>
      <c r="I211" s="237" t="s">
        <v>202</v>
      </c>
      <c r="J211" s="176"/>
      <c r="K211" s="176"/>
      <c r="L211" s="220">
        <f>L210*3</f>
        <v>3.6000000000000004E-2</v>
      </c>
      <c r="M211" s="220"/>
      <c r="N211" s="184">
        <v>1</v>
      </c>
      <c r="O211" s="177" t="str">
        <f>C209</f>
        <v>MP4</v>
      </c>
      <c r="P211" s="238" t="s">
        <v>194</v>
      </c>
    </row>
    <row r="212" spans="1:16" s="17" customFormat="1" ht="16.350000000000001" customHeight="1" thickBot="1" x14ac:dyDescent="0.35">
      <c r="A212" s="353"/>
      <c r="B212" s="135"/>
      <c r="C212" s="276"/>
      <c r="D212" s="179"/>
      <c r="E212" s="179"/>
      <c r="F212" s="179"/>
      <c r="G212" s="179"/>
      <c r="H212" s="179"/>
      <c r="I212" s="179"/>
      <c r="J212" s="179"/>
      <c r="K212" s="179"/>
      <c r="L212" s="179"/>
      <c r="M212" s="179"/>
      <c r="N212" s="179"/>
      <c r="O212" s="179"/>
      <c r="P212" s="179"/>
    </row>
    <row r="213" spans="1:16" s="17" customFormat="1" ht="18.75" x14ac:dyDescent="0.3">
      <c r="A213" s="353"/>
      <c r="B213" s="135">
        <v>10000</v>
      </c>
      <c r="C213" s="31" t="s">
        <v>145</v>
      </c>
      <c r="D213" s="269"/>
      <c r="E213" s="26">
        <v>59</v>
      </c>
      <c r="F213" s="27"/>
      <c r="G213" s="43" t="s">
        <v>18</v>
      </c>
      <c r="H213" s="244" t="s">
        <v>120</v>
      </c>
      <c r="I213" s="190" t="s">
        <v>146</v>
      </c>
      <c r="J213" s="168">
        <f>+VLOOKUP(E213,'[1]Est Madre LK 15-04'!$A$1:$C$65536,3,0)</f>
        <v>168</v>
      </c>
      <c r="K213" s="168"/>
      <c r="L213" s="168">
        <f>J213/P213</f>
        <v>8.4000000000000005E-2</v>
      </c>
      <c r="M213" s="168"/>
      <c r="N213" s="191">
        <f>7.3/1000</f>
        <v>7.3000000000000001E-3</v>
      </c>
      <c r="O213" s="170">
        <f>+N213*(K213+J213)</f>
        <v>1.2263999999999999</v>
      </c>
      <c r="P213" s="233">
        <v>2000</v>
      </c>
    </row>
    <row r="214" spans="1:16" s="17" customFormat="1" ht="19.5" thickBot="1" x14ac:dyDescent="0.35">
      <c r="A214" s="354"/>
      <c r="B214" s="140">
        <v>10000</v>
      </c>
      <c r="C214" s="31" t="s">
        <v>145</v>
      </c>
      <c r="D214" s="267"/>
      <c r="E214" s="44">
        <v>718</v>
      </c>
      <c r="F214" s="44"/>
      <c r="G214" s="45" t="s">
        <v>13</v>
      </c>
      <c r="H214" s="241" t="s">
        <v>120</v>
      </c>
      <c r="I214" s="246" t="s">
        <v>146</v>
      </c>
      <c r="J214" s="172"/>
      <c r="K214" s="172">
        <f>+VLOOKUP(E214,'[1]Est Madre CH 15-04'!$A$1:$C$65536,3,0)</f>
        <v>24</v>
      </c>
      <c r="L214" s="172">
        <f>K214/P214</f>
        <v>1.2E-2</v>
      </c>
      <c r="M214" s="172"/>
      <c r="N214" s="180">
        <f>7.3/1000</f>
        <v>7.3000000000000001E-3</v>
      </c>
      <c r="O214" s="174">
        <f>+N214*(K214+J214)</f>
        <v>0.17519999999999999</v>
      </c>
      <c r="P214" s="235">
        <v>2000</v>
      </c>
    </row>
    <row r="215" spans="1:16" s="17" customFormat="1" ht="21.75" thickBot="1" x14ac:dyDescent="0.35">
      <c r="A215" s="70"/>
      <c r="B215" s="82"/>
      <c r="C215" s="276"/>
      <c r="D215" s="179"/>
      <c r="E215" s="179"/>
      <c r="F215" s="179"/>
      <c r="G215" s="179"/>
      <c r="H215" s="179"/>
      <c r="I215" s="234" t="s">
        <v>206</v>
      </c>
      <c r="J215" s="172"/>
      <c r="K215" s="172"/>
      <c r="L215" s="172">
        <f>SUM(L213:L214)</f>
        <v>9.6000000000000002E-2</v>
      </c>
      <c r="M215" s="172"/>
      <c r="N215" s="229" t="s">
        <v>204</v>
      </c>
      <c r="O215" s="174" t="s">
        <v>208</v>
      </c>
      <c r="P215" s="230" t="s">
        <v>210</v>
      </c>
    </row>
    <row r="216" spans="1:16" s="17" customFormat="1" ht="21.75" thickBot="1" x14ac:dyDescent="0.35">
      <c r="A216" s="70"/>
      <c r="B216" s="82"/>
      <c r="C216" s="276"/>
      <c r="D216" s="179"/>
      <c r="E216" s="179"/>
      <c r="F216" s="179"/>
      <c r="G216" s="179"/>
      <c r="H216" s="179"/>
      <c r="I216" s="237" t="s">
        <v>202</v>
      </c>
      <c r="J216" s="176"/>
      <c r="K216" s="176"/>
      <c r="L216" s="182">
        <f>L215*3</f>
        <v>0.28800000000000003</v>
      </c>
      <c r="M216" s="182"/>
      <c r="N216" s="184">
        <v>1</v>
      </c>
      <c r="O216" s="177" t="str">
        <f>C214</f>
        <v>MP5</v>
      </c>
      <c r="P216" s="238">
        <v>2</v>
      </c>
    </row>
    <row r="217" spans="1:16" s="17" customFormat="1" ht="21.75" thickBot="1" x14ac:dyDescent="0.35">
      <c r="A217" s="70"/>
      <c r="B217" s="82"/>
      <c r="C217" s="276"/>
      <c r="D217" s="179"/>
      <c r="E217" s="179"/>
      <c r="F217" s="179"/>
      <c r="G217" s="179"/>
      <c r="H217" s="179"/>
      <c r="I217" s="179"/>
      <c r="J217" s="179"/>
      <c r="K217" s="179"/>
      <c r="L217" s="179"/>
      <c r="M217" s="179"/>
      <c r="N217" s="179"/>
      <c r="O217" s="179"/>
      <c r="P217" s="179"/>
    </row>
    <row r="218" spans="1:16" s="17" customFormat="1" ht="19.5" thickBot="1" x14ac:dyDescent="0.35">
      <c r="A218" s="76" t="s">
        <v>147</v>
      </c>
      <c r="B218" s="77">
        <v>2000</v>
      </c>
      <c r="C218" s="31" t="s">
        <v>148</v>
      </c>
      <c r="D218" s="153"/>
      <c r="E218" s="78">
        <v>569</v>
      </c>
      <c r="F218" s="50" t="s">
        <v>149</v>
      </c>
      <c r="G218" s="79" t="s">
        <v>18</v>
      </c>
      <c r="H218" s="250" t="s">
        <v>14</v>
      </c>
      <c r="I218" s="165" t="s">
        <v>150</v>
      </c>
      <c r="J218" s="168">
        <f>+VLOOKUP(E218,'[1]Est Madre LK 15-04'!$A$1:$C$65536,3,0)</f>
        <v>240</v>
      </c>
      <c r="K218" s="168"/>
      <c r="L218" s="168">
        <f>J218/P218</f>
        <v>0.12</v>
      </c>
      <c r="M218" s="168"/>
      <c r="N218" s="169">
        <v>7.0000000000000001E-3</v>
      </c>
      <c r="O218" s="170">
        <f>+N218*(K218+J218)</f>
        <v>1.68</v>
      </c>
      <c r="P218" s="171">
        <v>2000</v>
      </c>
    </row>
    <row r="219" spans="1:16" s="17" customFormat="1" ht="19.5" thickBot="1" x14ac:dyDescent="0.3">
      <c r="A219" s="66"/>
      <c r="B219" s="247"/>
      <c r="C219" s="31"/>
      <c r="D219" s="151"/>
      <c r="E219" s="84"/>
      <c r="F219" s="50"/>
      <c r="G219" s="96"/>
      <c r="H219" s="251"/>
      <c r="I219" s="234" t="s">
        <v>206</v>
      </c>
      <c r="J219" s="172"/>
      <c r="K219" s="172"/>
      <c r="L219" s="172">
        <f>SUM(L218)</f>
        <v>0.12</v>
      </c>
      <c r="M219" s="172"/>
      <c r="N219" s="229" t="s">
        <v>204</v>
      </c>
      <c r="O219" s="174" t="s">
        <v>208</v>
      </c>
      <c r="P219" s="230" t="s">
        <v>210</v>
      </c>
    </row>
    <row r="220" spans="1:16" s="17" customFormat="1" ht="19.5" thickBot="1" x14ac:dyDescent="0.35">
      <c r="A220" s="66"/>
      <c r="B220" s="247"/>
      <c r="C220" s="31"/>
      <c r="D220" s="151"/>
      <c r="E220" s="84"/>
      <c r="F220" s="50"/>
      <c r="G220" s="96"/>
      <c r="H220" s="251"/>
      <c r="I220" s="237" t="s">
        <v>202</v>
      </c>
      <c r="J220" s="176"/>
      <c r="K220" s="176"/>
      <c r="L220" s="182">
        <f>L219*3</f>
        <v>0.36</v>
      </c>
      <c r="M220" s="182"/>
      <c r="N220" s="184">
        <v>1</v>
      </c>
      <c r="O220" s="177" t="str">
        <f>C218</f>
        <v>V17</v>
      </c>
      <c r="P220" s="238" t="s">
        <v>194</v>
      </c>
    </row>
    <row r="221" spans="1:16" s="17" customFormat="1" ht="19.5" thickBot="1" x14ac:dyDescent="0.35">
      <c r="A221" s="66"/>
      <c r="B221" s="247"/>
      <c r="C221" s="276"/>
      <c r="D221" s="179"/>
      <c r="E221" s="179"/>
      <c r="F221" s="179"/>
      <c r="G221" s="179"/>
      <c r="H221" s="179"/>
      <c r="I221" s="179"/>
      <c r="J221" s="179"/>
      <c r="K221" s="179"/>
      <c r="L221" s="179"/>
      <c r="M221" s="179"/>
      <c r="N221" s="179"/>
      <c r="O221" s="179"/>
      <c r="P221" s="179"/>
    </row>
    <row r="222" spans="1:16" s="17" customFormat="1" ht="16.5" customHeight="1" thickBot="1" x14ac:dyDescent="0.35">
      <c r="A222" s="345" t="s">
        <v>151</v>
      </c>
      <c r="B222" s="139">
        <v>250</v>
      </c>
      <c r="C222" s="31" t="s">
        <v>152</v>
      </c>
      <c r="D222" s="150"/>
      <c r="E222" s="52">
        <v>843</v>
      </c>
      <c r="F222" s="50" t="s">
        <v>153</v>
      </c>
      <c r="G222" s="16" t="s">
        <v>13</v>
      </c>
      <c r="H222" s="157" t="s">
        <v>14</v>
      </c>
      <c r="I222" s="165" t="s">
        <v>154</v>
      </c>
      <c r="J222" s="168"/>
      <c r="K222" s="168">
        <f>+VLOOKUP(E222,'[1]Est Madre CH 15-04'!$A$1:$C$65536,3,0)</f>
        <v>48</v>
      </c>
      <c r="L222" s="168">
        <f>K222/P222</f>
        <v>0.192</v>
      </c>
      <c r="M222" s="168"/>
      <c r="N222" s="194">
        <v>4.2000000000000003E-2</v>
      </c>
      <c r="O222" s="170">
        <f>+N222*(K222+J222)</f>
        <v>2.016</v>
      </c>
      <c r="P222" s="171">
        <v>250</v>
      </c>
    </row>
    <row r="223" spans="1:16" s="17" customFormat="1" ht="15.75" customHeight="1" thickBot="1" x14ac:dyDescent="0.35">
      <c r="A223" s="351"/>
      <c r="B223" s="135">
        <v>250</v>
      </c>
      <c r="C223" s="31" t="s">
        <v>152</v>
      </c>
      <c r="D223" s="148"/>
      <c r="E223" s="49">
        <v>390</v>
      </c>
      <c r="F223" s="50" t="s">
        <v>155</v>
      </c>
      <c r="G223" s="43" t="s">
        <v>18</v>
      </c>
      <c r="H223" s="213" t="s">
        <v>14</v>
      </c>
      <c r="I223" s="163" t="s">
        <v>154</v>
      </c>
      <c r="J223" s="172">
        <f>+VLOOKUP(E223,'[1]Est Madre LK 15-04'!$A$1:$C$65536,3,0)</f>
        <v>120</v>
      </c>
      <c r="K223" s="172"/>
      <c r="L223" s="172">
        <f>J223/P223</f>
        <v>0.48</v>
      </c>
      <c r="M223" s="172"/>
      <c r="N223" s="252">
        <v>4.2000000000000003E-2</v>
      </c>
      <c r="O223" s="174">
        <f>+N223*(K223+J223)</f>
        <v>5.04</v>
      </c>
      <c r="P223" s="175">
        <v>250</v>
      </c>
    </row>
    <row r="224" spans="1:16" s="17" customFormat="1" ht="15.75" customHeight="1" thickBot="1" x14ac:dyDescent="0.3">
      <c r="A224" s="351"/>
      <c r="B224" s="135"/>
      <c r="C224" s="31"/>
      <c r="D224" s="148"/>
      <c r="E224" s="49"/>
      <c r="F224" s="50"/>
      <c r="G224" s="43"/>
      <c r="H224" s="213"/>
      <c r="I224" s="234" t="s">
        <v>206</v>
      </c>
      <c r="J224" s="172"/>
      <c r="K224" s="172"/>
      <c r="L224" s="172">
        <f>SUM(L222:L223)</f>
        <v>0.67199999999999993</v>
      </c>
      <c r="M224" s="172"/>
      <c r="N224" s="229" t="s">
        <v>204</v>
      </c>
      <c r="O224" s="174" t="s">
        <v>208</v>
      </c>
      <c r="P224" s="230" t="s">
        <v>210</v>
      </c>
    </row>
    <row r="225" spans="1:16" s="17" customFormat="1" ht="15.75" customHeight="1" thickBot="1" x14ac:dyDescent="0.35">
      <c r="A225" s="351"/>
      <c r="B225" s="135"/>
      <c r="C225" s="31"/>
      <c r="D225" s="148"/>
      <c r="E225" s="49"/>
      <c r="F225" s="50"/>
      <c r="G225" s="43"/>
      <c r="H225" s="213"/>
      <c r="I225" s="237" t="s">
        <v>202</v>
      </c>
      <c r="J225" s="176"/>
      <c r="K225" s="176"/>
      <c r="L225" s="182">
        <f>L224*3</f>
        <v>2.016</v>
      </c>
      <c r="M225" s="182"/>
      <c r="N225" s="184">
        <v>2</v>
      </c>
      <c r="O225" s="177" t="str">
        <f>C223</f>
        <v>V6</v>
      </c>
      <c r="P225" s="238" t="s">
        <v>194</v>
      </c>
    </row>
    <row r="226" spans="1:16" s="17" customFormat="1" ht="15.75" customHeight="1" thickBot="1" x14ac:dyDescent="0.3">
      <c r="A226" s="351"/>
      <c r="B226" s="135"/>
      <c r="C226" s="275"/>
    </row>
    <row r="227" spans="1:16" s="17" customFormat="1" ht="19.5" thickBot="1" x14ac:dyDescent="0.35">
      <c r="A227" s="351"/>
      <c r="B227" s="135">
        <v>250</v>
      </c>
      <c r="C227" s="31" t="s">
        <v>156</v>
      </c>
      <c r="D227" s="148"/>
      <c r="E227" s="54">
        <v>844</v>
      </c>
      <c r="F227" s="50" t="s">
        <v>157</v>
      </c>
      <c r="G227" s="43" t="s">
        <v>13</v>
      </c>
      <c r="H227" s="213" t="s">
        <v>14</v>
      </c>
      <c r="I227" s="165" t="s">
        <v>158</v>
      </c>
      <c r="J227" s="168"/>
      <c r="K227" s="168">
        <f>+VLOOKUP(E227,'[1]Est Madre CH 15-04'!$A$1:$C$65536,3,0)</f>
        <v>72</v>
      </c>
      <c r="L227" s="168">
        <f>K227/P227</f>
        <v>0.28799999999999998</v>
      </c>
      <c r="M227" s="168"/>
      <c r="N227" s="194">
        <v>4.8000000000000001E-2</v>
      </c>
      <c r="O227" s="170">
        <f>+N227*(K227+J227)</f>
        <v>3.456</v>
      </c>
      <c r="P227" s="171">
        <v>250</v>
      </c>
    </row>
    <row r="228" spans="1:16" s="17" customFormat="1" ht="16.5" customHeight="1" thickBot="1" x14ac:dyDescent="0.35">
      <c r="A228" s="346"/>
      <c r="B228" s="140">
        <v>250</v>
      </c>
      <c r="C228" s="31" t="s">
        <v>156</v>
      </c>
      <c r="D228" s="154"/>
      <c r="E228" s="81">
        <v>391</v>
      </c>
      <c r="F228" s="50" t="s">
        <v>159</v>
      </c>
      <c r="G228" s="45" t="s">
        <v>18</v>
      </c>
      <c r="H228" s="221" t="s">
        <v>14</v>
      </c>
      <c r="I228" s="163" t="s">
        <v>160</v>
      </c>
      <c r="J228" s="172">
        <f>+VLOOKUP(E228,'[1]Est Madre LK 15-04'!$A$1:$C$65536,3,0)</f>
        <v>288</v>
      </c>
      <c r="K228" s="172"/>
      <c r="L228" s="172">
        <f>J228/P228</f>
        <v>1.1519999999999999</v>
      </c>
      <c r="M228" s="172"/>
      <c r="N228" s="252">
        <v>4.8000000000000001E-2</v>
      </c>
      <c r="O228" s="174">
        <f>+N228*(K228+J228)</f>
        <v>13.824</v>
      </c>
      <c r="P228" s="175">
        <v>250</v>
      </c>
    </row>
    <row r="229" spans="1:16" s="17" customFormat="1" ht="16.5" customHeight="1" thickBot="1" x14ac:dyDescent="0.3">
      <c r="A229" s="80"/>
      <c r="B229" s="60"/>
      <c r="C229" s="31"/>
      <c r="D229" s="152"/>
      <c r="E229" s="217"/>
      <c r="F229" s="50"/>
      <c r="G229" s="109"/>
      <c r="H229" s="162"/>
      <c r="I229" s="234" t="s">
        <v>206</v>
      </c>
      <c r="J229" s="172"/>
      <c r="K229" s="172"/>
      <c r="L229" s="172">
        <f>SUM(L227:L228)</f>
        <v>1.44</v>
      </c>
      <c r="M229" s="172"/>
      <c r="N229" s="229" t="s">
        <v>204</v>
      </c>
      <c r="O229" s="174" t="s">
        <v>208</v>
      </c>
      <c r="P229" s="230" t="s">
        <v>210</v>
      </c>
    </row>
    <row r="230" spans="1:16" s="17" customFormat="1" ht="16.5" customHeight="1" thickBot="1" x14ac:dyDescent="0.35">
      <c r="A230" s="80"/>
      <c r="B230" s="60"/>
      <c r="C230" s="31"/>
      <c r="D230" s="152"/>
      <c r="E230" s="217"/>
      <c r="F230" s="50"/>
      <c r="G230" s="109"/>
      <c r="H230" s="162"/>
      <c r="I230" s="237" t="s">
        <v>202</v>
      </c>
      <c r="J230" s="176"/>
      <c r="K230" s="176"/>
      <c r="L230" s="182">
        <f>L229*3</f>
        <v>4.32</v>
      </c>
      <c r="M230" s="182"/>
      <c r="N230" s="184">
        <v>4</v>
      </c>
      <c r="O230" s="177" t="str">
        <f>C228</f>
        <v>V5</v>
      </c>
      <c r="P230" s="238" t="s">
        <v>194</v>
      </c>
    </row>
    <row r="231" spans="1:16" s="17" customFormat="1" ht="16.5" customHeight="1" thickBot="1" x14ac:dyDescent="0.35">
      <c r="A231" s="80"/>
      <c r="B231" s="60"/>
      <c r="C231" s="276"/>
      <c r="D231" s="179"/>
      <c r="E231" s="179"/>
      <c r="F231" s="179"/>
      <c r="G231" s="179"/>
      <c r="H231" s="179"/>
      <c r="I231" s="179"/>
      <c r="J231" s="179"/>
      <c r="K231" s="179"/>
      <c r="L231" s="179"/>
      <c r="M231" s="179"/>
      <c r="N231" s="179"/>
      <c r="O231" s="179"/>
      <c r="P231" s="179"/>
    </row>
    <row r="232" spans="1:16" s="17" customFormat="1" ht="15.75" customHeight="1" thickBot="1" x14ac:dyDescent="0.35">
      <c r="A232" s="349" t="s">
        <v>161</v>
      </c>
      <c r="B232" s="57">
        <v>250</v>
      </c>
      <c r="C232" s="31" t="s">
        <v>162</v>
      </c>
      <c r="D232" s="150"/>
      <c r="E232" s="52">
        <v>845</v>
      </c>
      <c r="F232" s="50" t="s">
        <v>163</v>
      </c>
      <c r="G232" s="16" t="s">
        <v>13</v>
      </c>
      <c r="H232" s="157" t="s">
        <v>14</v>
      </c>
      <c r="I232" s="190" t="s">
        <v>164</v>
      </c>
      <c r="J232" s="168"/>
      <c r="K232" s="168">
        <f>+VLOOKUP(E232,'[1]Est Madre CH 15-04'!$A$1:$C$65536,3,0)</f>
        <v>144</v>
      </c>
      <c r="L232" s="168">
        <f>K232/P232</f>
        <v>0.57599999999999996</v>
      </c>
      <c r="M232" s="168"/>
      <c r="N232" s="191">
        <v>5.5E-2</v>
      </c>
      <c r="O232" s="170">
        <f>+N232*(K232+J232)</f>
        <v>7.92</v>
      </c>
      <c r="P232" s="233">
        <v>250</v>
      </c>
    </row>
    <row r="233" spans="1:16" s="17" customFormat="1" ht="15.75" customHeight="1" thickBot="1" x14ac:dyDescent="0.35">
      <c r="A233" s="350"/>
      <c r="B233" s="82">
        <v>250</v>
      </c>
      <c r="C233" s="31" t="s">
        <v>162</v>
      </c>
      <c r="D233" s="154"/>
      <c r="E233" s="81">
        <v>392</v>
      </c>
      <c r="F233" s="50" t="s">
        <v>165</v>
      </c>
      <c r="G233" s="45" t="s">
        <v>18</v>
      </c>
      <c r="H233" s="221" t="s">
        <v>14</v>
      </c>
      <c r="I233" s="234" t="s">
        <v>164</v>
      </c>
      <c r="J233" s="172">
        <f>+VLOOKUP(E233,'[1]Est Madre LK 15-04'!$A$1:$C$65536,3,0)</f>
        <v>600</v>
      </c>
      <c r="K233" s="172"/>
      <c r="L233" s="172">
        <f>J233/P233</f>
        <v>2.4</v>
      </c>
      <c r="M233" s="172"/>
      <c r="N233" s="180">
        <v>5.5E-2</v>
      </c>
      <c r="O233" s="174">
        <f>+N233*(K233+J233)</f>
        <v>33</v>
      </c>
      <c r="P233" s="235">
        <v>250</v>
      </c>
    </row>
    <row r="234" spans="1:16" s="17" customFormat="1" ht="15.75" customHeight="1" thickBot="1" x14ac:dyDescent="0.3">
      <c r="A234" s="202"/>
      <c r="B234" s="60"/>
      <c r="C234" s="31"/>
      <c r="D234" s="152"/>
      <c r="E234" s="217"/>
      <c r="F234" s="50"/>
      <c r="G234" s="109"/>
      <c r="H234" s="162"/>
      <c r="I234" s="234" t="s">
        <v>206</v>
      </c>
      <c r="J234" s="172"/>
      <c r="K234" s="172"/>
      <c r="L234" s="172">
        <f>SUM(L232:L233)</f>
        <v>2.976</v>
      </c>
      <c r="M234" s="172"/>
      <c r="N234" s="229" t="s">
        <v>204</v>
      </c>
      <c r="O234" s="174" t="s">
        <v>208</v>
      </c>
      <c r="P234" s="230" t="s">
        <v>210</v>
      </c>
    </row>
    <row r="235" spans="1:16" s="17" customFormat="1" ht="15.75" customHeight="1" thickBot="1" x14ac:dyDescent="0.35">
      <c r="A235" s="202"/>
      <c r="B235" s="60"/>
      <c r="C235" s="31"/>
      <c r="D235" s="152"/>
      <c r="E235" s="217"/>
      <c r="F235" s="50"/>
      <c r="G235" s="109"/>
      <c r="H235" s="162"/>
      <c r="I235" s="237" t="s">
        <v>202</v>
      </c>
      <c r="J235" s="176"/>
      <c r="K235" s="176"/>
      <c r="L235" s="182">
        <f>L234*3</f>
        <v>8.9280000000000008</v>
      </c>
      <c r="M235" s="182"/>
      <c r="N235" s="184">
        <v>8</v>
      </c>
      <c r="O235" s="177" t="str">
        <f>C233</f>
        <v>V2</v>
      </c>
      <c r="P235" s="238" t="s">
        <v>194</v>
      </c>
    </row>
    <row r="236" spans="1:16" s="17" customFormat="1" ht="15.75" customHeight="1" thickBot="1" x14ac:dyDescent="0.3">
      <c r="A236" s="202"/>
      <c r="B236" s="60"/>
      <c r="C236" s="275"/>
    </row>
    <row r="237" spans="1:16" s="17" customFormat="1" ht="15.75" customHeight="1" thickBot="1" x14ac:dyDescent="0.35">
      <c r="A237" s="345" t="s">
        <v>166</v>
      </c>
      <c r="B237" s="57">
        <v>250</v>
      </c>
      <c r="C237" s="31" t="s">
        <v>167</v>
      </c>
      <c r="D237" s="150"/>
      <c r="E237" s="52">
        <v>846</v>
      </c>
      <c r="F237" s="50" t="s">
        <v>168</v>
      </c>
      <c r="G237" s="16" t="s">
        <v>13</v>
      </c>
      <c r="H237" s="157" t="s">
        <v>14</v>
      </c>
      <c r="I237" s="190" t="s">
        <v>169</v>
      </c>
      <c r="J237" s="168"/>
      <c r="K237" s="168">
        <f>+VLOOKUP(E237,'[1]Est Madre CH 15-04'!$A$1:$C$65536,3,0)</f>
        <v>144</v>
      </c>
      <c r="L237" s="168">
        <f>K237/P237</f>
        <v>0.57599999999999996</v>
      </c>
      <c r="M237" s="168"/>
      <c r="N237" s="191">
        <v>4.2999999999999997E-2</v>
      </c>
      <c r="O237" s="170">
        <f>+N237*(K237+J237)</f>
        <v>6.1919999999999993</v>
      </c>
      <c r="P237" s="233">
        <v>250</v>
      </c>
    </row>
    <row r="238" spans="1:16" s="17" customFormat="1" ht="16.5" customHeight="1" thickBot="1" x14ac:dyDescent="0.35">
      <c r="A238" s="351"/>
      <c r="B238" s="60">
        <v>250</v>
      </c>
      <c r="C238" s="31" t="s">
        <v>167</v>
      </c>
      <c r="D238" s="149"/>
      <c r="E238" s="51">
        <v>393</v>
      </c>
      <c r="F238" s="50" t="s">
        <v>170</v>
      </c>
      <c r="G238" s="72" t="s">
        <v>18</v>
      </c>
      <c r="H238" s="239" t="s">
        <v>14</v>
      </c>
      <c r="I238" s="234" t="s">
        <v>169</v>
      </c>
      <c r="J238" s="172">
        <f>+VLOOKUP(E238,'[1]Est Madre LK 15-04'!$A$1:$C$65536,3,0)</f>
        <v>432</v>
      </c>
      <c r="K238" s="172"/>
      <c r="L238" s="172">
        <f>J238/P238</f>
        <v>1.728</v>
      </c>
      <c r="M238" s="172"/>
      <c r="N238" s="180">
        <v>4.2999999999999997E-2</v>
      </c>
      <c r="O238" s="174">
        <f>+N238*(K238+J238)</f>
        <v>18.575999999999997</v>
      </c>
      <c r="P238" s="235">
        <v>250</v>
      </c>
    </row>
    <row r="239" spans="1:16" s="17" customFormat="1" ht="16.5" customHeight="1" thickBot="1" x14ac:dyDescent="0.3">
      <c r="A239" s="351"/>
      <c r="B239" s="60"/>
      <c r="C239" s="31"/>
      <c r="D239" s="152"/>
      <c r="E239" s="217"/>
      <c r="F239" s="50"/>
      <c r="G239" s="109"/>
      <c r="H239" s="162"/>
      <c r="I239" s="234" t="s">
        <v>206</v>
      </c>
      <c r="J239" s="172"/>
      <c r="K239" s="172"/>
      <c r="L239" s="172">
        <f>SUM(L237:L238)</f>
        <v>2.3039999999999998</v>
      </c>
      <c r="M239" s="172"/>
      <c r="N239" s="229" t="s">
        <v>204</v>
      </c>
      <c r="O239" s="174" t="s">
        <v>208</v>
      </c>
      <c r="P239" s="230" t="s">
        <v>210</v>
      </c>
    </row>
    <row r="240" spans="1:16" s="17" customFormat="1" ht="16.5" customHeight="1" thickBot="1" x14ac:dyDescent="0.35">
      <c r="A240" s="351"/>
      <c r="B240" s="60"/>
      <c r="C240" s="31"/>
      <c r="D240" s="152"/>
      <c r="E240" s="217"/>
      <c r="F240" s="50"/>
      <c r="G240" s="109"/>
      <c r="H240" s="162"/>
      <c r="I240" s="237" t="s">
        <v>202</v>
      </c>
      <c r="J240" s="176"/>
      <c r="K240" s="176"/>
      <c r="L240" s="183">
        <f>L239*3</f>
        <v>6.911999999999999</v>
      </c>
      <c r="M240" s="183"/>
      <c r="N240" s="184">
        <v>2</v>
      </c>
      <c r="O240" s="177" t="str">
        <f>C238</f>
        <v>V7</v>
      </c>
      <c r="P240" s="238" t="s">
        <v>194</v>
      </c>
    </row>
    <row r="241" spans="1:16" s="17" customFormat="1" ht="16.5" customHeight="1" thickBot="1" x14ac:dyDescent="0.3">
      <c r="A241" s="351"/>
      <c r="B241" s="60"/>
      <c r="C241" s="275"/>
    </row>
    <row r="242" spans="1:16" s="17" customFormat="1" ht="19.5" thickBot="1" x14ac:dyDescent="0.35">
      <c r="A242" s="351"/>
      <c r="B242" s="139">
        <v>250</v>
      </c>
      <c r="C242" s="31" t="s">
        <v>171</v>
      </c>
      <c r="D242" s="150"/>
      <c r="E242" s="52">
        <v>842</v>
      </c>
      <c r="F242" s="50" t="s">
        <v>172</v>
      </c>
      <c r="G242" s="16" t="s">
        <v>13</v>
      </c>
      <c r="H242" s="157" t="s">
        <v>14</v>
      </c>
      <c r="I242" s="190" t="s">
        <v>173</v>
      </c>
      <c r="J242" s="168"/>
      <c r="K242" s="168">
        <f>+VLOOKUP(E242,'[1]Est Madre CH 15-04'!$A$1:$C$65536,3,0)</f>
        <v>120</v>
      </c>
      <c r="L242" s="168">
        <f>K242/P242</f>
        <v>0.48</v>
      </c>
      <c r="M242" s="168"/>
      <c r="N242" s="191">
        <v>0.05</v>
      </c>
      <c r="O242" s="170">
        <f>+N242*(K242+J242)</f>
        <v>6</v>
      </c>
      <c r="P242" s="233">
        <v>250</v>
      </c>
    </row>
    <row r="243" spans="1:16" s="17" customFormat="1" ht="15.75" customHeight="1" thickBot="1" x14ac:dyDescent="0.35">
      <c r="A243" s="346"/>
      <c r="B243" s="140">
        <v>250</v>
      </c>
      <c r="C243" s="31" t="s">
        <v>171</v>
      </c>
      <c r="D243" s="154"/>
      <c r="E243" s="81">
        <v>394</v>
      </c>
      <c r="F243" s="50" t="s">
        <v>174</v>
      </c>
      <c r="G243" s="45" t="s">
        <v>18</v>
      </c>
      <c r="H243" s="221" t="s">
        <v>14</v>
      </c>
      <c r="I243" s="234" t="s">
        <v>173</v>
      </c>
      <c r="J243" s="172">
        <f>+VLOOKUP(E243,'[1]Est Madre LK 15-04'!$A$1:$C$65536,3,0)</f>
        <v>360</v>
      </c>
      <c r="K243" s="172"/>
      <c r="L243" s="172">
        <f>J243/P243</f>
        <v>1.44</v>
      </c>
      <c r="M243" s="172"/>
      <c r="N243" s="180">
        <v>0.05</v>
      </c>
      <c r="O243" s="174">
        <f>+N243*(K243+J243)</f>
        <v>18</v>
      </c>
      <c r="P243" s="235">
        <v>250</v>
      </c>
    </row>
    <row r="244" spans="1:16" s="17" customFormat="1" ht="15.75" customHeight="1" thickBot="1" x14ac:dyDescent="0.3">
      <c r="A244" s="80"/>
      <c r="B244" s="60"/>
      <c r="C244" s="31"/>
      <c r="D244" s="152"/>
      <c r="E244" s="217"/>
      <c r="F244" s="50"/>
      <c r="G244" s="109"/>
      <c r="H244" s="162"/>
      <c r="I244" s="234" t="s">
        <v>206</v>
      </c>
      <c r="J244" s="172"/>
      <c r="K244" s="172"/>
      <c r="L244" s="172">
        <f>SUM(L242:L243)</f>
        <v>1.92</v>
      </c>
      <c r="M244" s="172"/>
      <c r="N244" s="229" t="s">
        <v>204</v>
      </c>
      <c r="O244" s="174" t="s">
        <v>208</v>
      </c>
      <c r="P244" s="230" t="s">
        <v>210</v>
      </c>
    </row>
    <row r="245" spans="1:16" s="17" customFormat="1" ht="15.75" customHeight="1" thickBot="1" x14ac:dyDescent="0.35">
      <c r="A245" s="80"/>
      <c r="B245" s="60"/>
      <c r="C245" s="31"/>
      <c r="D245" s="152"/>
      <c r="E245" s="217"/>
      <c r="F245" s="50"/>
      <c r="G245" s="109"/>
      <c r="H245" s="162"/>
      <c r="I245" s="237" t="s">
        <v>202</v>
      </c>
      <c r="J245" s="176"/>
      <c r="K245" s="176"/>
      <c r="L245" s="182">
        <f>L244*3</f>
        <v>5.76</v>
      </c>
      <c r="M245" s="182"/>
      <c r="N245" s="184">
        <v>7</v>
      </c>
      <c r="O245" s="177" t="str">
        <f>C243</f>
        <v>V3</v>
      </c>
      <c r="P245" s="238"/>
    </row>
    <row r="246" spans="1:16" s="17" customFormat="1" ht="15.75" customHeight="1" thickBot="1" x14ac:dyDescent="0.35">
      <c r="A246" s="80"/>
      <c r="B246" s="60"/>
      <c r="C246" s="276"/>
      <c r="D246" s="179"/>
      <c r="E246" s="179"/>
      <c r="F246" s="179"/>
      <c r="G246" s="179"/>
      <c r="H246" s="179"/>
      <c r="I246" s="179"/>
      <c r="J246" s="179"/>
      <c r="K246" s="179"/>
      <c r="L246" s="179"/>
      <c r="M246" s="179"/>
      <c r="N246" s="179"/>
      <c r="O246" s="179"/>
      <c r="P246" s="179"/>
    </row>
    <row r="247" spans="1:16" s="17" customFormat="1" ht="15.75" customHeight="1" thickBot="1" x14ac:dyDescent="0.35">
      <c r="A247" s="349" t="s">
        <v>175</v>
      </c>
      <c r="B247" s="60"/>
      <c r="C247" s="31" t="s">
        <v>176</v>
      </c>
      <c r="D247" s="147"/>
      <c r="E247" s="67">
        <v>547</v>
      </c>
      <c r="F247" s="50" t="s">
        <v>177</v>
      </c>
      <c r="G247" s="69" t="s">
        <v>18</v>
      </c>
      <c r="H247" s="265" t="s">
        <v>14</v>
      </c>
      <c r="I247" s="190" t="s">
        <v>175</v>
      </c>
      <c r="J247" s="168">
        <f>+VLOOKUP(E247,'[1]Est Madre LK 15-04'!$A$1:$C$65536,3,0)</f>
        <v>24</v>
      </c>
      <c r="K247" s="168"/>
      <c r="L247" s="168">
        <f>J247/P247</f>
        <v>0.2</v>
      </c>
      <c r="M247" s="168"/>
      <c r="N247" s="191">
        <f>62/1000</f>
        <v>6.2E-2</v>
      </c>
      <c r="O247" s="170">
        <f>+N247*(K247+J247)</f>
        <v>1.488</v>
      </c>
      <c r="P247" s="233">
        <v>120</v>
      </c>
    </row>
    <row r="248" spans="1:16" s="17" customFormat="1" ht="19.5" thickBot="1" x14ac:dyDescent="0.35">
      <c r="A248" s="350"/>
      <c r="B248" s="60"/>
      <c r="C248" s="31" t="s">
        <v>176</v>
      </c>
      <c r="D248" s="149"/>
      <c r="E248" s="74">
        <v>818</v>
      </c>
      <c r="F248" s="50" t="s">
        <v>178</v>
      </c>
      <c r="G248" s="72" t="s">
        <v>13</v>
      </c>
      <c r="H248" s="239" t="s">
        <v>14</v>
      </c>
      <c r="I248" s="234" t="s">
        <v>175</v>
      </c>
      <c r="J248" s="172"/>
      <c r="K248" s="172">
        <f>+VLOOKUP(E248,'[1]Est Madre CH 15-04'!$A$1:$C$65536,3,0)</f>
        <v>0</v>
      </c>
      <c r="L248" s="172"/>
      <c r="M248" s="172"/>
      <c r="N248" s="180">
        <f>62/1000</f>
        <v>6.2E-2</v>
      </c>
      <c r="O248" s="174">
        <f>+N248*(K248+J248)</f>
        <v>0</v>
      </c>
      <c r="P248" s="235">
        <v>120</v>
      </c>
    </row>
    <row r="249" spans="1:16" s="17" customFormat="1" ht="19.5" thickBot="1" x14ac:dyDescent="0.3">
      <c r="A249" s="202"/>
      <c r="B249" s="60"/>
      <c r="C249" s="31"/>
      <c r="D249" s="152"/>
      <c r="E249" s="216"/>
      <c r="F249" s="63"/>
      <c r="G249" s="109"/>
      <c r="H249" s="162"/>
      <c r="I249" s="234" t="s">
        <v>206</v>
      </c>
      <c r="J249" s="172"/>
      <c r="K249" s="172"/>
      <c r="L249" s="172">
        <f>SUM(L247:L248)</f>
        <v>0.2</v>
      </c>
      <c r="M249" s="172"/>
      <c r="N249" s="229" t="s">
        <v>204</v>
      </c>
      <c r="O249" s="174" t="s">
        <v>208</v>
      </c>
      <c r="P249" s="230" t="s">
        <v>210</v>
      </c>
    </row>
    <row r="250" spans="1:16" s="17" customFormat="1" ht="19.5" thickBot="1" x14ac:dyDescent="0.35">
      <c r="A250" s="202"/>
      <c r="B250" s="60"/>
      <c r="C250" s="31"/>
      <c r="D250" s="152"/>
      <c r="E250" s="216"/>
      <c r="F250" s="63"/>
      <c r="G250" s="109"/>
      <c r="H250" s="162"/>
      <c r="I250" s="237" t="s">
        <v>202</v>
      </c>
      <c r="J250" s="176"/>
      <c r="K250" s="176"/>
      <c r="L250" s="182">
        <f>L249*3</f>
        <v>0.60000000000000009</v>
      </c>
      <c r="M250" s="182"/>
      <c r="N250" s="184">
        <v>2</v>
      </c>
      <c r="O250" s="177" t="str">
        <f>C248</f>
        <v>V8</v>
      </c>
      <c r="P250" s="238"/>
    </row>
    <row r="251" spans="1:16" s="17" customFormat="1" ht="19.5" thickBot="1" x14ac:dyDescent="0.35">
      <c r="A251" s="202"/>
      <c r="B251" s="60"/>
      <c r="C251" s="276"/>
      <c r="D251" s="179"/>
      <c r="E251" s="179"/>
      <c r="F251" s="179"/>
      <c r="G251" s="179"/>
      <c r="H251" s="179"/>
      <c r="I251" s="179"/>
      <c r="J251" s="179"/>
      <c r="K251" s="179"/>
      <c r="L251" s="179"/>
      <c r="M251" s="179"/>
      <c r="N251" s="179"/>
      <c r="O251" s="179"/>
      <c r="P251" s="179"/>
    </row>
    <row r="252" spans="1:16" ht="18.75" x14ac:dyDescent="0.3">
      <c r="A252" s="352" t="s">
        <v>179</v>
      </c>
      <c r="B252" s="260"/>
      <c r="C252" s="31" t="s">
        <v>180</v>
      </c>
      <c r="D252" s="268"/>
      <c r="E252" s="64">
        <v>908</v>
      </c>
      <c r="F252" s="64"/>
      <c r="G252" s="37" t="s">
        <v>13</v>
      </c>
      <c r="H252" s="232" t="s">
        <v>34</v>
      </c>
      <c r="I252" s="245" t="s">
        <v>181</v>
      </c>
      <c r="J252" s="168"/>
      <c r="K252" s="168">
        <f>+VLOOKUP(E252,'[1]Est Madre CH 15-04'!$A$1:$C$65536,3,0)</f>
        <v>24</v>
      </c>
      <c r="L252" s="168">
        <f>K252/P252</f>
        <v>0.12</v>
      </c>
      <c r="M252" s="168"/>
      <c r="N252" s="281">
        <f>55/1000</f>
        <v>5.5E-2</v>
      </c>
      <c r="O252" s="170">
        <f>+N252*(K252+J252)</f>
        <v>1.32</v>
      </c>
      <c r="P252" s="233">
        <v>200</v>
      </c>
    </row>
    <row r="253" spans="1:16" ht="18.75" x14ac:dyDescent="0.25">
      <c r="A253" s="353"/>
      <c r="B253" s="261"/>
      <c r="C253" s="31"/>
      <c r="D253" s="156"/>
      <c r="E253" s="131"/>
      <c r="F253" s="131"/>
      <c r="G253" s="127"/>
      <c r="H253" s="164"/>
      <c r="I253" s="234" t="s">
        <v>206</v>
      </c>
      <c r="J253" s="172"/>
      <c r="K253" s="172"/>
      <c r="L253" s="172">
        <f>SUM(L252)</f>
        <v>0.12</v>
      </c>
      <c r="M253" s="172"/>
      <c r="N253" s="229" t="s">
        <v>204</v>
      </c>
      <c r="O253" s="174" t="s">
        <v>208</v>
      </c>
      <c r="P253" s="230" t="s">
        <v>210</v>
      </c>
    </row>
    <row r="254" spans="1:16" ht="19.5" thickBot="1" x14ac:dyDescent="0.35">
      <c r="A254" s="353"/>
      <c r="B254" s="261"/>
      <c r="C254" s="31"/>
      <c r="D254" s="156"/>
      <c r="E254" s="131"/>
      <c r="F254" s="131"/>
      <c r="G254" s="127"/>
      <c r="H254" s="164"/>
      <c r="I254" s="237" t="s">
        <v>202</v>
      </c>
      <c r="J254" s="176"/>
      <c r="K254" s="176"/>
      <c r="L254" s="182">
        <f>L253*3</f>
        <v>0.36</v>
      </c>
      <c r="M254" s="182"/>
      <c r="N254" s="184">
        <v>2</v>
      </c>
      <c r="O254" s="177" t="str">
        <f>C252</f>
        <v>V16</v>
      </c>
      <c r="P254" s="238"/>
    </row>
    <row r="255" spans="1:16" ht="19.5" thickBot="1" x14ac:dyDescent="0.35">
      <c r="A255" s="353"/>
      <c r="B255" s="261"/>
      <c r="C255" s="276"/>
      <c r="D255" s="179"/>
      <c r="E255" s="179"/>
      <c r="F255" s="179"/>
      <c r="G255" s="179"/>
      <c r="H255" s="179"/>
      <c r="I255" s="179"/>
      <c r="J255" s="179"/>
      <c r="K255" s="179"/>
      <c r="L255" s="179"/>
      <c r="M255" s="179"/>
      <c r="N255" s="179"/>
      <c r="O255" s="179"/>
      <c r="P255" s="179"/>
    </row>
    <row r="256" spans="1:16" ht="19.5" thickBot="1" x14ac:dyDescent="0.35">
      <c r="A256" s="354"/>
      <c r="B256" s="262"/>
      <c r="C256" s="31" t="s">
        <v>182</v>
      </c>
      <c r="D256" s="270"/>
      <c r="E256" s="32">
        <v>248</v>
      </c>
      <c r="F256" s="32"/>
      <c r="G256" s="34" t="s">
        <v>18</v>
      </c>
      <c r="H256" s="198" t="s">
        <v>34</v>
      </c>
      <c r="I256" s="190" t="s">
        <v>183</v>
      </c>
      <c r="J256" s="168">
        <f>+VLOOKUP(E256,'[1]Est Madre LK 15-04'!$A$1:$C$65536,3,0)</f>
        <v>984</v>
      </c>
      <c r="K256" s="168"/>
      <c r="L256" s="168">
        <f>J256/P256</f>
        <v>4.92</v>
      </c>
      <c r="M256" s="168"/>
      <c r="N256" s="281">
        <f>55/1000</f>
        <v>5.5E-2</v>
      </c>
      <c r="O256" s="170">
        <f>+N256*(K256+J256)</f>
        <v>54.12</v>
      </c>
      <c r="P256" s="233">
        <v>200</v>
      </c>
    </row>
    <row r="257" spans="1:16" ht="21.75" thickBot="1" x14ac:dyDescent="0.3">
      <c r="A257" s="70"/>
      <c r="B257" s="263"/>
      <c r="C257" s="31"/>
      <c r="D257" s="152"/>
      <c r="E257" s="217"/>
      <c r="F257" s="131"/>
      <c r="G257" s="127"/>
      <c r="H257" s="164"/>
      <c r="I257" s="234" t="s">
        <v>206</v>
      </c>
      <c r="J257" s="172"/>
      <c r="K257" s="172"/>
      <c r="L257" s="172">
        <f>SUM(L256)</f>
        <v>4.92</v>
      </c>
      <c r="M257" s="172"/>
      <c r="N257" s="229" t="s">
        <v>204</v>
      </c>
      <c r="O257" s="174" t="s">
        <v>208</v>
      </c>
      <c r="P257" s="230" t="s">
        <v>210</v>
      </c>
    </row>
    <row r="258" spans="1:16" ht="21.75" thickBot="1" x14ac:dyDescent="0.35">
      <c r="A258" s="70"/>
      <c r="B258" s="263"/>
      <c r="C258" s="31"/>
      <c r="D258" s="152"/>
      <c r="E258" s="217"/>
      <c r="F258" s="131"/>
      <c r="G258" s="127"/>
      <c r="H258" s="164"/>
      <c r="I258" s="237" t="s">
        <v>202</v>
      </c>
      <c r="J258" s="176"/>
      <c r="K258" s="176"/>
      <c r="L258" s="182">
        <f>L257*3</f>
        <v>14.76</v>
      </c>
      <c r="M258" s="182"/>
      <c r="N258" s="184">
        <v>22</v>
      </c>
      <c r="O258" s="177" t="str">
        <f>C256</f>
        <v>V15</v>
      </c>
      <c r="P258" s="238"/>
    </row>
    <row r="259" spans="1:16" ht="21.75" thickBot="1" x14ac:dyDescent="0.35">
      <c r="A259" s="70"/>
      <c r="B259" s="263"/>
      <c r="C259" s="276"/>
      <c r="D259" s="179"/>
      <c r="E259" s="179"/>
      <c r="F259" s="179"/>
      <c r="G259" s="179"/>
      <c r="H259" s="179"/>
      <c r="I259" s="179"/>
      <c r="J259" s="179"/>
      <c r="K259" s="179"/>
      <c r="L259" s="179"/>
      <c r="M259" s="179"/>
      <c r="N259" s="179"/>
      <c r="O259" s="179"/>
      <c r="P259" s="179"/>
    </row>
    <row r="260" spans="1:16" ht="23.25" customHeight="1" thickBot="1" x14ac:dyDescent="0.35">
      <c r="A260" s="83" t="s">
        <v>184</v>
      </c>
      <c r="B260" s="141">
        <v>1000</v>
      </c>
      <c r="C260" s="31" t="s">
        <v>185</v>
      </c>
      <c r="D260" s="151"/>
      <c r="E260" s="84">
        <v>280</v>
      </c>
      <c r="F260" s="50" t="s">
        <v>186</v>
      </c>
      <c r="G260" s="85" t="s">
        <v>18</v>
      </c>
      <c r="H260" s="278" t="s">
        <v>14</v>
      </c>
      <c r="I260" s="190" t="s">
        <v>184</v>
      </c>
      <c r="J260" s="168">
        <f>+VLOOKUP(E260,'[1]Est Madre LK 15-04'!$A$1:$C$65536,3,0)</f>
        <v>984</v>
      </c>
      <c r="K260" s="168"/>
      <c r="L260" s="168">
        <f>J260/P260</f>
        <v>0.98399999999999999</v>
      </c>
      <c r="M260" s="168"/>
      <c r="N260" s="281">
        <v>1.1000000000000001E-3</v>
      </c>
      <c r="O260" s="170">
        <f>+N260*(K260+J260)</f>
        <v>1.0824</v>
      </c>
      <c r="P260" s="233">
        <v>1000</v>
      </c>
    </row>
    <row r="261" spans="1:16" ht="19.5" thickBot="1" x14ac:dyDescent="0.35">
      <c r="A261" s="83"/>
      <c r="B261" s="141"/>
      <c r="C261" s="31"/>
      <c r="D261" s="151"/>
      <c r="E261" s="84"/>
      <c r="F261" s="50"/>
      <c r="G261" s="85"/>
      <c r="H261" s="278"/>
      <c r="I261" s="234" t="s">
        <v>206</v>
      </c>
      <c r="J261" s="172"/>
      <c r="K261" s="172"/>
      <c r="L261" s="172">
        <f>SUM(L259:L260)</f>
        <v>0.98399999999999999</v>
      </c>
      <c r="M261" s="172"/>
      <c r="N261" s="229" t="s">
        <v>204</v>
      </c>
      <c r="O261" s="174" t="s">
        <v>208</v>
      </c>
      <c r="P261" s="230" t="s">
        <v>210</v>
      </c>
    </row>
    <row r="262" spans="1:16" ht="19.5" thickBot="1" x14ac:dyDescent="0.35">
      <c r="A262" s="83"/>
      <c r="B262" s="141"/>
      <c r="C262" s="31"/>
      <c r="D262" s="151"/>
      <c r="E262" s="84"/>
      <c r="F262" s="50"/>
      <c r="G262" s="85"/>
      <c r="H262" s="278"/>
      <c r="I262" s="237" t="s">
        <v>202</v>
      </c>
      <c r="J262" s="176"/>
      <c r="K262" s="176"/>
      <c r="L262" s="182">
        <f>L261*3</f>
        <v>2.952</v>
      </c>
      <c r="M262" s="182"/>
      <c r="N262" s="184">
        <v>4</v>
      </c>
      <c r="O262" s="177" t="str">
        <f>C260</f>
        <v>V14</v>
      </c>
      <c r="P262" s="238"/>
    </row>
    <row r="263" spans="1:16" ht="19.5" thickBot="1" x14ac:dyDescent="0.35">
      <c r="A263" s="83"/>
      <c r="B263" s="141"/>
      <c r="C263" s="276"/>
      <c r="D263" s="179"/>
      <c r="E263" s="179"/>
      <c r="F263" s="179"/>
      <c r="G263" s="179"/>
      <c r="H263" s="179"/>
      <c r="I263" s="179"/>
      <c r="J263" s="179"/>
      <c r="K263" s="179"/>
      <c r="L263" s="179"/>
      <c r="M263" s="179"/>
      <c r="N263" s="179"/>
      <c r="O263" s="179"/>
      <c r="P263" s="179"/>
    </row>
    <row r="264" spans="1:16" ht="34.9" customHeight="1" thickBot="1" x14ac:dyDescent="0.35">
      <c r="A264" s="83" t="s">
        <v>187</v>
      </c>
      <c r="B264" s="142">
        <v>500</v>
      </c>
      <c r="C264" s="31" t="s">
        <v>188</v>
      </c>
      <c r="D264" s="153"/>
      <c r="E264" s="78">
        <v>355</v>
      </c>
      <c r="F264" s="50" t="s">
        <v>66</v>
      </c>
      <c r="G264" s="86" t="s">
        <v>18</v>
      </c>
      <c r="H264" s="279" t="s">
        <v>14</v>
      </c>
      <c r="I264" s="190" t="s">
        <v>189</v>
      </c>
      <c r="J264" s="168">
        <f>+VLOOKUP(E264,'[1]Est Madre LK 15-04'!$A$1:$C$65536,3,0)</f>
        <v>480</v>
      </c>
      <c r="K264" s="168"/>
      <c r="L264" s="168">
        <f>J264/P264</f>
        <v>0.96</v>
      </c>
      <c r="M264" s="168"/>
      <c r="N264" s="281">
        <f>14/1000</f>
        <v>1.4E-2</v>
      </c>
      <c r="O264" s="170">
        <f>+N264*(K264+J264)</f>
        <v>6.72</v>
      </c>
      <c r="P264" s="233">
        <v>500</v>
      </c>
    </row>
    <row r="265" spans="1:16" ht="19.5" thickBot="1" x14ac:dyDescent="0.35">
      <c r="A265" s="248"/>
      <c r="B265" s="87"/>
      <c r="C265" s="31"/>
      <c r="D265" s="155"/>
      <c r="E265" s="88"/>
      <c r="F265" s="50"/>
      <c r="G265" s="89"/>
      <c r="H265" s="249"/>
      <c r="I265" s="234" t="s">
        <v>206</v>
      </c>
      <c r="J265" s="172"/>
      <c r="K265" s="172"/>
      <c r="L265" s="172">
        <f>SUM(L263:L264)</f>
        <v>0.96</v>
      </c>
      <c r="M265" s="172"/>
      <c r="N265" s="229" t="s">
        <v>204</v>
      </c>
      <c r="O265" s="174" t="s">
        <v>208</v>
      </c>
      <c r="P265" s="230" t="s">
        <v>210</v>
      </c>
    </row>
    <row r="266" spans="1:16" ht="19.5" thickBot="1" x14ac:dyDescent="0.35">
      <c r="A266" s="248"/>
      <c r="B266" s="87"/>
      <c r="C266" s="31"/>
      <c r="D266" s="155"/>
      <c r="E266" s="88"/>
      <c r="F266" s="50"/>
      <c r="G266" s="89"/>
      <c r="H266" s="249"/>
      <c r="I266" s="237" t="s">
        <v>202</v>
      </c>
      <c r="J266" s="176"/>
      <c r="K266" s="176"/>
      <c r="L266" s="182">
        <f>L265*3</f>
        <v>2.88</v>
      </c>
      <c r="M266" s="182"/>
      <c r="N266" s="184">
        <v>3</v>
      </c>
      <c r="O266" s="177" t="str">
        <f>C264</f>
        <v>V1</v>
      </c>
      <c r="P266" s="238"/>
    </row>
    <row r="267" spans="1:16" ht="19.5" thickBot="1" x14ac:dyDescent="0.35">
      <c r="A267" s="248"/>
      <c r="B267" s="87"/>
      <c r="C267" s="276"/>
      <c r="D267" s="179"/>
      <c r="E267" s="179"/>
      <c r="F267" s="179"/>
      <c r="G267" s="179"/>
      <c r="H267" s="179"/>
      <c r="I267" s="179"/>
      <c r="J267" s="179"/>
      <c r="K267" s="179"/>
      <c r="L267" s="179"/>
      <c r="M267" s="179"/>
      <c r="N267" s="179"/>
      <c r="O267" s="179"/>
      <c r="P267" s="179"/>
    </row>
    <row r="268" spans="1:16" ht="17.25" customHeight="1" thickBot="1" x14ac:dyDescent="0.35">
      <c r="A268" s="345" t="s">
        <v>190</v>
      </c>
      <c r="B268" s="87"/>
      <c r="C268" s="31" t="s">
        <v>191</v>
      </c>
      <c r="D268" s="155"/>
      <c r="E268" s="88">
        <v>523</v>
      </c>
      <c r="F268" s="50" t="s">
        <v>192</v>
      </c>
      <c r="G268" s="89" t="s">
        <v>18</v>
      </c>
      <c r="H268" s="90" t="s">
        <v>14</v>
      </c>
      <c r="I268" s="282" t="s">
        <v>193</v>
      </c>
      <c r="J268" s="168">
        <f>+VLOOKUP(E268,'[1]Est Madre LK 15-04'!$A$1:$C$65536,3,0)</f>
        <v>1608</v>
      </c>
      <c r="K268" s="168"/>
      <c r="L268" s="168">
        <f>J268/P268</f>
        <v>3.2160000000000002</v>
      </c>
      <c r="M268" s="168"/>
      <c r="N268" s="281">
        <v>2.1999999999999999E-2</v>
      </c>
      <c r="O268" s="170">
        <f>+N268*(K268+J268)</f>
        <v>35.375999999999998</v>
      </c>
      <c r="P268" s="233">
        <v>500</v>
      </c>
    </row>
    <row r="269" spans="1:16" ht="19.5" thickBot="1" x14ac:dyDescent="0.35">
      <c r="A269" s="346"/>
      <c r="B269" s="143"/>
      <c r="C269" s="31" t="s">
        <v>191</v>
      </c>
      <c r="D269" s="154"/>
      <c r="E269" s="81">
        <v>723</v>
      </c>
      <c r="F269" s="50" t="s">
        <v>192</v>
      </c>
      <c r="G269" s="21" t="s">
        <v>13</v>
      </c>
      <c r="H269" s="91" t="s">
        <v>14</v>
      </c>
      <c r="I269" s="283" t="s">
        <v>195</v>
      </c>
      <c r="J269" s="172"/>
      <c r="K269" s="172">
        <f>+VLOOKUP(E269,'[1]Est Madre CH 15-04'!$A$1:$C$65536,3,0)</f>
        <v>192</v>
      </c>
      <c r="L269" s="172">
        <f>K269/P269</f>
        <v>0.38400000000000001</v>
      </c>
      <c r="M269" s="172"/>
      <c r="N269" s="180">
        <v>2.1999999999999999E-2</v>
      </c>
      <c r="O269" s="174">
        <f>+N269*(K269+J269)</f>
        <v>4.2240000000000002</v>
      </c>
      <c r="P269" s="235">
        <v>500</v>
      </c>
    </row>
    <row r="270" spans="1:16" ht="19.5" thickBot="1" x14ac:dyDescent="0.3">
      <c r="A270" s="80"/>
      <c r="B270" s="87"/>
      <c r="C270" s="31"/>
      <c r="D270" s="152"/>
      <c r="E270" s="217"/>
      <c r="F270" s="50"/>
      <c r="G270" s="127"/>
      <c r="H270" s="91"/>
      <c r="I270" s="234" t="s">
        <v>206</v>
      </c>
      <c r="J270" s="172"/>
      <c r="K270" s="172"/>
      <c r="L270" s="172">
        <f>SUM(L268:L269)</f>
        <v>3.6</v>
      </c>
      <c r="M270" s="172"/>
      <c r="N270" s="229" t="s">
        <v>204</v>
      </c>
      <c r="O270" s="174" t="s">
        <v>208</v>
      </c>
      <c r="P270" s="230" t="s">
        <v>210</v>
      </c>
    </row>
    <row r="271" spans="1:16" ht="19.5" thickBot="1" x14ac:dyDescent="0.35">
      <c r="A271" s="80"/>
      <c r="B271" s="87"/>
      <c r="C271" s="31"/>
      <c r="D271" s="152"/>
      <c r="E271" s="217"/>
      <c r="F271" s="50"/>
      <c r="G271" s="127"/>
      <c r="H271" s="91"/>
      <c r="I271" s="237" t="s">
        <v>202</v>
      </c>
      <c r="J271" s="176"/>
      <c r="K271" s="176"/>
      <c r="L271" s="182">
        <f>L270*3</f>
        <v>10.8</v>
      </c>
      <c r="M271" s="182"/>
      <c r="N271" s="184">
        <v>13</v>
      </c>
      <c r="O271" s="177" t="str">
        <f>C269</f>
        <v>DP3</v>
      </c>
      <c r="P271" s="238"/>
    </row>
    <row r="272" spans="1:16" ht="19.5" thickBot="1" x14ac:dyDescent="0.35">
      <c r="A272" s="80"/>
      <c r="B272" s="87"/>
      <c r="C272" s="276"/>
      <c r="D272" s="179"/>
      <c r="E272" s="179"/>
      <c r="F272" s="179"/>
      <c r="G272" s="179"/>
      <c r="H272" s="179"/>
      <c r="I272" s="179"/>
      <c r="J272" s="179"/>
      <c r="K272" s="179"/>
      <c r="L272" s="179"/>
      <c r="M272" s="179"/>
      <c r="N272" s="179"/>
      <c r="O272" s="179"/>
      <c r="P272" s="179"/>
    </row>
    <row r="273" spans="1:16" ht="17.25" customHeight="1" thickBot="1" x14ac:dyDescent="0.35">
      <c r="A273" s="344" t="s">
        <v>196</v>
      </c>
      <c r="B273" s="144"/>
      <c r="C273" s="31" t="s">
        <v>197</v>
      </c>
      <c r="D273" s="150"/>
      <c r="E273" s="56">
        <v>546</v>
      </c>
      <c r="F273" s="50" t="s">
        <v>82</v>
      </c>
      <c r="G273" s="37" t="s">
        <v>18</v>
      </c>
      <c r="H273" s="284" t="s">
        <v>14</v>
      </c>
      <c r="I273" s="190" t="s">
        <v>196</v>
      </c>
      <c r="J273" s="168">
        <f>+VLOOKUP(E273,'[1]Est Madre LK 15-04'!$A$1:$C$65536,3,0)</f>
        <v>4800</v>
      </c>
      <c r="K273" s="168"/>
      <c r="L273" s="168">
        <f>J273/P273</f>
        <v>4.8</v>
      </c>
      <c r="M273" s="168"/>
      <c r="N273" s="281">
        <v>7.7000000000000002E-3</v>
      </c>
      <c r="O273" s="170">
        <f>+N273*(K273+J273)</f>
        <v>36.96</v>
      </c>
      <c r="P273" s="233">
        <v>1000</v>
      </c>
    </row>
    <row r="274" spans="1:16" ht="19.5" thickBot="1" x14ac:dyDescent="0.35">
      <c r="A274" s="344"/>
      <c r="B274" s="145"/>
      <c r="C274" s="31" t="s">
        <v>197</v>
      </c>
      <c r="D274" s="148"/>
      <c r="E274" s="49">
        <v>809</v>
      </c>
      <c r="F274" s="50" t="s">
        <v>198</v>
      </c>
      <c r="G274" s="28" t="s">
        <v>13</v>
      </c>
      <c r="H274" s="285" t="s">
        <v>14</v>
      </c>
      <c r="I274" s="234" t="s">
        <v>196</v>
      </c>
      <c r="J274" s="172"/>
      <c r="K274" s="172">
        <f>+VLOOKUP(E274,'[1]Est Madre CH 15-04'!$A$1:$C$65536,3,0)</f>
        <v>600</v>
      </c>
      <c r="L274" s="172">
        <f>K274/P274</f>
        <v>0.6</v>
      </c>
      <c r="M274" s="172"/>
      <c r="N274" s="280">
        <v>7.7000000000000002E-3</v>
      </c>
      <c r="O274" s="174">
        <f>+N274*(K274+J274)</f>
        <v>4.62</v>
      </c>
      <c r="P274" s="235">
        <v>1000</v>
      </c>
    </row>
    <row r="275" spans="1:16" ht="19.5" thickBot="1" x14ac:dyDescent="0.35">
      <c r="A275" s="92"/>
      <c r="B275" s="87"/>
      <c r="C275" s="31"/>
      <c r="D275" s="152"/>
      <c r="E275" s="217"/>
      <c r="F275" s="50"/>
      <c r="G275" s="127"/>
      <c r="H275" s="102"/>
      <c r="I275" s="234" t="s">
        <v>206</v>
      </c>
      <c r="J275" s="172"/>
      <c r="K275" s="172"/>
      <c r="L275" s="172">
        <f>SUM(L273:L274)</f>
        <v>5.3999999999999995</v>
      </c>
      <c r="M275" s="172"/>
      <c r="N275" s="229" t="s">
        <v>204</v>
      </c>
      <c r="O275" s="174" t="s">
        <v>208</v>
      </c>
      <c r="P275" s="230" t="s">
        <v>210</v>
      </c>
    </row>
    <row r="276" spans="1:16" ht="19.5" thickBot="1" x14ac:dyDescent="0.35">
      <c r="A276" s="92"/>
      <c r="B276" s="87"/>
      <c r="C276" s="31"/>
      <c r="D276" s="152"/>
      <c r="E276" s="217"/>
      <c r="F276" s="50"/>
      <c r="G276" s="127"/>
      <c r="H276" s="102"/>
      <c r="I276" s="237" t="s">
        <v>202</v>
      </c>
      <c r="J276" s="176"/>
      <c r="K276" s="176"/>
      <c r="L276" s="183">
        <f>L275*3</f>
        <v>16.2</v>
      </c>
      <c r="M276" s="183"/>
      <c r="N276" s="184">
        <v>18</v>
      </c>
      <c r="O276" s="177" t="str">
        <f>C274</f>
        <v>V18</v>
      </c>
      <c r="P276" s="238">
        <v>22</v>
      </c>
    </row>
    <row r="277" spans="1:16" ht="19.5" thickBot="1" x14ac:dyDescent="0.35">
      <c r="A277" s="92"/>
      <c r="B277" s="87"/>
      <c r="C277" s="276"/>
      <c r="D277" s="179"/>
      <c r="E277" s="179"/>
      <c r="F277" s="179"/>
      <c r="G277" s="179"/>
      <c r="H277" s="179"/>
      <c r="I277" s="179"/>
      <c r="J277" s="179"/>
      <c r="K277" s="179"/>
      <c r="L277" s="179"/>
      <c r="M277" s="179"/>
      <c r="N277" s="179"/>
      <c r="O277" s="179"/>
      <c r="P277" s="179"/>
    </row>
    <row r="278" spans="1:16" ht="18.600000000000001" customHeight="1" thickBot="1" x14ac:dyDescent="0.35">
      <c r="A278" s="345" t="s">
        <v>190</v>
      </c>
      <c r="B278" s="94"/>
      <c r="C278" s="31" t="s">
        <v>199</v>
      </c>
      <c r="D278" s="156"/>
      <c r="E278" s="84">
        <v>735</v>
      </c>
      <c r="F278" s="63"/>
      <c r="G278" s="85" t="s">
        <v>13</v>
      </c>
      <c r="H278" s="93" t="s">
        <v>14</v>
      </c>
      <c r="I278" s="347" t="s">
        <v>200</v>
      </c>
      <c r="J278" s="168">
        <v>0</v>
      </c>
      <c r="K278" s="168"/>
      <c r="L278" s="168">
        <f>J278/P278</f>
        <v>0</v>
      </c>
      <c r="M278" s="168"/>
      <c r="N278" s="281">
        <v>1.6299999999999999E-2</v>
      </c>
      <c r="O278" s="170">
        <f>+N278*(K278+J278)</f>
        <v>0</v>
      </c>
      <c r="P278" s="233">
        <v>500</v>
      </c>
    </row>
    <row r="279" spans="1:16" ht="18.600000000000001" customHeight="1" thickBot="1" x14ac:dyDescent="0.35">
      <c r="A279" s="346"/>
      <c r="B279" s="264"/>
      <c r="C279" s="31" t="s">
        <v>201</v>
      </c>
      <c r="D279" s="156"/>
      <c r="E279" s="95">
        <v>581</v>
      </c>
      <c r="F279" s="95"/>
      <c r="G279" s="85" t="s">
        <v>18</v>
      </c>
      <c r="H279" s="91" t="s">
        <v>14</v>
      </c>
      <c r="I279" s="348"/>
      <c r="J279" s="172">
        <f>+VLOOKUP(E279,'[1]Est Madre LK 15-04'!$A$1:$C$65536,3,0)</f>
        <v>300</v>
      </c>
      <c r="K279" s="172"/>
      <c r="L279" s="172">
        <f>J279/P279</f>
        <v>0.6</v>
      </c>
      <c r="M279" s="172"/>
      <c r="N279" s="286">
        <v>1.6299999999999999E-2</v>
      </c>
      <c r="O279" s="174">
        <f>+N279*(K279+J279)</f>
        <v>4.8899999999999997</v>
      </c>
      <c r="P279" s="235">
        <v>500</v>
      </c>
    </row>
    <row r="280" spans="1:16" s="97" customFormat="1" ht="16.5" customHeight="1" x14ac:dyDescent="0.25">
      <c r="C280" s="273"/>
      <c r="D280" s="98"/>
      <c r="E280" s="99"/>
      <c r="F280" s="100"/>
      <c r="G280" s="101"/>
      <c r="H280" s="102"/>
      <c r="I280" s="234" t="s">
        <v>206</v>
      </c>
      <c r="J280" s="172"/>
      <c r="K280" s="172"/>
      <c r="L280" s="172">
        <f>SUM(L278:L279)</f>
        <v>0.6</v>
      </c>
      <c r="M280" s="172"/>
      <c r="N280" s="229" t="s">
        <v>204</v>
      </c>
      <c r="O280" s="174" t="s">
        <v>208</v>
      </c>
      <c r="P280" s="230" t="s">
        <v>210</v>
      </c>
    </row>
    <row r="281" spans="1:16" ht="19.5" thickBot="1" x14ac:dyDescent="0.35">
      <c r="I281" s="237" t="s">
        <v>202</v>
      </c>
      <c r="J281" s="176"/>
      <c r="K281" s="176"/>
      <c r="L281" s="182">
        <f>L280*3</f>
        <v>1.7999999999999998</v>
      </c>
      <c r="M281" s="182"/>
      <c r="N281" s="184">
        <v>13</v>
      </c>
      <c r="O281" s="177" t="str">
        <f>C279</f>
        <v>BP15</v>
      </c>
      <c r="P281" s="238"/>
    </row>
  </sheetData>
  <mergeCells count="36">
    <mergeCell ref="A44:A48"/>
    <mergeCell ref="A52:A72"/>
    <mergeCell ref="I52:I54"/>
    <mergeCell ref="I58:I61"/>
    <mergeCell ref="I65:I68"/>
    <mergeCell ref="A4:A8"/>
    <mergeCell ref="A12:A40"/>
    <mergeCell ref="I12:I13"/>
    <mergeCell ref="I17:I32"/>
    <mergeCell ref="I38:I40"/>
    <mergeCell ref="A112:A117"/>
    <mergeCell ref="A123:A127"/>
    <mergeCell ref="I127:I145"/>
    <mergeCell ref="A128:A145"/>
    <mergeCell ref="A76:A108"/>
    <mergeCell ref="I80:I81"/>
    <mergeCell ref="I85:I99"/>
    <mergeCell ref="A222:A228"/>
    <mergeCell ref="A149:A150"/>
    <mergeCell ref="I149:I150"/>
    <mergeCell ref="A158:A159"/>
    <mergeCell ref="I158:I159"/>
    <mergeCell ref="A162:A166"/>
    <mergeCell ref="A174:A175"/>
    <mergeCell ref="I174:I175"/>
    <mergeCell ref="A187:A205"/>
    <mergeCell ref="I187:I205"/>
    <mergeCell ref="A209:A214"/>
    <mergeCell ref="A273:A274"/>
    <mergeCell ref="A278:A279"/>
    <mergeCell ref="I278:I279"/>
    <mergeCell ref="A232:A233"/>
    <mergeCell ref="A237:A243"/>
    <mergeCell ref="A247:A248"/>
    <mergeCell ref="A252:A256"/>
    <mergeCell ref="A268:A269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9" fitToHeight="0" orientation="portrait" r:id="rId1"/>
  <headerFooter>
    <oddHeader>&amp;R&amp;D</oddHeader>
    <oddFooter>&amp;C\\servidor\Documentos Compartidos\LOGISTICA Relevamiento y Pedidos\PLANIMETRIA  - Cart. Caja. Proc y Crud. Plast -\Plásticos</oddFooter>
  </headerFooter>
  <rowBreaks count="6" manualBreakCount="6">
    <brk id="84" max="14" man="1"/>
    <brk id="119" max="16383" man="1"/>
    <brk id="120" max="16383" man="1"/>
    <brk id="122" max="16383" man="1"/>
    <brk id="161" max="14" man="1"/>
    <brk id="186" max="16383" man="1"/>
  </rowBreak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7" tint="0.59999389629810485"/>
    <pageSetUpPr fitToPage="1"/>
  </sheetPr>
  <dimension ref="A1:C96"/>
  <sheetViews>
    <sheetView tabSelected="1" view="pageBreakPreview" topLeftCell="A14" zoomScale="148" zoomScaleNormal="100" zoomScaleSheetLayoutView="148" workbookViewId="0">
      <selection activeCell="A14" sqref="A14"/>
    </sheetView>
  </sheetViews>
  <sheetFormatPr baseColWidth="10" defaultRowHeight="15" x14ac:dyDescent="0.25"/>
  <cols>
    <col min="1" max="1" width="30.28515625" style="115" customWidth="1"/>
    <col min="2" max="2" width="10.7109375" style="312" bestFit="1" customWidth="1"/>
    <col min="3" max="3" width="6.85546875" style="104" customWidth="1"/>
  </cols>
  <sheetData>
    <row r="1" spans="1:3" ht="20.25" hidden="1" customHeight="1" thickBot="1" x14ac:dyDescent="0.3">
      <c r="A1" s="6"/>
      <c r="B1" s="311"/>
      <c r="C1" s="306"/>
    </row>
    <row r="2" spans="1:3" s="13" customFormat="1" ht="78.400000000000006" customHeight="1" thickBot="1" x14ac:dyDescent="0.3">
      <c r="A2" s="328" t="s">
        <v>8</v>
      </c>
      <c r="B2" s="327" t="s">
        <v>2</v>
      </c>
      <c r="C2" s="313" t="s">
        <v>215</v>
      </c>
    </row>
    <row r="3" spans="1:3" s="17" customFormat="1" ht="18.75" customHeight="1" thickBot="1" x14ac:dyDescent="0.3">
      <c r="A3" s="319" t="s">
        <v>19</v>
      </c>
      <c r="B3" s="318" t="s">
        <v>216</v>
      </c>
      <c r="C3" s="320">
        <v>2</v>
      </c>
    </row>
    <row r="4" spans="1:3" s="17" customFormat="1" ht="18.75" customHeight="1" x14ac:dyDescent="0.25">
      <c r="A4" s="321" t="s">
        <v>31</v>
      </c>
      <c r="B4" s="341" t="s">
        <v>220</v>
      </c>
      <c r="C4" s="317">
        <v>10</v>
      </c>
    </row>
    <row r="5" spans="1:3" s="17" customFormat="1" ht="18.75" customHeight="1" thickBot="1" x14ac:dyDescent="0.3">
      <c r="A5" s="309" t="s">
        <v>270</v>
      </c>
      <c r="B5" s="237" t="s">
        <v>271</v>
      </c>
      <c r="C5" s="310">
        <v>1</v>
      </c>
    </row>
    <row r="6" spans="1:3" s="17" customFormat="1" ht="18.75" customHeight="1" x14ac:dyDescent="0.25">
      <c r="A6" s="322" t="s">
        <v>130</v>
      </c>
      <c r="B6" s="318" t="s">
        <v>229</v>
      </c>
      <c r="C6" s="320">
        <v>6</v>
      </c>
    </row>
    <row r="7" spans="1:3" s="17" customFormat="1" ht="18.75" customHeight="1" x14ac:dyDescent="0.25">
      <c r="A7" s="322" t="s">
        <v>22</v>
      </c>
      <c r="B7" s="318" t="s">
        <v>218</v>
      </c>
      <c r="C7" s="320">
        <v>3</v>
      </c>
    </row>
    <row r="8" spans="1:3" s="17" customFormat="1" ht="18.75" customHeight="1" x14ac:dyDescent="0.25">
      <c r="A8" s="322" t="s">
        <v>279</v>
      </c>
      <c r="B8" s="318" t="s">
        <v>275</v>
      </c>
      <c r="C8" s="320"/>
    </row>
    <row r="9" spans="1:3" s="17" customFormat="1" ht="18.75" customHeight="1" x14ac:dyDescent="0.25">
      <c r="A9" s="322"/>
      <c r="B9" s="318" t="s">
        <v>276</v>
      </c>
      <c r="C9" s="320"/>
    </row>
    <row r="10" spans="1:3" s="17" customFormat="1" ht="18.75" customHeight="1" x14ac:dyDescent="0.25">
      <c r="A10" s="322"/>
      <c r="B10" s="318" t="s">
        <v>277</v>
      </c>
      <c r="C10" s="320"/>
    </row>
    <row r="11" spans="1:3" s="17" customFormat="1" ht="18.75" customHeight="1" x14ac:dyDescent="0.25">
      <c r="A11" s="322" t="s">
        <v>274</v>
      </c>
      <c r="B11" s="318" t="s">
        <v>273</v>
      </c>
      <c r="C11" s="320"/>
    </row>
    <row r="12" spans="1:3" s="17" customFormat="1" ht="18.75" customHeight="1" x14ac:dyDescent="0.25">
      <c r="A12" s="322" t="s">
        <v>28</v>
      </c>
      <c r="B12" s="342" t="s">
        <v>228</v>
      </c>
      <c r="C12" s="320">
        <v>1</v>
      </c>
    </row>
    <row r="13" spans="1:3" s="17" customFormat="1" ht="18.75" customHeight="1" thickBot="1" x14ac:dyDescent="0.3">
      <c r="A13" s="319" t="s">
        <v>85</v>
      </c>
      <c r="B13" s="342"/>
      <c r="C13" s="320">
        <v>2</v>
      </c>
    </row>
    <row r="14" spans="1:3" s="315" customFormat="1" ht="18.75" customHeight="1" x14ac:dyDescent="0.25">
      <c r="A14" s="321" t="s">
        <v>63</v>
      </c>
      <c r="B14" s="341" t="s">
        <v>226</v>
      </c>
      <c r="C14" s="317">
        <v>1</v>
      </c>
    </row>
    <row r="15" spans="1:3" s="315" customFormat="1" ht="18.75" customHeight="1" x14ac:dyDescent="0.25">
      <c r="A15" s="308" t="s">
        <v>25</v>
      </c>
      <c r="B15" s="342" t="s">
        <v>219</v>
      </c>
      <c r="C15" s="305">
        <v>33</v>
      </c>
    </row>
    <row r="16" spans="1:3" s="315" customFormat="1" ht="18.75" customHeight="1" x14ac:dyDescent="0.25">
      <c r="A16" s="308" t="s">
        <v>141</v>
      </c>
      <c r="B16" s="342" t="s">
        <v>248</v>
      </c>
      <c r="C16" s="305">
        <v>6</v>
      </c>
    </row>
    <row r="17" spans="1:3" s="315" customFormat="1" ht="18.75" customHeight="1" x14ac:dyDescent="0.3">
      <c r="A17" s="337" t="s">
        <v>15</v>
      </c>
      <c r="B17" s="334" t="s">
        <v>217</v>
      </c>
      <c r="C17" s="340">
        <v>1</v>
      </c>
    </row>
    <row r="18" spans="1:3" s="315" customFormat="1" ht="18.75" customHeight="1" thickBot="1" x14ac:dyDescent="0.3">
      <c r="A18" s="225" t="s">
        <v>261</v>
      </c>
      <c r="B18" s="237" t="s">
        <v>260</v>
      </c>
      <c r="C18" s="310" t="s">
        <v>194</v>
      </c>
    </row>
    <row r="19" spans="1:3" s="17" customFormat="1" ht="18.75" customHeight="1" x14ac:dyDescent="0.25">
      <c r="A19" s="321" t="s">
        <v>35</v>
      </c>
      <c r="B19" s="318" t="s">
        <v>262</v>
      </c>
      <c r="C19" s="317">
        <v>1</v>
      </c>
    </row>
    <row r="20" spans="1:3" s="17" customFormat="1" ht="18.75" customHeight="1" thickBot="1" x14ac:dyDescent="0.3">
      <c r="A20" s="309" t="s">
        <v>37</v>
      </c>
      <c r="B20" s="237" t="s">
        <v>263</v>
      </c>
      <c r="C20" s="310">
        <v>1</v>
      </c>
    </row>
    <row r="21" spans="1:3" s="17" customFormat="1" ht="18.75" customHeight="1" x14ac:dyDescent="0.25">
      <c r="A21" s="308" t="s">
        <v>231</v>
      </c>
      <c r="B21" s="342" t="s">
        <v>230</v>
      </c>
      <c r="C21" s="305"/>
    </row>
    <row r="22" spans="1:3" s="17" customFormat="1" ht="18.75" customHeight="1" x14ac:dyDescent="0.25">
      <c r="A22" s="308" t="s">
        <v>232</v>
      </c>
      <c r="B22" s="342" t="s">
        <v>225</v>
      </c>
      <c r="C22" s="305"/>
    </row>
    <row r="23" spans="1:3" s="17" customFormat="1" ht="18.75" customHeight="1" x14ac:dyDescent="0.25">
      <c r="A23" s="308" t="s">
        <v>134</v>
      </c>
      <c r="B23" s="342" t="s">
        <v>227</v>
      </c>
      <c r="C23" s="305">
        <v>1</v>
      </c>
    </row>
    <row r="24" spans="1:3" s="17" customFormat="1" ht="18.75" customHeight="1" x14ac:dyDescent="0.25">
      <c r="A24" s="307" t="s">
        <v>99</v>
      </c>
      <c r="B24" s="342" t="s">
        <v>264</v>
      </c>
      <c r="C24" s="305">
        <v>2</v>
      </c>
    </row>
    <row r="25" spans="1:3" s="17" customFormat="1" ht="18.75" customHeight="1" thickBot="1" x14ac:dyDescent="0.3">
      <c r="A25" s="309" t="s">
        <v>196</v>
      </c>
      <c r="B25" s="237" t="s">
        <v>238</v>
      </c>
      <c r="C25" s="310">
        <v>16</v>
      </c>
    </row>
    <row r="26" spans="1:3" s="17" customFormat="1" ht="18.75" customHeight="1" thickBot="1" x14ac:dyDescent="0.3">
      <c r="A26" s="322" t="s">
        <v>239</v>
      </c>
      <c r="B26" s="318" t="s">
        <v>241</v>
      </c>
      <c r="C26" s="320">
        <v>1</v>
      </c>
    </row>
    <row r="27" spans="1:3" s="17" customFormat="1" ht="18.75" customHeight="1" thickBot="1" x14ac:dyDescent="0.3">
      <c r="A27" s="324" t="s">
        <v>183</v>
      </c>
      <c r="B27" s="323" t="s">
        <v>240</v>
      </c>
      <c r="C27" s="325">
        <v>15</v>
      </c>
    </row>
    <row r="28" spans="1:3" s="17" customFormat="1" ht="18.75" customHeight="1" thickBot="1" x14ac:dyDescent="0.3">
      <c r="A28" s="322" t="s">
        <v>181</v>
      </c>
      <c r="B28" s="318" t="s">
        <v>242</v>
      </c>
      <c r="C28" s="320">
        <v>1</v>
      </c>
    </row>
    <row r="29" spans="1:3" s="17" customFormat="1" ht="18.75" customHeight="1" x14ac:dyDescent="0.25">
      <c r="A29" s="321" t="s">
        <v>41</v>
      </c>
      <c r="B29" s="341" t="s">
        <v>224</v>
      </c>
      <c r="C29" s="317">
        <v>1</v>
      </c>
    </row>
    <row r="30" spans="1:3" s="17" customFormat="1" ht="18.75" customHeight="1" x14ac:dyDescent="0.25">
      <c r="A30" s="322" t="s">
        <v>46</v>
      </c>
      <c r="B30" s="318" t="s">
        <v>222</v>
      </c>
      <c r="C30" s="320">
        <v>1</v>
      </c>
    </row>
    <row r="31" spans="1:3" s="17" customFormat="1" ht="18.75" customHeight="1" x14ac:dyDescent="0.25">
      <c r="A31" s="322" t="s">
        <v>52</v>
      </c>
      <c r="B31" s="318" t="s">
        <v>223</v>
      </c>
      <c r="C31" s="320">
        <v>1</v>
      </c>
    </row>
    <row r="32" spans="1:3" s="17" customFormat="1" ht="18.75" customHeight="1" thickBot="1" x14ac:dyDescent="0.3">
      <c r="A32" s="309" t="s">
        <v>200</v>
      </c>
      <c r="B32" s="237" t="s">
        <v>237</v>
      </c>
      <c r="C32" s="310">
        <v>2</v>
      </c>
    </row>
    <row r="33" spans="1:3" s="17" customFormat="1" ht="18.75" customHeight="1" thickBot="1" x14ac:dyDescent="0.3">
      <c r="A33" s="319" t="s">
        <v>117</v>
      </c>
      <c r="B33" s="318" t="s">
        <v>235</v>
      </c>
      <c r="C33" s="320">
        <v>35</v>
      </c>
    </row>
    <row r="34" spans="1:3" s="17" customFormat="1" ht="18.75" customHeight="1" x14ac:dyDescent="0.25">
      <c r="A34" s="316" t="s">
        <v>68</v>
      </c>
      <c r="B34" s="341" t="s">
        <v>251</v>
      </c>
      <c r="C34" s="317">
        <v>22</v>
      </c>
    </row>
    <row r="35" spans="1:3" s="17" customFormat="1" ht="18.75" customHeight="1" x14ac:dyDescent="0.25">
      <c r="A35" s="307" t="s">
        <v>65</v>
      </c>
      <c r="B35" s="342" t="s">
        <v>252</v>
      </c>
      <c r="C35" s="305">
        <v>8</v>
      </c>
    </row>
    <row r="36" spans="1:3" s="17" customFormat="1" ht="18.75" customHeight="1" x14ac:dyDescent="0.25">
      <c r="A36" s="308" t="s">
        <v>253</v>
      </c>
      <c r="B36" s="342" t="s">
        <v>250</v>
      </c>
      <c r="C36" s="305"/>
    </row>
    <row r="37" spans="1:3" s="17" customFormat="1" ht="18.75" customHeight="1" x14ac:dyDescent="0.25">
      <c r="A37" s="308" t="s">
        <v>127</v>
      </c>
      <c r="B37" s="342" t="s">
        <v>255</v>
      </c>
      <c r="C37" s="305">
        <v>1</v>
      </c>
    </row>
    <row r="38" spans="1:3" s="17" customFormat="1" ht="18.75" customHeight="1" thickBot="1" x14ac:dyDescent="0.3">
      <c r="A38" s="309" t="s">
        <v>125</v>
      </c>
      <c r="B38" s="237" t="s">
        <v>259</v>
      </c>
      <c r="C38" s="310">
        <v>6</v>
      </c>
    </row>
    <row r="39" spans="1:3" s="17" customFormat="1" ht="18.75" customHeight="1" thickBot="1" x14ac:dyDescent="0.3">
      <c r="A39" s="343" t="s">
        <v>193</v>
      </c>
      <c r="B39" s="318" t="s">
        <v>234</v>
      </c>
      <c r="C39" s="320">
        <v>11</v>
      </c>
    </row>
    <row r="40" spans="1:3" s="17" customFormat="1" ht="18.75" customHeight="1" thickBot="1" x14ac:dyDescent="0.3">
      <c r="A40" s="324" t="s">
        <v>81</v>
      </c>
      <c r="B40" s="323" t="s">
        <v>233</v>
      </c>
      <c r="C40" s="325">
        <v>15</v>
      </c>
    </row>
    <row r="41" spans="1:3" s="17" customFormat="1" ht="18.75" customHeight="1" thickBot="1" x14ac:dyDescent="0.3">
      <c r="A41" s="319" t="s">
        <v>121</v>
      </c>
      <c r="B41" s="318" t="s">
        <v>233</v>
      </c>
      <c r="C41" s="320">
        <v>1</v>
      </c>
    </row>
    <row r="42" spans="1:3" s="17" customFormat="1" ht="18.75" customHeight="1" thickBot="1" x14ac:dyDescent="0.3">
      <c r="A42" s="326" t="s">
        <v>256</v>
      </c>
      <c r="B42" s="323" t="s">
        <v>221</v>
      </c>
      <c r="C42" s="325"/>
    </row>
    <row r="43" spans="1:3" s="17" customFormat="1" ht="18.75" customHeight="1" thickBot="1" x14ac:dyDescent="0.3">
      <c r="A43" s="319" t="s">
        <v>102</v>
      </c>
      <c r="B43" s="318" t="s">
        <v>236</v>
      </c>
      <c r="C43" s="320">
        <v>11</v>
      </c>
    </row>
    <row r="44" spans="1:3" s="17" customFormat="1" ht="18.75" customHeight="1" thickBot="1" x14ac:dyDescent="0.3">
      <c r="A44" s="324" t="s">
        <v>59</v>
      </c>
      <c r="B44" s="323" t="s">
        <v>272</v>
      </c>
      <c r="C44" s="325">
        <v>1</v>
      </c>
    </row>
    <row r="45" spans="1:3" s="17" customFormat="1" ht="18.75" customHeight="1" thickBot="1" x14ac:dyDescent="0.3">
      <c r="A45" s="319" t="s">
        <v>89</v>
      </c>
      <c r="B45" s="318" t="s">
        <v>258</v>
      </c>
      <c r="C45" s="320">
        <v>3</v>
      </c>
    </row>
    <row r="46" spans="1:3" s="17" customFormat="1" ht="18.75" customHeight="1" thickBot="1" x14ac:dyDescent="0.3">
      <c r="A46" s="326" t="s">
        <v>257</v>
      </c>
      <c r="B46" s="318" t="s">
        <v>254</v>
      </c>
      <c r="C46" s="320"/>
    </row>
    <row r="47" spans="1:3" s="17" customFormat="1" ht="18.75" customHeight="1" thickBot="1" x14ac:dyDescent="0.3">
      <c r="A47" s="324" t="s">
        <v>140</v>
      </c>
      <c r="B47" s="323" t="s">
        <v>243</v>
      </c>
      <c r="C47" s="325">
        <v>11</v>
      </c>
    </row>
    <row r="48" spans="1:3" s="17" customFormat="1" ht="18.75" customHeight="1" thickBot="1" x14ac:dyDescent="0.3">
      <c r="A48" s="322" t="s">
        <v>137</v>
      </c>
      <c r="B48" s="318" t="s">
        <v>244</v>
      </c>
      <c r="C48" s="320">
        <v>52</v>
      </c>
    </row>
    <row r="49" spans="1:3" s="17" customFormat="1" ht="18.75" customHeight="1" thickBot="1" x14ac:dyDescent="0.3">
      <c r="A49" s="321" t="s">
        <v>245</v>
      </c>
      <c r="B49" s="318" t="s">
        <v>246</v>
      </c>
      <c r="C49" s="320"/>
    </row>
    <row r="50" spans="1:3" s="17" customFormat="1" ht="18.75" customHeight="1" x14ac:dyDescent="0.25">
      <c r="A50" s="321" t="s">
        <v>114</v>
      </c>
      <c r="B50" s="341" t="s">
        <v>247</v>
      </c>
      <c r="C50" s="317">
        <v>18</v>
      </c>
    </row>
    <row r="51" spans="1:3" s="17" customFormat="1" ht="18.75" customHeight="1" thickBot="1" x14ac:dyDescent="0.3">
      <c r="A51" s="309" t="s">
        <v>269</v>
      </c>
      <c r="B51" s="237" t="s">
        <v>268</v>
      </c>
      <c r="C51" s="310">
        <v>52</v>
      </c>
    </row>
    <row r="52" spans="1:3" s="17" customFormat="1" ht="18.75" customHeight="1" thickBot="1" x14ac:dyDescent="0.3">
      <c r="A52" s="335" t="s">
        <v>267</v>
      </c>
      <c r="B52" s="318" t="s">
        <v>97</v>
      </c>
      <c r="C52" s="320">
        <v>5</v>
      </c>
    </row>
    <row r="53" spans="1:3" s="17" customFormat="1" ht="18.75" customHeight="1" thickBot="1" x14ac:dyDescent="0.3">
      <c r="A53" s="338" t="s">
        <v>265</v>
      </c>
      <c r="B53" s="323" t="s">
        <v>101</v>
      </c>
      <c r="C53" s="325">
        <v>10</v>
      </c>
    </row>
    <row r="54" spans="1:3" s="17" customFormat="1" ht="18.75" customHeight="1" thickBot="1" x14ac:dyDescent="0.3">
      <c r="A54" s="335" t="s">
        <v>266</v>
      </c>
      <c r="B54" s="318" t="s">
        <v>44</v>
      </c>
      <c r="C54" s="320">
        <v>7</v>
      </c>
    </row>
    <row r="55" spans="1:3" ht="18.75" customHeight="1" thickBot="1" x14ac:dyDescent="0.3">
      <c r="A55" s="324" t="s">
        <v>146</v>
      </c>
      <c r="B55" s="323" t="s">
        <v>249</v>
      </c>
      <c r="C55" s="325">
        <v>1</v>
      </c>
    </row>
    <row r="56" spans="1:3" s="17" customFormat="1" ht="18.75" customHeight="1" thickBot="1" x14ac:dyDescent="0.3">
      <c r="A56" s="319"/>
      <c r="B56" s="318" t="s">
        <v>278</v>
      </c>
      <c r="C56" s="320"/>
    </row>
    <row r="57" spans="1:3" ht="18.75" customHeight="1" thickBot="1" x14ac:dyDescent="0.3">
      <c r="A57" s="324" t="s">
        <v>164</v>
      </c>
      <c r="B57" s="323"/>
      <c r="C57" s="325">
        <v>9</v>
      </c>
    </row>
    <row r="58" spans="1:3" s="17" customFormat="1" ht="18.75" customHeight="1" thickBot="1" x14ac:dyDescent="0.3">
      <c r="A58" s="319"/>
      <c r="B58" s="318"/>
      <c r="C58" s="320"/>
    </row>
    <row r="59" spans="1:3" ht="18.75" customHeight="1" x14ac:dyDescent="0.25">
      <c r="A59" s="316" t="s">
        <v>158</v>
      </c>
      <c r="B59" s="341"/>
      <c r="C59" s="317">
        <v>5</v>
      </c>
    </row>
    <row r="60" spans="1:3" ht="18.75" customHeight="1" thickBot="1" x14ac:dyDescent="0.3">
      <c r="A60" s="225" t="s">
        <v>154</v>
      </c>
      <c r="B60" s="237"/>
      <c r="C60" s="310">
        <v>2</v>
      </c>
    </row>
    <row r="61" spans="1:3" s="17" customFormat="1" ht="18.75" customHeight="1" thickBot="1" x14ac:dyDescent="0.3">
      <c r="A61" s="319"/>
      <c r="B61" s="318"/>
      <c r="C61" s="320"/>
    </row>
    <row r="62" spans="1:3" ht="18.75" customHeight="1" x14ac:dyDescent="0.25">
      <c r="A62" s="321" t="s">
        <v>173</v>
      </c>
      <c r="B62" s="341"/>
      <c r="C62" s="317">
        <v>6</v>
      </c>
    </row>
    <row r="63" spans="1:3" ht="18.75" customHeight="1" thickBot="1" x14ac:dyDescent="0.3">
      <c r="A63" s="309" t="s">
        <v>169</v>
      </c>
      <c r="B63" s="237"/>
      <c r="C63" s="310">
        <v>7</v>
      </c>
    </row>
    <row r="64" spans="1:3" s="17" customFormat="1" ht="18.75" customHeight="1" thickBot="1" x14ac:dyDescent="0.3">
      <c r="A64" s="319"/>
      <c r="B64" s="318"/>
      <c r="C64" s="320"/>
    </row>
    <row r="65" spans="1:3" ht="18.75" customHeight="1" thickBot="1" x14ac:dyDescent="0.3">
      <c r="A65" s="324" t="s">
        <v>175</v>
      </c>
      <c r="B65" s="323"/>
      <c r="C65" s="325">
        <v>1</v>
      </c>
    </row>
    <row r="66" spans="1:3" s="17" customFormat="1" ht="18.75" customHeight="1" thickBot="1" x14ac:dyDescent="0.3">
      <c r="A66" s="319"/>
      <c r="B66" s="318"/>
      <c r="C66" s="320"/>
    </row>
    <row r="67" spans="1:3" s="314" customFormat="1" ht="18.75" customHeight="1" thickBot="1" x14ac:dyDescent="0.35">
      <c r="A67" s="330" t="s">
        <v>184</v>
      </c>
      <c r="B67" s="329"/>
      <c r="C67" s="331">
        <v>3</v>
      </c>
    </row>
    <row r="68" spans="1:3" s="17" customFormat="1" ht="18.75" customHeight="1" thickBot="1" x14ac:dyDescent="0.3">
      <c r="A68" s="319"/>
      <c r="B68" s="318"/>
      <c r="C68" s="320"/>
    </row>
    <row r="69" spans="1:3" s="314" customFormat="1" ht="18.75" customHeight="1" thickBot="1" x14ac:dyDescent="0.35">
      <c r="A69" s="332" t="s">
        <v>150</v>
      </c>
      <c r="B69" s="329"/>
      <c r="C69" s="331">
        <v>1</v>
      </c>
    </row>
    <row r="70" spans="1:3" s="17" customFormat="1" ht="18.75" customHeight="1" thickBot="1" x14ac:dyDescent="0.3">
      <c r="A70" s="319"/>
      <c r="B70" s="318"/>
      <c r="C70" s="320"/>
    </row>
    <row r="71" spans="1:3" s="17" customFormat="1" ht="18.75" customHeight="1" thickBot="1" x14ac:dyDescent="0.3">
      <c r="A71" s="324" t="s">
        <v>189</v>
      </c>
      <c r="B71" s="323"/>
      <c r="C71" s="325">
        <v>3</v>
      </c>
    </row>
    <row r="72" spans="1:3" s="17" customFormat="1" ht="18.75" customHeight="1" thickBot="1" x14ac:dyDescent="0.3">
      <c r="A72" s="319"/>
      <c r="B72" s="318"/>
      <c r="C72" s="320"/>
    </row>
    <row r="73" spans="1:3" s="17" customFormat="1" ht="18.75" customHeight="1" thickBot="1" x14ac:dyDescent="0.3">
      <c r="A73" s="326"/>
      <c r="B73" s="323"/>
      <c r="C73" s="325"/>
    </row>
    <row r="74" spans="1:3" s="17" customFormat="1" ht="18.75" customHeight="1" thickBot="1" x14ac:dyDescent="0.3">
      <c r="A74" s="319"/>
      <c r="B74" s="318"/>
      <c r="C74" s="320"/>
    </row>
    <row r="75" spans="1:3" s="17" customFormat="1" ht="18.75" customHeight="1" thickBot="1" x14ac:dyDescent="0.3">
      <c r="A75" s="316"/>
      <c r="B75" s="318"/>
      <c r="C75" s="320"/>
    </row>
    <row r="76" spans="1:3" s="17" customFormat="1" ht="18.75" customHeight="1" x14ac:dyDescent="0.25">
      <c r="A76" s="316"/>
      <c r="B76" s="341"/>
      <c r="C76" s="317"/>
    </row>
    <row r="77" spans="1:3" s="17" customFormat="1" ht="18.75" customHeight="1" thickBot="1" x14ac:dyDescent="0.3">
      <c r="A77" s="225"/>
      <c r="B77" s="237"/>
      <c r="C77" s="310"/>
    </row>
    <row r="78" spans="1:3" s="17" customFormat="1" ht="18.75" customHeight="1" thickBot="1" x14ac:dyDescent="0.3">
      <c r="A78" s="319"/>
      <c r="B78" s="318"/>
      <c r="C78" s="320"/>
    </row>
    <row r="79" spans="1:3" s="17" customFormat="1" ht="18.75" customHeight="1" x14ac:dyDescent="0.25">
      <c r="A79" s="321" t="s">
        <v>144</v>
      </c>
      <c r="B79" s="341"/>
      <c r="C79" s="317">
        <v>1</v>
      </c>
    </row>
    <row r="80" spans="1:3" s="17" customFormat="1" ht="18.95" customHeight="1" thickBot="1" x14ac:dyDescent="0.3">
      <c r="A80" s="225"/>
      <c r="B80" s="237"/>
      <c r="C80" s="310"/>
    </row>
    <row r="81" spans="1:3" s="17" customFormat="1" ht="6.6" customHeight="1" thickBot="1" x14ac:dyDescent="0.3">
      <c r="A81" s="319"/>
      <c r="B81" s="318"/>
      <c r="C81" s="320"/>
    </row>
    <row r="82" spans="1:3" s="17" customFormat="1" ht="21.95" customHeight="1" thickBot="1" x14ac:dyDescent="0.3">
      <c r="A82" s="316"/>
      <c r="B82" s="341"/>
      <c r="C82" s="317"/>
    </row>
    <row r="83" spans="1:3" s="17" customFormat="1" ht="21.95" customHeight="1" x14ac:dyDescent="0.25">
      <c r="A83" s="316"/>
      <c r="B83" s="318"/>
      <c r="C83" s="320"/>
    </row>
    <row r="84" spans="1:3" s="315" customFormat="1" ht="26.1" customHeight="1" thickBot="1" x14ac:dyDescent="0.3">
      <c r="A84" s="225"/>
      <c r="B84" s="237"/>
      <c r="C84" s="310"/>
    </row>
    <row r="85" spans="1:3" s="17" customFormat="1" ht="6.6" customHeight="1" x14ac:dyDescent="0.25">
      <c r="A85" s="319"/>
      <c r="B85" s="318"/>
      <c r="C85" s="320"/>
    </row>
    <row r="86" spans="1:3" s="17" customFormat="1" ht="6.6" customHeight="1" x14ac:dyDescent="0.25">
      <c r="A86" s="319"/>
      <c r="B86" s="318"/>
      <c r="C86" s="320"/>
    </row>
    <row r="87" spans="1:3" s="17" customFormat="1" ht="6.6" customHeight="1" thickBot="1" x14ac:dyDescent="0.3">
      <c r="A87" s="322"/>
      <c r="B87" s="318"/>
      <c r="C87" s="320"/>
    </row>
    <row r="88" spans="1:3" s="17" customFormat="1" ht="18.75" x14ac:dyDescent="0.25">
      <c r="A88" s="339"/>
      <c r="B88" s="318"/>
      <c r="C88" s="320"/>
    </row>
    <row r="89" spans="1:3" s="17" customFormat="1" ht="18.75" x14ac:dyDescent="0.25">
      <c r="A89" s="336"/>
      <c r="B89" s="318"/>
      <c r="C89" s="320"/>
    </row>
    <row r="90" spans="1:3" s="17" customFormat="1" ht="18.75" x14ac:dyDescent="0.25">
      <c r="A90" s="333"/>
      <c r="B90" s="318"/>
      <c r="C90" s="320"/>
    </row>
    <row r="91" spans="1:3" s="17" customFormat="1" ht="18.75" x14ac:dyDescent="0.25">
      <c r="A91" s="333"/>
      <c r="B91" s="318"/>
      <c r="C91" s="320"/>
    </row>
    <row r="92" spans="1:3" s="17" customFormat="1" ht="18.75" x14ac:dyDescent="0.25">
      <c r="A92" s="336"/>
      <c r="B92" s="318"/>
      <c r="C92" s="320"/>
    </row>
    <row r="93" spans="1:3" s="17" customFormat="1" ht="18.75" x14ac:dyDescent="0.25">
      <c r="A93" s="322"/>
      <c r="B93" s="318"/>
      <c r="C93" s="320"/>
    </row>
    <row r="94" spans="1:3" s="17" customFormat="1" ht="6.6" customHeight="1" thickBot="1" x14ac:dyDescent="0.3">
      <c r="A94" s="322"/>
      <c r="B94" s="318"/>
      <c r="C94" s="320"/>
    </row>
    <row r="95" spans="1:3" s="17" customFormat="1" ht="14.25" customHeight="1" thickBot="1" x14ac:dyDescent="0.3">
      <c r="A95" s="324"/>
      <c r="B95" s="318"/>
      <c r="C95" s="320"/>
    </row>
    <row r="96" spans="1:3" s="17" customFormat="1" ht="18" customHeight="1" thickBot="1" x14ac:dyDescent="0.3">
      <c r="A96" s="324"/>
      <c r="B96" s="323"/>
      <c r="C96" s="325"/>
    </row>
  </sheetData>
  <autoFilter ref="A2:C96" xr:uid="{589D0DD1-A7E4-4B78-8F3A-CD26C711AF4F}"/>
  <printOptions horizontalCentered="1" verticalCentered="1"/>
  <pageMargins left="0.23622047244094491" right="0.23622047244094491" top="0" bottom="0" header="0.31496062992125984" footer="0.31496062992125984"/>
  <pageSetup paperSize="9" fitToHeight="0" orientation="portrait" r:id="rId1"/>
  <headerFooter>
    <oddHeader>&amp;R&amp;D</oddHeader>
    <oddFooter>&amp;C\\servidor\Documentos Compartidos\LOGISTICA Relevamiento y Pedidos\PLANIMETRIA  - Cart. Caja. Proc y Crud. Plast -\Plásticos</oddFooter>
  </headerFooter>
  <rowBreaks count="1" manualBreakCount="1">
    <brk id="42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3</vt:i4>
      </vt:variant>
    </vt:vector>
  </HeadingPairs>
  <TitlesOfParts>
    <vt:vector size="5" baseType="lpstr">
      <vt:lpstr>Consumo x Cod Articulo</vt:lpstr>
      <vt:lpstr>Consumo x Cod Art Modificado</vt:lpstr>
      <vt:lpstr>'Consumo x Cod Art Modificado'!Área_de_impresión</vt:lpstr>
      <vt:lpstr>'Consumo x Cod Art Modificado'!Títulos_a_imprimir</vt:lpstr>
      <vt:lpstr>'Consumo x Cod Articulo'!Títulos_a_imprimir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Logistica2</dc:creator>
  <cp:lastModifiedBy>Logistica1</cp:lastModifiedBy>
  <cp:lastPrinted>2024-04-29T17:00:05Z</cp:lastPrinted>
  <dcterms:created xsi:type="dcterms:W3CDTF">2024-04-16T14:17:48Z</dcterms:created>
  <dcterms:modified xsi:type="dcterms:W3CDTF">2024-05-31T18:28:35Z</dcterms:modified>
</cp:coreProperties>
</file>