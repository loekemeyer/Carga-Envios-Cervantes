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A  LOGISTICA Relevamiento y Pedidos\A3 Relevamiento Stock y Pedidos Insumos\Relevamiento\A Relevamientos INSUMOS y Pedido\A Partes y Bolsas Plásticos\AA BOLSAS Plasticos\"/>
    </mc:Choice>
  </mc:AlternateContent>
  <xr:revisionPtr revIDLastSave="0" documentId="13_ncr:1_{895AEF7D-F455-47B4-9990-110FE89D2853}" xr6:coauthVersionLast="47" xr6:coauthVersionMax="47" xr10:uidLastSave="{00000000-0000-0000-0000-000000000000}"/>
  <bookViews>
    <workbookView xWindow="11520" yWindow="0" windowWidth="11520" windowHeight="12360" activeTab="1" xr2:uid="{C761FFEC-5880-44D6-B97B-B9F9DFACAF9B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Hoja1!$B$2:$I$157</definedName>
    <definedName name="_xlnm._FilterDatabase" localSheetId="1" hidden="1">Hoja2!$A$2:$X$52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2" l="1"/>
  <c r="E51" i="2"/>
  <c r="E50" i="2"/>
  <c r="E45" i="2"/>
  <c r="E5" i="2"/>
  <c r="E46" i="2"/>
  <c r="E10" i="2"/>
  <c r="E44" i="2"/>
  <c r="E43" i="2"/>
  <c r="E47" i="2"/>
  <c r="E39" i="2"/>
  <c r="E18" i="2"/>
  <c r="E33" i="2"/>
  <c r="E32" i="2"/>
  <c r="E31" i="2"/>
  <c r="E30" i="2"/>
  <c r="E28" i="2"/>
  <c r="E27" i="2"/>
  <c r="E26" i="2"/>
  <c r="E22" i="2"/>
  <c r="E48" i="2"/>
  <c r="E20" i="2"/>
  <c r="E49" i="2"/>
  <c r="E40" i="2"/>
  <c r="E16" i="2"/>
  <c r="E13" i="2"/>
  <c r="E17" i="2"/>
  <c r="E11" i="2"/>
  <c r="E14" i="2"/>
  <c r="D52" i="2"/>
  <c r="G52" i="2" s="1"/>
  <c r="D51" i="2"/>
  <c r="G51" i="2" s="1"/>
  <c r="D50" i="2"/>
  <c r="G50" i="2" s="1"/>
  <c r="D45" i="2"/>
  <c r="G45" i="2" s="1"/>
  <c r="D5" i="2"/>
  <c r="G5" i="2" s="1"/>
  <c r="D21" i="2"/>
  <c r="G21" i="2" s="1"/>
  <c r="D46" i="2"/>
  <c r="G46" i="2" s="1"/>
  <c r="D10" i="2"/>
  <c r="G10" i="2" s="1"/>
  <c r="D44" i="2"/>
  <c r="G44" i="2" s="1"/>
  <c r="D43" i="2"/>
  <c r="G43" i="2" s="1"/>
  <c r="D42" i="2"/>
  <c r="D41" i="2"/>
  <c r="D47" i="2"/>
  <c r="G47" i="2" s="1"/>
  <c r="D39" i="2"/>
  <c r="G39" i="2" s="1"/>
  <c r="D38" i="2"/>
  <c r="D37" i="2"/>
  <c r="D18" i="2"/>
  <c r="G18" i="2" s="1"/>
  <c r="D35" i="2"/>
  <c r="D34" i="2"/>
  <c r="D33" i="2"/>
  <c r="G33" i="2" s="1"/>
  <c r="D32" i="2"/>
  <c r="G32" i="2" s="1"/>
  <c r="D31" i="2"/>
  <c r="G31" i="2" s="1"/>
  <c r="D30" i="2"/>
  <c r="G30" i="2" s="1"/>
  <c r="D29" i="2"/>
  <c r="D28" i="2"/>
  <c r="G28" i="2" s="1"/>
  <c r="D27" i="2"/>
  <c r="G27" i="2" s="1"/>
  <c r="D26" i="2"/>
  <c r="G26" i="2" s="1"/>
  <c r="D25" i="2"/>
  <c r="D24" i="2"/>
  <c r="D23" i="2"/>
  <c r="D22" i="2"/>
  <c r="G22" i="2" s="1"/>
  <c r="D48" i="2"/>
  <c r="G48" i="2" s="1"/>
  <c r="D20" i="2"/>
  <c r="G20" i="2" s="1"/>
  <c r="D19" i="2"/>
  <c r="D49" i="2"/>
  <c r="G49" i="2" s="1"/>
  <c r="D40" i="2"/>
  <c r="G40" i="2" s="1"/>
  <c r="D16" i="2"/>
  <c r="G16" i="2" s="1"/>
  <c r="D15" i="2"/>
  <c r="D12" i="2"/>
  <c r="G12" i="2" s="1"/>
  <c r="D13" i="2"/>
  <c r="G13" i="2" s="1"/>
  <c r="D17" i="2"/>
  <c r="G17" i="2" s="1"/>
  <c r="D11" i="2"/>
  <c r="G11" i="2" s="1"/>
  <c r="D14" i="2"/>
  <c r="G14" i="2" s="1"/>
  <c r="D9" i="2"/>
  <c r="D8" i="2"/>
  <c r="D7" i="2"/>
  <c r="D6" i="2"/>
  <c r="D36" i="2"/>
  <c r="G36" i="2" s="1"/>
  <c r="D4" i="2"/>
  <c r="D3" i="2"/>
  <c r="F42" i="2"/>
  <c r="G42" i="2" s="1"/>
  <c r="F41" i="2"/>
  <c r="G41" i="2" s="1"/>
  <c r="F38" i="2"/>
  <c r="E38" i="2" s="1"/>
  <c r="F35" i="2"/>
  <c r="G35" i="2" s="1"/>
  <c r="F34" i="2"/>
  <c r="G34" i="2" s="1"/>
  <c r="F29" i="2"/>
  <c r="E29" i="2" s="1"/>
  <c r="F25" i="2"/>
  <c r="G25" i="2" s="1"/>
  <c r="F24" i="2"/>
  <c r="G24" i="2" s="1"/>
  <c r="F23" i="2"/>
  <c r="G23" i="2" s="1"/>
  <c r="F19" i="2"/>
  <c r="E19" i="2" s="1"/>
  <c r="F15" i="2"/>
  <c r="F9" i="2"/>
  <c r="F8" i="2"/>
  <c r="F7" i="2"/>
  <c r="E7" i="2" s="1"/>
  <c r="F6" i="2"/>
  <c r="E6" i="2" s="1"/>
  <c r="F4" i="2"/>
  <c r="G4" i="2" s="1"/>
  <c r="F3" i="2"/>
  <c r="G3" i="2" s="1"/>
  <c r="H21" i="2"/>
  <c r="E21" i="2" s="1"/>
  <c r="H37" i="2"/>
  <c r="F37" i="2" s="1"/>
  <c r="G37" i="2" s="1"/>
  <c r="H12" i="2"/>
  <c r="E12" i="2" s="1"/>
  <c r="H36" i="2"/>
  <c r="E36" i="2" s="1"/>
  <c r="J12" i="2"/>
  <c r="K12" i="2"/>
  <c r="L12" i="2"/>
  <c r="M12" i="2"/>
  <c r="N12" i="2"/>
  <c r="O12" i="2"/>
  <c r="P12" i="2"/>
  <c r="Q12" i="2"/>
  <c r="R12" i="2"/>
  <c r="J24" i="2"/>
  <c r="K24" i="2"/>
  <c r="L24" i="2"/>
  <c r="M24" i="2"/>
  <c r="N24" i="2"/>
  <c r="O24" i="2"/>
  <c r="P24" i="2"/>
  <c r="Q24" i="2"/>
  <c r="R24" i="2"/>
  <c r="J14" i="2"/>
  <c r="K14" i="2"/>
  <c r="L14" i="2"/>
  <c r="M14" i="2"/>
  <c r="N14" i="2"/>
  <c r="O14" i="2"/>
  <c r="P14" i="2"/>
  <c r="Q14" i="2"/>
  <c r="R14" i="2"/>
  <c r="J17" i="2"/>
  <c r="K17" i="2"/>
  <c r="L17" i="2"/>
  <c r="M17" i="2"/>
  <c r="N17" i="2"/>
  <c r="O17" i="2"/>
  <c r="P17" i="2"/>
  <c r="Q17" i="2"/>
  <c r="R17" i="2"/>
  <c r="J18" i="2"/>
  <c r="K18" i="2"/>
  <c r="L18" i="2"/>
  <c r="M18" i="2"/>
  <c r="N18" i="2"/>
  <c r="O18" i="2"/>
  <c r="P18" i="2"/>
  <c r="Q18" i="2"/>
  <c r="R18" i="2"/>
  <c r="J37" i="2"/>
  <c r="K37" i="2"/>
  <c r="L37" i="2"/>
  <c r="M37" i="2"/>
  <c r="N37" i="2"/>
  <c r="O37" i="2"/>
  <c r="P37" i="2"/>
  <c r="Q37" i="2"/>
  <c r="R37" i="2"/>
  <c r="J21" i="2"/>
  <c r="K21" i="2"/>
  <c r="L21" i="2"/>
  <c r="M21" i="2"/>
  <c r="N21" i="2"/>
  <c r="O21" i="2"/>
  <c r="P21" i="2"/>
  <c r="Q21" i="2"/>
  <c r="R21" i="2"/>
  <c r="J36" i="2"/>
  <c r="K36" i="2"/>
  <c r="L36" i="2"/>
  <c r="M36" i="2"/>
  <c r="N36" i="2"/>
  <c r="O36" i="2"/>
  <c r="P36" i="2"/>
  <c r="Q36" i="2"/>
  <c r="R36" i="2"/>
  <c r="J40" i="2"/>
  <c r="K40" i="2"/>
  <c r="L40" i="2"/>
  <c r="M40" i="2"/>
  <c r="N40" i="2"/>
  <c r="O40" i="2"/>
  <c r="P40" i="2"/>
  <c r="Q40" i="2"/>
  <c r="R40" i="2"/>
  <c r="J42" i="2"/>
  <c r="K42" i="2"/>
  <c r="L42" i="2"/>
  <c r="M42" i="2"/>
  <c r="N42" i="2"/>
  <c r="O42" i="2"/>
  <c r="P42" i="2"/>
  <c r="Q42" i="2"/>
  <c r="R42" i="2"/>
  <c r="J5" i="2"/>
  <c r="K5" i="2"/>
  <c r="L5" i="2"/>
  <c r="M5" i="2"/>
  <c r="N5" i="2"/>
  <c r="O5" i="2"/>
  <c r="P5" i="2"/>
  <c r="Q5" i="2"/>
  <c r="R5" i="2"/>
  <c r="J35" i="2"/>
  <c r="K35" i="2"/>
  <c r="L35" i="2"/>
  <c r="M35" i="2"/>
  <c r="N35" i="2"/>
  <c r="O35" i="2"/>
  <c r="P35" i="2"/>
  <c r="Q35" i="2"/>
  <c r="R35" i="2"/>
  <c r="J10" i="2"/>
  <c r="K10" i="2"/>
  <c r="L10" i="2"/>
  <c r="M10" i="2"/>
  <c r="N10" i="2"/>
  <c r="O10" i="2"/>
  <c r="P10" i="2"/>
  <c r="Q10" i="2"/>
  <c r="R10" i="2"/>
  <c r="J6" i="2"/>
  <c r="K6" i="2"/>
  <c r="L6" i="2"/>
  <c r="M6" i="2"/>
  <c r="N6" i="2"/>
  <c r="O6" i="2"/>
  <c r="P6" i="2"/>
  <c r="Q6" i="2"/>
  <c r="R6" i="2"/>
  <c r="J9" i="2"/>
  <c r="K9" i="2"/>
  <c r="L9" i="2"/>
  <c r="M9" i="2"/>
  <c r="N9" i="2"/>
  <c r="O9" i="2"/>
  <c r="P9" i="2"/>
  <c r="Q9" i="2"/>
  <c r="R9" i="2"/>
  <c r="J51" i="2"/>
  <c r="K51" i="2"/>
  <c r="L51" i="2"/>
  <c r="M51" i="2"/>
  <c r="N51" i="2"/>
  <c r="O51" i="2"/>
  <c r="P51" i="2"/>
  <c r="Q51" i="2"/>
  <c r="R51" i="2"/>
  <c r="J25" i="2"/>
  <c r="K25" i="2"/>
  <c r="L25" i="2"/>
  <c r="M25" i="2"/>
  <c r="N25" i="2"/>
  <c r="O25" i="2"/>
  <c r="P25" i="2"/>
  <c r="Q25" i="2"/>
  <c r="R25" i="2"/>
  <c r="J45" i="2"/>
  <c r="K45" i="2"/>
  <c r="L45" i="2"/>
  <c r="M45" i="2"/>
  <c r="N45" i="2"/>
  <c r="O45" i="2"/>
  <c r="P45" i="2"/>
  <c r="Q45" i="2"/>
  <c r="R45" i="2"/>
  <c r="J47" i="2"/>
  <c r="K47" i="2"/>
  <c r="L47" i="2"/>
  <c r="M47" i="2"/>
  <c r="N47" i="2"/>
  <c r="O47" i="2"/>
  <c r="P47" i="2"/>
  <c r="Q47" i="2"/>
  <c r="R47" i="2"/>
  <c r="J48" i="2"/>
  <c r="K48" i="2"/>
  <c r="L48" i="2"/>
  <c r="M48" i="2"/>
  <c r="N48" i="2"/>
  <c r="O48" i="2"/>
  <c r="P48" i="2"/>
  <c r="Q48" i="2"/>
  <c r="R48" i="2"/>
  <c r="J41" i="2"/>
  <c r="K41" i="2"/>
  <c r="L41" i="2"/>
  <c r="M41" i="2"/>
  <c r="N41" i="2"/>
  <c r="O41" i="2"/>
  <c r="P41" i="2"/>
  <c r="Q41" i="2"/>
  <c r="R41" i="2"/>
  <c r="J3" i="2"/>
  <c r="K3" i="2"/>
  <c r="L3" i="2"/>
  <c r="M3" i="2"/>
  <c r="N3" i="2"/>
  <c r="O3" i="2"/>
  <c r="P3" i="2"/>
  <c r="Q3" i="2"/>
  <c r="R3" i="2"/>
  <c r="J7" i="2"/>
  <c r="K7" i="2"/>
  <c r="L7" i="2"/>
  <c r="M7" i="2"/>
  <c r="N7" i="2"/>
  <c r="O7" i="2"/>
  <c r="P7" i="2"/>
  <c r="Q7" i="2"/>
  <c r="R7" i="2"/>
  <c r="J15" i="2"/>
  <c r="K15" i="2"/>
  <c r="L15" i="2"/>
  <c r="M15" i="2"/>
  <c r="N15" i="2"/>
  <c r="O15" i="2"/>
  <c r="P15" i="2"/>
  <c r="Q15" i="2"/>
  <c r="R15" i="2"/>
  <c r="J29" i="2"/>
  <c r="K29" i="2"/>
  <c r="L29" i="2"/>
  <c r="M29" i="2"/>
  <c r="N29" i="2"/>
  <c r="O29" i="2"/>
  <c r="P29" i="2"/>
  <c r="Q29" i="2"/>
  <c r="R29" i="2"/>
  <c r="J11" i="2"/>
  <c r="K11" i="2"/>
  <c r="L11" i="2"/>
  <c r="M11" i="2"/>
  <c r="N11" i="2"/>
  <c r="O11" i="2"/>
  <c r="P11" i="2"/>
  <c r="Q11" i="2"/>
  <c r="R11" i="2"/>
  <c r="J19" i="2"/>
  <c r="K19" i="2"/>
  <c r="L19" i="2"/>
  <c r="M19" i="2"/>
  <c r="N19" i="2"/>
  <c r="O19" i="2"/>
  <c r="P19" i="2"/>
  <c r="Q19" i="2"/>
  <c r="R19" i="2"/>
  <c r="J13" i="2"/>
  <c r="K13" i="2"/>
  <c r="L13" i="2"/>
  <c r="M13" i="2"/>
  <c r="N13" i="2"/>
  <c r="O13" i="2"/>
  <c r="P13" i="2"/>
  <c r="Q13" i="2"/>
  <c r="R13" i="2"/>
  <c r="J38" i="2"/>
  <c r="K38" i="2"/>
  <c r="L38" i="2"/>
  <c r="M38" i="2"/>
  <c r="N38" i="2"/>
  <c r="O38" i="2"/>
  <c r="P38" i="2"/>
  <c r="Q38" i="2"/>
  <c r="R38" i="2"/>
  <c r="J49" i="2"/>
  <c r="K49" i="2"/>
  <c r="L49" i="2"/>
  <c r="M49" i="2"/>
  <c r="N49" i="2"/>
  <c r="O49" i="2"/>
  <c r="P49" i="2"/>
  <c r="Q49" i="2"/>
  <c r="R49" i="2"/>
  <c r="J50" i="2"/>
  <c r="K50" i="2"/>
  <c r="L50" i="2"/>
  <c r="M50" i="2"/>
  <c r="N50" i="2"/>
  <c r="O50" i="2"/>
  <c r="P50" i="2"/>
  <c r="Q50" i="2"/>
  <c r="R50" i="2"/>
  <c r="J23" i="2"/>
  <c r="K23" i="2"/>
  <c r="L23" i="2"/>
  <c r="M23" i="2"/>
  <c r="N23" i="2"/>
  <c r="O23" i="2"/>
  <c r="P23" i="2"/>
  <c r="Q23" i="2"/>
  <c r="R23" i="2"/>
  <c r="J20" i="2"/>
  <c r="K20" i="2"/>
  <c r="L20" i="2"/>
  <c r="M20" i="2"/>
  <c r="N20" i="2"/>
  <c r="O20" i="2"/>
  <c r="P20" i="2"/>
  <c r="Q20" i="2"/>
  <c r="R20" i="2"/>
  <c r="J8" i="2"/>
  <c r="K8" i="2"/>
  <c r="L8" i="2"/>
  <c r="M8" i="2"/>
  <c r="N8" i="2"/>
  <c r="O8" i="2"/>
  <c r="P8" i="2"/>
  <c r="Q8" i="2"/>
  <c r="R8" i="2"/>
  <c r="J4" i="2"/>
  <c r="K4" i="2"/>
  <c r="L4" i="2"/>
  <c r="M4" i="2"/>
  <c r="N4" i="2"/>
  <c r="O4" i="2"/>
  <c r="P4" i="2"/>
  <c r="Q4" i="2"/>
  <c r="R4" i="2"/>
  <c r="J22" i="2"/>
  <c r="K22" i="2"/>
  <c r="L22" i="2"/>
  <c r="M22" i="2"/>
  <c r="N22" i="2"/>
  <c r="O22" i="2"/>
  <c r="P22" i="2"/>
  <c r="Q22" i="2"/>
  <c r="R22" i="2"/>
  <c r="J16" i="2"/>
  <c r="K16" i="2"/>
  <c r="L16" i="2"/>
  <c r="M16" i="2"/>
  <c r="N16" i="2"/>
  <c r="O16" i="2"/>
  <c r="P16" i="2"/>
  <c r="Q16" i="2"/>
  <c r="R16" i="2"/>
  <c r="J27" i="2"/>
  <c r="K27" i="2"/>
  <c r="L27" i="2"/>
  <c r="M27" i="2"/>
  <c r="N27" i="2"/>
  <c r="O27" i="2"/>
  <c r="P27" i="2"/>
  <c r="Q27" i="2"/>
  <c r="R27" i="2"/>
  <c r="J30" i="2"/>
  <c r="K30" i="2"/>
  <c r="L30" i="2"/>
  <c r="M30" i="2"/>
  <c r="N30" i="2"/>
  <c r="O30" i="2"/>
  <c r="P30" i="2"/>
  <c r="Q30" i="2"/>
  <c r="R30" i="2"/>
  <c r="J44" i="2"/>
  <c r="K44" i="2"/>
  <c r="L44" i="2"/>
  <c r="M44" i="2"/>
  <c r="N44" i="2"/>
  <c r="O44" i="2"/>
  <c r="P44" i="2"/>
  <c r="Q44" i="2"/>
  <c r="R44" i="2"/>
  <c r="J32" i="2"/>
  <c r="K32" i="2"/>
  <c r="L32" i="2"/>
  <c r="M32" i="2"/>
  <c r="N32" i="2"/>
  <c r="O32" i="2"/>
  <c r="P32" i="2"/>
  <c r="Q32" i="2"/>
  <c r="R32" i="2"/>
  <c r="J26" i="2"/>
  <c r="K26" i="2"/>
  <c r="L26" i="2"/>
  <c r="M26" i="2"/>
  <c r="N26" i="2"/>
  <c r="O26" i="2"/>
  <c r="P26" i="2"/>
  <c r="Q26" i="2"/>
  <c r="R26" i="2"/>
  <c r="J43" i="2"/>
  <c r="K43" i="2"/>
  <c r="L43" i="2"/>
  <c r="M43" i="2"/>
  <c r="N43" i="2"/>
  <c r="O43" i="2"/>
  <c r="P43" i="2"/>
  <c r="Q43" i="2"/>
  <c r="R43" i="2"/>
  <c r="J28" i="2"/>
  <c r="K28" i="2"/>
  <c r="L28" i="2"/>
  <c r="M28" i="2"/>
  <c r="N28" i="2"/>
  <c r="O28" i="2"/>
  <c r="P28" i="2"/>
  <c r="Q28" i="2"/>
  <c r="R28" i="2"/>
  <c r="J33" i="2"/>
  <c r="K33" i="2"/>
  <c r="L33" i="2"/>
  <c r="M33" i="2"/>
  <c r="N33" i="2"/>
  <c r="O33" i="2"/>
  <c r="P33" i="2"/>
  <c r="Q33" i="2"/>
  <c r="R33" i="2"/>
  <c r="J39" i="2"/>
  <c r="K39" i="2"/>
  <c r="L39" i="2"/>
  <c r="M39" i="2"/>
  <c r="N39" i="2"/>
  <c r="O39" i="2"/>
  <c r="P39" i="2"/>
  <c r="Q39" i="2"/>
  <c r="R39" i="2"/>
  <c r="J46" i="2"/>
  <c r="K46" i="2"/>
  <c r="L46" i="2"/>
  <c r="M46" i="2"/>
  <c r="N46" i="2"/>
  <c r="O46" i="2"/>
  <c r="P46" i="2"/>
  <c r="Q46" i="2"/>
  <c r="R46" i="2"/>
  <c r="J31" i="2"/>
  <c r="K31" i="2"/>
  <c r="L31" i="2"/>
  <c r="M31" i="2"/>
  <c r="N31" i="2"/>
  <c r="O31" i="2"/>
  <c r="P31" i="2"/>
  <c r="Q31" i="2"/>
  <c r="R31" i="2"/>
  <c r="J52" i="2"/>
  <c r="K52" i="2"/>
  <c r="L52" i="2"/>
  <c r="M52" i="2"/>
  <c r="N52" i="2"/>
  <c r="O52" i="2"/>
  <c r="P52" i="2"/>
  <c r="Q52" i="2"/>
  <c r="R52" i="2"/>
  <c r="R34" i="2"/>
  <c r="Q34" i="2"/>
  <c r="P34" i="2"/>
  <c r="O34" i="2"/>
  <c r="N34" i="2"/>
  <c r="M34" i="2"/>
  <c r="L34" i="2"/>
  <c r="K34" i="2"/>
  <c r="J34" i="2"/>
  <c r="F128" i="1"/>
  <c r="E128" i="1"/>
  <c r="G9" i="2" l="1"/>
  <c r="G29" i="2"/>
  <c r="E25" i="2"/>
  <c r="E9" i="2"/>
  <c r="E37" i="2"/>
  <c r="E41" i="2"/>
  <c r="G8" i="2"/>
  <c r="E34" i="2"/>
  <c r="E42" i="2"/>
  <c r="G6" i="2"/>
  <c r="G15" i="2"/>
  <c r="G38" i="2"/>
  <c r="E3" i="2"/>
  <c r="E15" i="2"/>
  <c r="E23" i="2"/>
  <c r="E35" i="2"/>
  <c r="G7" i="2"/>
  <c r="G19" i="2"/>
  <c r="E4" i="2"/>
  <c r="E8" i="2"/>
  <c r="E24" i="2"/>
  <c r="I30" i="2"/>
  <c r="I4" i="2"/>
  <c r="I28" i="2"/>
  <c r="I50" i="2"/>
  <c r="I7" i="2"/>
  <c r="I48" i="2"/>
  <c r="I51" i="2"/>
  <c r="I35" i="2"/>
  <c r="I36" i="2"/>
  <c r="I17" i="2"/>
  <c r="I52" i="2"/>
  <c r="I31" i="2"/>
  <c r="I19" i="2"/>
  <c r="I46" i="2"/>
  <c r="I43" i="2"/>
  <c r="I27" i="2"/>
  <c r="I8" i="2"/>
  <c r="I49" i="2"/>
  <c r="I11" i="2"/>
  <c r="I3" i="2"/>
  <c r="I47" i="2"/>
  <c r="I9" i="2"/>
  <c r="I5" i="2"/>
  <c r="I21" i="2"/>
  <c r="I14" i="2"/>
  <c r="I34" i="2"/>
  <c r="I39" i="2"/>
  <c r="I26" i="2"/>
  <c r="I16" i="2"/>
  <c r="I20" i="2"/>
  <c r="I38" i="2"/>
  <c r="I29" i="2"/>
  <c r="I45" i="2"/>
  <c r="I6" i="2"/>
  <c r="I42" i="2"/>
  <c r="I37" i="2"/>
  <c r="I24" i="2"/>
  <c r="I33" i="2"/>
  <c r="I32" i="2"/>
  <c r="I44" i="2"/>
  <c r="I22" i="2"/>
  <c r="I23" i="2"/>
  <c r="I13" i="2"/>
  <c r="I15" i="2"/>
  <c r="I41" i="2"/>
  <c r="I25" i="2"/>
  <c r="I10" i="2"/>
  <c r="I40" i="2"/>
  <c r="I18" i="2"/>
  <c r="I12" i="2"/>
  <c r="E126" i="1" l="1"/>
  <c r="E127" i="1"/>
  <c r="E54" i="1"/>
  <c r="E53" i="1"/>
  <c r="E8" i="1"/>
  <c r="E92" i="1"/>
  <c r="E93" i="1"/>
  <c r="E99" i="1"/>
  <c r="E98" i="1"/>
  <c r="E73" i="1"/>
  <c r="E74" i="1"/>
  <c r="E130" i="1"/>
  <c r="E129" i="1"/>
  <c r="E113" i="1"/>
  <c r="E118" i="1"/>
  <c r="E117" i="1"/>
  <c r="E112" i="1"/>
  <c r="E111" i="1"/>
  <c r="E108" i="1"/>
  <c r="E107" i="1"/>
  <c r="E106" i="1"/>
  <c r="E105" i="1"/>
  <c r="E104" i="1"/>
  <c r="E103" i="1"/>
  <c r="E102" i="1"/>
  <c r="E101" i="1"/>
  <c r="E100" i="1"/>
  <c r="E116" i="1"/>
  <c r="E115" i="1"/>
  <c r="E114" i="1"/>
  <c r="E110" i="1"/>
  <c r="E109" i="1"/>
  <c r="E7" i="1"/>
  <c r="E125" i="1"/>
  <c r="E124" i="1"/>
  <c r="E123" i="1"/>
  <c r="E122" i="1"/>
  <c r="E121" i="1"/>
  <c r="E120" i="1"/>
  <c r="E12" i="1"/>
  <c r="E97" i="1"/>
  <c r="E96" i="1"/>
  <c r="E83" i="1"/>
  <c r="E82" i="1"/>
  <c r="E87" i="1"/>
  <c r="E89" i="1"/>
  <c r="E88" i="1"/>
  <c r="E86" i="1"/>
  <c r="E85" i="1"/>
  <c r="E84" i="1"/>
  <c r="E81" i="1"/>
  <c r="E80" i="1"/>
  <c r="E79" i="1"/>
  <c r="E78" i="1"/>
  <c r="E77" i="1"/>
  <c r="E76" i="1"/>
  <c r="E75" i="1"/>
  <c r="E91" i="1"/>
  <c r="E90" i="1"/>
  <c r="E13" i="1"/>
  <c r="E119" i="1"/>
  <c r="E141" i="1"/>
  <c r="E68" i="1"/>
  <c r="E69" i="1"/>
  <c r="E67" i="1"/>
  <c r="E66" i="1"/>
  <c r="E65" i="1"/>
  <c r="E64" i="1"/>
  <c r="E63" i="1"/>
  <c r="E62" i="1"/>
  <c r="E59" i="1"/>
  <c r="E61" i="1"/>
  <c r="E60" i="1"/>
  <c r="E52" i="1"/>
  <c r="E51" i="1"/>
  <c r="E6" i="1"/>
  <c r="E5" i="1"/>
  <c r="E4" i="1"/>
  <c r="E11" i="1"/>
  <c r="E22" i="1"/>
  <c r="E21" i="1"/>
  <c r="E26" i="1"/>
  <c r="E29" i="1"/>
  <c r="E140" i="1"/>
  <c r="E139" i="1"/>
  <c r="E134" i="1"/>
  <c r="E133" i="1"/>
  <c r="E132" i="1"/>
  <c r="E131" i="1"/>
  <c r="E136" i="1"/>
  <c r="E135" i="1"/>
  <c r="E50" i="1"/>
  <c r="E71" i="1"/>
  <c r="E70" i="1"/>
  <c r="E72" i="1"/>
  <c r="E56" i="1"/>
  <c r="E55" i="1"/>
  <c r="E95" i="1"/>
  <c r="E94" i="1"/>
  <c r="E143" i="1"/>
  <c r="E144" i="1"/>
  <c r="E58" i="1"/>
  <c r="E57" i="1"/>
  <c r="E157" i="1"/>
  <c r="E156" i="1"/>
  <c r="E149" i="1"/>
  <c r="E148" i="1"/>
  <c r="E155" i="1"/>
  <c r="E154" i="1"/>
  <c r="E147" i="1"/>
  <c r="E146" i="1"/>
  <c r="E151" i="1"/>
  <c r="E150" i="1"/>
  <c r="E153" i="1"/>
  <c r="E152" i="1"/>
  <c r="E145" i="1"/>
  <c r="E138" i="1"/>
  <c r="E137" i="1"/>
  <c r="E142" i="1"/>
  <c r="E43" i="1"/>
  <c r="E48" i="1"/>
  <c r="E47" i="1"/>
  <c r="E42" i="1"/>
  <c r="E41" i="1"/>
  <c r="E38" i="1"/>
  <c r="E37" i="1"/>
  <c r="E36" i="1"/>
  <c r="E35" i="1"/>
  <c r="E34" i="1"/>
  <c r="E33" i="1"/>
  <c r="E32" i="1"/>
  <c r="E31" i="1"/>
  <c r="E30" i="1"/>
  <c r="E46" i="1"/>
  <c r="E45" i="1"/>
  <c r="E44" i="1"/>
  <c r="E40" i="1"/>
  <c r="E39" i="1"/>
  <c r="E28" i="1"/>
  <c r="E27" i="1"/>
  <c r="E25" i="1"/>
  <c r="E24" i="1"/>
  <c r="E23" i="1"/>
  <c r="E20" i="1"/>
  <c r="E19" i="1"/>
  <c r="E18" i="1"/>
  <c r="E17" i="1"/>
  <c r="E16" i="1"/>
  <c r="E15" i="1"/>
  <c r="E14" i="1"/>
  <c r="E9" i="1"/>
  <c r="E10" i="1"/>
  <c r="E3" i="1"/>
  <c r="E49" i="1"/>
  <c r="F140" i="1"/>
  <c r="F139" i="1"/>
  <c r="F134" i="1"/>
  <c r="F133" i="1"/>
  <c r="F132" i="1"/>
  <c r="F131" i="1"/>
  <c r="F136" i="1"/>
  <c r="F135" i="1"/>
  <c r="F50" i="1"/>
  <c r="F71" i="1"/>
  <c r="F70" i="1"/>
  <c r="F72" i="1"/>
  <c r="F56" i="1"/>
  <c r="F55" i="1"/>
  <c r="F95" i="1"/>
  <c r="F94" i="1"/>
  <c r="F143" i="1"/>
  <c r="F144" i="1"/>
  <c r="F58" i="1"/>
  <c r="F57" i="1"/>
  <c r="F157" i="1"/>
  <c r="F156" i="1"/>
  <c r="F149" i="1"/>
  <c r="F148" i="1"/>
  <c r="F155" i="1"/>
  <c r="F154" i="1"/>
  <c r="F147" i="1"/>
  <c r="F146" i="1"/>
  <c r="F151" i="1"/>
  <c r="F150" i="1"/>
  <c r="F153" i="1"/>
  <c r="F152" i="1"/>
  <c r="F145" i="1"/>
  <c r="F138" i="1"/>
  <c r="F137" i="1"/>
  <c r="F142" i="1"/>
  <c r="F43" i="1"/>
  <c r="F48" i="1"/>
  <c r="F47" i="1"/>
  <c r="F42" i="1"/>
  <c r="F41" i="1"/>
  <c r="F38" i="1"/>
  <c r="F37" i="1"/>
  <c r="F36" i="1"/>
  <c r="F35" i="1"/>
  <c r="F34" i="1"/>
  <c r="F33" i="1"/>
  <c r="F32" i="1"/>
  <c r="F31" i="1"/>
  <c r="F30" i="1"/>
  <c r="F46" i="1"/>
  <c r="F45" i="1"/>
  <c r="F44" i="1"/>
  <c r="F40" i="1"/>
  <c r="F39" i="1"/>
  <c r="F126" i="1"/>
  <c r="F127" i="1"/>
  <c r="F54" i="1"/>
  <c r="F53" i="1"/>
  <c r="F8" i="1"/>
  <c r="F92" i="1"/>
  <c r="F93" i="1"/>
  <c r="F99" i="1"/>
  <c r="F98" i="1"/>
  <c r="F73" i="1"/>
  <c r="F74" i="1"/>
  <c r="F130" i="1"/>
  <c r="F129" i="1"/>
  <c r="F113" i="1"/>
  <c r="F118" i="1"/>
  <c r="F117" i="1"/>
  <c r="F112" i="1"/>
  <c r="F111" i="1"/>
  <c r="F108" i="1"/>
  <c r="F107" i="1"/>
  <c r="F106" i="1"/>
  <c r="F105" i="1"/>
  <c r="F104" i="1"/>
  <c r="F103" i="1"/>
  <c r="F102" i="1"/>
  <c r="F101" i="1"/>
  <c r="F100" i="1"/>
  <c r="F116" i="1"/>
  <c r="F115" i="1"/>
  <c r="F114" i="1"/>
  <c r="F110" i="1"/>
  <c r="F109" i="1"/>
  <c r="F7" i="1"/>
  <c r="F125" i="1"/>
  <c r="F124" i="1"/>
  <c r="F123" i="1"/>
  <c r="F122" i="1"/>
  <c r="F121" i="1"/>
  <c r="F120" i="1"/>
  <c r="F12" i="1"/>
  <c r="F97" i="1"/>
  <c r="F96" i="1"/>
  <c r="F83" i="1"/>
  <c r="F82" i="1"/>
  <c r="F87" i="1"/>
  <c r="F89" i="1"/>
  <c r="F88" i="1"/>
  <c r="F86" i="1"/>
  <c r="F85" i="1"/>
  <c r="F84" i="1"/>
  <c r="F81" i="1"/>
  <c r="F80" i="1"/>
  <c r="F79" i="1"/>
  <c r="F78" i="1"/>
  <c r="F77" i="1"/>
  <c r="F76" i="1"/>
  <c r="F75" i="1"/>
  <c r="F91" i="1"/>
  <c r="F90" i="1"/>
  <c r="F13" i="1"/>
  <c r="F119" i="1"/>
  <c r="F141" i="1"/>
  <c r="F68" i="1"/>
  <c r="F69" i="1"/>
  <c r="F67" i="1"/>
  <c r="F66" i="1"/>
  <c r="F65" i="1"/>
  <c r="F64" i="1"/>
  <c r="F63" i="1"/>
  <c r="F62" i="1"/>
  <c r="F59" i="1"/>
  <c r="F61" i="1"/>
  <c r="F60" i="1"/>
  <c r="F52" i="1"/>
  <c r="F51" i="1"/>
  <c r="F6" i="1"/>
  <c r="F5" i="1"/>
  <c r="F4" i="1"/>
  <c r="F11" i="1"/>
  <c r="F22" i="1"/>
  <c r="F21" i="1"/>
  <c r="F26" i="1"/>
  <c r="F29" i="1"/>
  <c r="F28" i="1"/>
  <c r="F27" i="1"/>
  <c r="F25" i="1"/>
  <c r="F24" i="1"/>
  <c r="F23" i="1"/>
  <c r="F20" i="1"/>
  <c r="F19" i="1"/>
  <c r="F18" i="1"/>
  <c r="F17" i="1"/>
  <c r="F16" i="1"/>
  <c r="F15" i="1"/>
  <c r="F14" i="1"/>
  <c r="F9" i="1"/>
  <c r="F10" i="1"/>
  <c r="F3" i="1"/>
  <c r="F49" i="1"/>
</calcChain>
</file>

<file path=xl/sharedStrings.xml><?xml version="1.0" encoding="utf-8"?>
<sst xmlns="http://schemas.openxmlformats.org/spreadsheetml/2006/main" count="592" uniqueCount="219">
  <si>
    <t>Cod Art</t>
  </si>
  <si>
    <t>Descripcion ART</t>
  </si>
  <si>
    <t xml:space="preserve">Tres En Uno              </t>
  </si>
  <si>
    <t xml:space="preserve">3 En 1                   </t>
  </si>
  <si>
    <t xml:space="preserve">Corta Queso              </t>
  </si>
  <si>
    <t xml:space="preserve">Batidor Resorte         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</si>
  <si>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</si>
  <si>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</si>
  <si>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</si>
  <si>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</si>
  <si>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</si>
  <si>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</si>
  <si>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</si>
  <si>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 xml:space="preserve">Ahueca Papas             </t>
  </si>
  <si>
    <t xml:space="preserve">Ahueca Frutas            </t>
  </si>
  <si>
    <t xml:space="preserve">Corta Ravioles           </t>
  </si>
  <si>
    <t xml:space="preserve">Pala De Torta Acero Inox </t>
  </si>
  <si>
    <t xml:space="preserve">Pala De Canelones        </t>
  </si>
  <si>
    <t>Pelapapas Cuchilla Corte Laser</t>
  </si>
  <si>
    <t>Descorazonador De Manzana</t>
  </si>
  <si>
    <t xml:space="preserve">Enrulador De Manteca     </t>
  </si>
  <si>
    <t xml:space="preserve">Pincel Pastelero         </t>
  </si>
  <si>
    <t xml:space="preserve">Pisa Papas Acero Inox    </t>
  </si>
  <si>
    <t>Pisa Papas Nylon Mgo Plas</t>
  </si>
  <si>
    <t>Cepillo Limpia Vaso Mamad</t>
  </si>
  <si>
    <t>Cuchillo Untar Mgo Plast Inox</t>
  </si>
  <si>
    <t xml:space="preserve">Cuchillitos De Untar Mgo </t>
  </si>
  <si>
    <t xml:space="preserve">Pala Torta               </t>
  </si>
  <si>
    <t>Cuchillo De Torta</t>
  </si>
  <si>
    <t>Enrulador Manteca</t>
  </si>
  <si>
    <t xml:space="preserve">Ahueca Papa              </t>
  </si>
  <si>
    <t xml:space="preserve">Corta Pizza Grande       </t>
  </si>
  <si>
    <t xml:space="preserve">Pisa Papas               </t>
  </si>
  <si>
    <t xml:space="preserve">Pisa Papa Nylon          </t>
  </si>
  <si>
    <t>Sacafuentes Articulado</t>
  </si>
  <si>
    <t xml:space="preserve">Limpia Mamadera A/I      </t>
  </si>
  <si>
    <t>Pinza De Fiambre*Arte* X 12</t>
  </si>
  <si>
    <t>Pinza De Ensaladas*Arte* X 12</t>
  </si>
  <si>
    <t xml:space="preserve">Pinza De Fideos*Arte*  </t>
  </si>
  <si>
    <t>Pinza De Fideos Mgo Plast X 12</t>
  </si>
  <si>
    <t>Pinza De Fiambre Mgo Plas X 12</t>
  </si>
  <si>
    <t>Pinza De Ensalada Mgo Pla X 12</t>
  </si>
  <si>
    <t>Abrelata Mariposa Plastic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</si>
  <si>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</si>
  <si>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</si>
  <si>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</si>
  <si>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</si>
  <si>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</si>
  <si>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</si>
  <si>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</si>
  <si>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 xml:space="preserve">Afila Cuchillos          </t>
  </si>
  <si>
    <t>Afila Cuchillo Con Base V</t>
  </si>
  <si>
    <t xml:space="preserve">Pelador Mgo Plastico     </t>
  </si>
  <si>
    <t xml:space="preserve">Cierra Bolsa X2          </t>
  </si>
  <si>
    <t xml:space="preserve">Cierra Bolsa X 4         </t>
  </si>
  <si>
    <t xml:space="preserve">Abrelatas A Manija       </t>
  </si>
  <si>
    <t xml:space="preserve">Abrelatas A Mariposa     </t>
  </si>
  <si>
    <t xml:space="preserve">Pelapapas Mgo Ergonomico </t>
  </si>
  <si>
    <t>Pelapapas Mgo Plast Verde</t>
  </si>
  <si>
    <t>Cuchillo de Untar Acrilico Transp.</t>
  </si>
  <si>
    <t>Cuchillito De Untar Plast</t>
  </si>
  <si>
    <t xml:space="preserve">Cuch. Untar Blanco X 4   </t>
  </si>
  <si>
    <t xml:space="preserve">Pelanaranjas X 1 Display </t>
  </si>
  <si>
    <t xml:space="preserve">Cuchara Calada Plastica  </t>
  </si>
  <si>
    <t>Cuchara Calada Nylon 1 Pz</t>
  </si>
  <si>
    <t xml:space="preserve">Cuchara Pulpo Plastica   </t>
  </si>
  <si>
    <t>Cuchara Pulpo Nylon 1 Pza</t>
  </si>
  <si>
    <t xml:space="preserve">Cucharon Plastico        </t>
  </si>
  <si>
    <t xml:space="preserve">Cucharon Nylon 1 Pza     </t>
  </si>
  <si>
    <t xml:space="preserve">Espatula Calada Plastica </t>
  </si>
  <si>
    <t>Espatula Calada Nylon 1 P</t>
  </si>
  <si>
    <t xml:space="preserve">Espatula Lisa Plastica   </t>
  </si>
  <si>
    <t>Espatula Lisa Nylon 1 Pza</t>
  </si>
  <si>
    <t xml:space="preserve">Corta Torta              </t>
  </si>
  <si>
    <t>Corta Torta Plast</t>
  </si>
  <si>
    <t>Cuchara De Cocina 33Cm X 12</t>
  </si>
  <si>
    <t>Cuchara De Cocina 33 Cm X 12</t>
  </si>
  <si>
    <t>Manga Repostera + 4 Boqui</t>
  </si>
  <si>
    <t xml:space="preserve">Sacacorcho Doble Aleta   </t>
  </si>
  <si>
    <t>Tapon De Vino/Cerveza Premium</t>
  </si>
  <si>
    <t>Sac. Cabo Nylon</t>
  </si>
  <si>
    <t>Sacacorcho Cabo Plastico</t>
  </si>
  <si>
    <t>Muñeco Silicona Antiderra</t>
  </si>
  <si>
    <t xml:space="preserve">Sacafuente Gastronomico  </t>
  </si>
  <si>
    <t xml:space="preserve">Corta Pizza Gastronomico </t>
  </si>
  <si>
    <t>Cuchillo De Untar X 2 mad</t>
  </si>
  <si>
    <t>Cuch Untar Mgo Madera X2</t>
  </si>
  <si>
    <t>Sacacorcho Cabo De Madera</t>
  </si>
  <si>
    <t xml:space="preserve">Ñoquera Madera           </t>
  </si>
  <si>
    <t xml:space="preserve">Ñoquera Display          </t>
  </si>
  <si>
    <t>E Madre Loeke</t>
  </si>
  <si>
    <t>E Madre Chef</t>
  </si>
  <si>
    <t>Tallerista</t>
  </si>
  <si>
    <t>Consumo x Mes</t>
  </si>
  <si>
    <t>Plaquitas 3- 1 Blan.</t>
  </si>
  <si>
    <t>Plaquita 3 en 1 LK</t>
  </si>
  <si>
    <t>Capuchon Batidor LK</t>
  </si>
  <si>
    <t>Capuchon Espatula LK</t>
  </si>
  <si>
    <t>Capuchon ф10</t>
  </si>
  <si>
    <t>Capuchon ф 8</t>
  </si>
  <si>
    <t>Mang Cuch Unt Rojo</t>
  </si>
  <si>
    <t>Mang Cuch Unt Chef</t>
  </si>
  <si>
    <t>Inser. Neg. Cuch. y Pal</t>
  </si>
  <si>
    <t>Inser. Neg. Espat</t>
  </si>
  <si>
    <t>Inser. Neg. Batidor</t>
  </si>
  <si>
    <t>Inserto Neg. Canelones</t>
  </si>
  <si>
    <t>Mango LK Cuch y P Torta</t>
  </si>
  <si>
    <t>Mango LK ф 8</t>
  </si>
  <si>
    <t>Mango LK Espatula</t>
  </si>
  <si>
    <t>Mango LK Corta Queso</t>
  </si>
  <si>
    <t>Mangos ф 10</t>
  </si>
  <si>
    <t>Cachas Azules</t>
  </si>
  <si>
    <t>Capuchon Mariposa 512</t>
  </si>
  <si>
    <t>Ojales Neg/Blanco</t>
  </si>
  <si>
    <t>Afila Caladas Azules</t>
  </si>
  <si>
    <t>Mango 505 P/Calar.</t>
  </si>
  <si>
    <t>Cierra Bolsas Blanc.</t>
  </si>
  <si>
    <t>Manguito Abrelat. Rojo</t>
  </si>
  <si>
    <t>Manguito Abrelat. Blanco</t>
  </si>
  <si>
    <t>Pirolo Rojo</t>
  </si>
  <si>
    <t>Buje Blanco</t>
  </si>
  <si>
    <t>Mango Pelador LK 586 S/S</t>
  </si>
  <si>
    <t>Mangos Pelador Vde</t>
  </si>
  <si>
    <t>Mangos Chef</t>
  </si>
  <si>
    <t>Cuchillo de Untar Blanc</t>
  </si>
  <si>
    <t>Pela naranjas</t>
  </si>
  <si>
    <t>Cuchara Calada 1 Pz  Ny</t>
  </si>
  <si>
    <t xml:space="preserve">Cuchara Fideos 1 Pz Ny </t>
  </si>
  <si>
    <t xml:space="preserve">Cucharon 1 Pz Ny </t>
  </si>
  <si>
    <t>Espatula Cal.  1 Pz Ny</t>
  </si>
  <si>
    <t xml:space="preserve">Espatula Lisa 1 Pz </t>
  </si>
  <si>
    <t>Corta Torta</t>
  </si>
  <si>
    <t>Cuchara Ny Chef (S/marca)</t>
  </si>
  <si>
    <t>Cuchara Ny Loeke (Serif.)</t>
  </si>
  <si>
    <t>Picos Reposteros</t>
  </si>
  <si>
    <t>Pisa papa Nylon</t>
  </si>
  <si>
    <t>Cuerpo Sac Aleta Plast</t>
  </si>
  <si>
    <t>Cilindro Corta Queso</t>
  </si>
  <si>
    <t>Cuerpo Sacacorcho Plast</t>
  </si>
  <si>
    <t>Muñeco Antiderrame</t>
  </si>
  <si>
    <t>Mgo Sacafuente Pizzero</t>
  </si>
  <si>
    <t>Mgo Corta Pizza</t>
  </si>
  <si>
    <t>Mgo Mad Cuch Untar</t>
  </si>
  <si>
    <t>Cabo Madera 525</t>
  </si>
  <si>
    <t>Parte</t>
  </si>
  <si>
    <t>Sect</t>
  </si>
  <si>
    <t>A2</t>
  </si>
  <si>
    <t>A1</t>
  </si>
  <si>
    <t>A13</t>
  </si>
  <si>
    <t>A18</t>
  </si>
  <si>
    <t>A15</t>
  </si>
  <si>
    <t>A10</t>
  </si>
  <si>
    <t>A4</t>
  </si>
  <si>
    <t>A5</t>
  </si>
  <si>
    <t>B5</t>
  </si>
  <si>
    <t>B6</t>
  </si>
  <si>
    <t>B7</t>
  </si>
  <si>
    <t>HP3</t>
  </si>
  <si>
    <t>C7</t>
  </si>
  <si>
    <t>A17</t>
  </si>
  <si>
    <t>C11</t>
  </si>
  <si>
    <t>C10</t>
  </si>
  <si>
    <t>C3</t>
  </si>
  <si>
    <t>A16</t>
  </si>
  <si>
    <t>C8</t>
  </si>
  <si>
    <t>A11</t>
  </si>
  <si>
    <t>C6</t>
  </si>
  <si>
    <t>EP4</t>
  </si>
  <si>
    <t>C1</t>
  </si>
  <si>
    <t>C4</t>
  </si>
  <si>
    <t>C14</t>
  </si>
  <si>
    <t>C13</t>
  </si>
  <si>
    <t>A12</t>
  </si>
  <si>
    <t>A8</t>
  </si>
  <si>
    <t>EP2</t>
  </si>
  <si>
    <t>EP1</t>
  </si>
  <si>
    <t>A19</t>
  </si>
  <si>
    <t>MP4</t>
  </si>
  <si>
    <t>EP9</t>
  </si>
  <si>
    <t>V17</t>
  </si>
  <si>
    <t>V6</t>
  </si>
  <si>
    <t>V5</t>
  </si>
  <si>
    <t>V2</t>
  </si>
  <si>
    <t>V7</t>
  </si>
  <si>
    <t>V3</t>
  </si>
  <si>
    <t>V8</t>
  </si>
  <si>
    <t>B2</t>
  </si>
  <si>
    <t>B3</t>
  </si>
  <si>
    <t>V14</t>
  </si>
  <si>
    <t>V1</t>
  </si>
  <si>
    <t>C2</t>
  </si>
  <si>
    <t>B1</t>
  </si>
  <si>
    <t>BP7</t>
  </si>
  <si>
    <t>B8</t>
  </si>
  <si>
    <t>A3</t>
  </si>
  <si>
    <t>EP7</t>
  </si>
  <si>
    <t>EP8</t>
  </si>
  <si>
    <t>EP5</t>
  </si>
  <si>
    <t>EP6</t>
  </si>
  <si>
    <t>GRJ12</t>
  </si>
  <si>
    <t>Martin C</t>
  </si>
  <si>
    <t>Lucho</t>
  </si>
  <si>
    <t>Carlos E</t>
  </si>
  <si>
    <t>Edwin</t>
  </si>
  <si>
    <t>Juan Farias</t>
  </si>
  <si>
    <t>Poly</t>
  </si>
  <si>
    <t>Rodar</t>
  </si>
  <si>
    <t>Logistica</t>
  </si>
  <si>
    <t>Oscar</t>
  </si>
  <si>
    <t>Sector</t>
  </si>
  <si>
    <t>Descripcion</t>
  </si>
  <si>
    <t>Consumo</t>
  </si>
  <si>
    <t>Minimo Definido</t>
  </si>
  <si>
    <t>Consumo Total</t>
  </si>
  <si>
    <t>Uni x Bolsa</t>
  </si>
  <si>
    <t>N° Orden</t>
  </si>
  <si>
    <t>Peso x Pieza</t>
  </si>
  <si>
    <t>Cambio</t>
  </si>
  <si>
    <t>Peso x Bolsa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</si>
</sst>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3" fontId="0" fillId="0" borderId="0" xfId="1" applyFont="1"/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U:\AA%20%20LOGISTICA%20Relevamiento%20y%20Pedidos\A3%20Relevamiento%20Stock%20y%20Pedidos%20Insumos\Relevamiento\A%20Relevamientos%20INSUMOS%20y%20Pedido\A%20Partes%20y%20Bolsas%20Pl&#225;sticos\A%20%20Relevamiento%20y%20Pedido%20Vigente\AA%20Relevamiento%20y%20Pedido%20VACIO.xls" TargetMode="External"/><Relationship Id="rId2" Type="http://schemas.microsoft.com/office/2019/04/relationships/externalLinkLongPath" Target="/AA%20%20LOGISTICA%20Relevamiento%20y%20Pedidos/A3%20Relevamiento%20Stock%20y%20Pedidos%20Insumos/Relevamiento/A%20Relevamientos%20INSUMOS%20y%20Pedido/A%20Partes%20y%20Bolsas%20Pl&#225;sticos/A%20%20Relevamiento%20y%20Pedido%20Vigente/AA%20Relevamiento%20y%20Pedido%20VACIO.xls?7D966F91" TargetMode="External"/><Relationship Id="rId1" Type="http://schemas.openxmlformats.org/officeDocument/2006/relationships/externalLinkPath" Target="file:///\\7D966F91\AA%20Relevamiento%20y%20Pedido%20VAC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lev y OP Bolsas Plast VACIO"/>
      <sheetName val="Relevamiento y OP VACIO"/>
      <sheetName val="Stock Prov Serv"/>
      <sheetName val="Stock Taller"/>
      <sheetName val="Stock CD"/>
      <sheetName val="Stock LK ISIS"/>
      <sheetName val="Stock CH ISIS"/>
      <sheetName val="Consumo x Cod Articulo"/>
      <sheetName val="Est Madre LK 15-04"/>
      <sheetName val="Est Madre CH 15-04"/>
      <sheetName val="Consumo MB"/>
      <sheetName val="Consumo x Articulo"/>
      <sheetName val="Consumo x Parte"/>
      <sheetName val="Hoja1"/>
      <sheetName val="Sheet1"/>
      <sheetName val="Pedido SR"/>
      <sheetName val="Planimetría Plasticos."/>
      <sheetName val="Hoja2"/>
      <sheetName val="Hoja3"/>
      <sheetName val="Hoja4"/>
    </sheetNames>
    <sheetDataSet>
      <sheetData sheetId="0"/>
      <sheetData sheetId="1">
        <row r="1">
          <cell r="C1" t="str">
            <v>RELEVAMIENTO PLASTICOS</v>
          </cell>
          <cell r="I1" t="str">
            <v>TIPO DE CAMBIO:</v>
          </cell>
          <cell r="M1">
            <v>927.5</v>
          </cell>
        </row>
        <row r="3">
          <cell r="E3" t="str">
            <v>FECHA:</v>
          </cell>
          <cell r="F3">
            <v>45496</v>
          </cell>
        </row>
        <row r="5">
          <cell r="E5" t="str">
            <v>ENCARGADO:</v>
          </cell>
          <cell r="O5" t="str">
            <v>STOCKS TOTALES</v>
          </cell>
          <cell r="U5" t="str">
            <v>MAXIMOS TOTALES</v>
          </cell>
          <cell r="Z5" t="str">
            <v>INFORMACION</v>
          </cell>
        </row>
        <row r="7">
          <cell r="C7" t="str">
            <v>Nuevo Sector</v>
          </cell>
          <cell r="D7" t="str">
            <v>Sector</v>
          </cell>
          <cell r="E7" t="str">
            <v>Descripción</v>
          </cell>
          <cell r="F7" t="str">
            <v>Stock Real Bolsa</v>
          </cell>
          <cell r="G7" t="str">
            <v>Uni Suelta</v>
          </cell>
          <cell r="H7" t="str">
            <v>Max Uni 3 Mes</v>
          </cell>
          <cell r="I7" t="str">
            <v>Stock Unid Real</v>
          </cell>
          <cell r="J7" t="str">
            <v>Pedido Uni</v>
          </cell>
          <cell r="K7" t="str">
            <v>Pedi Pend Uni</v>
          </cell>
          <cell r="L7" t="str">
            <v>% Ocup Relev</v>
          </cell>
          <cell r="M7" t="str">
            <v>Total $</v>
          </cell>
          <cell r="O7" t="str">
            <v>% Ocup Total</v>
          </cell>
          <cell r="P7" t="str">
            <v>Stock Total Uni</v>
          </cell>
          <cell r="Q7" t="str">
            <v>Stock PS Uni</v>
          </cell>
          <cell r="R7" t="str">
            <v>Stock Taller Uni</v>
          </cell>
          <cell r="S7" t="str">
            <v>Stock CD Uni</v>
          </cell>
          <cell r="U7" t="str">
            <v>Max Total Uni</v>
          </cell>
          <cell r="V7" t="str">
            <v>Max PS Uni</v>
          </cell>
          <cell r="W7" t="str">
            <v>Max Taller Uni</v>
          </cell>
          <cell r="X7" t="str">
            <v>Max CD Uni</v>
          </cell>
          <cell r="Z7" t="str">
            <v>Max Bolsa</v>
          </cell>
          <cell r="AA7" t="str">
            <v>Cant Entra Bolsa</v>
          </cell>
          <cell r="AB7" t="str">
            <v>Uni x Bolsa</v>
          </cell>
          <cell r="AC7" t="str">
            <v>Cons Mens Uni</v>
          </cell>
          <cell r="AD7" t="str">
            <v>Pedi Min Uni</v>
          </cell>
          <cell r="AE7" t="str">
            <v>Precio Uni</v>
          </cell>
          <cell r="AF7" t="str">
            <v>Proveedor</v>
          </cell>
          <cell r="AG7" t="str">
            <v>Descripcion Matriz</v>
          </cell>
          <cell r="AH7" t="str">
            <v>MB</v>
          </cell>
        </row>
        <row r="8">
          <cell r="C8" t="str">
            <v>A1</v>
          </cell>
          <cell r="D8" t="str">
            <v>AP1</v>
          </cell>
          <cell r="E8" t="str">
            <v>Plaquita 3 en 1 LK</v>
          </cell>
          <cell r="H8">
            <v>1260</v>
          </cell>
          <cell r="I8">
            <v>0</v>
          </cell>
          <cell r="J8">
            <v>2000</v>
          </cell>
          <cell r="L8">
            <v>0</v>
          </cell>
          <cell r="M8">
            <v>49140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12460</v>
          </cell>
          <cell r="V8">
            <v>10000</v>
          </cell>
          <cell r="W8">
            <v>600</v>
          </cell>
          <cell r="X8">
            <v>600</v>
          </cell>
          <cell r="Z8">
            <v>1.26</v>
          </cell>
          <cell r="AA8">
            <v>2</v>
          </cell>
          <cell r="AB8">
            <v>1000</v>
          </cell>
          <cell r="AC8">
            <v>420</v>
          </cell>
          <cell r="AD8">
            <v>6000</v>
          </cell>
          <cell r="AE8">
            <v>24.57</v>
          </cell>
          <cell r="AF8" t="str">
            <v>Manolo</v>
          </cell>
          <cell r="AG8" t="str">
            <v>Plaquitas</v>
          </cell>
          <cell r="AH8" t="str">
            <v>R</v>
          </cell>
        </row>
        <row r="9">
          <cell r="C9" t="str">
            <v>A2</v>
          </cell>
          <cell r="D9" t="str">
            <v>BP5</v>
          </cell>
          <cell r="E9" t="str">
            <v>Plaquitas 3- 1 Blan.</v>
          </cell>
          <cell r="H9">
            <v>720</v>
          </cell>
          <cell r="I9">
            <v>0</v>
          </cell>
          <cell r="J9">
            <v>1000</v>
          </cell>
          <cell r="L9">
            <v>0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2340</v>
          </cell>
          <cell r="V9">
            <v>0</v>
          </cell>
          <cell r="W9">
            <v>1260</v>
          </cell>
          <cell r="X9">
            <v>360</v>
          </cell>
          <cell r="Z9">
            <v>0.20571428571428571</v>
          </cell>
          <cell r="AA9">
            <v>2</v>
          </cell>
          <cell r="AB9">
            <v>3500</v>
          </cell>
          <cell r="AC9">
            <v>240</v>
          </cell>
          <cell r="AD9">
            <v>6000</v>
          </cell>
          <cell r="AE9">
            <v>0</v>
          </cell>
          <cell r="AF9" t="str">
            <v>Manolo</v>
          </cell>
          <cell r="AG9" t="str">
            <v>Plaquitas</v>
          </cell>
          <cell r="AH9" t="str">
            <v>B</v>
          </cell>
        </row>
        <row r="10">
          <cell r="C10" t="str">
            <v>A3</v>
          </cell>
          <cell r="D10" t="str">
            <v>BP4</v>
          </cell>
          <cell r="E10" t="str">
            <v>Muñeco Antiderrame</v>
          </cell>
          <cell r="H10">
            <v>360</v>
          </cell>
          <cell r="I10">
            <v>0</v>
          </cell>
          <cell r="J10">
            <v>1000</v>
          </cell>
          <cell r="L10">
            <v>0</v>
          </cell>
          <cell r="M10">
            <v>82340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600</v>
          </cell>
          <cell r="V10">
            <v>0</v>
          </cell>
          <cell r="W10">
            <v>0</v>
          </cell>
          <cell r="X10">
            <v>240</v>
          </cell>
          <cell r="Z10">
            <v>0.36</v>
          </cell>
          <cell r="AA10">
            <v>1</v>
          </cell>
          <cell r="AB10">
            <v>1000</v>
          </cell>
          <cell r="AC10">
            <v>120</v>
          </cell>
          <cell r="AD10">
            <v>2500</v>
          </cell>
          <cell r="AE10">
            <v>82.34</v>
          </cell>
          <cell r="AF10" t="str">
            <v>Manolo</v>
          </cell>
          <cell r="AG10" t="str">
            <v>Muñeco Antiderrame</v>
          </cell>
          <cell r="AH10" t="str">
            <v>R</v>
          </cell>
        </row>
        <row r="11">
          <cell r="C11" t="str">
            <v>A4</v>
          </cell>
          <cell r="D11" t="str">
            <v>AP6</v>
          </cell>
          <cell r="E11" t="str">
            <v>Mang Cuch Unt Rojo</v>
          </cell>
          <cell r="H11">
            <v>1080</v>
          </cell>
          <cell r="I11">
            <v>0</v>
          </cell>
          <cell r="J11">
            <v>2000</v>
          </cell>
          <cell r="L11">
            <v>0</v>
          </cell>
          <cell r="M11">
            <v>50000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21760</v>
          </cell>
          <cell r="V11">
            <v>20000</v>
          </cell>
          <cell r="W11">
            <v>320</v>
          </cell>
          <cell r="X11">
            <v>360</v>
          </cell>
          <cell r="Z11">
            <v>0.54</v>
          </cell>
          <cell r="AA11">
            <v>2</v>
          </cell>
          <cell r="AB11">
            <v>2000</v>
          </cell>
          <cell r="AC11">
            <v>360</v>
          </cell>
          <cell r="AD11">
            <v>10000</v>
          </cell>
          <cell r="AE11">
            <v>25</v>
          </cell>
          <cell r="AF11" t="str">
            <v>Telleria</v>
          </cell>
          <cell r="AG11" t="str">
            <v>Cuchillo Untar</v>
          </cell>
          <cell r="AH11" t="str">
            <v>R</v>
          </cell>
        </row>
        <row r="12">
          <cell r="C12" t="str">
            <v>A7</v>
          </cell>
          <cell r="D12" t="str">
            <v>GP2</v>
          </cell>
          <cell r="E12" t="str">
            <v>Pirolo Blanco</v>
          </cell>
          <cell r="H12">
            <v>0</v>
          </cell>
          <cell r="I12">
            <v>0</v>
          </cell>
          <cell r="J12">
            <v>0</v>
          </cell>
          <cell r="L12" t="str">
            <v>0%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16300</v>
          </cell>
          <cell r="V12">
            <v>10000</v>
          </cell>
          <cell r="W12">
            <v>0</v>
          </cell>
          <cell r="X12">
            <v>6300</v>
          </cell>
          <cell r="Z12">
            <v>0</v>
          </cell>
          <cell r="AA12">
            <v>8</v>
          </cell>
          <cell r="AB12">
            <v>5000</v>
          </cell>
          <cell r="AC12">
            <v>0</v>
          </cell>
          <cell r="AD12">
            <v>36000</v>
          </cell>
          <cell r="AE12">
            <v>0</v>
          </cell>
          <cell r="AF12" t="str">
            <v>Manolo</v>
          </cell>
          <cell r="AG12" t="str">
            <v>Regatones</v>
          </cell>
          <cell r="AH12" t="str">
            <v>B</v>
          </cell>
        </row>
        <row r="13">
          <cell r="C13" t="str">
            <v>A8</v>
          </cell>
          <cell r="D13" t="str">
            <v>BP9</v>
          </cell>
          <cell r="E13" t="str">
            <v>Buje Blanco</v>
          </cell>
          <cell r="H13">
            <v>22212</v>
          </cell>
          <cell r="I13">
            <v>0</v>
          </cell>
          <cell r="J13">
            <v>23000</v>
          </cell>
          <cell r="L13">
            <v>0</v>
          </cell>
          <cell r="M13">
            <v>193430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275808</v>
          </cell>
          <cell r="V13">
            <v>165000</v>
          </cell>
          <cell r="W13">
            <v>70884</v>
          </cell>
          <cell r="X13">
            <v>17712</v>
          </cell>
          <cell r="Z13">
            <v>0.67309090909090907</v>
          </cell>
          <cell r="AA13">
            <v>2</v>
          </cell>
          <cell r="AB13">
            <v>33000</v>
          </cell>
          <cell r="AC13">
            <v>7404</v>
          </cell>
          <cell r="AD13">
            <v>33000</v>
          </cell>
          <cell r="AE13">
            <v>8.41</v>
          </cell>
          <cell r="AF13" t="str">
            <v>Manolo</v>
          </cell>
          <cell r="AG13" t="str">
            <v>Regatones</v>
          </cell>
          <cell r="AH13" t="str">
            <v>B</v>
          </cell>
        </row>
        <row r="14">
          <cell r="C14" t="str">
            <v>A10</v>
          </cell>
          <cell r="D14" t="str">
            <v>AP5</v>
          </cell>
          <cell r="E14" t="str">
            <v>Capuchon ф 8</v>
          </cell>
          <cell r="H14">
            <v>10188</v>
          </cell>
          <cell r="I14">
            <v>0</v>
          </cell>
          <cell r="J14">
            <v>11000</v>
          </cell>
          <cell r="L14">
            <v>0</v>
          </cell>
          <cell r="M14">
            <v>244310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93588</v>
          </cell>
          <cell r="V14">
            <v>75000</v>
          </cell>
          <cell r="W14">
            <v>4200</v>
          </cell>
          <cell r="X14">
            <v>4200</v>
          </cell>
          <cell r="Z14">
            <v>2.0375999999999999</v>
          </cell>
          <cell r="AA14">
            <v>10</v>
          </cell>
          <cell r="AB14">
            <v>5000</v>
          </cell>
          <cell r="AC14">
            <v>3396</v>
          </cell>
          <cell r="AD14">
            <v>10000</v>
          </cell>
          <cell r="AE14">
            <v>22.21</v>
          </cell>
          <cell r="AF14" t="str">
            <v>Manolo</v>
          </cell>
          <cell r="AG14" t="str">
            <v>Capuchones</v>
          </cell>
          <cell r="AH14" t="str">
            <v>R</v>
          </cell>
        </row>
        <row r="15">
          <cell r="C15" t="str">
            <v>A11</v>
          </cell>
          <cell r="D15" t="str">
            <v>EP6</v>
          </cell>
          <cell r="E15" t="str">
            <v>Capuchon Marip. Rojo</v>
          </cell>
          <cell r="H15">
            <v>2952</v>
          </cell>
          <cell r="I15">
            <v>0</v>
          </cell>
          <cell r="J15">
            <v>3000</v>
          </cell>
          <cell r="L15">
            <v>0</v>
          </cell>
          <cell r="M15">
            <v>81180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5406</v>
          </cell>
          <cell r="V15">
            <v>0</v>
          </cell>
          <cell r="W15">
            <v>1050</v>
          </cell>
          <cell r="X15">
            <v>1404</v>
          </cell>
          <cell r="Z15">
            <v>1.1808000000000001</v>
          </cell>
          <cell r="AA15">
            <v>4</v>
          </cell>
          <cell r="AB15">
            <v>2500</v>
          </cell>
          <cell r="AC15">
            <v>984</v>
          </cell>
          <cell r="AD15">
            <v>5000</v>
          </cell>
          <cell r="AE15">
            <v>27.06</v>
          </cell>
          <cell r="AF15" t="str">
            <v>Manolo</v>
          </cell>
          <cell r="AG15" t="str">
            <v>Capuchon Mariposa</v>
          </cell>
          <cell r="AH15" t="str">
            <v>R</v>
          </cell>
        </row>
        <row r="16">
          <cell r="C16" t="str">
            <v>A12</v>
          </cell>
          <cell r="D16" t="str">
            <v>GP1</v>
          </cell>
          <cell r="E16" t="str">
            <v>Pirolo Rojo</v>
          </cell>
          <cell r="H16">
            <v>15120</v>
          </cell>
          <cell r="I16">
            <v>0</v>
          </cell>
          <cell r="J16">
            <v>16000</v>
          </cell>
          <cell r="L16">
            <v>0</v>
          </cell>
          <cell r="M16">
            <v>134560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35632</v>
          </cell>
          <cell r="V16">
            <v>2500</v>
          </cell>
          <cell r="W16">
            <v>0</v>
          </cell>
          <cell r="X16">
            <v>18012</v>
          </cell>
          <cell r="Z16">
            <v>6.048</v>
          </cell>
          <cell r="AA16">
            <v>8</v>
          </cell>
          <cell r="AB16">
            <v>2500</v>
          </cell>
          <cell r="AC16">
            <v>5040</v>
          </cell>
          <cell r="AD16">
            <v>36000</v>
          </cell>
          <cell r="AE16">
            <v>8.41</v>
          </cell>
          <cell r="AF16" t="str">
            <v>Manolo</v>
          </cell>
          <cell r="AG16" t="str">
            <v>Regatones</v>
          </cell>
          <cell r="AH16" t="str">
            <v>R</v>
          </cell>
        </row>
        <row r="17">
          <cell r="C17" t="str">
            <v>A13</v>
          </cell>
          <cell r="D17" t="str">
            <v>AP2</v>
          </cell>
          <cell r="E17" t="str">
            <v>Capuchon Batidor LK</v>
          </cell>
          <cell r="H17">
            <v>14832</v>
          </cell>
          <cell r="I17">
            <v>0</v>
          </cell>
          <cell r="J17">
            <v>15000</v>
          </cell>
          <cell r="L17">
            <v>0</v>
          </cell>
          <cell r="M17">
            <v>333150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67288</v>
          </cell>
          <cell r="V17">
            <v>50000</v>
          </cell>
          <cell r="W17">
            <v>1815.9999999999998</v>
          </cell>
          <cell r="X17">
            <v>640</v>
          </cell>
          <cell r="Z17">
            <v>2.9664000000000001</v>
          </cell>
          <cell r="AA17">
            <v>4</v>
          </cell>
          <cell r="AB17">
            <v>5000</v>
          </cell>
          <cell r="AC17">
            <v>4944</v>
          </cell>
          <cell r="AD17">
            <v>10000</v>
          </cell>
          <cell r="AE17">
            <v>22.21</v>
          </cell>
          <cell r="AF17" t="str">
            <v>Manolo</v>
          </cell>
          <cell r="AG17" t="str">
            <v>Capuchones</v>
          </cell>
          <cell r="AH17" t="str">
            <v>R</v>
          </cell>
        </row>
        <row r="18">
          <cell r="C18" t="str">
            <v>A15</v>
          </cell>
          <cell r="D18" t="str">
            <v>AP4</v>
          </cell>
          <cell r="E18" t="str">
            <v>Capuchon ф10</v>
          </cell>
          <cell r="H18">
            <v>1080</v>
          </cell>
          <cell r="I18">
            <v>0</v>
          </cell>
          <cell r="J18">
            <v>2000</v>
          </cell>
          <cell r="L18">
            <v>0</v>
          </cell>
          <cell r="M18">
            <v>44420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44280</v>
          </cell>
          <cell r="V18">
            <v>30000</v>
          </cell>
          <cell r="W18">
            <v>12600</v>
          </cell>
          <cell r="X18">
            <v>600</v>
          </cell>
          <cell r="Z18">
            <v>0.216</v>
          </cell>
          <cell r="AA18">
            <v>2</v>
          </cell>
          <cell r="AB18">
            <v>5000</v>
          </cell>
          <cell r="AC18">
            <v>360</v>
          </cell>
          <cell r="AD18">
            <v>10000</v>
          </cell>
          <cell r="AE18">
            <v>22.21</v>
          </cell>
          <cell r="AF18" t="str">
            <v>Manolo</v>
          </cell>
          <cell r="AG18" t="str">
            <v>Capuchones</v>
          </cell>
          <cell r="AH18" t="str">
            <v>R</v>
          </cell>
        </row>
        <row r="19">
          <cell r="C19" t="str">
            <v>A16</v>
          </cell>
          <cell r="D19" t="str">
            <v>CP4</v>
          </cell>
          <cell r="E19" t="str">
            <v>Mangos ф 10 lk</v>
          </cell>
          <cell r="H19">
            <v>1080</v>
          </cell>
          <cell r="I19">
            <v>0</v>
          </cell>
          <cell r="J19">
            <v>2000</v>
          </cell>
          <cell r="L19">
            <v>0</v>
          </cell>
          <cell r="M19">
            <v>119840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17408</v>
          </cell>
          <cell r="V19">
            <v>10000</v>
          </cell>
          <cell r="W19">
            <v>5728</v>
          </cell>
          <cell r="X19">
            <v>600</v>
          </cell>
          <cell r="Z19">
            <v>1.08</v>
          </cell>
          <cell r="AA19">
            <v>4</v>
          </cell>
          <cell r="AB19">
            <v>1000</v>
          </cell>
          <cell r="AC19">
            <v>360</v>
          </cell>
          <cell r="AD19">
            <v>6000</v>
          </cell>
          <cell r="AE19">
            <v>59.92</v>
          </cell>
          <cell r="AF19" t="str">
            <v>Manolo</v>
          </cell>
          <cell r="AG19" t="str">
            <v>Mangos Lk</v>
          </cell>
          <cell r="AH19" t="str">
            <v>B</v>
          </cell>
        </row>
        <row r="20">
          <cell r="C20" t="str">
            <v>A17</v>
          </cell>
          <cell r="D20" t="str">
            <v>BP1</v>
          </cell>
          <cell r="E20" t="str">
            <v>Mangos Cuch y P Torta</v>
          </cell>
          <cell r="H20">
            <v>468</v>
          </cell>
          <cell r="I20">
            <v>0</v>
          </cell>
          <cell r="J20">
            <v>1000</v>
          </cell>
          <cell r="L20">
            <v>0</v>
          </cell>
          <cell r="M20">
            <v>625720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4052</v>
          </cell>
          <cell r="V20">
            <v>1000</v>
          </cell>
          <cell r="W20">
            <v>0</v>
          </cell>
          <cell r="X20">
            <v>2584</v>
          </cell>
          <cell r="Z20">
            <v>0.46800000000000003</v>
          </cell>
          <cell r="AA20">
            <v>4</v>
          </cell>
          <cell r="AB20">
            <v>1000</v>
          </cell>
          <cell r="AC20">
            <v>156</v>
          </cell>
          <cell r="AD20">
            <v>6000</v>
          </cell>
          <cell r="AE20">
            <v>625.72</v>
          </cell>
          <cell r="AF20" t="str">
            <v>Manolo</v>
          </cell>
          <cell r="AG20" t="str">
            <v>Mangos Lk</v>
          </cell>
          <cell r="AH20" t="str">
            <v>B</v>
          </cell>
        </row>
        <row r="21">
          <cell r="C21" t="str">
            <v>A18</v>
          </cell>
          <cell r="D21" t="str">
            <v>AP3</v>
          </cell>
          <cell r="E21" t="str">
            <v>Capuchon Espatula LK</v>
          </cell>
          <cell r="H21">
            <v>33000</v>
          </cell>
          <cell r="I21">
            <v>0</v>
          </cell>
          <cell r="J21">
            <v>33000</v>
          </cell>
          <cell r="L21">
            <v>0</v>
          </cell>
          <cell r="M21">
            <v>732930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157350.66666666666</v>
          </cell>
          <cell r="V21">
            <v>50000</v>
          </cell>
          <cell r="W21">
            <v>58830.666666666664</v>
          </cell>
          <cell r="X21">
            <v>15520</v>
          </cell>
          <cell r="Z21">
            <v>6.6</v>
          </cell>
          <cell r="AA21">
            <v>20</v>
          </cell>
          <cell r="AB21">
            <v>5000</v>
          </cell>
          <cell r="AC21">
            <v>11000</v>
          </cell>
          <cell r="AD21">
            <v>10000</v>
          </cell>
          <cell r="AE21">
            <v>22.21</v>
          </cell>
          <cell r="AF21" t="str">
            <v>Manolo</v>
          </cell>
          <cell r="AG21" t="str">
            <v>Capuchones</v>
          </cell>
          <cell r="AH21" t="str">
            <v>R</v>
          </cell>
        </row>
        <row r="22">
          <cell r="C22" t="str">
            <v>A19</v>
          </cell>
          <cell r="D22" t="str">
            <v>IP1</v>
          </cell>
          <cell r="E22" t="str">
            <v>Mangos Chef</v>
          </cell>
          <cell r="H22">
            <v>5544</v>
          </cell>
          <cell r="I22">
            <v>0</v>
          </cell>
          <cell r="J22">
            <v>6000</v>
          </cell>
          <cell r="L22">
            <v>0</v>
          </cell>
          <cell r="M22">
            <v>359520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19296</v>
          </cell>
          <cell r="V22">
            <v>0</v>
          </cell>
          <cell r="W22">
            <v>6840</v>
          </cell>
          <cell r="X22">
            <v>6912</v>
          </cell>
          <cell r="Z22">
            <v>5.5439999999999996</v>
          </cell>
          <cell r="AA22">
            <v>4</v>
          </cell>
          <cell r="AB22">
            <v>1000</v>
          </cell>
          <cell r="AC22">
            <v>1848</v>
          </cell>
          <cell r="AD22">
            <v>6000</v>
          </cell>
          <cell r="AE22">
            <v>59.92</v>
          </cell>
          <cell r="AF22" t="str">
            <v>Manolo</v>
          </cell>
          <cell r="AG22" t="str">
            <v>Mangos Ch</v>
          </cell>
          <cell r="AH22" t="str">
            <v>B</v>
          </cell>
        </row>
        <row r="23">
          <cell r="C23" t="str">
            <v>B1</v>
          </cell>
          <cell r="D23" t="str">
            <v>V18</v>
          </cell>
          <cell r="E23" t="str">
            <v>Cilindro Corta Queso</v>
          </cell>
          <cell r="H23">
            <v>16200</v>
          </cell>
          <cell r="I23">
            <v>0</v>
          </cell>
          <cell r="J23">
            <v>17000</v>
          </cell>
          <cell r="L23">
            <v>0</v>
          </cell>
          <cell r="M23">
            <v>721820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35320</v>
          </cell>
          <cell r="V23">
            <v>10000</v>
          </cell>
          <cell r="W23">
            <v>1140.0000000000002</v>
          </cell>
          <cell r="X23">
            <v>7980</v>
          </cell>
          <cell r="Z23">
            <v>8.1</v>
          </cell>
          <cell r="AA23">
            <v>20</v>
          </cell>
          <cell r="AB23">
            <v>2000</v>
          </cell>
          <cell r="AC23">
            <v>5400</v>
          </cell>
          <cell r="AD23">
            <v>12000</v>
          </cell>
          <cell r="AE23">
            <v>42.46</v>
          </cell>
          <cell r="AF23" t="str">
            <v>Manolo</v>
          </cell>
          <cell r="AG23" t="str">
            <v>Corta Queso</v>
          </cell>
          <cell r="AH23" t="str">
            <v>B</v>
          </cell>
        </row>
        <row r="24">
          <cell r="C24" t="str">
            <v>B2</v>
          </cell>
          <cell r="D24" t="str">
            <v>V16</v>
          </cell>
          <cell r="E24" t="str">
            <v>Cuchara Ny Chef (S/marca)</v>
          </cell>
          <cell r="H24">
            <v>72</v>
          </cell>
          <cell r="I24">
            <v>0</v>
          </cell>
          <cell r="J24">
            <v>1000</v>
          </cell>
          <cell r="L24">
            <v>0</v>
          </cell>
          <cell r="M24">
            <v>655787.88000000012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496</v>
          </cell>
          <cell r="V24">
            <v>70</v>
          </cell>
          <cell r="W24">
            <v>114.00000000000001</v>
          </cell>
          <cell r="X24">
            <v>240</v>
          </cell>
          <cell r="Z24">
            <v>0.36</v>
          </cell>
          <cell r="AA24">
            <v>20</v>
          </cell>
          <cell r="AB24">
            <v>200</v>
          </cell>
          <cell r="AC24">
            <v>24</v>
          </cell>
          <cell r="AD24">
            <v>2000</v>
          </cell>
          <cell r="AE24">
            <v>655.78788000000009</v>
          </cell>
          <cell r="AF24" t="str">
            <v>Telleria</v>
          </cell>
          <cell r="AG24" t="str">
            <v>Cuchara</v>
          </cell>
          <cell r="AH24" t="str">
            <v>-</v>
          </cell>
        </row>
        <row r="25">
          <cell r="C25" t="str">
            <v>B3</v>
          </cell>
          <cell r="D25" t="str">
            <v>V15</v>
          </cell>
          <cell r="E25" t="str">
            <v>Cuchara Ny Loeke (Serif.)</v>
          </cell>
          <cell r="H25">
            <v>2952</v>
          </cell>
          <cell r="I25">
            <v>0</v>
          </cell>
          <cell r="J25">
            <v>3000</v>
          </cell>
          <cell r="L25">
            <v>0</v>
          </cell>
          <cell r="M25">
            <v>300000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4826.3999999999996</v>
          </cell>
          <cell r="V25">
            <v>150</v>
          </cell>
          <cell r="W25">
            <v>284.39999999999998</v>
          </cell>
          <cell r="X25">
            <v>1440</v>
          </cell>
          <cell r="Z25">
            <v>14.76</v>
          </cell>
          <cell r="AA25">
            <v>10</v>
          </cell>
          <cell r="AB25">
            <v>200</v>
          </cell>
          <cell r="AC25">
            <v>984</v>
          </cell>
          <cell r="AD25">
            <v>2000</v>
          </cell>
          <cell r="AE25">
            <v>100</v>
          </cell>
          <cell r="AF25" t="str">
            <v>Telleria</v>
          </cell>
          <cell r="AG25" t="str">
            <v>Cuchara</v>
          </cell>
          <cell r="AH25" t="str">
            <v>-</v>
          </cell>
        </row>
        <row r="26">
          <cell r="C26" t="str">
            <v>B5</v>
          </cell>
          <cell r="D26" t="str">
            <v>HP2</v>
          </cell>
          <cell r="E26" t="str">
            <v>Inser. Neg. Cuch. y Pal</v>
          </cell>
          <cell r="H26">
            <v>288</v>
          </cell>
          <cell r="I26">
            <v>0</v>
          </cell>
          <cell r="J26">
            <v>1000</v>
          </cell>
          <cell r="L26">
            <v>0</v>
          </cell>
          <cell r="M26">
            <v>91600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18258.248</v>
          </cell>
          <cell r="V26">
            <v>10200</v>
          </cell>
          <cell r="W26">
            <v>7710.2479999999987</v>
          </cell>
          <cell r="X26">
            <v>60</v>
          </cell>
          <cell r="Z26">
            <v>0.72</v>
          </cell>
          <cell r="AA26">
            <v>2</v>
          </cell>
          <cell r="AB26">
            <v>400</v>
          </cell>
          <cell r="AC26">
            <v>96</v>
          </cell>
          <cell r="AD26">
            <v>5000</v>
          </cell>
          <cell r="AE26">
            <v>91.6</v>
          </cell>
          <cell r="AF26" t="str">
            <v>Manolo</v>
          </cell>
          <cell r="AG26" t="str">
            <v>Insertos</v>
          </cell>
          <cell r="AH26" t="str">
            <v>N</v>
          </cell>
        </row>
        <row r="27">
          <cell r="C27" t="str">
            <v>B6</v>
          </cell>
          <cell r="D27" t="str">
            <v>EP8</v>
          </cell>
          <cell r="E27" t="str">
            <v>Inser. Neg. Espat</v>
          </cell>
          <cell r="H27">
            <v>1044</v>
          </cell>
          <cell r="I27">
            <v>0</v>
          </cell>
          <cell r="J27">
            <v>2000</v>
          </cell>
          <cell r="L27">
            <v>0</v>
          </cell>
          <cell r="M27">
            <v>183200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21200</v>
          </cell>
          <cell r="V27">
            <v>17000</v>
          </cell>
          <cell r="W27">
            <v>0</v>
          </cell>
          <cell r="X27">
            <v>3156</v>
          </cell>
          <cell r="Z27">
            <v>2.0880000000000001</v>
          </cell>
          <cell r="AA27">
            <v>2</v>
          </cell>
          <cell r="AB27">
            <v>500</v>
          </cell>
          <cell r="AC27">
            <v>348</v>
          </cell>
          <cell r="AD27">
            <v>5000</v>
          </cell>
          <cell r="AE27">
            <v>91.6</v>
          </cell>
          <cell r="AF27" t="str">
            <v>Manolo</v>
          </cell>
          <cell r="AG27" t="str">
            <v>Insertos</v>
          </cell>
          <cell r="AH27" t="str">
            <v>N</v>
          </cell>
        </row>
        <row r="28">
          <cell r="C28" t="str">
            <v>B7</v>
          </cell>
          <cell r="D28" t="str">
            <v>HP1</v>
          </cell>
          <cell r="E28" t="str">
            <v>Inser. Neg. Batidor</v>
          </cell>
          <cell r="H28">
            <v>4176</v>
          </cell>
          <cell r="I28">
            <v>0</v>
          </cell>
          <cell r="J28">
            <v>5000</v>
          </cell>
          <cell r="L28">
            <v>0</v>
          </cell>
          <cell r="M28">
            <v>458000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46620</v>
          </cell>
          <cell r="V28">
            <v>15000</v>
          </cell>
          <cell r="W28">
            <v>25200</v>
          </cell>
          <cell r="X28">
            <v>2244</v>
          </cell>
          <cell r="Z28">
            <v>8.3520000000000003</v>
          </cell>
          <cell r="AA28">
            <v>2</v>
          </cell>
          <cell r="AB28">
            <v>500</v>
          </cell>
          <cell r="AC28">
            <v>1392</v>
          </cell>
          <cell r="AD28">
            <v>5000</v>
          </cell>
          <cell r="AE28">
            <v>91.6</v>
          </cell>
          <cell r="AF28" t="str">
            <v>Manolo</v>
          </cell>
          <cell r="AG28" t="str">
            <v>Insertos</v>
          </cell>
          <cell r="AH28" t="str">
            <v>N</v>
          </cell>
        </row>
        <row r="29">
          <cell r="C29" t="str">
            <v>B8</v>
          </cell>
          <cell r="D29" t="str">
            <v>BP15</v>
          </cell>
          <cell r="E29" t="str">
            <v>Mango Sacacorcho Plast</v>
          </cell>
          <cell r="H29">
            <v>900</v>
          </cell>
          <cell r="I29">
            <v>0</v>
          </cell>
          <cell r="J29">
            <v>1000</v>
          </cell>
          <cell r="L29">
            <v>0</v>
          </cell>
          <cell r="M29">
            <v>61430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4800</v>
          </cell>
          <cell r="V29">
            <v>1500</v>
          </cell>
          <cell r="W29">
            <v>0</v>
          </cell>
          <cell r="X29">
            <v>2400</v>
          </cell>
          <cell r="Z29">
            <v>1.8</v>
          </cell>
          <cell r="AA29">
            <v>20</v>
          </cell>
          <cell r="AB29">
            <v>500</v>
          </cell>
          <cell r="AC29">
            <v>300</v>
          </cell>
          <cell r="AD29">
            <v>5000</v>
          </cell>
          <cell r="AE29">
            <v>61.43</v>
          </cell>
          <cell r="AF29" t="str">
            <v>Manolo</v>
          </cell>
          <cell r="AG29" t="str">
            <v>Cpo Sacacorcho Plast</v>
          </cell>
          <cell r="AH29" t="str">
            <v>A</v>
          </cell>
        </row>
        <row r="30">
          <cell r="C30" t="str">
            <v>C1</v>
          </cell>
          <cell r="D30" t="str">
            <v>DP2</v>
          </cell>
          <cell r="E30" t="str">
            <v xml:space="preserve">Mgo Pelapapa 505 </v>
          </cell>
          <cell r="H30">
            <v>126000</v>
          </cell>
          <cell r="I30">
            <v>0</v>
          </cell>
          <cell r="J30">
            <v>126000</v>
          </cell>
          <cell r="L30">
            <v>0</v>
          </cell>
          <cell r="M30">
            <v>2798460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156769.68</v>
          </cell>
          <cell r="V30">
            <v>5400</v>
          </cell>
          <cell r="W30">
            <v>4369.68</v>
          </cell>
          <cell r="X30">
            <v>21000</v>
          </cell>
          <cell r="Z30">
            <v>70</v>
          </cell>
          <cell r="AA30">
            <v>20</v>
          </cell>
          <cell r="AB30">
            <v>1800</v>
          </cell>
          <cell r="AC30">
            <v>42000</v>
          </cell>
          <cell r="AD30">
            <v>36000</v>
          </cell>
          <cell r="AE30">
            <v>22.21</v>
          </cell>
          <cell r="AF30" t="str">
            <v>Manolo</v>
          </cell>
          <cell r="AG30" t="str">
            <v>Mango Pelador 505</v>
          </cell>
          <cell r="AH30" t="str">
            <v>R</v>
          </cell>
        </row>
        <row r="31">
          <cell r="C31" t="str">
            <v>C2</v>
          </cell>
          <cell r="E31" t="str">
            <v xml:space="preserve">Mgo Pelapapa 505 s/calar </v>
          </cell>
        </row>
        <row r="32">
          <cell r="C32" t="str">
            <v>C3</v>
          </cell>
          <cell r="D32" t="str">
            <v>CP7</v>
          </cell>
          <cell r="E32" t="str">
            <v>Mangos Corta Queso</v>
          </cell>
          <cell r="H32">
            <v>14832</v>
          </cell>
          <cell r="I32">
            <v>0</v>
          </cell>
          <cell r="J32">
            <v>15000</v>
          </cell>
          <cell r="L32">
            <v>0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24212</v>
          </cell>
          <cell r="V32">
            <v>2000</v>
          </cell>
          <cell r="W32">
            <v>360</v>
          </cell>
          <cell r="X32">
            <v>7020</v>
          </cell>
          <cell r="Z32">
            <v>14.832000000000001</v>
          </cell>
          <cell r="AA32">
            <v>20</v>
          </cell>
          <cell r="AB32">
            <v>1000</v>
          </cell>
          <cell r="AC32">
            <v>4944</v>
          </cell>
          <cell r="AD32">
            <v>6000</v>
          </cell>
          <cell r="AE32">
            <v>0</v>
          </cell>
          <cell r="AF32" t="str">
            <v>Manolo</v>
          </cell>
          <cell r="AG32" t="str">
            <v>Mangos Lk</v>
          </cell>
          <cell r="AH32" t="str">
            <v>B</v>
          </cell>
        </row>
        <row r="33">
          <cell r="C33" t="str">
            <v>C4</v>
          </cell>
          <cell r="D33" t="str">
            <v>DP4</v>
          </cell>
          <cell r="E33" t="str">
            <v>Cierra Bolsas Blanc.</v>
          </cell>
          <cell r="H33">
            <v>1080</v>
          </cell>
          <cell r="I33">
            <v>0</v>
          </cell>
          <cell r="J33">
            <v>2000</v>
          </cell>
          <cell r="L33">
            <v>0</v>
          </cell>
          <cell r="M33">
            <v>140000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2910</v>
          </cell>
          <cell r="V33">
            <v>0</v>
          </cell>
          <cell r="W33">
            <v>870.00000000000011</v>
          </cell>
          <cell r="X33">
            <v>960</v>
          </cell>
          <cell r="Z33">
            <v>0.72</v>
          </cell>
          <cell r="AA33">
            <v>8</v>
          </cell>
          <cell r="AB33">
            <v>1500</v>
          </cell>
          <cell r="AC33">
            <v>360</v>
          </cell>
          <cell r="AD33">
            <v>10000</v>
          </cell>
          <cell r="AE33">
            <v>70</v>
          </cell>
          <cell r="AF33" t="str">
            <v>JL Matriceria</v>
          </cell>
          <cell r="AG33" t="str">
            <v>Cierra Bolsa</v>
          </cell>
          <cell r="AH33" t="str">
            <v>-</v>
          </cell>
        </row>
        <row r="34">
          <cell r="C34" t="str">
            <v>C6</v>
          </cell>
          <cell r="D34" t="str">
            <v>EP7</v>
          </cell>
          <cell r="E34" t="str">
            <v>Ojales Neg/Blanco</v>
          </cell>
          <cell r="H34">
            <v>5544</v>
          </cell>
          <cell r="I34">
            <v>0</v>
          </cell>
          <cell r="J34">
            <v>6000</v>
          </cell>
          <cell r="L34">
            <v>0</v>
          </cell>
          <cell r="M34">
            <v>549600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U34">
            <v>14744.4</v>
          </cell>
          <cell r="V34">
            <v>0</v>
          </cell>
          <cell r="W34">
            <v>2288.4</v>
          </cell>
          <cell r="X34">
            <v>6912</v>
          </cell>
          <cell r="Z34">
            <v>11.087999999999999</v>
          </cell>
          <cell r="AA34">
            <v>2</v>
          </cell>
          <cell r="AB34">
            <v>500</v>
          </cell>
          <cell r="AC34">
            <v>1848</v>
          </cell>
          <cell r="AD34">
            <v>10000</v>
          </cell>
          <cell r="AE34">
            <v>91.6</v>
          </cell>
          <cell r="AF34" t="str">
            <v>Manolo</v>
          </cell>
          <cell r="AG34" t="str">
            <v>Ojales</v>
          </cell>
          <cell r="AH34" t="str">
            <v>N</v>
          </cell>
        </row>
        <row r="35">
          <cell r="C35" t="str">
            <v>C7</v>
          </cell>
          <cell r="D35" t="str">
            <v>AP9</v>
          </cell>
          <cell r="E35" t="str">
            <v>Inserto Neg. Canelones</v>
          </cell>
          <cell r="H35">
            <v>180</v>
          </cell>
          <cell r="I35">
            <v>0</v>
          </cell>
          <cell r="J35">
            <v>1000</v>
          </cell>
          <cell r="L35">
            <v>0</v>
          </cell>
          <cell r="M35">
            <v>19920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31860</v>
          </cell>
          <cell r="V35">
            <v>30000</v>
          </cell>
          <cell r="W35">
            <v>191.99999999999997</v>
          </cell>
          <cell r="X35">
            <v>1488</v>
          </cell>
          <cell r="Z35">
            <v>0.36</v>
          </cell>
          <cell r="AA35">
            <v>4</v>
          </cell>
          <cell r="AB35">
            <v>500</v>
          </cell>
          <cell r="AC35">
            <v>235</v>
          </cell>
          <cell r="AD35">
            <v>5000</v>
          </cell>
          <cell r="AE35">
            <v>19.920000000000002</v>
          </cell>
          <cell r="AF35" t="str">
            <v>Manolo</v>
          </cell>
          <cell r="AG35" t="str">
            <v>Insertos</v>
          </cell>
          <cell r="AH35" t="str">
            <v>N</v>
          </cell>
        </row>
        <row r="36">
          <cell r="C36" t="str">
            <v>C8</v>
          </cell>
          <cell r="D36" t="str">
            <v>FP2</v>
          </cell>
          <cell r="E36" t="str">
            <v>Cachas Azules</v>
          </cell>
          <cell r="H36">
            <v>3096</v>
          </cell>
          <cell r="I36">
            <v>0</v>
          </cell>
          <cell r="J36">
            <v>4000</v>
          </cell>
          <cell r="L36">
            <v>0</v>
          </cell>
          <cell r="M36">
            <v>366400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8778.84</v>
          </cell>
          <cell r="V36">
            <v>4000</v>
          </cell>
          <cell r="W36">
            <v>1022.8399999999999</v>
          </cell>
          <cell r="X36">
            <v>660</v>
          </cell>
          <cell r="Z36">
            <v>3.0960000000000001</v>
          </cell>
          <cell r="AA36">
            <v>4</v>
          </cell>
          <cell r="AB36">
            <v>1000</v>
          </cell>
          <cell r="AC36">
            <v>1032</v>
          </cell>
          <cell r="AD36">
            <v>5000</v>
          </cell>
          <cell r="AE36">
            <v>91.6</v>
          </cell>
          <cell r="AF36" t="str">
            <v>Manolo</v>
          </cell>
          <cell r="AG36" t="str">
            <v>Cachas</v>
          </cell>
          <cell r="AH36" t="str">
            <v>A</v>
          </cell>
        </row>
        <row r="37">
          <cell r="C37" t="str">
            <v>C10</v>
          </cell>
          <cell r="D37" t="str">
            <v>CP6</v>
          </cell>
          <cell r="E37" t="str">
            <v>Mangos Espatula</v>
          </cell>
          <cell r="H37">
            <v>21120</v>
          </cell>
          <cell r="I37">
            <v>0</v>
          </cell>
          <cell r="J37">
            <v>22000</v>
          </cell>
          <cell r="L37">
            <v>0</v>
          </cell>
          <cell r="M37">
            <v>1318240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37996</v>
          </cell>
          <cell r="V37">
            <v>0</v>
          </cell>
          <cell r="W37">
            <v>10320</v>
          </cell>
          <cell r="X37">
            <v>6556</v>
          </cell>
          <cell r="Z37">
            <v>21.12</v>
          </cell>
          <cell r="AA37">
            <v>20</v>
          </cell>
          <cell r="AB37">
            <v>1000</v>
          </cell>
          <cell r="AC37">
            <v>7040</v>
          </cell>
          <cell r="AD37">
            <v>6000</v>
          </cell>
          <cell r="AE37">
            <v>59.92</v>
          </cell>
          <cell r="AF37" t="str">
            <v>Manolo</v>
          </cell>
          <cell r="AG37" t="str">
            <v>Mangos Lk</v>
          </cell>
          <cell r="AH37" t="str">
            <v>B</v>
          </cell>
        </row>
        <row r="38">
          <cell r="C38" t="str">
            <v>C11</v>
          </cell>
          <cell r="D38" t="str">
            <v>CP8</v>
          </cell>
          <cell r="E38" t="str">
            <v>Mangos ф 8 lk</v>
          </cell>
          <cell r="H38">
            <v>7200</v>
          </cell>
          <cell r="I38">
            <v>0</v>
          </cell>
          <cell r="J38">
            <v>8000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15600</v>
          </cell>
          <cell r="V38">
            <v>0</v>
          </cell>
          <cell r="W38">
            <v>4200</v>
          </cell>
          <cell r="X38">
            <v>4200</v>
          </cell>
          <cell r="Z38">
            <v>7.2</v>
          </cell>
          <cell r="AA38">
            <v>4</v>
          </cell>
          <cell r="AB38">
            <v>1000</v>
          </cell>
          <cell r="AC38">
            <v>2400</v>
          </cell>
          <cell r="AD38">
            <v>6000</v>
          </cell>
          <cell r="AE38">
            <v>0</v>
          </cell>
          <cell r="AF38" t="str">
            <v>Manolo</v>
          </cell>
          <cell r="AG38" t="str">
            <v>Mangos Lk</v>
          </cell>
          <cell r="AH38" t="str">
            <v>B</v>
          </cell>
        </row>
        <row r="39">
          <cell r="C39" t="str">
            <v>C13</v>
          </cell>
          <cell r="D39" t="str">
            <v>FP6</v>
          </cell>
          <cell r="E39" t="str">
            <v>Manguito Abrelat. Blanc</v>
          </cell>
          <cell r="H39">
            <v>1800</v>
          </cell>
          <cell r="I39">
            <v>0</v>
          </cell>
          <cell r="J39">
            <v>2000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3960</v>
          </cell>
          <cell r="V39">
            <v>0</v>
          </cell>
          <cell r="W39">
            <v>1080</v>
          </cell>
          <cell r="X39">
            <v>1080</v>
          </cell>
          <cell r="Z39">
            <v>0.75</v>
          </cell>
          <cell r="AA39">
            <v>4</v>
          </cell>
          <cell r="AB39">
            <v>2400</v>
          </cell>
          <cell r="AC39">
            <v>600</v>
          </cell>
          <cell r="AD39">
            <v>19200</v>
          </cell>
          <cell r="AE39">
            <v>0</v>
          </cell>
          <cell r="AF39" t="str">
            <v>Manolo</v>
          </cell>
          <cell r="AG39" t="str">
            <v>Mangos Abrelata</v>
          </cell>
          <cell r="AH39" t="str">
            <v>B</v>
          </cell>
        </row>
        <row r="40">
          <cell r="C40" t="str">
            <v>C14</v>
          </cell>
          <cell r="D40" t="str">
            <v>FP5</v>
          </cell>
          <cell r="E40" t="str">
            <v>Manguito Abrelat. Roj</v>
          </cell>
          <cell r="H40">
            <v>15120</v>
          </cell>
          <cell r="I40">
            <v>0</v>
          </cell>
          <cell r="J40">
            <v>16000</v>
          </cell>
          <cell r="L40">
            <v>0</v>
          </cell>
          <cell r="M40">
            <v>393120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28320</v>
          </cell>
          <cell r="V40">
            <v>0</v>
          </cell>
          <cell r="W40">
            <v>6600</v>
          </cell>
          <cell r="X40">
            <v>6600</v>
          </cell>
          <cell r="Z40">
            <v>6.3</v>
          </cell>
          <cell r="AA40">
            <v>4</v>
          </cell>
          <cell r="AB40">
            <v>2400</v>
          </cell>
          <cell r="AC40">
            <v>5040</v>
          </cell>
          <cell r="AD40">
            <v>19200</v>
          </cell>
          <cell r="AE40">
            <v>24.57</v>
          </cell>
          <cell r="AF40" t="str">
            <v>Manolo</v>
          </cell>
          <cell r="AG40" t="str">
            <v>Mangos Abrelata</v>
          </cell>
          <cell r="AH40" t="str">
            <v>R</v>
          </cell>
        </row>
        <row r="41">
          <cell r="C41" t="str">
            <v>C15</v>
          </cell>
          <cell r="D41" t="str">
            <v>DP3</v>
          </cell>
          <cell r="E41" t="str">
            <v>Cuerpo Doble aleta Plast</v>
          </cell>
          <cell r="H41">
            <v>4824</v>
          </cell>
          <cell r="I41">
            <v>0</v>
          </cell>
          <cell r="J41">
            <v>5000</v>
          </cell>
          <cell r="L41">
            <v>0</v>
          </cell>
          <cell r="M41">
            <v>987150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15016.166666666666</v>
          </cell>
          <cell r="V41">
            <v>6000</v>
          </cell>
          <cell r="W41">
            <v>1204.1666666666665</v>
          </cell>
          <cell r="X41">
            <v>2988</v>
          </cell>
          <cell r="Z41">
            <v>9.6479999999999997</v>
          </cell>
          <cell r="AA41">
            <v>20</v>
          </cell>
          <cell r="AB41">
            <v>500</v>
          </cell>
          <cell r="AC41">
            <v>1608</v>
          </cell>
          <cell r="AD41">
            <v>2000</v>
          </cell>
          <cell r="AE41">
            <v>197.43</v>
          </cell>
          <cell r="AF41" t="str">
            <v>Manolo</v>
          </cell>
          <cell r="AG41" t="str">
            <v>Cuerpo Sac</v>
          </cell>
          <cell r="AH41" t="str">
            <v>A</v>
          </cell>
        </row>
        <row r="42">
          <cell r="C42" t="str">
            <v>EP1</v>
          </cell>
          <cell r="D42" t="str">
            <v>MP2</v>
          </cell>
          <cell r="E42" t="str">
            <v>Mangos Pelador Vde</v>
          </cell>
          <cell r="H42">
            <v>4428</v>
          </cell>
          <cell r="I42">
            <v>0</v>
          </cell>
          <cell r="J42">
            <v>5000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6613.7142857142853</v>
          </cell>
          <cell r="V42">
            <v>0</v>
          </cell>
          <cell r="W42">
            <v>1165.7142857142856</v>
          </cell>
          <cell r="X42">
            <v>1020</v>
          </cell>
          <cell r="Z42">
            <v>11.07</v>
          </cell>
          <cell r="AA42">
            <v>4</v>
          </cell>
          <cell r="AB42">
            <v>400</v>
          </cell>
          <cell r="AC42">
            <v>1476</v>
          </cell>
          <cell r="AD42">
            <v>10000</v>
          </cell>
          <cell r="AE42">
            <v>0</v>
          </cell>
          <cell r="AF42" t="str">
            <v>Telleria</v>
          </cell>
          <cell r="AG42" t="str">
            <v>Mango Telleria</v>
          </cell>
          <cell r="AH42" t="str">
            <v>V</v>
          </cell>
        </row>
        <row r="43">
          <cell r="C43" t="str">
            <v>EP2</v>
          </cell>
          <cell r="D43" t="str">
            <v>MP1</v>
          </cell>
          <cell r="E43" t="str">
            <v>Mango Pelador 586 S/M</v>
          </cell>
          <cell r="H43">
            <v>18000</v>
          </cell>
          <cell r="I43">
            <v>0</v>
          </cell>
          <cell r="J43">
            <v>18000</v>
          </cell>
          <cell r="L43">
            <v>0</v>
          </cell>
          <cell r="M43">
            <v>450000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32130.5</v>
          </cell>
          <cell r="V43">
            <v>0</v>
          </cell>
          <cell r="W43">
            <v>4350.5</v>
          </cell>
          <cell r="X43">
            <v>9780</v>
          </cell>
          <cell r="Z43">
            <v>51.428571428571431</v>
          </cell>
          <cell r="AA43">
            <v>40</v>
          </cell>
          <cell r="AB43">
            <v>350</v>
          </cell>
          <cell r="AC43">
            <v>6000</v>
          </cell>
          <cell r="AD43">
            <v>10000</v>
          </cell>
          <cell r="AE43">
            <v>25</v>
          </cell>
          <cell r="AF43" t="str">
            <v>Telleria</v>
          </cell>
          <cell r="AG43" t="str">
            <v>Mango Telleria</v>
          </cell>
          <cell r="AH43" t="str">
            <v>-</v>
          </cell>
        </row>
        <row r="44">
          <cell r="C44" t="str">
            <v>EP3</v>
          </cell>
          <cell r="D44" t="str">
            <v>CP5</v>
          </cell>
          <cell r="E44" t="str">
            <v>Afila Caladas Blanco</v>
          </cell>
          <cell r="H44">
            <v>18150</v>
          </cell>
          <cell r="I44">
            <v>0</v>
          </cell>
          <cell r="J44">
            <v>19000</v>
          </cell>
          <cell r="L44">
            <v>0</v>
          </cell>
          <cell r="M44">
            <v>1178000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U44">
            <v>18630</v>
          </cell>
          <cell r="V44">
            <v>0</v>
          </cell>
          <cell r="W44">
            <v>0</v>
          </cell>
          <cell r="X44">
            <v>480</v>
          </cell>
          <cell r="Z44">
            <v>121</v>
          </cell>
          <cell r="AA44">
            <v>4</v>
          </cell>
          <cell r="AB44">
            <v>150</v>
          </cell>
          <cell r="AC44">
            <v>6050</v>
          </cell>
          <cell r="AD44">
            <v>3600</v>
          </cell>
          <cell r="AE44">
            <v>62</v>
          </cell>
          <cell r="AF44" t="str">
            <v>Rodar</v>
          </cell>
          <cell r="AG44" t="str">
            <v>Base Afila</v>
          </cell>
          <cell r="AH44" t="str">
            <v>B</v>
          </cell>
        </row>
        <row r="45">
          <cell r="C45" t="str">
            <v>EP4</v>
          </cell>
          <cell r="D45" t="str">
            <v>CP5</v>
          </cell>
          <cell r="E45" t="str">
            <v>Afila Caladas Azul</v>
          </cell>
          <cell r="H45">
            <v>18150</v>
          </cell>
          <cell r="I45">
            <v>0</v>
          </cell>
          <cell r="J45">
            <v>19000</v>
          </cell>
          <cell r="L45">
            <v>0</v>
          </cell>
          <cell r="M45">
            <v>1178000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U45">
            <v>51360</v>
          </cell>
          <cell r="V45">
            <v>0</v>
          </cell>
          <cell r="W45">
            <v>24930</v>
          </cell>
          <cell r="X45">
            <v>8280</v>
          </cell>
          <cell r="Z45">
            <v>18.149999999999999</v>
          </cell>
          <cell r="AA45">
            <v>20</v>
          </cell>
          <cell r="AB45">
            <v>1000</v>
          </cell>
          <cell r="AC45">
            <v>6050</v>
          </cell>
          <cell r="AD45">
            <v>3600</v>
          </cell>
          <cell r="AE45">
            <v>62</v>
          </cell>
          <cell r="AF45" t="str">
            <v>Rodar</v>
          </cell>
          <cell r="AG45" t="str">
            <v>Base Afila</v>
          </cell>
          <cell r="AH45" t="str">
            <v>A</v>
          </cell>
        </row>
        <row r="46">
          <cell r="C46" t="str">
            <v>EP5</v>
          </cell>
          <cell r="D46" t="str">
            <v>CP10</v>
          </cell>
          <cell r="E46" t="str">
            <v>Afila S/Calar Blac. "1"</v>
          </cell>
          <cell r="H46">
            <v>18150</v>
          </cell>
          <cell r="I46">
            <v>0</v>
          </cell>
          <cell r="J46">
            <v>19000</v>
          </cell>
          <cell r="L46">
            <v>0</v>
          </cell>
          <cell r="M46">
            <v>1178000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U46">
            <v>19314</v>
          </cell>
          <cell r="V46">
            <v>0</v>
          </cell>
          <cell r="W46">
            <v>0</v>
          </cell>
          <cell r="X46">
            <v>1164</v>
          </cell>
          <cell r="Z46">
            <v>121</v>
          </cell>
          <cell r="AA46">
            <v>4</v>
          </cell>
          <cell r="AB46">
            <v>150</v>
          </cell>
          <cell r="AC46">
            <v>6050</v>
          </cell>
          <cell r="AD46">
            <v>3600</v>
          </cell>
          <cell r="AE46">
            <v>62</v>
          </cell>
          <cell r="AF46" t="str">
            <v>Rodar</v>
          </cell>
          <cell r="AG46" t="str">
            <v>Base Afila</v>
          </cell>
          <cell r="AH46" t="str">
            <v>B</v>
          </cell>
        </row>
        <row r="47">
          <cell r="C47" t="str">
            <v>EP9</v>
          </cell>
          <cell r="D47" t="str">
            <v>MP5</v>
          </cell>
          <cell r="E47" t="str">
            <v>Cuchillo de Untar Blanc</v>
          </cell>
          <cell r="H47">
            <v>1260</v>
          </cell>
          <cell r="I47">
            <v>0</v>
          </cell>
          <cell r="J47">
            <v>2000</v>
          </cell>
          <cell r="L47">
            <v>0</v>
          </cell>
          <cell r="M47">
            <v>200000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U47">
            <v>5580</v>
          </cell>
          <cell r="V47">
            <v>0</v>
          </cell>
          <cell r="W47">
            <v>3600</v>
          </cell>
          <cell r="X47">
            <v>720</v>
          </cell>
          <cell r="Z47">
            <v>1.008</v>
          </cell>
          <cell r="AA47">
            <v>4</v>
          </cell>
          <cell r="AB47">
            <v>1250</v>
          </cell>
          <cell r="AC47">
            <v>420</v>
          </cell>
          <cell r="AD47">
            <v>10000</v>
          </cell>
          <cell r="AE47">
            <v>100</v>
          </cell>
          <cell r="AF47" t="str">
            <v>JL Matriceria</v>
          </cell>
          <cell r="AG47" t="str">
            <v>Molde 3ros</v>
          </cell>
          <cell r="AH47" t="str">
            <v>-</v>
          </cell>
        </row>
        <row r="48">
          <cell r="C48" t="str">
            <v>V1</v>
          </cell>
          <cell r="D48" t="str">
            <v>V1</v>
          </cell>
          <cell r="E48" t="str">
            <v>Pisa papa Nylon</v>
          </cell>
          <cell r="H48">
            <v>1440</v>
          </cell>
          <cell r="I48">
            <v>0</v>
          </cell>
          <cell r="J48">
            <v>2000</v>
          </cell>
          <cell r="L48">
            <v>0</v>
          </cell>
          <cell r="M48">
            <v>874660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U48">
            <v>4414.3999999999996</v>
          </cell>
          <cell r="V48">
            <v>0</v>
          </cell>
          <cell r="W48">
            <v>2374.4</v>
          </cell>
          <cell r="X48">
            <v>600</v>
          </cell>
          <cell r="Z48">
            <v>2.88</v>
          </cell>
          <cell r="AA48">
            <v>4</v>
          </cell>
          <cell r="AB48">
            <v>500</v>
          </cell>
          <cell r="AC48">
            <v>480</v>
          </cell>
          <cell r="AD48">
            <v>2000</v>
          </cell>
          <cell r="AE48">
            <v>437.33</v>
          </cell>
          <cell r="AF48" t="str">
            <v>Manolo</v>
          </cell>
          <cell r="AG48" t="str">
            <v>Pisa Papa</v>
          </cell>
          <cell r="AH48" t="str">
            <v>-</v>
          </cell>
        </row>
        <row r="49">
          <cell r="C49" t="str">
            <v>V2</v>
          </cell>
          <cell r="D49" t="str">
            <v>V2</v>
          </cell>
          <cell r="E49" t="str">
            <v xml:space="preserve">Cucharon 1 Pz Ny </v>
          </cell>
          <cell r="H49">
            <v>2232</v>
          </cell>
          <cell r="I49">
            <v>0</v>
          </cell>
          <cell r="J49">
            <v>3000</v>
          </cell>
          <cell r="L49">
            <v>0</v>
          </cell>
          <cell r="M49">
            <v>501780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U49">
            <v>4574</v>
          </cell>
          <cell r="V49">
            <v>0</v>
          </cell>
          <cell r="W49">
            <v>1262</v>
          </cell>
          <cell r="X49">
            <v>1080</v>
          </cell>
          <cell r="Z49">
            <v>8.9280000000000008</v>
          </cell>
          <cell r="AA49">
            <v>8</v>
          </cell>
          <cell r="AB49">
            <v>250</v>
          </cell>
          <cell r="AC49">
            <v>744</v>
          </cell>
          <cell r="AD49">
            <v>1500</v>
          </cell>
          <cell r="AE49">
            <v>167.26</v>
          </cell>
          <cell r="AF49" t="str">
            <v>Manolo</v>
          </cell>
          <cell r="AG49" t="str">
            <v xml:space="preserve">Cucharon </v>
          </cell>
          <cell r="AH49" t="str">
            <v>-</v>
          </cell>
        </row>
        <row r="50">
          <cell r="C50" t="str">
            <v>V3</v>
          </cell>
          <cell r="D50" t="str">
            <v>V3</v>
          </cell>
          <cell r="E50" t="str">
            <v xml:space="preserve">Espatula Lisa 1 Pz </v>
          </cell>
          <cell r="H50">
            <v>1440</v>
          </cell>
          <cell r="I50">
            <v>0</v>
          </cell>
          <cell r="J50">
            <v>2000</v>
          </cell>
          <cell r="L50">
            <v>0</v>
          </cell>
          <cell r="M50">
            <v>224160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3908.76</v>
          </cell>
          <cell r="V50">
            <v>0</v>
          </cell>
          <cell r="W50">
            <v>1508.76</v>
          </cell>
          <cell r="X50">
            <v>960</v>
          </cell>
          <cell r="Z50">
            <v>5.76</v>
          </cell>
          <cell r="AA50">
            <v>6</v>
          </cell>
          <cell r="AB50">
            <v>250</v>
          </cell>
          <cell r="AC50">
            <v>480</v>
          </cell>
          <cell r="AD50">
            <v>1500</v>
          </cell>
          <cell r="AE50">
            <v>112.08</v>
          </cell>
          <cell r="AF50" t="str">
            <v>Manolo</v>
          </cell>
          <cell r="AG50" t="str">
            <v>Espatula</v>
          </cell>
          <cell r="AH50" t="str">
            <v>-</v>
          </cell>
        </row>
        <row r="51">
          <cell r="C51" t="str">
            <v>V5</v>
          </cell>
          <cell r="D51" t="str">
            <v>V5</v>
          </cell>
          <cell r="E51" t="str">
            <v xml:space="preserve">Cuchara Fideos 1 Pz Ny </v>
          </cell>
          <cell r="H51">
            <v>1080</v>
          </cell>
          <cell r="I51">
            <v>0</v>
          </cell>
          <cell r="J51">
            <v>2000</v>
          </cell>
          <cell r="L51">
            <v>0</v>
          </cell>
          <cell r="M51">
            <v>224160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5151.75</v>
          </cell>
          <cell r="V51">
            <v>0</v>
          </cell>
          <cell r="W51">
            <v>3631.75</v>
          </cell>
          <cell r="X51">
            <v>440</v>
          </cell>
          <cell r="Z51">
            <v>4.32</v>
          </cell>
          <cell r="AA51">
            <v>4</v>
          </cell>
          <cell r="AB51">
            <v>250</v>
          </cell>
          <cell r="AC51">
            <v>360</v>
          </cell>
          <cell r="AD51">
            <v>1500</v>
          </cell>
          <cell r="AE51">
            <v>112.08</v>
          </cell>
          <cell r="AF51" t="str">
            <v>Manolo</v>
          </cell>
          <cell r="AG51" t="str">
            <v>Cuch Calada y Fideos</v>
          </cell>
          <cell r="AH51" t="str">
            <v>-</v>
          </cell>
        </row>
        <row r="52">
          <cell r="C52" t="str">
            <v>V6</v>
          </cell>
          <cell r="D52" t="str">
            <v>V6</v>
          </cell>
          <cell r="E52" t="str">
            <v>Cuchara Calada 1 Pz  Ny</v>
          </cell>
          <cell r="H52">
            <v>504</v>
          </cell>
          <cell r="I52">
            <v>0</v>
          </cell>
          <cell r="J52">
            <v>1000</v>
          </cell>
          <cell r="L52">
            <v>0</v>
          </cell>
          <cell r="M52">
            <v>112080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>
            <v>1233.75</v>
          </cell>
          <cell r="V52">
            <v>0</v>
          </cell>
          <cell r="W52">
            <v>369.74999999999994</v>
          </cell>
          <cell r="X52">
            <v>360</v>
          </cell>
          <cell r="Z52">
            <v>2.016</v>
          </cell>
          <cell r="AA52">
            <v>8</v>
          </cell>
          <cell r="AB52">
            <v>250</v>
          </cell>
          <cell r="AC52">
            <v>168</v>
          </cell>
          <cell r="AD52">
            <v>1500</v>
          </cell>
          <cell r="AE52">
            <v>112.08</v>
          </cell>
          <cell r="AF52" t="str">
            <v>Manolo</v>
          </cell>
          <cell r="AG52" t="str">
            <v>Cuch Calada y Fideos</v>
          </cell>
          <cell r="AH52" t="str">
            <v>-</v>
          </cell>
        </row>
        <row r="53">
          <cell r="C53" t="str">
            <v>V7</v>
          </cell>
          <cell r="D53" t="str">
            <v>V7</v>
          </cell>
          <cell r="E53" t="str">
            <v>Espatula Cal.  1 Pz Ny</v>
          </cell>
          <cell r="H53">
            <v>1728</v>
          </cell>
          <cell r="I53">
            <v>0</v>
          </cell>
          <cell r="J53">
            <v>2000</v>
          </cell>
          <cell r="L53">
            <v>0</v>
          </cell>
          <cell r="M53">
            <v>224160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5111.97</v>
          </cell>
          <cell r="V53">
            <v>0</v>
          </cell>
          <cell r="W53">
            <v>2399.9700000000003</v>
          </cell>
          <cell r="X53">
            <v>984</v>
          </cell>
          <cell r="Z53">
            <v>6.9119999999999999</v>
          </cell>
          <cell r="AA53">
            <v>8</v>
          </cell>
          <cell r="AB53">
            <v>250</v>
          </cell>
          <cell r="AC53">
            <v>576</v>
          </cell>
          <cell r="AD53">
            <v>1500</v>
          </cell>
          <cell r="AE53">
            <v>112.08</v>
          </cell>
          <cell r="AF53" t="str">
            <v>Manolo</v>
          </cell>
          <cell r="AG53" t="str">
            <v>Espatula</v>
          </cell>
          <cell r="AH53" t="str">
            <v>-</v>
          </cell>
        </row>
        <row r="54">
          <cell r="C54" t="str">
            <v>V8</v>
          </cell>
          <cell r="D54" t="str">
            <v>V8</v>
          </cell>
          <cell r="E54" t="str">
            <v>Corta Torta</v>
          </cell>
          <cell r="H54">
            <v>72</v>
          </cell>
          <cell r="I54">
            <v>0</v>
          </cell>
          <cell r="J54">
            <v>1000</v>
          </cell>
          <cell r="L54">
            <v>0</v>
          </cell>
          <cell r="M54">
            <v>625720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383.80799999999999</v>
          </cell>
          <cell r="V54">
            <v>0</v>
          </cell>
          <cell r="W54">
            <v>191.80799999999999</v>
          </cell>
          <cell r="X54">
            <v>120</v>
          </cell>
          <cell r="Z54">
            <v>0.6</v>
          </cell>
          <cell r="AA54">
            <v>4</v>
          </cell>
          <cell r="AB54">
            <v>120</v>
          </cell>
          <cell r="AC54">
            <v>24</v>
          </cell>
          <cell r="AD54">
            <v>1500</v>
          </cell>
          <cell r="AE54">
            <v>625.72</v>
          </cell>
          <cell r="AF54" t="str">
            <v>Manolo</v>
          </cell>
          <cell r="AG54" t="str">
            <v>Corta Torta</v>
          </cell>
          <cell r="AH54" t="str">
            <v>R</v>
          </cell>
        </row>
        <row r="55">
          <cell r="C55" t="str">
            <v>V14</v>
          </cell>
          <cell r="D55" t="str">
            <v>V14</v>
          </cell>
          <cell r="E55" t="str">
            <v>Picos Reposteros</v>
          </cell>
          <cell r="H55">
            <v>2952</v>
          </cell>
          <cell r="I55">
            <v>0</v>
          </cell>
          <cell r="J55">
            <v>3000</v>
          </cell>
          <cell r="L55">
            <v>0</v>
          </cell>
          <cell r="M55">
            <v>78570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U55">
            <v>4032</v>
          </cell>
          <cell r="V55">
            <v>0</v>
          </cell>
          <cell r="W55">
            <v>0</v>
          </cell>
          <cell r="X55">
            <v>1080</v>
          </cell>
          <cell r="Z55">
            <v>2.952</v>
          </cell>
          <cell r="AA55">
            <v>4</v>
          </cell>
          <cell r="AB55">
            <v>1000</v>
          </cell>
          <cell r="AC55">
            <v>984</v>
          </cell>
          <cell r="AD55">
            <v>2000</v>
          </cell>
          <cell r="AE55">
            <v>26.19</v>
          </cell>
          <cell r="AF55" t="str">
            <v>Manolo</v>
          </cell>
          <cell r="AG55" t="str">
            <v>Picos Resposteros</v>
          </cell>
          <cell r="AH55" t="str">
            <v>R</v>
          </cell>
        </row>
        <row r="56">
          <cell r="C56" t="str">
            <v>V17</v>
          </cell>
          <cell r="D56" t="str">
            <v>V17</v>
          </cell>
          <cell r="E56" t="str">
            <v>Pela naranjas</v>
          </cell>
          <cell r="H56">
            <v>720</v>
          </cell>
          <cell r="I56">
            <v>0</v>
          </cell>
          <cell r="J56">
            <v>1000</v>
          </cell>
          <cell r="L56">
            <v>0</v>
          </cell>
          <cell r="M56">
            <v>56900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U56">
            <v>1200</v>
          </cell>
          <cell r="V56">
            <v>0</v>
          </cell>
          <cell r="W56">
            <v>240</v>
          </cell>
          <cell r="X56">
            <v>240</v>
          </cell>
          <cell r="Z56">
            <v>0.36</v>
          </cell>
          <cell r="AA56">
            <v>4</v>
          </cell>
          <cell r="AB56">
            <v>2000</v>
          </cell>
          <cell r="AC56">
            <v>240</v>
          </cell>
          <cell r="AD56">
            <v>2000</v>
          </cell>
          <cell r="AE56">
            <v>56.9</v>
          </cell>
          <cell r="AF56" t="str">
            <v>Manolo</v>
          </cell>
          <cell r="AG56" t="str">
            <v>Pela Naranjas</v>
          </cell>
          <cell r="AH56" t="str">
            <v>R</v>
          </cell>
        </row>
        <row r="58">
          <cell r="C58" t="str">
            <v>Nuevo Sector</v>
          </cell>
          <cell r="D58" t="str">
            <v>Sector</v>
          </cell>
          <cell r="E58" t="str">
            <v xml:space="preserve">Descripcion </v>
          </cell>
          <cell r="F58" t="str">
            <v>Bolsa</v>
          </cell>
          <cell r="G58" t="str">
            <v>Uni Suelta</v>
          </cell>
          <cell r="H58" t="str">
            <v>Max Uni</v>
          </cell>
          <cell r="I58" t="str">
            <v>Stock Unid Real</v>
          </cell>
          <cell r="J58" t="str">
            <v>Pedido Uni</v>
          </cell>
          <cell r="K58" t="str">
            <v>Pedi Pend Uni</v>
          </cell>
          <cell r="L58" t="str">
            <v>% Ocup Relev</v>
          </cell>
          <cell r="M58" t="str">
            <v>Total $</v>
          </cell>
          <cell r="O58" t="str">
            <v>% Ocup Total</v>
          </cell>
          <cell r="P58" t="str">
            <v>Stock Total Uni</v>
          </cell>
          <cell r="Q58" t="str">
            <v>Stock PS Uni</v>
          </cell>
          <cell r="R58" t="str">
            <v>Stock Taller Uni</v>
          </cell>
          <cell r="S58" t="str">
            <v>Stock CD Uni</v>
          </cell>
          <cell r="U58" t="str">
            <v>Max Total Uni</v>
          </cell>
          <cell r="V58" t="str">
            <v>Max PS Uni</v>
          </cell>
          <cell r="W58" t="str">
            <v>Max Taller Uni</v>
          </cell>
          <cell r="X58" t="str">
            <v>Max CD Uni</v>
          </cell>
          <cell r="Z58" t="str">
            <v>Max Bolsa</v>
          </cell>
          <cell r="AA58" t="str">
            <v>Cant Entra Bolsas</v>
          </cell>
          <cell r="AB58" t="str">
            <v>Uni x Bolsa</v>
          </cell>
          <cell r="AC58" t="str">
            <v>Cons Mens Uni</v>
          </cell>
          <cell r="AD58" t="str">
            <v>Pedi Min Uni</v>
          </cell>
          <cell r="AE58" t="str">
            <v>Precio Uni</v>
          </cell>
          <cell r="AF58" t="str">
            <v>Proveedor</v>
          </cell>
        </row>
        <row r="59">
          <cell r="C59" t="str">
            <v>EP7</v>
          </cell>
          <cell r="D59" t="str">
            <v>LLP7</v>
          </cell>
          <cell r="E59" t="str">
            <v>Mgo Sacafuente Pizzero</v>
          </cell>
          <cell r="H59">
            <v>2592</v>
          </cell>
          <cell r="I59">
            <v>0</v>
          </cell>
          <cell r="J59">
            <v>3000</v>
          </cell>
          <cell r="L59">
            <v>0</v>
          </cell>
          <cell r="M59">
            <v>1032540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U59">
            <v>4344</v>
          </cell>
          <cell r="V59">
            <v>0</v>
          </cell>
          <cell r="W59">
            <v>0</v>
          </cell>
          <cell r="X59">
            <v>1752</v>
          </cell>
          <cell r="Z59">
            <v>10.368</v>
          </cell>
          <cell r="AA59">
            <v>2</v>
          </cell>
          <cell r="AB59">
            <v>250</v>
          </cell>
          <cell r="AC59">
            <v>864</v>
          </cell>
          <cell r="AD59">
            <v>500</v>
          </cell>
          <cell r="AE59">
            <v>344.18</v>
          </cell>
          <cell r="AF59" t="str">
            <v>Maspoli</v>
          </cell>
        </row>
        <row r="60">
          <cell r="C60" t="str">
            <v>EP8</v>
          </cell>
          <cell r="D60" t="str">
            <v>LLP6</v>
          </cell>
          <cell r="E60" t="str">
            <v>Mgo Corta Pizza Gastro</v>
          </cell>
          <cell r="H60">
            <v>1800</v>
          </cell>
          <cell r="I60">
            <v>0</v>
          </cell>
          <cell r="J60">
            <v>2000</v>
          </cell>
          <cell r="L60">
            <v>0</v>
          </cell>
          <cell r="M60">
            <v>688360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U60">
            <v>1800</v>
          </cell>
          <cell r="V60">
            <v>0</v>
          </cell>
          <cell r="W60">
            <v>0</v>
          </cell>
          <cell r="X60">
            <v>0</v>
          </cell>
          <cell r="Z60">
            <v>7.2</v>
          </cell>
          <cell r="AA60">
            <v>2</v>
          </cell>
          <cell r="AB60">
            <v>250</v>
          </cell>
          <cell r="AC60">
            <v>600</v>
          </cell>
          <cell r="AD60">
            <v>500</v>
          </cell>
          <cell r="AE60">
            <v>344.18</v>
          </cell>
          <cell r="AF60" t="str">
            <v>Maspoli</v>
          </cell>
        </row>
        <row r="61">
          <cell r="C61" t="str">
            <v>EP5</v>
          </cell>
          <cell r="D61" t="str">
            <v>LLP3</v>
          </cell>
          <cell r="E61" t="str">
            <v>Mgo Mad Cuch Untar</v>
          </cell>
          <cell r="H61">
            <v>3744</v>
          </cell>
          <cell r="I61">
            <v>0</v>
          </cell>
          <cell r="J61">
            <v>4000</v>
          </cell>
          <cell r="L61">
            <v>0</v>
          </cell>
          <cell r="M61">
            <v>367262.77309442079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U61">
            <v>4908</v>
          </cell>
          <cell r="V61">
            <v>0</v>
          </cell>
          <cell r="W61">
            <v>0</v>
          </cell>
          <cell r="X61">
            <v>1164</v>
          </cell>
          <cell r="Z61">
            <v>3.7440000000000002</v>
          </cell>
          <cell r="AA61">
            <v>2</v>
          </cell>
          <cell r="AB61">
            <v>1000</v>
          </cell>
          <cell r="AC61">
            <v>1248</v>
          </cell>
          <cell r="AD61">
            <v>1000</v>
          </cell>
          <cell r="AE61">
            <v>91.815693273605191</v>
          </cell>
          <cell r="AF61" t="str">
            <v>Pintos</v>
          </cell>
        </row>
        <row r="62">
          <cell r="C62" t="str">
            <v>EP6</v>
          </cell>
          <cell r="D62" t="str">
            <v>LLP2</v>
          </cell>
          <cell r="E62" t="str">
            <v>Cabo Madera 525</v>
          </cell>
          <cell r="H62">
            <v>5184</v>
          </cell>
          <cell r="I62">
            <v>0</v>
          </cell>
          <cell r="J62">
            <v>6000</v>
          </cell>
          <cell r="L62">
            <v>0</v>
          </cell>
          <cell r="M62">
            <v>916087.02016820118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U62">
            <v>8047.3333333333339</v>
          </cell>
          <cell r="V62">
            <v>0</v>
          </cell>
          <cell r="W62">
            <v>415.33333333333331</v>
          </cell>
          <cell r="X62">
            <v>2448</v>
          </cell>
          <cell r="Z62">
            <v>5.1840000000000002</v>
          </cell>
          <cell r="AA62">
            <v>5</v>
          </cell>
          <cell r="AB62">
            <v>1000</v>
          </cell>
          <cell r="AC62">
            <v>1728</v>
          </cell>
          <cell r="AD62">
            <v>1000</v>
          </cell>
          <cell r="AE62">
            <v>152.68117002803353</v>
          </cell>
          <cell r="AF62" t="str">
            <v>Pintos</v>
          </cell>
        </row>
        <row r="63">
          <cell r="C63" t="str">
            <v>GRJ12</v>
          </cell>
          <cell r="D63" t="str">
            <v>GRJ12</v>
          </cell>
          <cell r="E63" t="str">
            <v>Ñoquera</v>
          </cell>
          <cell r="H63">
            <v>3600</v>
          </cell>
          <cell r="I63">
            <v>0</v>
          </cell>
          <cell r="J63">
            <v>4000</v>
          </cell>
          <cell r="L63">
            <v>0</v>
          </cell>
          <cell r="M63">
            <v>829183.2096604089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U63">
            <v>6840</v>
          </cell>
          <cell r="V63">
            <v>0</v>
          </cell>
          <cell r="W63">
            <v>1620</v>
          </cell>
          <cell r="X63">
            <v>1620</v>
          </cell>
          <cell r="Z63">
            <v>24</v>
          </cell>
          <cell r="AA63">
            <v>40</v>
          </cell>
          <cell r="AB63">
            <v>150</v>
          </cell>
          <cell r="AC63">
            <v>1200</v>
          </cell>
          <cell r="AD63">
            <v>1000</v>
          </cell>
          <cell r="AE63">
            <v>207.29580241510223</v>
          </cell>
          <cell r="AF63" t="str">
            <v>Pintos</v>
          </cell>
        </row>
        <row r="65">
          <cell r="C65" t="str">
            <v>Nuevo Sector</v>
          </cell>
          <cell r="D65" t="str">
            <v>Sector</v>
          </cell>
          <cell r="E65" t="str">
            <v>Descripción</v>
          </cell>
          <cell r="F65" t="str">
            <v>Bolsa</v>
          </cell>
          <cell r="G65" t="str">
            <v>Uni Suelta</v>
          </cell>
          <cell r="H65" t="str">
            <v>Max Uni</v>
          </cell>
          <cell r="I65" t="str">
            <v>Stock Unid Real</v>
          </cell>
          <cell r="J65" t="str">
            <v>Pedido Uni</v>
          </cell>
          <cell r="K65" t="str">
            <v>Pedi Pend Uni</v>
          </cell>
          <cell r="L65" t="str">
            <v>% Ocup Relev</v>
          </cell>
          <cell r="M65" t="str">
            <v>Total $</v>
          </cell>
          <cell r="O65" t="str">
            <v>% Ocup Total</v>
          </cell>
          <cell r="P65" t="str">
            <v>Stock Total Uni</v>
          </cell>
          <cell r="Q65" t="str">
            <v>Stock PS Uni</v>
          </cell>
          <cell r="R65" t="str">
            <v>Stock Taller Uni</v>
          </cell>
          <cell r="S65" t="str">
            <v>Stock CD Uni</v>
          </cell>
          <cell r="U65" t="str">
            <v>Max Total Uni</v>
          </cell>
          <cell r="V65" t="str">
            <v>Max PS Uni</v>
          </cell>
          <cell r="W65" t="str">
            <v>Max Taller Uni</v>
          </cell>
          <cell r="X65" t="str">
            <v>Max CD Uni</v>
          </cell>
          <cell r="Z65" t="str">
            <v>Max Bolsa</v>
          </cell>
          <cell r="AA65" t="str">
            <v>Cant Entra Bolsas</v>
          </cell>
          <cell r="AB65" t="str">
            <v>Uni x Bolsa</v>
          </cell>
          <cell r="AC65" t="str">
            <v>Cons Mens Uni</v>
          </cell>
          <cell r="AD65" t="str">
            <v>Pedi Min Uni</v>
          </cell>
          <cell r="AE65" t="str">
            <v>Precio Uni</v>
          </cell>
        </row>
        <row r="66">
          <cell r="C66" t="str">
            <v>CP3</v>
          </cell>
          <cell r="D66" t="str">
            <v>CP6</v>
          </cell>
          <cell r="E66" t="str">
            <v>Clavo 505</v>
          </cell>
          <cell r="H66">
            <v>136575</v>
          </cell>
          <cell r="I66">
            <v>0</v>
          </cell>
          <cell r="J66">
            <v>137000</v>
          </cell>
          <cell r="L66">
            <v>0</v>
          </cell>
          <cell r="M66">
            <v>3949545.6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199287.30769230769</v>
          </cell>
          <cell r="V66">
            <v>0</v>
          </cell>
          <cell r="W66">
            <v>30912.307692307673</v>
          </cell>
          <cell r="X66">
            <v>31800</v>
          </cell>
          <cell r="Z66">
            <v>50</v>
          </cell>
          <cell r="AA66">
            <v>50</v>
          </cell>
          <cell r="AB66">
            <v>3846.1538461538462</v>
          </cell>
          <cell r="AC66">
            <v>45525</v>
          </cell>
          <cell r="AD66">
            <v>128205.12820512822</v>
          </cell>
          <cell r="AE66">
            <v>28.828800000000001</v>
          </cell>
        </row>
        <row r="67">
          <cell r="C67" t="str">
            <v>IP4</v>
          </cell>
          <cell r="D67" t="str">
            <v>IP4</v>
          </cell>
          <cell r="E67" t="str">
            <v>Clavo 513</v>
          </cell>
          <cell r="H67">
            <v>70416</v>
          </cell>
          <cell r="I67">
            <v>0</v>
          </cell>
          <cell r="J67">
            <v>71000</v>
          </cell>
          <cell r="L67">
            <v>0</v>
          </cell>
          <cell r="M67">
            <v>2046844.8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113891.06976744186</v>
          </cell>
          <cell r="V67">
            <v>0</v>
          </cell>
          <cell r="W67">
            <v>20003.069767441862</v>
          </cell>
          <cell r="X67">
            <v>23472</v>
          </cell>
          <cell r="Z67">
            <v>30</v>
          </cell>
          <cell r="AA67">
            <v>30</v>
          </cell>
          <cell r="AB67">
            <v>4651.1627906976746</v>
          </cell>
          <cell r="AC67">
            <v>23472</v>
          </cell>
          <cell r="AD67">
            <v>128205.12820512822</v>
          </cell>
          <cell r="AE67">
            <v>28.828800000000001</v>
          </cell>
        </row>
        <row r="69">
          <cell r="C69" t="str">
            <v>Nuevo Sector</v>
          </cell>
          <cell r="D69" t="str">
            <v>Sector</v>
          </cell>
          <cell r="E69" t="str">
            <v>Descripción</v>
          </cell>
          <cell r="F69" t="str">
            <v>Bolsa</v>
          </cell>
          <cell r="G69" t="str">
            <v>Uni Suelta</v>
          </cell>
          <cell r="H69" t="str">
            <v>Max Uni</v>
          </cell>
          <cell r="I69" t="str">
            <v>Stock Unid Real</v>
          </cell>
          <cell r="J69" t="str">
            <v>Pedido Uni</v>
          </cell>
          <cell r="K69" t="str">
            <v>Pedi Pend Uni</v>
          </cell>
          <cell r="L69" t="str">
            <v>% Ocup Relev</v>
          </cell>
          <cell r="M69" t="str">
            <v>Total $</v>
          </cell>
          <cell r="O69" t="str">
            <v>% Ocup Total</v>
          </cell>
          <cell r="P69" t="str">
            <v>Stock Total Uni</v>
          </cell>
          <cell r="Q69" t="str">
            <v>Stock PS Uni</v>
          </cell>
          <cell r="R69" t="str">
            <v>Stock Taller Uni</v>
          </cell>
          <cell r="S69" t="str">
            <v>Stock CD Uni</v>
          </cell>
          <cell r="U69" t="str">
            <v>Max Total Uni</v>
          </cell>
          <cell r="V69" t="str">
            <v>Max PS Uni</v>
          </cell>
          <cell r="W69" t="str">
            <v>Max Taller Uni</v>
          </cell>
          <cell r="X69" t="str">
            <v>Max CD Uni</v>
          </cell>
          <cell r="Z69" t="str">
            <v>Max Piedra</v>
          </cell>
          <cell r="AA69" t="str">
            <v>Cant Entra Piedra</v>
          </cell>
          <cell r="AB69" t="str">
            <v>Uni x Bolsa</v>
          </cell>
          <cell r="AC69" t="str">
            <v>Cons Mens Uni</v>
          </cell>
          <cell r="AD69" t="str">
            <v>Pedi Min Uni</v>
          </cell>
          <cell r="AE69" t="str">
            <v>Precio Uni</v>
          </cell>
        </row>
        <row r="70">
          <cell r="C70" t="str">
            <v>PIE</v>
          </cell>
          <cell r="D70" t="str">
            <v>PIE</v>
          </cell>
          <cell r="E70" t="str">
            <v>Rueda Recta 50A36.20 945*48*70</v>
          </cell>
          <cell r="H70">
            <v>2</v>
          </cell>
          <cell r="I70">
            <v>0</v>
          </cell>
          <cell r="J70">
            <v>2</v>
          </cell>
          <cell r="L70">
            <v>0</v>
          </cell>
          <cell r="M70">
            <v>3699049.2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U70">
            <v>2</v>
          </cell>
          <cell r="V70">
            <v>0</v>
          </cell>
          <cell r="W70">
            <v>0</v>
          </cell>
          <cell r="X70">
            <v>0</v>
          </cell>
          <cell r="Z70">
            <v>2</v>
          </cell>
          <cell r="AB70">
            <v>2</v>
          </cell>
          <cell r="AE70">
            <v>1849524.6</v>
          </cell>
        </row>
        <row r="71">
          <cell r="C71" t="str">
            <v>PIE</v>
          </cell>
          <cell r="D71" t="str">
            <v>PIE</v>
          </cell>
          <cell r="E71" t="str">
            <v>Rueda Recta 710*48*50.8</v>
          </cell>
          <cell r="H71">
            <v>2</v>
          </cell>
          <cell r="I71">
            <v>0</v>
          </cell>
          <cell r="J71">
            <v>2</v>
          </cell>
          <cell r="L71">
            <v>0</v>
          </cell>
          <cell r="M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U71">
            <v>2</v>
          </cell>
          <cell r="V71">
            <v>0</v>
          </cell>
          <cell r="W71">
            <v>0</v>
          </cell>
          <cell r="X71">
            <v>0</v>
          </cell>
          <cell r="Z71">
            <v>2</v>
          </cell>
          <cell r="AB71">
            <v>2</v>
          </cell>
          <cell r="AE71">
            <v>0</v>
          </cell>
        </row>
        <row r="73">
          <cell r="C73" t="str">
            <v>Nuevo Sector</v>
          </cell>
          <cell r="D73" t="str">
            <v>Sector</v>
          </cell>
          <cell r="E73" t="str">
            <v xml:space="preserve">Descripcion </v>
          </cell>
          <cell r="F73" t="str">
            <v>Cajas</v>
          </cell>
          <cell r="G73" t="str">
            <v>Uni Suelta</v>
          </cell>
          <cell r="H73" t="str">
            <v>Max Uni</v>
          </cell>
          <cell r="I73" t="str">
            <v>Stock Unid Real</v>
          </cell>
          <cell r="J73" t="str">
            <v>Pedido Uni</v>
          </cell>
          <cell r="K73" t="str">
            <v>Pedi Pend Uni</v>
          </cell>
          <cell r="L73" t="str">
            <v>% Ocup Relev</v>
          </cell>
          <cell r="M73" t="str">
            <v>Total $</v>
          </cell>
          <cell r="O73" t="str">
            <v>% Ocup Total</v>
          </cell>
          <cell r="P73" t="str">
            <v>Stock Total Uni</v>
          </cell>
          <cell r="Q73" t="str">
            <v>Stock PS Uni</v>
          </cell>
          <cell r="R73" t="str">
            <v>Stock Taller Uni</v>
          </cell>
          <cell r="S73" t="str">
            <v>Stock CD Uni</v>
          </cell>
          <cell r="U73" t="str">
            <v>Max Total Uni</v>
          </cell>
          <cell r="V73" t="str">
            <v>Max PS Uni</v>
          </cell>
          <cell r="W73" t="str">
            <v>Max Taller Uni</v>
          </cell>
          <cell r="X73" t="str">
            <v>Max CD Uni</v>
          </cell>
          <cell r="Z73" t="str">
            <v>Max Caja</v>
          </cell>
          <cell r="AA73" t="str">
            <v>Cant Entra Cajas</v>
          </cell>
          <cell r="AB73" t="str">
            <v>Uni x Caja</v>
          </cell>
          <cell r="AC73" t="str">
            <v>Cons Mens Uni</v>
          </cell>
          <cell r="AD73" t="str">
            <v>Pedi Min Uni</v>
          </cell>
          <cell r="AE73" t="str">
            <v>Precio Uni</v>
          </cell>
        </row>
        <row r="74">
          <cell r="C74" t="str">
            <v>CP4A</v>
          </cell>
          <cell r="D74" t="str">
            <v>CP4A</v>
          </cell>
          <cell r="E74" t="str">
            <v>Cintas Adhesivas 48x100</v>
          </cell>
          <cell r="H74">
            <v>600</v>
          </cell>
          <cell r="I74">
            <v>0</v>
          </cell>
          <cell r="J74">
            <v>1000</v>
          </cell>
          <cell r="L74">
            <v>0</v>
          </cell>
          <cell r="M74">
            <v>1205750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600</v>
          </cell>
          <cell r="V74">
            <v>0</v>
          </cell>
          <cell r="W74">
            <v>0</v>
          </cell>
          <cell r="X74">
            <v>0</v>
          </cell>
          <cell r="Z74">
            <v>16.666666666666668</v>
          </cell>
          <cell r="AA74">
            <v>20</v>
          </cell>
          <cell r="AB74">
            <v>36</v>
          </cell>
          <cell r="AC74">
            <v>200</v>
          </cell>
          <cell r="AD74">
            <v>288</v>
          </cell>
          <cell r="AE74">
            <v>1205.75</v>
          </cell>
        </row>
        <row r="76">
          <cell r="C76" t="str">
            <v>Nuevo Sector</v>
          </cell>
          <cell r="D76" t="str">
            <v>Sector</v>
          </cell>
          <cell r="E76" t="str">
            <v>Planchas</v>
          </cell>
          <cell r="F76" t="str">
            <v>Plan</v>
          </cell>
          <cell r="G76" t="str">
            <v>Cons x Mes Plan</v>
          </cell>
          <cell r="H76" t="str">
            <v>Max Plan</v>
          </cell>
          <cell r="I76" t="str">
            <v>Stock Kg</v>
          </cell>
          <cell r="J76" t="str">
            <v>Pedi Kg</v>
          </cell>
          <cell r="K76" t="str">
            <v>Pedi Pend KG</v>
          </cell>
          <cell r="L76" t="str">
            <v>% Ocup Relev</v>
          </cell>
          <cell r="M76" t="str">
            <v>Total $</v>
          </cell>
          <cell r="O76" t="str">
            <v>% Ocup Total</v>
          </cell>
          <cell r="P76" t="str">
            <v>Stock Total Uni</v>
          </cell>
          <cell r="Q76" t="str">
            <v>Stock PS Uni</v>
          </cell>
          <cell r="R76" t="str">
            <v>Stock Taller Uni</v>
          </cell>
          <cell r="S76" t="str">
            <v>Stock CD Uni</v>
          </cell>
          <cell r="U76" t="str">
            <v>Max Total Uni</v>
          </cell>
          <cell r="V76" t="str">
            <v>Max PS Uni</v>
          </cell>
          <cell r="W76" t="str">
            <v>Max Taller Uni</v>
          </cell>
          <cell r="X76" t="str">
            <v>Max CD Uni</v>
          </cell>
          <cell r="Z76" t="str">
            <v>Max Kg</v>
          </cell>
          <cell r="AA76" t="str">
            <v>Q Entra</v>
          </cell>
          <cell r="AB76" t="str">
            <v>Kg x Plan</v>
          </cell>
          <cell r="AC76" t="str">
            <v>Cons x Mes Kg</v>
          </cell>
          <cell r="AD76" t="str">
            <v>Pedi Min Kg</v>
          </cell>
          <cell r="AE76" t="str">
            <v>Precio Kg</v>
          </cell>
        </row>
        <row r="77">
          <cell r="C77" t="str">
            <v>CP2</v>
          </cell>
          <cell r="D77" t="str">
            <v>CP2</v>
          </cell>
          <cell r="E77" t="str">
            <v>Plancha de Niquel</v>
          </cell>
          <cell r="H77">
            <v>10.881</v>
          </cell>
          <cell r="I77">
            <v>0</v>
          </cell>
          <cell r="J77">
            <v>108.81</v>
          </cell>
          <cell r="L77">
            <v>0</v>
          </cell>
          <cell r="M77">
            <v>4644010.8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U77">
            <v>10.881</v>
          </cell>
          <cell r="V77">
            <v>0</v>
          </cell>
          <cell r="W77">
            <v>0</v>
          </cell>
          <cell r="X77">
            <v>0</v>
          </cell>
          <cell r="Z77">
            <v>108.81</v>
          </cell>
          <cell r="AA77">
            <v>48</v>
          </cell>
          <cell r="AB77">
            <v>10</v>
          </cell>
          <cell r="AC77">
            <v>36.270000000000003</v>
          </cell>
          <cell r="AD77">
            <v>10</v>
          </cell>
          <cell r="AE77">
            <v>42680</v>
          </cell>
        </row>
        <row r="89">
          <cell r="E89" t="str">
            <v>DISCONTINUOS</v>
          </cell>
        </row>
        <row r="91">
          <cell r="C91" t="str">
            <v>C9</v>
          </cell>
          <cell r="D91" t="str">
            <v>FP3</v>
          </cell>
          <cell r="E91" t="str">
            <v>Cachas Blancas</v>
          </cell>
          <cell r="H91">
            <v>0</v>
          </cell>
          <cell r="I91">
            <v>0</v>
          </cell>
          <cell r="J91">
            <v>0</v>
          </cell>
          <cell r="L91" t="str">
            <v>0%</v>
          </cell>
          <cell r="M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U91">
            <v>5536.16</v>
          </cell>
          <cell r="V91">
            <v>2000</v>
          </cell>
          <cell r="W91">
            <v>1376.1599999999999</v>
          </cell>
          <cell r="X91">
            <v>2160</v>
          </cell>
          <cell r="Z91">
            <v>0</v>
          </cell>
          <cell r="AA91">
            <v>4</v>
          </cell>
          <cell r="AB91">
            <v>1000</v>
          </cell>
          <cell r="AC91">
            <v>0</v>
          </cell>
          <cell r="AD91">
            <v>5000</v>
          </cell>
          <cell r="AE91">
            <v>91.6</v>
          </cell>
          <cell r="AF91" t="str">
            <v>Manolo</v>
          </cell>
          <cell r="AG91" t="str">
            <v>Cachas</v>
          </cell>
          <cell r="AH91" t="str">
            <v>A</v>
          </cell>
        </row>
        <row r="92">
          <cell r="D92" t="str">
            <v>AP8</v>
          </cell>
          <cell r="E92" t="str">
            <v>Placas 3 en 1 Vde.</v>
          </cell>
        </row>
        <row r="93">
          <cell r="D93" t="str">
            <v>BP3</v>
          </cell>
          <cell r="E93" t="str">
            <v>Capuc Marip. Vde.</v>
          </cell>
        </row>
        <row r="94">
          <cell r="D94" t="str">
            <v>BP7</v>
          </cell>
          <cell r="E94" t="str">
            <v>Leva Tapon Premium</v>
          </cell>
        </row>
        <row r="95">
          <cell r="D95" t="str">
            <v>BP8</v>
          </cell>
          <cell r="E95" t="str">
            <v>Tapa Bombilla Plast</v>
          </cell>
        </row>
        <row r="96">
          <cell r="D96" t="str">
            <v>HP3</v>
          </cell>
          <cell r="E96" t="str">
            <v>Inser. Sonrisa Neg.</v>
          </cell>
        </row>
        <row r="97">
          <cell r="D97" t="str">
            <v>MP4</v>
          </cell>
          <cell r="E97" t="str">
            <v>Cuchillo de Untar Acril</v>
          </cell>
        </row>
        <row r="98">
          <cell r="D98" t="str">
            <v>MP7</v>
          </cell>
          <cell r="E98" t="str">
            <v>Capuchon Blanco PyP Ajo</v>
          </cell>
        </row>
        <row r="99">
          <cell r="D99" t="str">
            <v>MP8</v>
          </cell>
          <cell r="E99" t="str">
            <v>Puntera Roja PyP  Ajo</v>
          </cell>
        </row>
        <row r="100">
          <cell r="D100" t="str">
            <v>V9</v>
          </cell>
          <cell r="E100" t="str">
            <v>Cucharon 1 Pz Ny Vde</v>
          </cell>
        </row>
        <row r="101">
          <cell r="D101" t="str">
            <v>V10</v>
          </cell>
          <cell r="E101" t="str">
            <v>Espatula Lisa 1 Pz Ny Vde</v>
          </cell>
        </row>
        <row r="102">
          <cell r="D102" t="str">
            <v>V11</v>
          </cell>
          <cell r="E102" t="str">
            <v>Espatula Cal.  1 Pz Ny Vde</v>
          </cell>
        </row>
        <row r="103">
          <cell r="D103" t="str">
            <v>V12</v>
          </cell>
          <cell r="E103" t="str">
            <v>Cuchara Fideos 1 Pz Ny Vde</v>
          </cell>
        </row>
        <row r="104">
          <cell r="D104" t="str">
            <v>V13</v>
          </cell>
          <cell r="E104" t="str">
            <v>Cuchara Calada 1 Pz  Ny Vde</v>
          </cell>
        </row>
        <row r="105">
          <cell r="J105" t="e">
            <v>#REF!</v>
          </cell>
          <cell r="L105" t="e">
            <v>#REF!</v>
          </cell>
          <cell r="M105" t="e">
            <v>#REF!</v>
          </cell>
          <cell r="AB105">
            <v>0</v>
          </cell>
          <cell r="AC105">
            <v>0</v>
          </cell>
          <cell r="AD105">
            <v>0</v>
          </cell>
        </row>
        <row r="106">
          <cell r="D106" t="str">
            <v>Z:\AA  LOGISTICA Relevamiento y Pedidos\A3 Relevamiento Stock y Pedidos Insumos\Relevamiento\A Relevamientos INSUMOS y Pedido\A Plásticos\A  Vigente</v>
          </cell>
          <cell r="J106" t="e">
            <v>#REF!</v>
          </cell>
          <cell r="L106" t="e">
            <v>#REF!</v>
          </cell>
          <cell r="M106" t="e">
            <v>#REF!</v>
          </cell>
          <cell r="AB106">
            <v>0</v>
          </cell>
          <cell r="AC106">
            <v>2000</v>
          </cell>
          <cell r="AD106">
            <v>0</v>
          </cell>
        </row>
        <row r="107">
          <cell r="J107" t="e">
            <v>#REF!</v>
          </cell>
          <cell r="L107" t="e">
            <v>#REF!</v>
          </cell>
          <cell r="M107" t="e">
            <v>#REF!</v>
          </cell>
          <cell r="AB107">
            <v>4176</v>
          </cell>
          <cell r="AC107">
            <v>0</v>
          </cell>
          <cell r="AD107">
            <v>1392</v>
          </cell>
        </row>
        <row r="108">
          <cell r="J108" t="e">
            <v>#REF!</v>
          </cell>
          <cell r="L108" t="e">
            <v>#REF!</v>
          </cell>
          <cell r="M108" t="e">
            <v>#REF!</v>
          </cell>
          <cell r="AB108">
            <v>0</v>
          </cell>
          <cell r="AC108">
            <v>0</v>
          </cell>
          <cell r="AD108">
            <v>0</v>
          </cell>
        </row>
        <row r="109">
          <cell r="J109" t="e">
            <v>#REF!</v>
          </cell>
          <cell r="L109" t="e">
            <v>#REF!</v>
          </cell>
          <cell r="M109" t="e">
            <v>#REF!</v>
          </cell>
          <cell r="AB109" t="e">
            <v>#REF!</v>
          </cell>
          <cell r="AC109">
            <v>0</v>
          </cell>
          <cell r="AD109" t="e">
            <v>#REF!</v>
          </cell>
        </row>
        <row r="110">
          <cell r="J110" t="e">
            <v>#REF!</v>
          </cell>
          <cell r="L110" t="e">
            <v>#REF!</v>
          </cell>
          <cell r="M110" t="e">
            <v>#REF!</v>
          </cell>
          <cell r="AB110" t="e">
            <v>#REF!</v>
          </cell>
          <cell r="AC110">
            <v>0</v>
          </cell>
          <cell r="AD110" t="e">
            <v>#REF!</v>
          </cell>
        </row>
        <row r="111">
          <cell r="J111" t="e">
            <v>#REF!</v>
          </cell>
          <cell r="L111" t="e">
            <v>#REF!</v>
          </cell>
          <cell r="M111" t="e">
            <v>#REF!</v>
          </cell>
          <cell r="AB111" t="e">
            <v>#REF!</v>
          </cell>
          <cell r="AC111">
            <v>0</v>
          </cell>
          <cell r="AD111" t="e">
            <v>#REF!</v>
          </cell>
        </row>
        <row r="112">
          <cell r="J112" t="e">
            <v>#REF!</v>
          </cell>
          <cell r="L112" t="e">
            <v>#REF!</v>
          </cell>
          <cell r="M112" t="e">
            <v>#REF!</v>
          </cell>
          <cell r="AB112" t="e">
            <v>#REF!</v>
          </cell>
          <cell r="AC112">
            <v>0</v>
          </cell>
          <cell r="AD112" t="e">
            <v>#REF!</v>
          </cell>
        </row>
        <row r="113">
          <cell r="J113" t="e">
            <v>#REF!</v>
          </cell>
          <cell r="L113" t="e">
            <v>#REF!</v>
          </cell>
          <cell r="M113" t="e">
            <v>#REF!</v>
          </cell>
          <cell r="AB113" t="e">
            <v>#REF!</v>
          </cell>
          <cell r="AC113">
            <v>250</v>
          </cell>
          <cell r="AD113" t="e">
            <v>#REF!</v>
          </cell>
        </row>
        <row r="114">
          <cell r="J114" t="e">
            <v>#REF!</v>
          </cell>
          <cell r="L114" t="e">
            <v>#REF!</v>
          </cell>
          <cell r="M114" t="e">
            <v>#REF!</v>
          </cell>
          <cell r="AB114" t="e">
            <v>#REF!</v>
          </cell>
          <cell r="AC114">
            <v>250</v>
          </cell>
          <cell r="AD114" t="e">
            <v>#REF!</v>
          </cell>
        </row>
        <row r="115">
          <cell r="J115" t="e">
            <v>#REF!</v>
          </cell>
          <cell r="L115" t="e">
            <v>#REF!</v>
          </cell>
          <cell r="M115" t="e">
            <v>#REF!</v>
          </cell>
          <cell r="AB115" t="e">
            <v>#REF!</v>
          </cell>
          <cell r="AC115">
            <v>250</v>
          </cell>
          <cell r="AD115" t="e">
            <v>#REF!</v>
          </cell>
        </row>
        <row r="116">
          <cell r="J116" t="e">
            <v>#REF!</v>
          </cell>
          <cell r="L116" t="e">
            <v>#REF!</v>
          </cell>
          <cell r="M116" t="e">
            <v>#REF!</v>
          </cell>
          <cell r="AB116" t="e">
            <v>#REF!</v>
          </cell>
          <cell r="AC116">
            <v>250</v>
          </cell>
          <cell r="AD116" t="e">
            <v>#REF!</v>
          </cell>
        </row>
        <row r="117">
          <cell r="J117" t="e">
            <v>#REF!</v>
          </cell>
          <cell r="L117" t="e">
            <v>#REF!</v>
          </cell>
          <cell r="M117" t="e">
            <v>#REF!</v>
          </cell>
          <cell r="AB117" t="e">
            <v>#REF!</v>
          </cell>
          <cell r="AC117">
            <v>250</v>
          </cell>
          <cell r="AD117" t="e">
            <v>#REF!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J2">
            <v>45397</v>
          </cell>
          <cell r="K2">
            <v>45397</v>
          </cell>
        </row>
        <row r="3">
          <cell r="C3" t="str">
            <v>Sect</v>
          </cell>
          <cell r="D3" t="str">
            <v>Cod Art</v>
          </cell>
          <cell r="E3" t="str">
            <v>Descripcion ART</v>
          </cell>
          <cell r="F3" t="str">
            <v>Lin</v>
          </cell>
          <cell r="G3" t="str">
            <v>Proveed.</v>
          </cell>
          <cell r="H3" t="str">
            <v>Kg x Parte</v>
          </cell>
          <cell r="I3" t="str">
            <v>Descripcion Parte Plastica</v>
          </cell>
          <cell r="J3" t="str">
            <v>E Madre Loeke</v>
          </cell>
          <cell r="K3" t="str">
            <v>E Madre Chef</v>
          </cell>
          <cell r="L3" t="str">
            <v>Material</v>
          </cell>
          <cell r="M3" t="str">
            <v>KG x Material</v>
          </cell>
          <cell r="N3" t="str">
            <v>Bocas
x Matriz</v>
          </cell>
          <cell r="O3" t="str">
            <v>Min 
Iny</v>
          </cell>
        </row>
        <row r="4">
          <cell r="C4" t="str">
            <v>A2</v>
          </cell>
          <cell r="D4">
            <v>43</v>
          </cell>
          <cell r="E4" t="str">
            <v xml:space="preserve">Tres En Uno              </v>
          </cell>
          <cell r="F4" t="str">
            <v>CH</v>
          </cell>
          <cell r="G4" t="str">
            <v>Manolo</v>
          </cell>
          <cell r="H4">
            <v>2E-3</v>
          </cell>
          <cell r="I4" t="str">
            <v>Plaquitas 3- 1 Blan.</v>
          </cell>
          <cell r="J4">
            <v>0</v>
          </cell>
          <cell r="K4">
            <v>240</v>
          </cell>
          <cell r="L4" t="str">
            <v>PE</v>
          </cell>
          <cell r="M4">
            <v>0.48</v>
          </cell>
          <cell r="N4">
            <v>6</v>
          </cell>
          <cell r="O4">
            <v>6000</v>
          </cell>
        </row>
        <row r="5">
          <cell r="C5" t="str">
            <v>A1</v>
          </cell>
          <cell r="D5">
            <v>511</v>
          </cell>
          <cell r="E5" t="str">
            <v xml:space="preserve">3 En 1                   </v>
          </cell>
          <cell r="F5" t="str">
            <v>LK</v>
          </cell>
          <cell r="G5" t="str">
            <v>Manolo</v>
          </cell>
          <cell r="H5">
            <v>2E-3</v>
          </cell>
          <cell r="I5" t="str">
            <v>Plaquita 3 en 1 LK</v>
          </cell>
          <cell r="J5">
            <v>420</v>
          </cell>
          <cell r="K5">
            <v>0</v>
          </cell>
          <cell r="L5" t="str">
            <v>PE</v>
          </cell>
          <cell r="M5">
            <v>0.84</v>
          </cell>
          <cell r="N5">
            <v>6</v>
          </cell>
          <cell r="O5">
            <v>6000</v>
          </cell>
        </row>
        <row r="6">
          <cell r="C6" t="str">
            <v>A13</v>
          </cell>
          <cell r="D6">
            <v>546</v>
          </cell>
          <cell r="E6" t="str">
            <v xml:space="preserve">Corta Queso              </v>
          </cell>
          <cell r="F6" t="str">
            <v>LK</v>
          </cell>
          <cell r="H6">
            <v>2.2000000000000001E-3</v>
          </cell>
          <cell r="I6" t="str">
            <v>Capuchon Batidor LK</v>
          </cell>
          <cell r="J6">
            <v>4800</v>
          </cell>
          <cell r="K6">
            <v>0</v>
          </cell>
          <cell r="L6" t="str">
            <v>ABS</v>
          </cell>
          <cell r="M6">
            <v>10.56</v>
          </cell>
          <cell r="N6">
            <v>10</v>
          </cell>
          <cell r="O6">
            <v>10000</v>
          </cell>
        </row>
        <row r="7">
          <cell r="C7" t="str">
            <v>A13</v>
          </cell>
          <cell r="D7">
            <v>515</v>
          </cell>
          <cell r="E7" t="str">
            <v xml:space="preserve">Batidor Resorte          </v>
          </cell>
          <cell r="F7" t="str">
            <v>LK</v>
          </cell>
          <cell r="H7">
            <v>2.2000000000000001E-3</v>
          </cell>
          <cell r="J7">
            <v>144</v>
          </cell>
          <cell r="K7">
            <v>0</v>
          </cell>
          <cell r="L7" t="str">
            <v>ABS</v>
          </cell>
          <cell r="M7">
            <v>0.31680000000000003</v>
          </cell>
          <cell r="N7">
            <v>10</v>
          </cell>
          <cell r="O7">
            <v>10000</v>
          </cell>
        </row>
        <row r="8">
          <cell r="C8" t="str">
            <v>A18</v>
          </cell>
          <cell r="D8">
            <v>332</v>
          </cell>
          <cell r="E8" t="str">
            <v xml:space="preserve">Espatula Acero Inox.     </v>
          </cell>
          <cell r="F8" t="str">
            <v>LK</v>
          </cell>
          <cell r="G8" t="str">
            <v>Manolo</v>
          </cell>
          <cell r="H8">
            <v>2.2000000000000001E-3</v>
          </cell>
          <cell r="I8" t="str">
            <v>Capuchon Espatula LK</v>
          </cell>
          <cell r="J8">
            <v>168</v>
          </cell>
          <cell r="K8">
            <v>0</v>
          </cell>
          <cell r="L8" t="str">
            <v>ABS</v>
          </cell>
          <cell r="M8">
            <v>0.36960000000000004</v>
          </cell>
          <cell r="N8">
            <v>10</v>
          </cell>
          <cell r="O8">
            <v>10000</v>
          </cell>
        </row>
        <row r="9">
          <cell r="C9" t="str">
            <v>A18</v>
          </cell>
          <cell r="D9">
            <v>333</v>
          </cell>
          <cell r="E9" t="str">
            <v xml:space="preserve">Espumadera Ac.Inox.      </v>
          </cell>
          <cell r="F9" t="str">
            <v>LK</v>
          </cell>
          <cell r="H9">
            <v>2.2000000000000001E-3</v>
          </cell>
          <cell r="J9">
            <v>288</v>
          </cell>
          <cell r="K9">
            <v>0</v>
          </cell>
          <cell r="L9" t="str">
            <v>ABS</v>
          </cell>
          <cell r="M9">
            <v>0.63360000000000005</v>
          </cell>
          <cell r="N9">
            <v>10</v>
          </cell>
          <cell r="O9">
            <v>10000</v>
          </cell>
        </row>
        <row r="10">
          <cell r="C10" t="str">
            <v>A18</v>
          </cell>
          <cell r="D10">
            <v>334</v>
          </cell>
          <cell r="E10" t="str">
            <v xml:space="preserve">Cuchara Salsera Inox     </v>
          </cell>
          <cell r="F10" t="str">
            <v>LK</v>
          </cell>
          <cell r="H10">
            <v>2.2000000000000001E-3</v>
          </cell>
          <cell r="J10">
            <v>144</v>
          </cell>
          <cell r="K10">
            <v>0</v>
          </cell>
          <cell r="L10" t="str">
            <v>ABS</v>
          </cell>
          <cell r="M10">
            <v>0.31680000000000003</v>
          </cell>
          <cell r="N10">
            <v>10</v>
          </cell>
          <cell r="O10">
            <v>10000</v>
          </cell>
        </row>
        <row r="11">
          <cell r="C11" t="str">
            <v>A18</v>
          </cell>
          <cell r="D11">
            <v>335</v>
          </cell>
          <cell r="E11" t="str">
            <v xml:space="preserve">Cuchara Calada Ac.Inox.  </v>
          </cell>
          <cell r="F11" t="str">
            <v>LK</v>
          </cell>
          <cell r="H11">
            <v>2.2000000000000001E-3</v>
          </cell>
          <cell r="J11">
            <v>120</v>
          </cell>
          <cell r="K11">
            <v>0</v>
          </cell>
          <cell r="L11" t="str">
            <v>ABS</v>
          </cell>
          <cell r="M11">
            <v>0.26400000000000001</v>
          </cell>
          <cell r="N11">
            <v>10</v>
          </cell>
          <cell r="O11">
            <v>10000</v>
          </cell>
        </row>
        <row r="12">
          <cell r="C12" t="str">
            <v>A18</v>
          </cell>
          <cell r="D12">
            <v>336</v>
          </cell>
          <cell r="E12" t="str">
            <v xml:space="preserve">Cucharon Ac.Inox.        </v>
          </cell>
          <cell r="F12" t="str">
            <v>LK</v>
          </cell>
          <cell r="H12">
            <v>2.2000000000000001E-3</v>
          </cell>
          <cell r="J12">
            <v>180</v>
          </cell>
          <cell r="K12">
            <v>0</v>
          </cell>
          <cell r="L12" t="str">
            <v>ABS</v>
          </cell>
          <cell r="M12">
            <v>0.39600000000000002</v>
          </cell>
          <cell r="N12">
            <v>10</v>
          </cell>
          <cell r="O12">
            <v>10000</v>
          </cell>
        </row>
        <row r="13">
          <cell r="C13" t="str">
            <v>A18</v>
          </cell>
          <cell r="D13">
            <v>337</v>
          </cell>
          <cell r="E13" t="str">
            <v>Tenedor Ac Inox</v>
          </cell>
          <cell r="F13" t="str">
            <v>LK</v>
          </cell>
          <cell r="H13">
            <v>2.2000000000000001E-3</v>
          </cell>
          <cell r="J13">
            <v>48</v>
          </cell>
          <cell r="K13">
            <v>0</v>
          </cell>
          <cell r="L13" t="str">
            <v>ABS</v>
          </cell>
          <cell r="M13">
            <v>0.1056</v>
          </cell>
          <cell r="N13">
            <v>10</v>
          </cell>
          <cell r="O13">
            <v>10000</v>
          </cell>
        </row>
        <row r="14">
          <cell r="C14" t="str">
            <v>A18</v>
          </cell>
          <cell r="D14">
            <v>338</v>
          </cell>
          <cell r="E14" t="str">
            <v xml:space="preserve">Espatula Lisa Ac.Inox.   </v>
          </cell>
          <cell r="F14" t="str">
            <v>LK</v>
          </cell>
          <cell r="H14">
            <v>2.2000000000000001E-3</v>
          </cell>
          <cell r="J14">
            <v>96</v>
          </cell>
          <cell r="K14">
            <v>0</v>
          </cell>
          <cell r="L14" t="str">
            <v>ABS</v>
          </cell>
          <cell r="M14">
            <v>0.2112</v>
          </cell>
          <cell r="N14">
            <v>10</v>
          </cell>
          <cell r="O14">
            <v>10000</v>
          </cell>
        </row>
        <row r="15">
          <cell r="C15" t="str">
            <v>A18</v>
          </cell>
          <cell r="D15">
            <v>542</v>
          </cell>
          <cell r="E15" t="str">
            <v xml:space="preserve">Ahueca Papas             </v>
          </cell>
          <cell r="F15" t="str">
            <v>LK</v>
          </cell>
          <cell r="H15">
            <v>2.2000000000000001E-3</v>
          </cell>
          <cell r="J15">
            <v>396</v>
          </cell>
          <cell r="K15">
            <v>0</v>
          </cell>
          <cell r="L15" t="str">
            <v>ABS</v>
          </cell>
          <cell r="M15">
            <v>0.87120000000000009</v>
          </cell>
          <cell r="N15">
            <v>10</v>
          </cell>
          <cell r="O15">
            <v>10000</v>
          </cell>
        </row>
        <row r="16">
          <cell r="C16" t="str">
            <v>A18</v>
          </cell>
          <cell r="D16">
            <v>543</v>
          </cell>
          <cell r="E16" t="str">
            <v xml:space="preserve">Ahueca Frutas            </v>
          </cell>
          <cell r="F16" t="str">
            <v>LK</v>
          </cell>
          <cell r="H16">
            <v>2.2000000000000001E-3</v>
          </cell>
          <cell r="J16">
            <v>300</v>
          </cell>
          <cell r="K16">
            <v>0</v>
          </cell>
          <cell r="L16" t="str">
            <v>ABS</v>
          </cell>
          <cell r="M16">
            <v>0.66</v>
          </cell>
          <cell r="N16">
            <v>10</v>
          </cell>
          <cell r="O16">
            <v>10000</v>
          </cell>
        </row>
        <row r="17">
          <cell r="C17" t="str">
            <v>A18</v>
          </cell>
          <cell r="D17">
            <v>546</v>
          </cell>
          <cell r="E17" t="str">
            <v xml:space="preserve">Corta Queso              </v>
          </cell>
          <cell r="F17" t="str">
            <v>LK</v>
          </cell>
          <cell r="H17">
            <v>2.2000000000000001E-3</v>
          </cell>
          <cell r="J17">
            <v>4800</v>
          </cell>
          <cell r="K17">
            <v>0</v>
          </cell>
          <cell r="L17" t="str">
            <v>ABS</v>
          </cell>
          <cell r="M17">
            <v>10.56</v>
          </cell>
          <cell r="N17">
            <v>10</v>
          </cell>
          <cell r="O17">
            <v>10000</v>
          </cell>
        </row>
        <row r="18">
          <cell r="C18" t="str">
            <v>A18</v>
          </cell>
          <cell r="D18">
            <v>559</v>
          </cell>
          <cell r="E18" t="str">
            <v xml:space="preserve">Corta Ravioles           </v>
          </cell>
          <cell r="F18" t="str">
            <v>LK</v>
          </cell>
          <cell r="H18">
            <v>2.2000000000000001E-3</v>
          </cell>
          <cell r="J18">
            <v>720</v>
          </cell>
          <cell r="K18">
            <v>0</v>
          </cell>
          <cell r="L18" t="str">
            <v>ABS</v>
          </cell>
          <cell r="M18">
            <v>1.5840000000000001</v>
          </cell>
          <cell r="N18">
            <v>10</v>
          </cell>
          <cell r="O18">
            <v>10000</v>
          </cell>
        </row>
        <row r="19">
          <cell r="C19" t="str">
            <v>A18</v>
          </cell>
          <cell r="D19">
            <v>312</v>
          </cell>
          <cell r="E19" t="str">
            <v xml:space="preserve">Pala De Torta Acero Inox </v>
          </cell>
          <cell r="F19" t="str">
            <v>LK</v>
          </cell>
          <cell r="H19">
            <v>2.2000000000000001E-3</v>
          </cell>
          <cell r="J19">
            <v>156</v>
          </cell>
          <cell r="K19">
            <v>0</v>
          </cell>
          <cell r="L19" t="str">
            <v>ABS</v>
          </cell>
          <cell r="M19">
            <v>0.34320000000000001</v>
          </cell>
          <cell r="N19">
            <v>10</v>
          </cell>
          <cell r="O19">
            <v>10000</v>
          </cell>
        </row>
        <row r="20">
          <cell r="C20" t="str">
            <v>A18</v>
          </cell>
          <cell r="D20">
            <v>570</v>
          </cell>
          <cell r="E20" t="str">
            <v xml:space="preserve">Pala De Canelones        </v>
          </cell>
          <cell r="F20" t="str">
            <v>LK</v>
          </cell>
          <cell r="H20">
            <v>2.2000000000000001E-3</v>
          </cell>
          <cell r="J20">
            <v>296</v>
          </cell>
          <cell r="K20">
            <v>0</v>
          </cell>
          <cell r="L20" t="str">
            <v>ABS</v>
          </cell>
          <cell r="M20">
            <v>0.6512</v>
          </cell>
          <cell r="N20">
            <v>10</v>
          </cell>
          <cell r="O20">
            <v>10000</v>
          </cell>
        </row>
        <row r="21">
          <cell r="C21" t="str">
            <v>A18</v>
          </cell>
          <cell r="D21">
            <v>587</v>
          </cell>
          <cell r="E21" t="str">
            <v>Pelapapas Cuchilla Corte Laser</v>
          </cell>
          <cell r="F21" t="str">
            <v>LK</v>
          </cell>
          <cell r="H21">
            <v>2.2000000000000001E-3</v>
          </cell>
          <cell r="J21">
            <v>2760</v>
          </cell>
          <cell r="K21">
            <v>0</v>
          </cell>
          <cell r="L21" t="str">
            <v>ABS</v>
          </cell>
          <cell r="M21">
            <v>6.0720000000000001</v>
          </cell>
          <cell r="N21">
            <v>10</v>
          </cell>
          <cell r="O21">
            <v>10000</v>
          </cell>
        </row>
        <row r="22">
          <cell r="C22" t="str">
            <v>A18</v>
          </cell>
          <cell r="D22">
            <v>395</v>
          </cell>
          <cell r="E22" t="str">
            <v>Descorazonador De Manzana</v>
          </cell>
          <cell r="F22" t="str">
            <v>LK</v>
          </cell>
          <cell r="H22">
            <v>2.2000000000000001E-3</v>
          </cell>
          <cell r="J22">
            <v>336</v>
          </cell>
          <cell r="K22">
            <v>0</v>
          </cell>
          <cell r="L22" t="str">
            <v>ABS</v>
          </cell>
          <cell r="M22">
            <v>0.73920000000000008</v>
          </cell>
          <cell r="N22">
            <v>10</v>
          </cell>
          <cell r="O22">
            <v>10000</v>
          </cell>
        </row>
        <row r="23">
          <cell r="C23" t="str">
            <v>A18</v>
          </cell>
          <cell r="D23">
            <v>396</v>
          </cell>
          <cell r="E23" t="str">
            <v xml:space="preserve">Enrulador De Manteca     </v>
          </cell>
          <cell r="F23" t="str">
            <v>LK</v>
          </cell>
          <cell r="H23">
            <v>2.2000000000000001E-3</v>
          </cell>
          <cell r="J23">
            <v>192</v>
          </cell>
          <cell r="K23">
            <v>0</v>
          </cell>
          <cell r="L23" t="str">
            <v>ABS</v>
          </cell>
          <cell r="M23">
            <v>0.4224</v>
          </cell>
          <cell r="N23">
            <v>10</v>
          </cell>
          <cell r="O23">
            <v>10000</v>
          </cell>
        </row>
        <row r="24">
          <cell r="C24" t="str">
            <v>A15</v>
          </cell>
          <cell r="D24">
            <v>548</v>
          </cell>
          <cell r="E24" t="str">
            <v xml:space="preserve">Pincel Pastelero         </v>
          </cell>
          <cell r="F24" t="str">
            <v>LK</v>
          </cell>
          <cell r="G24" t="str">
            <v>Manolo</v>
          </cell>
          <cell r="H24">
            <v>2.2000000000000001E-3</v>
          </cell>
          <cell r="I24" t="str">
            <v>Capuchon ф10</v>
          </cell>
          <cell r="J24">
            <v>360</v>
          </cell>
          <cell r="K24">
            <v>0</v>
          </cell>
          <cell r="L24" t="str">
            <v>ABS</v>
          </cell>
          <cell r="M24">
            <v>0.79200000000000004</v>
          </cell>
          <cell r="N24">
            <v>10</v>
          </cell>
          <cell r="O24">
            <v>10000</v>
          </cell>
        </row>
        <row r="25">
          <cell r="C25" t="str">
            <v>A10</v>
          </cell>
          <cell r="D25">
            <v>315</v>
          </cell>
          <cell r="E25" t="str">
            <v xml:space="preserve">Pisa Papas Acero Inox    </v>
          </cell>
          <cell r="F25" t="str">
            <v>LK</v>
          </cell>
          <cell r="G25" t="str">
            <v>Manolo</v>
          </cell>
          <cell r="H25">
            <v>2.2000000000000001E-3</v>
          </cell>
          <cell r="I25" t="str">
            <v>Capuchon ф 8</v>
          </cell>
          <cell r="J25">
            <v>1920</v>
          </cell>
          <cell r="K25">
            <v>0</v>
          </cell>
          <cell r="L25" t="str">
            <v>ABS</v>
          </cell>
          <cell r="M25">
            <v>4.2240000000000002</v>
          </cell>
          <cell r="N25">
            <v>10</v>
          </cell>
          <cell r="O25">
            <v>10000</v>
          </cell>
        </row>
        <row r="26">
          <cell r="C26" t="str">
            <v>A10</v>
          </cell>
          <cell r="D26">
            <v>355</v>
          </cell>
          <cell r="E26" t="str">
            <v>Pisa Papas Nylon Mgo Plas</v>
          </cell>
          <cell r="F26" t="str">
            <v>LK</v>
          </cell>
          <cell r="H26">
            <v>2.2000000000000001E-3</v>
          </cell>
          <cell r="J26">
            <v>480</v>
          </cell>
          <cell r="K26">
            <v>0</v>
          </cell>
          <cell r="L26" t="str">
            <v>ABS</v>
          </cell>
          <cell r="M26">
            <v>1.056</v>
          </cell>
          <cell r="N26">
            <v>10</v>
          </cell>
          <cell r="O26">
            <v>10000</v>
          </cell>
        </row>
        <row r="27">
          <cell r="C27" t="str">
            <v>A10</v>
          </cell>
          <cell r="D27">
            <v>535</v>
          </cell>
          <cell r="E27" t="str">
            <v>Cepillo Limpia Vaso Mamad</v>
          </cell>
          <cell r="F27" t="str">
            <v>LK</v>
          </cell>
          <cell r="H27">
            <v>2.2000000000000001E-3</v>
          </cell>
          <cell r="J27">
            <v>996</v>
          </cell>
          <cell r="K27">
            <v>0</v>
          </cell>
          <cell r="L27" t="str">
            <v>ABS</v>
          </cell>
          <cell r="M27">
            <v>2.1912000000000003</v>
          </cell>
          <cell r="N27">
            <v>10</v>
          </cell>
          <cell r="O27">
            <v>10000</v>
          </cell>
        </row>
        <row r="28">
          <cell r="C28" t="str">
            <v>A4</v>
          </cell>
          <cell r="D28">
            <v>551</v>
          </cell>
          <cell r="E28" t="str">
            <v>Cuchillo Untar Mgo Plast Inox</v>
          </cell>
          <cell r="F28" t="str">
            <v>LK</v>
          </cell>
          <cell r="G28" t="str">
            <v>Telleria</v>
          </cell>
          <cell r="H28">
            <v>0.01</v>
          </cell>
          <cell r="I28" t="str">
            <v>Mang Cuch Unt Rojo</v>
          </cell>
          <cell r="J28">
            <v>360</v>
          </cell>
          <cell r="K28">
            <v>0</v>
          </cell>
          <cell r="L28" t="str">
            <v>PP 2630</v>
          </cell>
          <cell r="M28">
            <v>3.6</v>
          </cell>
          <cell r="N28">
            <v>8</v>
          </cell>
          <cell r="O28">
            <v>10000</v>
          </cell>
        </row>
        <row r="29">
          <cell r="C29" t="str">
            <v>A5</v>
          </cell>
          <cell r="D29">
            <v>878</v>
          </cell>
          <cell r="E29" t="str">
            <v xml:space="preserve">Cuchillitos De Untar Mgo </v>
          </cell>
          <cell r="F29" t="str">
            <v>CH</v>
          </cell>
          <cell r="G29" t="str">
            <v>Telleria</v>
          </cell>
          <cell r="H29">
            <v>0.01</v>
          </cell>
          <cell r="I29" t="str">
            <v>Mang Cuch Unt Chef</v>
          </cell>
          <cell r="J29">
            <v>0</v>
          </cell>
          <cell r="K29">
            <v>168</v>
          </cell>
          <cell r="L29" t="str">
            <v>PP 2630</v>
          </cell>
          <cell r="M29">
            <v>1.68</v>
          </cell>
          <cell r="N29">
            <v>8</v>
          </cell>
          <cell r="O29">
            <v>10000</v>
          </cell>
        </row>
        <row r="30">
          <cell r="C30" t="str">
            <v>B5</v>
          </cell>
          <cell r="D30">
            <v>856</v>
          </cell>
          <cell r="E30" t="str">
            <v xml:space="preserve">Pala Torta               </v>
          </cell>
          <cell r="F30" t="str">
            <v>CH</v>
          </cell>
          <cell r="G30" t="str">
            <v>Manolo</v>
          </cell>
          <cell r="H30">
            <v>5.0000000000000001E-3</v>
          </cell>
          <cell r="I30" t="str">
            <v>Inser. Neg. Cuch. y Pal</v>
          </cell>
          <cell r="J30">
            <v>0</v>
          </cell>
          <cell r="K30">
            <v>48</v>
          </cell>
          <cell r="L30" t="str">
            <v>PP 2630</v>
          </cell>
          <cell r="M30">
            <v>0.24</v>
          </cell>
          <cell r="N30">
            <v>2</v>
          </cell>
          <cell r="O30">
            <v>5000</v>
          </cell>
        </row>
        <row r="31">
          <cell r="C31" t="str">
            <v>B5</v>
          </cell>
          <cell r="D31">
            <v>857</v>
          </cell>
          <cell r="E31" t="str">
            <v>Cuchillo De Torta</v>
          </cell>
          <cell r="F31" t="str">
            <v>CH</v>
          </cell>
          <cell r="G31" t="str">
            <v>Manolo</v>
          </cell>
          <cell r="H31">
            <v>5.0000000000000001E-3</v>
          </cell>
          <cell r="J31">
            <v>0</v>
          </cell>
          <cell r="K31">
            <v>48</v>
          </cell>
          <cell r="L31" t="str">
            <v>PP 2630</v>
          </cell>
          <cell r="M31">
            <v>0.24</v>
          </cell>
          <cell r="N31">
            <v>2</v>
          </cell>
          <cell r="O31">
            <v>5000</v>
          </cell>
        </row>
        <row r="32">
          <cell r="C32" t="str">
            <v>B5</v>
          </cell>
          <cell r="D32">
            <v>710</v>
          </cell>
          <cell r="E32" t="str">
            <v>Enrulador Manteca</v>
          </cell>
          <cell r="F32" t="str">
            <v>CH</v>
          </cell>
          <cell r="G32" t="str">
            <v>Manolo</v>
          </cell>
          <cell r="H32">
            <v>5.0000000000000001E-3</v>
          </cell>
          <cell r="J32">
            <v>0</v>
          </cell>
          <cell r="K32">
            <v>0</v>
          </cell>
          <cell r="L32" t="str">
            <v>PP 2630</v>
          </cell>
          <cell r="M32">
            <v>0</v>
          </cell>
          <cell r="N32">
            <v>2</v>
          </cell>
          <cell r="O32">
            <v>5000</v>
          </cell>
        </row>
        <row r="33">
          <cell r="C33" t="str">
            <v>B6</v>
          </cell>
          <cell r="D33">
            <v>720</v>
          </cell>
          <cell r="E33" t="str">
            <v xml:space="preserve">Ahueca Papa              </v>
          </cell>
          <cell r="F33" t="str">
            <v>CH</v>
          </cell>
          <cell r="G33" t="str">
            <v>Manolo</v>
          </cell>
          <cell r="H33">
            <v>5.0000000000000001E-3</v>
          </cell>
          <cell r="I33" t="str">
            <v>Inser. Neg. Espat</v>
          </cell>
          <cell r="J33">
            <v>0</v>
          </cell>
          <cell r="K33">
            <v>72</v>
          </cell>
          <cell r="L33" t="str">
            <v>PP 2630</v>
          </cell>
          <cell r="M33">
            <v>0.36</v>
          </cell>
          <cell r="N33">
            <v>2</v>
          </cell>
          <cell r="O33">
            <v>5000</v>
          </cell>
        </row>
        <row r="34">
          <cell r="C34" t="str">
            <v>B6</v>
          </cell>
          <cell r="D34">
            <v>722</v>
          </cell>
          <cell r="E34" t="str">
            <v xml:space="preserve">Ahueca Frutas            </v>
          </cell>
          <cell r="F34" t="str">
            <v>CH</v>
          </cell>
          <cell r="G34" t="str">
            <v>Manolo</v>
          </cell>
          <cell r="H34">
            <v>5.0000000000000001E-3</v>
          </cell>
          <cell r="J34">
            <v>0</v>
          </cell>
          <cell r="K34">
            <v>36</v>
          </cell>
          <cell r="L34" t="str">
            <v>PP 2630</v>
          </cell>
          <cell r="M34">
            <v>0.18</v>
          </cell>
          <cell r="N34">
            <v>2</v>
          </cell>
          <cell r="O34">
            <v>5000</v>
          </cell>
        </row>
        <row r="35">
          <cell r="C35" t="str">
            <v>B6</v>
          </cell>
          <cell r="D35">
            <v>859</v>
          </cell>
          <cell r="E35" t="str">
            <v xml:space="preserve">Corta Ravioles           </v>
          </cell>
          <cell r="F35" t="str">
            <v>CH</v>
          </cell>
          <cell r="G35" t="str">
            <v>Manolo</v>
          </cell>
          <cell r="H35">
            <v>5.0000000000000001E-3</v>
          </cell>
          <cell r="J35">
            <v>0</v>
          </cell>
          <cell r="K35">
            <v>144</v>
          </cell>
          <cell r="L35" t="str">
            <v>PP 2630</v>
          </cell>
          <cell r="M35">
            <v>0.72</v>
          </cell>
          <cell r="N35">
            <v>2</v>
          </cell>
          <cell r="O35">
            <v>5000</v>
          </cell>
        </row>
        <row r="36">
          <cell r="C36" t="str">
            <v>B6</v>
          </cell>
          <cell r="D36">
            <v>863</v>
          </cell>
          <cell r="E36" t="str">
            <v xml:space="preserve">Corta Pizza Grande       </v>
          </cell>
          <cell r="F36" t="str">
            <v>CH</v>
          </cell>
          <cell r="G36" t="str">
            <v>Manolo</v>
          </cell>
          <cell r="H36">
            <v>5.0000000000000001E-3</v>
          </cell>
          <cell r="J36">
            <v>0</v>
          </cell>
          <cell r="K36">
            <v>96</v>
          </cell>
          <cell r="L36" t="str">
            <v>PP 2630</v>
          </cell>
          <cell r="M36">
            <v>0.48</v>
          </cell>
          <cell r="N36">
            <v>2</v>
          </cell>
          <cell r="O36">
            <v>5000</v>
          </cell>
        </row>
        <row r="37">
          <cell r="C37" t="str">
            <v>B7</v>
          </cell>
          <cell r="D37">
            <v>609</v>
          </cell>
          <cell r="E37" t="str">
            <v xml:space="preserve">Pisa Papas               </v>
          </cell>
          <cell r="F37" t="str">
            <v>CH</v>
          </cell>
          <cell r="G37" t="str">
            <v>Manolo</v>
          </cell>
          <cell r="H37">
            <v>5.0000000000000001E-3</v>
          </cell>
          <cell r="I37" t="str">
            <v>Inser. Neg. Batidor</v>
          </cell>
          <cell r="J37">
            <v>0</v>
          </cell>
          <cell r="K37">
            <v>600</v>
          </cell>
          <cell r="L37" t="str">
            <v>PP 2630</v>
          </cell>
          <cell r="M37">
            <v>3</v>
          </cell>
          <cell r="N37">
            <v>2</v>
          </cell>
          <cell r="O37">
            <v>5000</v>
          </cell>
        </row>
        <row r="38">
          <cell r="C38" t="str">
            <v>B7</v>
          </cell>
          <cell r="D38">
            <v>789</v>
          </cell>
          <cell r="E38" t="str">
            <v xml:space="preserve">Pisa Papa Nylon          </v>
          </cell>
          <cell r="F38" t="str">
            <v>CH</v>
          </cell>
          <cell r="G38" t="str">
            <v>Manolo</v>
          </cell>
          <cell r="H38">
            <v>5.0000000000000001E-3</v>
          </cell>
          <cell r="J38">
            <v>0</v>
          </cell>
          <cell r="K38">
            <v>240</v>
          </cell>
          <cell r="L38" t="str">
            <v>PP 2630</v>
          </cell>
          <cell r="M38">
            <v>1.2</v>
          </cell>
          <cell r="N38">
            <v>2</v>
          </cell>
          <cell r="O38">
            <v>5000</v>
          </cell>
        </row>
        <row r="39">
          <cell r="C39" t="str">
            <v>B7</v>
          </cell>
          <cell r="D39">
            <v>708</v>
          </cell>
          <cell r="E39" t="str">
            <v>Sacafuentes Articulado</v>
          </cell>
          <cell r="F39" t="str">
            <v>CH</v>
          </cell>
          <cell r="G39" t="str">
            <v>Manolo</v>
          </cell>
          <cell r="H39">
            <v>5.0000000000000001E-3</v>
          </cell>
          <cell r="J39">
            <v>0</v>
          </cell>
          <cell r="K39">
            <v>72</v>
          </cell>
          <cell r="L39" t="str">
            <v>PP 2630</v>
          </cell>
          <cell r="M39">
            <v>0.36</v>
          </cell>
          <cell r="N39">
            <v>2</v>
          </cell>
          <cell r="O39">
            <v>5000</v>
          </cell>
        </row>
        <row r="40">
          <cell r="C40" t="str">
            <v>B7</v>
          </cell>
          <cell r="D40">
            <v>307</v>
          </cell>
          <cell r="E40" t="str">
            <v xml:space="preserve">Limpia Mamadera A/I      </v>
          </cell>
          <cell r="F40" t="str">
            <v>CH</v>
          </cell>
          <cell r="G40" t="str">
            <v>Manolo</v>
          </cell>
          <cell r="H40">
            <v>5.0000000000000001E-3</v>
          </cell>
          <cell r="J40">
            <v>0</v>
          </cell>
          <cell r="K40">
            <v>480</v>
          </cell>
          <cell r="L40" t="str">
            <v>PP 2630</v>
          </cell>
          <cell r="M40">
            <v>2.4</v>
          </cell>
          <cell r="N40">
            <v>2</v>
          </cell>
          <cell r="O40">
            <v>5000</v>
          </cell>
        </row>
        <row r="41">
          <cell r="C41" t="str">
            <v>HP3</v>
          </cell>
          <cell r="D41">
            <v>709</v>
          </cell>
          <cell r="E41" t="str">
            <v>Descorazonador De Manzana</v>
          </cell>
          <cell r="F41" t="str">
            <v>CH</v>
          </cell>
          <cell r="G41" t="str">
            <v>Manolo</v>
          </cell>
          <cell r="H41">
            <v>5.0000000000000001E-3</v>
          </cell>
          <cell r="I41" t="str">
            <v>Inser. Sonrisa DISCONTINUA</v>
          </cell>
          <cell r="J41">
            <v>0</v>
          </cell>
          <cell r="K41">
            <v>60</v>
          </cell>
          <cell r="L41" t="str">
            <v>PP 2630</v>
          </cell>
          <cell r="M41">
            <v>0.3</v>
          </cell>
          <cell r="N41">
            <v>2</v>
          </cell>
          <cell r="O41">
            <v>5000</v>
          </cell>
        </row>
        <row r="42">
          <cell r="C42" t="str">
            <v>C7</v>
          </cell>
          <cell r="D42">
            <v>858</v>
          </cell>
          <cell r="E42" t="str">
            <v xml:space="preserve">Pala De Canelones        </v>
          </cell>
          <cell r="F42" t="str">
            <v>CH</v>
          </cell>
          <cell r="G42" t="str">
            <v>Manolo</v>
          </cell>
          <cell r="H42">
            <v>5.0000000000000001E-3</v>
          </cell>
          <cell r="I42" t="str">
            <v>Inserto Neg. Canelones</v>
          </cell>
          <cell r="J42">
            <v>0</v>
          </cell>
          <cell r="K42">
            <v>60</v>
          </cell>
          <cell r="L42" t="str">
            <v>PP 2630</v>
          </cell>
          <cell r="M42">
            <v>0.3</v>
          </cell>
          <cell r="N42">
            <v>2</v>
          </cell>
          <cell r="O42">
            <v>5000</v>
          </cell>
        </row>
        <row r="43">
          <cell r="C43" t="str">
            <v>A17</v>
          </cell>
          <cell r="D43">
            <v>312</v>
          </cell>
          <cell r="E43" t="str">
            <v xml:space="preserve">Pala De Torta Acero Inox </v>
          </cell>
          <cell r="F43" t="str">
            <v>LK</v>
          </cell>
          <cell r="G43" t="str">
            <v>Manolo</v>
          </cell>
          <cell r="H43">
            <v>1.4999999999999999E-2</v>
          </cell>
          <cell r="I43" t="str">
            <v>Mango LK Cuch y P Torta</v>
          </cell>
          <cell r="J43">
            <v>156</v>
          </cell>
          <cell r="K43">
            <v>0</v>
          </cell>
          <cell r="L43" t="str">
            <v>PP 2630</v>
          </cell>
          <cell r="M43">
            <v>2.34</v>
          </cell>
          <cell r="N43">
            <v>4</v>
          </cell>
          <cell r="O43">
            <v>6000</v>
          </cell>
        </row>
        <row r="44">
          <cell r="C44" t="str">
            <v>C11</v>
          </cell>
          <cell r="D44">
            <v>315</v>
          </cell>
          <cell r="E44" t="str">
            <v xml:space="preserve">Pisa Papas Acero Inox    </v>
          </cell>
          <cell r="F44" t="str">
            <v>LK</v>
          </cell>
          <cell r="G44" t="str">
            <v>Manolo</v>
          </cell>
          <cell r="H44">
            <v>1.4999999999999999E-2</v>
          </cell>
          <cell r="I44" t="str">
            <v>Mango LK ф 8</v>
          </cell>
          <cell r="J44">
            <v>1920</v>
          </cell>
          <cell r="K44">
            <v>0</v>
          </cell>
          <cell r="L44" t="str">
            <v>PP 2630</v>
          </cell>
          <cell r="M44">
            <v>28.799999999999997</v>
          </cell>
          <cell r="N44">
            <v>4</v>
          </cell>
          <cell r="O44">
            <v>6000</v>
          </cell>
        </row>
        <row r="45">
          <cell r="C45" t="str">
            <v>C11</v>
          </cell>
          <cell r="D45">
            <v>355</v>
          </cell>
          <cell r="E45" t="str">
            <v>Pisa Papas Nylon Mgo Plas</v>
          </cell>
          <cell r="F45" t="str">
            <v>LK</v>
          </cell>
          <cell r="G45" t="str">
            <v>Manolo</v>
          </cell>
          <cell r="H45">
            <v>1.4999999999999999E-2</v>
          </cell>
          <cell r="J45">
            <v>480</v>
          </cell>
          <cell r="K45">
            <v>0</v>
          </cell>
          <cell r="L45" t="str">
            <v>PP 2630</v>
          </cell>
          <cell r="M45">
            <v>7.1999999999999993</v>
          </cell>
          <cell r="N45">
            <v>4</v>
          </cell>
          <cell r="O45">
            <v>6000</v>
          </cell>
        </row>
        <row r="46">
          <cell r="C46" t="str">
            <v>C10</v>
          </cell>
          <cell r="D46">
            <v>332</v>
          </cell>
          <cell r="E46" t="str">
            <v xml:space="preserve">Espatula Acero Inox.     </v>
          </cell>
          <cell r="F46" t="str">
            <v>LK</v>
          </cell>
          <cell r="G46" t="str">
            <v>Manolo</v>
          </cell>
          <cell r="H46">
            <v>1.4999999999999999E-2</v>
          </cell>
          <cell r="I46" t="str">
            <v>Mango LK Espatula</v>
          </cell>
          <cell r="J46">
            <v>168</v>
          </cell>
          <cell r="K46">
            <v>0</v>
          </cell>
          <cell r="L46" t="str">
            <v>PP 2630</v>
          </cell>
          <cell r="M46">
            <v>2.52</v>
          </cell>
          <cell r="N46">
            <v>4</v>
          </cell>
          <cell r="O46">
            <v>6000</v>
          </cell>
        </row>
        <row r="47">
          <cell r="C47" t="str">
            <v>C10</v>
          </cell>
          <cell r="D47">
            <v>333</v>
          </cell>
          <cell r="E47" t="str">
            <v xml:space="preserve">Espumadera Ac.Inox.      </v>
          </cell>
          <cell r="F47" t="str">
            <v>LK</v>
          </cell>
          <cell r="G47" t="str">
            <v>Manolo</v>
          </cell>
          <cell r="H47">
            <v>1.4999999999999999E-2</v>
          </cell>
          <cell r="J47">
            <v>288</v>
          </cell>
          <cell r="K47">
            <v>0</v>
          </cell>
          <cell r="L47" t="str">
            <v>PP 2630</v>
          </cell>
          <cell r="M47">
            <v>4.32</v>
          </cell>
          <cell r="N47">
            <v>4</v>
          </cell>
          <cell r="O47">
            <v>6000</v>
          </cell>
        </row>
        <row r="48">
          <cell r="C48" t="str">
            <v>C10</v>
          </cell>
          <cell r="D48">
            <v>334</v>
          </cell>
          <cell r="E48" t="str">
            <v xml:space="preserve">Cuchara Salsera Inox     </v>
          </cell>
          <cell r="F48" t="str">
            <v>LK</v>
          </cell>
          <cell r="G48" t="str">
            <v>Manolo</v>
          </cell>
          <cell r="H48">
            <v>1.4999999999999999E-2</v>
          </cell>
          <cell r="J48">
            <v>144</v>
          </cell>
          <cell r="K48">
            <v>0</v>
          </cell>
          <cell r="L48" t="str">
            <v>PP 2630</v>
          </cell>
          <cell r="M48">
            <v>2.16</v>
          </cell>
          <cell r="N48">
            <v>4</v>
          </cell>
          <cell r="O48">
            <v>6000</v>
          </cell>
        </row>
        <row r="49">
          <cell r="C49" t="str">
            <v>C10</v>
          </cell>
          <cell r="D49">
            <v>335</v>
          </cell>
          <cell r="E49" t="str">
            <v xml:space="preserve">Cuchara Calada Ac.Inox.  </v>
          </cell>
          <cell r="F49" t="str">
            <v>LK</v>
          </cell>
          <cell r="G49" t="str">
            <v>Manolo</v>
          </cell>
          <cell r="H49">
            <v>1.4999999999999999E-2</v>
          </cell>
          <cell r="J49">
            <v>120</v>
          </cell>
          <cell r="K49">
            <v>0</v>
          </cell>
          <cell r="L49" t="str">
            <v>PP 2630</v>
          </cell>
          <cell r="M49">
            <v>1.7999999999999998</v>
          </cell>
          <cell r="N49">
            <v>4</v>
          </cell>
          <cell r="O49">
            <v>6000</v>
          </cell>
        </row>
        <row r="50">
          <cell r="C50" t="str">
            <v>C10</v>
          </cell>
          <cell r="D50">
            <v>336</v>
          </cell>
          <cell r="E50" t="str">
            <v xml:space="preserve">Cucharon Ac.Inox.        </v>
          </cell>
          <cell r="F50" t="str">
            <v>LK</v>
          </cell>
          <cell r="G50" t="str">
            <v>Manolo</v>
          </cell>
          <cell r="H50">
            <v>1.4999999999999999E-2</v>
          </cell>
          <cell r="J50">
            <v>180</v>
          </cell>
          <cell r="K50">
            <v>0</v>
          </cell>
          <cell r="L50" t="str">
            <v>PP 2630</v>
          </cell>
          <cell r="M50">
            <v>2.6999999999999997</v>
          </cell>
          <cell r="N50">
            <v>4</v>
          </cell>
          <cell r="O50">
            <v>6000</v>
          </cell>
        </row>
        <row r="51">
          <cell r="C51" t="str">
            <v>C10</v>
          </cell>
          <cell r="D51">
            <v>337</v>
          </cell>
          <cell r="E51" t="str">
            <v>Tenedor Ac Inox</v>
          </cell>
          <cell r="F51" t="str">
            <v>LK</v>
          </cell>
          <cell r="G51" t="str">
            <v>Manolo</v>
          </cell>
          <cell r="H51">
            <v>1.4999999999999999E-2</v>
          </cell>
          <cell r="J51">
            <v>48</v>
          </cell>
          <cell r="K51">
            <v>0</v>
          </cell>
          <cell r="L51" t="str">
            <v>PP 2630</v>
          </cell>
          <cell r="M51">
            <v>0.72</v>
          </cell>
          <cell r="N51">
            <v>4</v>
          </cell>
          <cell r="O51">
            <v>6000</v>
          </cell>
        </row>
        <row r="52">
          <cell r="C52" t="str">
            <v>C10</v>
          </cell>
          <cell r="D52">
            <v>338</v>
          </cell>
          <cell r="E52" t="str">
            <v xml:space="preserve">Espatula Lisa Ac.Inox.   </v>
          </cell>
          <cell r="F52" t="str">
            <v>LK</v>
          </cell>
          <cell r="G52" t="str">
            <v>Manolo</v>
          </cell>
          <cell r="H52">
            <v>1.4999999999999999E-2</v>
          </cell>
          <cell r="J52">
            <v>96</v>
          </cell>
          <cell r="K52">
            <v>0</v>
          </cell>
          <cell r="L52" t="str">
            <v>PP 2630</v>
          </cell>
          <cell r="M52">
            <v>1.44</v>
          </cell>
          <cell r="N52">
            <v>4</v>
          </cell>
          <cell r="O52">
            <v>6000</v>
          </cell>
        </row>
        <row r="53">
          <cell r="C53" t="str">
            <v>C10</v>
          </cell>
          <cell r="D53">
            <v>535</v>
          </cell>
          <cell r="E53" t="str">
            <v>Cepillo Limpia Vaso Mamad</v>
          </cell>
          <cell r="F53" t="str">
            <v>LK</v>
          </cell>
          <cell r="G53" t="str">
            <v>Manolo</v>
          </cell>
          <cell r="H53">
            <v>1.4999999999999999E-2</v>
          </cell>
          <cell r="J53">
            <v>996</v>
          </cell>
          <cell r="K53">
            <v>0</v>
          </cell>
          <cell r="L53" t="str">
            <v>PP 2630</v>
          </cell>
          <cell r="M53">
            <v>14.94</v>
          </cell>
          <cell r="N53">
            <v>4</v>
          </cell>
          <cell r="O53">
            <v>6000</v>
          </cell>
        </row>
        <row r="54">
          <cell r="C54" t="str">
            <v>C10</v>
          </cell>
          <cell r="D54">
            <v>542</v>
          </cell>
          <cell r="E54" t="str">
            <v xml:space="preserve">Ahueca Papas             </v>
          </cell>
          <cell r="F54" t="str">
            <v>LK</v>
          </cell>
          <cell r="G54" t="str">
            <v>Manolo</v>
          </cell>
          <cell r="H54">
            <v>1.4999999999999999E-2</v>
          </cell>
          <cell r="J54">
            <v>396</v>
          </cell>
          <cell r="K54">
            <v>0</v>
          </cell>
          <cell r="L54" t="str">
            <v>PP 2630</v>
          </cell>
          <cell r="M54">
            <v>5.9399999999999995</v>
          </cell>
          <cell r="N54">
            <v>4</v>
          </cell>
          <cell r="O54">
            <v>6000</v>
          </cell>
        </row>
        <row r="55">
          <cell r="C55" t="str">
            <v>C10</v>
          </cell>
          <cell r="D55">
            <v>543</v>
          </cell>
          <cell r="E55" t="str">
            <v xml:space="preserve">Ahueca Frutas            </v>
          </cell>
          <cell r="F55" t="str">
            <v>LK</v>
          </cell>
          <cell r="G55" t="str">
            <v>Manolo</v>
          </cell>
          <cell r="H55">
            <v>1.4999999999999999E-2</v>
          </cell>
          <cell r="J55">
            <v>300</v>
          </cell>
          <cell r="K55">
            <v>0</v>
          </cell>
          <cell r="L55" t="str">
            <v>PP 2630</v>
          </cell>
          <cell r="M55">
            <v>4.5</v>
          </cell>
          <cell r="N55">
            <v>4</v>
          </cell>
          <cell r="O55">
            <v>6000</v>
          </cell>
        </row>
        <row r="56">
          <cell r="C56" t="str">
            <v>C10</v>
          </cell>
          <cell r="D56">
            <v>559</v>
          </cell>
          <cell r="E56" t="str">
            <v xml:space="preserve">Corta Ravioles           </v>
          </cell>
          <cell r="F56" t="str">
            <v>LK</v>
          </cell>
          <cell r="G56" t="str">
            <v>Manolo</v>
          </cell>
          <cell r="H56">
            <v>1.4999999999999999E-2</v>
          </cell>
          <cell r="J56">
            <v>720</v>
          </cell>
          <cell r="K56">
            <v>0</v>
          </cell>
          <cell r="L56" t="str">
            <v>PP 2630</v>
          </cell>
          <cell r="M56">
            <v>10.799999999999999</v>
          </cell>
          <cell r="N56">
            <v>4</v>
          </cell>
          <cell r="O56">
            <v>6000</v>
          </cell>
        </row>
        <row r="57">
          <cell r="C57" t="str">
            <v>C10</v>
          </cell>
          <cell r="D57">
            <v>570</v>
          </cell>
          <cell r="E57" t="str">
            <v xml:space="preserve">Pala De Canelones        </v>
          </cell>
          <cell r="F57" t="str">
            <v>LK</v>
          </cell>
          <cell r="G57" t="str">
            <v>Manolo</v>
          </cell>
          <cell r="H57">
            <v>1.4999999999999999E-2</v>
          </cell>
          <cell r="J57">
            <v>296</v>
          </cell>
          <cell r="K57">
            <v>0</v>
          </cell>
          <cell r="L57" t="str">
            <v>PP 2630</v>
          </cell>
          <cell r="M57">
            <v>4.4399999999999995</v>
          </cell>
          <cell r="N57">
            <v>4</v>
          </cell>
          <cell r="O57">
            <v>6000</v>
          </cell>
        </row>
        <row r="58">
          <cell r="C58" t="str">
            <v>C10</v>
          </cell>
          <cell r="D58">
            <v>587</v>
          </cell>
          <cell r="E58" t="str">
            <v>Pelapapas Cuchilla Corte Laser</v>
          </cell>
          <cell r="F58" t="str">
            <v>LK</v>
          </cell>
          <cell r="G58" t="str">
            <v>Manolo</v>
          </cell>
          <cell r="H58">
            <v>1.4999999999999999E-2</v>
          </cell>
          <cell r="J58">
            <v>2760</v>
          </cell>
          <cell r="K58">
            <v>0</v>
          </cell>
          <cell r="L58" t="str">
            <v>PP 2630</v>
          </cell>
          <cell r="M58">
            <v>41.4</v>
          </cell>
          <cell r="N58">
            <v>4</v>
          </cell>
          <cell r="O58">
            <v>6000</v>
          </cell>
        </row>
        <row r="59">
          <cell r="C59" t="str">
            <v>C10</v>
          </cell>
          <cell r="D59">
            <v>395</v>
          </cell>
          <cell r="E59" t="str">
            <v>Descorazonador De Manzana</v>
          </cell>
          <cell r="F59" t="str">
            <v>LK</v>
          </cell>
          <cell r="G59" t="str">
            <v>Manolo</v>
          </cell>
          <cell r="H59">
            <v>1.4999999999999999E-2</v>
          </cell>
          <cell r="J59">
            <v>336</v>
          </cell>
          <cell r="K59">
            <v>0</v>
          </cell>
          <cell r="L59" t="str">
            <v>PP 2630</v>
          </cell>
          <cell r="M59">
            <v>5.04</v>
          </cell>
          <cell r="N59">
            <v>4</v>
          </cell>
          <cell r="O59">
            <v>6000</v>
          </cell>
        </row>
        <row r="60">
          <cell r="C60" t="str">
            <v>C10</v>
          </cell>
          <cell r="D60">
            <v>396</v>
          </cell>
          <cell r="E60" t="str">
            <v xml:space="preserve">Enrulador De Manteca     </v>
          </cell>
          <cell r="F60" t="str">
            <v>LK</v>
          </cell>
          <cell r="G60" t="str">
            <v>Manolo</v>
          </cell>
          <cell r="H60">
            <v>1.4999999999999999E-2</v>
          </cell>
          <cell r="J60">
            <v>192</v>
          </cell>
          <cell r="K60">
            <v>0</v>
          </cell>
          <cell r="L60" t="str">
            <v>PP 2630</v>
          </cell>
          <cell r="M60">
            <v>2.88</v>
          </cell>
          <cell r="N60">
            <v>4</v>
          </cell>
          <cell r="O60">
            <v>6000</v>
          </cell>
        </row>
        <row r="61">
          <cell r="C61" t="str">
            <v>C3</v>
          </cell>
          <cell r="D61">
            <v>515</v>
          </cell>
          <cell r="E61" t="str">
            <v xml:space="preserve">Batidor Resorte          </v>
          </cell>
          <cell r="F61" t="str">
            <v>LK</v>
          </cell>
          <cell r="G61" t="str">
            <v>Manolo</v>
          </cell>
          <cell r="H61">
            <v>1.4999999999999999E-2</v>
          </cell>
          <cell r="I61" t="str">
            <v>Mango LK Corta Queso</v>
          </cell>
          <cell r="J61">
            <v>144</v>
          </cell>
          <cell r="K61">
            <v>0</v>
          </cell>
          <cell r="L61" t="str">
            <v>PP 2630</v>
          </cell>
          <cell r="M61">
            <v>2.16</v>
          </cell>
          <cell r="N61">
            <v>4</v>
          </cell>
          <cell r="O61">
            <v>6000</v>
          </cell>
        </row>
        <row r="62">
          <cell r="C62" t="str">
            <v>C3</v>
          </cell>
          <cell r="D62">
            <v>546</v>
          </cell>
          <cell r="E62" t="str">
            <v xml:space="preserve">Corta Queso              </v>
          </cell>
          <cell r="F62" t="str">
            <v>LK</v>
          </cell>
          <cell r="G62" t="str">
            <v>Manolo</v>
          </cell>
          <cell r="H62">
            <v>1.4999999999999999E-2</v>
          </cell>
          <cell r="I62" t="str">
            <v>Mango Corta Queso</v>
          </cell>
          <cell r="J62">
            <v>4800</v>
          </cell>
          <cell r="K62">
            <v>0</v>
          </cell>
          <cell r="L62" t="str">
            <v>PP 2630</v>
          </cell>
          <cell r="M62">
            <v>72</v>
          </cell>
          <cell r="N62">
            <v>4</v>
          </cell>
          <cell r="O62">
            <v>6000</v>
          </cell>
        </row>
        <row r="63">
          <cell r="C63" t="str">
            <v>A16</v>
          </cell>
          <cell r="D63">
            <v>548</v>
          </cell>
          <cell r="E63" t="str">
            <v xml:space="preserve">Pincel Pastelero         </v>
          </cell>
          <cell r="F63" t="str">
            <v>LK</v>
          </cell>
          <cell r="G63" t="str">
            <v>Manolo</v>
          </cell>
          <cell r="H63">
            <v>1.4999999999999999E-2</v>
          </cell>
          <cell r="I63" t="str">
            <v>Mangos ф 10</v>
          </cell>
          <cell r="J63">
            <v>360</v>
          </cell>
          <cell r="K63">
            <v>0</v>
          </cell>
          <cell r="L63" t="str">
            <v>PP 2630</v>
          </cell>
          <cell r="M63">
            <v>5.3999999999999995</v>
          </cell>
          <cell r="N63">
            <v>4</v>
          </cell>
          <cell r="O63">
            <v>6000</v>
          </cell>
        </row>
        <row r="64">
          <cell r="C64" t="str">
            <v>C8</v>
          </cell>
          <cell r="D64">
            <v>53</v>
          </cell>
          <cell r="E64" t="str">
            <v>Pinza De Fiambre*Arte* X 12</v>
          </cell>
          <cell r="F64" t="str">
            <v>CH</v>
          </cell>
          <cell r="G64" t="str">
            <v>Manolo</v>
          </cell>
          <cell r="H64">
            <v>2.3E-2</v>
          </cell>
          <cell r="I64" t="str">
            <v>Cachas Azules</v>
          </cell>
          <cell r="J64">
            <v>0</v>
          </cell>
          <cell r="K64">
            <v>84</v>
          </cell>
          <cell r="L64" t="str">
            <v>PP 2630</v>
          </cell>
          <cell r="M64">
            <v>1.9319999999999999</v>
          </cell>
          <cell r="N64">
            <v>6</v>
          </cell>
          <cell r="O64">
            <v>5000</v>
          </cell>
        </row>
        <row r="65">
          <cell r="C65" t="str">
            <v>C8</v>
          </cell>
          <cell r="D65">
            <v>54</v>
          </cell>
          <cell r="E65" t="str">
            <v>Pinza De Ensaladas*Arte* X 12</v>
          </cell>
          <cell r="F65" t="str">
            <v>CH</v>
          </cell>
          <cell r="G65" t="str">
            <v>Manolo</v>
          </cell>
          <cell r="H65">
            <v>2.3E-2</v>
          </cell>
          <cell r="J65">
            <v>0</v>
          </cell>
          <cell r="K65">
            <v>60</v>
          </cell>
          <cell r="L65" t="str">
            <v>PP 2630</v>
          </cell>
          <cell r="M65">
            <v>1.38</v>
          </cell>
          <cell r="N65">
            <v>6</v>
          </cell>
          <cell r="O65">
            <v>5000</v>
          </cell>
        </row>
        <row r="66">
          <cell r="C66" t="str">
            <v>C8</v>
          </cell>
          <cell r="D66">
            <v>55</v>
          </cell>
          <cell r="E66" t="str">
            <v xml:space="preserve">Pinza De Fideos*Arte*  </v>
          </cell>
          <cell r="F66" t="str">
            <v>CH</v>
          </cell>
          <cell r="G66" t="str">
            <v>Manolo</v>
          </cell>
          <cell r="H66">
            <v>2.3E-2</v>
          </cell>
          <cell r="J66">
            <v>0</v>
          </cell>
          <cell r="K66">
            <v>144</v>
          </cell>
          <cell r="L66" t="str">
            <v>PP 2630</v>
          </cell>
          <cell r="M66">
            <v>3.3119999999999998</v>
          </cell>
          <cell r="N66">
            <v>6</v>
          </cell>
          <cell r="O66">
            <v>5000</v>
          </cell>
        </row>
        <row r="67">
          <cell r="C67" t="str">
            <v>C8</v>
          </cell>
          <cell r="D67">
            <v>594</v>
          </cell>
          <cell r="E67" t="str">
            <v>Pinza De Fideos Mgo Plast X 12</v>
          </cell>
          <cell r="F67" t="str">
            <v>LK</v>
          </cell>
          <cell r="G67" t="str">
            <v>Manolo</v>
          </cell>
          <cell r="H67">
            <v>2.3E-2</v>
          </cell>
          <cell r="J67">
            <v>300</v>
          </cell>
          <cell r="K67">
            <v>0</v>
          </cell>
          <cell r="L67" t="str">
            <v>PP 2630</v>
          </cell>
          <cell r="M67">
            <v>6.8999999999999995</v>
          </cell>
          <cell r="N67">
            <v>6</v>
          </cell>
          <cell r="O67">
            <v>5000</v>
          </cell>
        </row>
        <row r="68">
          <cell r="C68" t="str">
            <v>C8</v>
          </cell>
          <cell r="D68">
            <v>595</v>
          </cell>
          <cell r="E68" t="str">
            <v>Pinza De Fiambre Mgo Plas X 12</v>
          </cell>
          <cell r="F68" t="str">
            <v>LK</v>
          </cell>
          <cell r="G68" t="str">
            <v>Manolo</v>
          </cell>
          <cell r="H68">
            <v>2.3E-2</v>
          </cell>
          <cell r="J68">
            <v>192</v>
          </cell>
          <cell r="K68">
            <v>0</v>
          </cell>
          <cell r="L68" t="str">
            <v>PP 2630</v>
          </cell>
          <cell r="M68">
            <v>4.4160000000000004</v>
          </cell>
          <cell r="N68">
            <v>6</v>
          </cell>
          <cell r="O68">
            <v>5000</v>
          </cell>
        </row>
        <row r="69">
          <cell r="C69" t="str">
            <v>C8</v>
          </cell>
          <cell r="D69">
            <v>596</v>
          </cell>
          <cell r="E69" t="str">
            <v>Pinza De Ensalada Mgo Pla X 12</v>
          </cell>
          <cell r="F69" t="str">
            <v>LK</v>
          </cell>
          <cell r="G69" t="str">
            <v>Manolo</v>
          </cell>
          <cell r="H69">
            <v>2.3E-2</v>
          </cell>
          <cell r="J69">
            <v>252</v>
          </cell>
          <cell r="K69">
            <v>0</v>
          </cell>
          <cell r="L69" t="str">
            <v>PP 2630</v>
          </cell>
          <cell r="M69">
            <v>5.7960000000000003</v>
          </cell>
          <cell r="N69">
            <v>6</v>
          </cell>
          <cell r="O69">
            <v>5000</v>
          </cell>
        </row>
        <row r="70">
          <cell r="C70" t="str">
            <v>A11</v>
          </cell>
          <cell r="D70">
            <v>512</v>
          </cell>
          <cell r="E70" t="str">
            <v>Abrelata Mariposa Plastic</v>
          </cell>
          <cell r="F70" t="str">
            <v>LK</v>
          </cell>
          <cell r="G70" t="str">
            <v>Manolo</v>
          </cell>
          <cell r="H70">
            <v>3.5000000000000001E-3</v>
          </cell>
          <cell r="I70" t="str">
            <v>Capuchon Mariposa 512</v>
          </cell>
          <cell r="J70">
            <v>984</v>
          </cell>
          <cell r="K70">
            <v>0</v>
          </cell>
          <cell r="L70" t="str">
            <v>PE</v>
          </cell>
          <cell r="M70">
            <v>3.444</v>
          </cell>
          <cell r="N70">
            <v>6</v>
          </cell>
          <cell r="O70">
            <v>5000</v>
          </cell>
        </row>
        <row r="71">
          <cell r="C71" t="str">
            <v>C6</v>
          </cell>
          <cell r="D71">
            <v>609</v>
          </cell>
          <cell r="E71" t="str">
            <v xml:space="preserve">Pisa Papas               </v>
          </cell>
          <cell r="F71" t="str">
            <v>CH</v>
          </cell>
          <cell r="G71" t="str">
            <v>Manolo</v>
          </cell>
          <cell r="H71">
            <v>1E-3</v>
          </cell>
          <cell r="I71" t="str">
            <v>Ojales Neg/Blanco</v>
          </cell>
          <cell r="J71">
            <v>0</v>
          </cell>
          <cell r="K71">
            <v>600</v>
          </cell>
          <cell r="L71" t="str">
            <v>PP 2630</v>
          </cell>
          <cell r="M71">
            <v>0.6</v>
          </cell>
          <cell r="N71">
            <v>2</v>
          </cell>
          <cell r="O71">
            <v>10000</v>
          </cell>
        </row>
        <row r="72">
          <cell r="C72" t="str">
            <v>C6</v>
          </cell>
          <cell r="D72">
            <v>789</v>
          </cell>
          <cell r="E72" t="str">
            <v xml:space="preserve">Pisa Papa Nylon          </v>
          </cell>
          <cell r="F72" t="str">
            <v>CH</v>
          </cell>
          <cell r="G72" t="str">
            <v>Manolo</v>
          </cell>
          <cell r="H72">
            <v>1E-3</v>
          </cell>
          <cell r="I72" t="str">
            <v>Ojales Neg/Blanco</v>
          </cell>
          <cell r="J72">
            <v>0</v>
          </cell>
          <cell r="K72">
            <v>240</v>
          </cell>
          <cell r="L72" t="str">
            <v>PP 2630</v>
          </cell>
          <cell r="M72">
            <v>0.24</v>
          </cell>
          <cell r="N72">
            <v>2</v>
          </cell>
          <cell r="O72">
            <v>10000</v>
          </cell>
        </row>
        <row r="73">
          <cell r="C73" t="str">
            <v>C6</v>
          </cell>
          <cell r="D73">
            <v>856</v>
          </cell>
          <cell r="E73" t="str">
            <v xml:space="preserve">Pala Torta               </v>
          </cell>
          <cell r="F73" t="str">
            <v>CH</v>
          </cell>
          <cell r="G73" t="str">
            <v>Manolo</v>
          </cell>
          <cell r="H73">
            <v>1E-3</v>
          </cell>
          <cell r="I73" t="str">
            <v>Ojales Neg/Blanco</v>
          </cell>
          <cell r="J73">
            <v>0</v>
          </cell>
          <cell r="K73">
            <v>48</v>
          </cell>
          <cell r="L73" t="str">
            <v>PP 2630</v>
          </cell>
          <cell r="M73">
            <v>4.8000000000000001E-2</v>
          </cell>
          <cell r="N73">
            <v>2</v>
          </cell>
          <cell r="O73">
            <v>10000</v>
          </cell>
        </row>
        <row r="74">
          <cell r="C74" t="str">
            <v>C6</v>
          </cell>
          <cell r="D74">
            <v>857</v>
          </cell>
          <cell r="E74" t="str">
            <v>Cuchillo De Torta</v>
          </cell>
          <cell r="F74" t="str">
            <v>CH</v>
          </cell>
          <cell r="G74" t="str">
            <v>Manolo</v>
          </cell>
          <cell r="H74">
            <v>1E-3</v>
          </cell>
          <cell r="I74" t="str">
            <v>Ojales Neg/Blanco</v>
          </cell>
          <cell r="J74">
            <v>0</v>
          </cell>
          <cell r="K74">
            <v>48</v>
          </cell>
          <cell r="L74" t="str">
            <v>PP 2630</v>
          </cell>
          <cell r="M74">
            <v>4.8000000000000001E-2</v>
          </cell>
          <cell r="N74">
            <v>2</v>
          </cell>
          <cell r="O74">
            <v>10000</v>
          </cell>
        </row>
        <row r="75">
          <cell r="C75" t="str">
            <v>C6</v>
          </cell>
          <cell r="D75">
            <v>858</v>
          </cell>
          <cell r="E75" t="str">
            <v xml:space="preserve">Pala De Canelones        </v>
          </cell>
          <cell r="F75" t="str">
            <v>CH</v>
          </cell>
          <cell r="G75" t="str">
            <v>Manolo</v>
          </cell>
          <cell r="H75">
            <v>1E-3</v>
          </cell>
          <cell r="I75" t="str">
            <v>Ojales Neg/Blanco</v>
          </cell>
          <cell r="J75">
            <v>0</v>
          </cell>
          <cell r="K75">
            <v>60</v>
          </cell>
          <cell r="L75" t="str">
            <v>PP 2630</v>
          </cell>
          <cell r="M75">
            <v>0.06</v>
          </cell>
          <cell r="N75">
            <v>2</v>
          </cell>
          <cell r="O75">
            <v>10000</v>
          </cell>
        </row>
        <row r="76">
          <cell r="C76" t="str">
            <v>C6</v>
          </cell>
          <cell r="D76">
            <v>630</v>
          </cell>
          <cell r="E76" t="str">
            <v>Cucharon Ac Inox C/Mgo Ch</v>
          </cell>
          <cell r="F76" t="str">
            <v>CH</v>
          </cell>
          <cell r="G76" t="str">
            <v>Manolo</v>
          </cell>
          <cell r="H76">
            <v>1E-3</v>
          </cell>
          <cell r="I76" t="str">
            <v>Ojales Neg/Blanco</v>
          </cell>
          <cell r="J76">
            <v>0</v>
          </cell>
          <cell r="K76">
            <v>60</v>
          </cell>
          <cell r="L76" t="str">
            <v>PP 2630</v>
          </cell>
          <cell r="M76">
            <v>0.06</v>
          </cell>
          <cell r="N76">
            <v>2</v>
          </cell>
          <cell r="O76">
            <v>10000</v>
          </cell>
        </row>
        <row r="77">
          <cell r="C77" t="str">
            <v>C6</v>
          </cell>
          <cell r="D77">
            <v>631</v>
          </cell>
          <cell r="E77" t="str">
            <v xml:space="preserve">Espumadera Ac Inox C/Mgo </v>
          </cell>
          <cell r="F77" t="str">
            <v>CH</v>
          </cell>
          <cell r="G77" t="str">
            <v>Manolo</v>
          </cell>
          <cell r="H77">
            <v>1E-3</v>
          </cell>
          <cell r="I77" t="str">
            <v>Ojales Neg/Blanco</v>
          </cell>
          <cell r="J77">
            <v>0</v>
          </cell>
          <cell r="K77">
            <v>72</v>
          </cell>
          <cell r="L77" t="str">
            <v>PP 2630</v>
          </cell>
          <cell r="M77">
            <v>7.2000000000000008E-2</v>
          </cell>
          <cell r="N77">
            <v>2</v>
          </cell>
          <cell r="O77">
            <v>10000</v>
          </cell>
        </row>
        <row r="78">
          <cell r="C78" t="str">
            <v>C6</v>
          </cell>
          <cell r="D78">
            <v>632</v>
          </cell>
          <cell r="E78" t="str">
            <v>Pinche Ac Inox C/Mgo Chef</v>
          </cell>
          <cell r="F78" t="str">
            <v>CH</v>
          </cell>
          <cell r="G78" t="str">
            <v>Manolo</v>
          </cell>
          <cell r="H78">
            <v>1E-3</v>
          </cell>
          <cell r="I78" t="str">
            <v>Ojales Neg/Blanco</v>
          </cell>
          <cell r="J78">
            <v>0</v>
          </cell>
          <cell r="K78">
            <v>48</v>
          </cell>
          <cell r="L78" t="str">
            <v>PP 2630</v>
          </cell>
          <cell r="M78">
            <v>4.8000000000000001E-2</v>
          </cell>
          <cell r="N78">
            <v>2</v>
          </cell>
          <cell r="O78">
            <v>10000</v>
          </cell>
        </row>
        <row r="79">
          <cell r="C79" t="str">
            <v>C6</v>
          </cell>
          <cell r="D79">
            <v>633</v>
          </cell>
          <cell r="E79" t="str">
            <v>Cuchara Salsera Ac Inox</v>
          </cell>
          <cell r="F79" t="str">
            <v>CH</v>
          </cell>
          <cell r="G79" t="str">
            <v>Manolo</v>
          </cell>
          <cell r="H79">
            <v>1E-3</v>
          </cell>
          <cell r="I79" t="str">
            <v>Ojales Neg/Blanco</v>
          </cell>
          <cell r="J79">
            <v>0</v>
          </cell>
          <cell r="K79">
            <v>24</v>
          </cell>
          <cell r="L79" t="str">
            <v>PP 2630</v>
          </cell>
          <cell r="M79">
            <v>2.4E-2</v>
          </cell>
          <cell r="N79">
            <v>2</v>
          </cell>
          <cell r="O79">
            <v>10000</v>
          </cell>
        </row>
        <row r="80">
          <cell r="C80" t="str">
            <v>C6</v>
          </cell>
          <cell r="D80">
            <v>634</v>
          </cell>
          <cell r="E80" t="str">
            <v>Cuchara Calada Ac Inox</v>
          </cell>
          <cell r="F80" t="str">
            <v>CH</v>
          </cell>
          <cell r="G80" t="str">
            <v>Manolo</v>
          </cell>
          <cell r="H80">
            <v>1E-3</v>
          </cell>
          <cell r="I80" t="str">
            <v>Ojales Neg/Blanco</v>
          </cell>
          <cell r="J80">
            <v>0</v>
          </cell>
          <cell r="K80">
            <v>24</v>
          </cell>
          <cell r="L80" t="str">
            <v>PP 2630</v>
          </cell>
          <cell r="M80">
            <v>2.4E-2</v>
          </cell>
          <cell r="N80">
            <v>2</v>
          </cell>
          <cell r="O80">
            <v>10000</v>
          </cell>
        </row>
        <row r="81">
          <cell r="C81" t="str">
            <v>C6</v>
          </cell>
          <cell r="D81">
            <v>635</v>
          </cell>
          <cell r="E81" t="str">
            <v>Espatula Lisa Ac Inox</v>
          </cell>
          <cell r="F81" t="str">
            <v>CH</v>
          </cell>
          <cell r="G81" t="str">
            <v>Manolo</v>
          </cell>
          <cell r="H81">
            <v>1E-3</v>
          </cell>
          <cell r="I81" t="str">
            <v>Ojales Neg/Blanco</v>
          </cell>
          <cell r="J81">
            <v>0</v>
          </cell>
          <cell r="K81">
            <v>48</v>
          </cell>
          <cell r="L81" t="str">
            <v>PP 2630</v>
          </cell>
          <cell r="M81">
            <v>4.8000000000000001E-2</v>
          </cell>
          <cell r="N81">
            <v>2</v>
          </cell>
          <cell r="O81">
            <v>10000</v>
          </cell>
        </row>
        <row r="82">
          <cell r="C82" t="str">
            <v>C6</v>
          </cell>
          <cell r="D82">
            <v>636</v>
          </cell>
          <cell r="E82" t="str">
            <v>Espatula Calada Ac Inox</v>
          </cell>
          <cell r="F82" t="str">
            <v>CH</v>
          </cell>
          <cell r="G82" t="str">
            <v>Manolo</v>
          </cell>
          <cell r="H82">
            <v>1E-3</v>
          </cell>
          <cell r="I82" t="str">
            <v>Ojales Neg/Blanco</v>
          </cell>
          <cell r="J82">
            <v>0</v>
          </cell>
          <cell r="K82">
            <v>48</v>
          </cell>
          <cell r="L82" t="str">
            <v>PP 2630</v>
          </cell>
          <cell r="M82">
            <v>4.8000000000000001E-2</v>
          </cell>
          <cell r="N82">
            <v>2</v>
          </cell>
          <cell r="O82">
            <v>10000</v>
          </cell>
        </row>
        <row r="83">
          <cell r="C83" t="str">
            <v>C6</v>
          </cell>
          <cell r="D83">
            <v>709</v>
          </cell>
          <cell r="E83" t="str">
            <v>Descorazonador De Manzana</v>
          </cell>
          <cell r="F83" t="str">
            <v>CH</v>
          </cell>
          <cell r="G83" t="str">
            <v>Manolo</v>
          </cell>
          <cell r="H83">
            <v>1E-3</v>
          </cell>
          <cell r="I83" t="str">
            <v>Ojales Neg/Blanco</v>
          </cell>
          <cell r="J83">
            <v>0</v>
          </cell>
          <cell r="K83">
            <v>60</v>
          </cell>
          <cell r="L83" t="str">
            <v>PP 2630</v>
          </cell>
          <cell r="M83">
            <v>0.06</v>
          </cell>
          <cell r="N83">
            <v>2</v>
          </cell>
          <cell r="O83">
            <v>10000</v>
          </cell>
        </row>
        <row r="84">
          <cell r="C84" t="str">
            <v>C6</v>
          </cell>
          <cell r="D84">
            <v>710</v>
          </cell>
          <cell r="E84" t="str">
            <v>Enrulador Manteca</v>
          </cell>
          <cell r="F84" t="str">
            <v>CH</v>
          </cell>
          <cell r="G84" t="str">
            <v>Manolo</v>
          </cell>
          <cell r="H84">
            <v>1E-3</v>
          </cell>
          <cell r="I84" t="str">
            <v>Ojales Neg/Blanco</v>
          </cell>
          <cell r="J84">
            <v>0</v>
          </cell>
          <cell r="K84">
            <v>0</v>
          </cell>
          <cell r="L84" t="str">
            <v>PP 2630</v>
          </cell>
          <cell r="M84">
            <v>0</v>
          </cell>
          <cell r="N84">
            <v>2</v>
          </cell>
          <cell r="O84">
            <v>10000</v>
          </cell>
        </row>
        <row r="85">
          <cell r="C85" t="str">
            <v>C6</v>
          </cell>
          <cell r="D85">
            <v>720</v>
          </cell>
          <cell r="E85" t="str">
            <v xml:space="preserve">Ahueca Papa              </v>
          </cell>
          <cell r="F85" t="str">
            <v>CH</v>
          </cell>
          <cell r="G85" t="str">
            <v>Manolo</v>
          </cell>
          <cell r="H85">
            <v>1E-3</v>
          </cell>
          <cell r="I85" t="str">
            <v>Ojales Neg/Blanco</v>
          </cell>
          <cell r="J85">
            <v>0</v>
          </cell>
          <cell r="K85">
            <v>72</v>
          </cell>
          <cell r="L85" t="str">
            <v>PP 2630</v>
          </cell>
          <cell r="M85">
            <v>7.2000000000000008E-2</v>
          </cell>
          <cell r="N85">
            <v>2</v>
          </cell>
          <cell r="O85">
            <v>10000</v>
          </cell>
        </row>
        <row r="86">
          <cell r="C86" t="str">
            <v>C6</v>
          </cell>
          <cell r="D86">
            <v>722</v>
          </cell>
          <cell r="E86" t="str">
            <v xml:space="preserve">Ahueca Frutas            </v>
          </cell>
          <cell r="F86" t="str">
            <v>CH</v>
          </cell>
          <cell r="G86" t="str">
            <v>Manolo</v>
          </cell>
          <cell r="H86">
            <v>1E-3</v>
          </cell>
          <cell r="I86" t="str">
            <v>Ojales Neg/Blanco</v>
          </cell>
          <cell r="J86">
            <v>0</v>
          </cell>
          <cell r="K86">
            <v>36</v>
          </cell>
          <cell r="L86" t="str">
            <v>PP 2630</v>
          </cell>
          <cell r="M86">
            <v>3.6000000000000004E-2</v>
          </cell>
          <cell r="N86">
            <v>2</v>
          </cell>
          <cell r="O86">
            <v>10000</v>
          </cell>
        </row>
        <row r="87">
          <cell r="C87" t="str">
            <v>C6</v>
          </cell>
          <cell r="D87">
            <v>859</v>
          </cell>
          <cell r="E87" t="str">
            <v xml:space="preserve">Corta Ravioles           </v>
          </cell>
          <cell r="F87" t="str">
            <v>CH</v>
          </cell>
          <cell r="G87" t="str">
            <v>Manolo</v>
          </cell>
          <cell r="H87">
            <v>1E-3</v>
          </cell>
          <cell r="I87" t="str">
            <v>Ojales Neg/Blanco</v>
          </cell>
          <cell r="J87">
            <v>0</v>
          </cell>
          <cell r="K87">
            <v>144</v>
          </cell>
          <cell r="L87" t="str">
            <v>PP 2630</v>
          </cell>
          <cell r="M87">
            <v>0.14400000000000002</v>
          </cell>
          <cell r="N87">
            <v>2</v>
          </cell>
          <cell r="O87">
            <v>10000</v>
          </cell>
        </row>
        <row r="88">
          <cell r="C88" t="str">
            <v>C6</v>
          </cell>
          <cell r="D88">
            <v>863</v>
          </cell>
          <cell r="E88" t="str">
            <v xml:space="preserve">Corta Pizza Grande       </v>
          </cell>
          <cell r="F88" t="str">
            <v>CH</v>
          </cell>
          <cell r="G88" t="str">
            <v>Manolo</v>
          </cell>
          <cell r="H88">
            <v>1E-3</v>
          </cell>
          <cell r="I88" t="str">
            <v>Ojales Neg/Blanco</v>
          </cell>
          <cell r="J88">
            <v>0</v>
          </cell>
          <cell r="K88">
            <v>96</v>
          </cell>
          <cell r="L88" t="str">
            <v>PP 2630</v>
          </cell>
          <cell r="M88">
            <v>9.6000000000000002E-2</v>
          </cell>
          <cell r="N88">
            <v>2</v>
          </cell>
          <cell r="O88">
            <v>10000</v>
          </cell>
        </row>
        <row r="89">
          <cell r="C89" t="str">
            <v>C6</v>
          </cell>
          <cell r="D89">
            <v>864</v>
          </cell>
          <cell r="E89" t="str">
            <v xml:space="preserve">Pincel Pastelero         </v>
          </cell>
          <cell r="F89" t="str">
            <v>CH</v>
          </cell>
          <cell r="G89" t="str">
            <v>Manolo</v>
          </cell>
          <cell r="H89">
            <v>1E-3</v>
          </cell>
          <cell r="I89" t="str">
            <v>Ojales Neg/Blanco</v>
          </cell>
          <cell r="J89">
            <v>0</v>
          </cell>
          <cell r="K89">
            <v>120</v>
          </cell>
          <cell r="L89" t="str">
            <v>PP 2630</v>
          </cell>
          <cell r="M89">
            <v>0.12</v>
          </cell>
          <cell r="N89">
            <v>2</v>
          </cell>
          <cell r="O89">
            <v>10000</v>
          </cell>
        </row>
        <row r="90">
          <cell r="C90" t="str">
            <v>EP4</v>
          </cell>
          <cell r="D90">
            <v>504</v>
          </cell>
          <cell r="E90" t="str">
            <v xml:space="preserve">Afila Cuchillos          </v>
          </cell>
          <cell r="F90" t="str">
            <v>LK</v>
          </cell>
          <cell r="G90" t="str">
            <v>Rodar</v>
          </cell>
          <cell r="H90">
            <v>4.9000000000000002E-2</v>
          </cell>
          <cell r="I90" t="str">
            <v>Afila Caladas Azules</v>
          </cell>
          <cell r="J90">
            <v>5600</v>
          </cell>
          <cell r="K90">
            <v>0</v>
          </cell>
          <cell r="L90" t="str">
            <v>AL</v>
          </cell>
          <cell r="M90">
            <v>274.40000000000003</v>
          </cell>
          <cell r="O90">
            <v>3600</v>
          </cell>
        </row>
        <row r="91">
          <cell r="C91" t="str">
            <v>EP4</v>
          </cell>
          <cell r="D91">
            <v>97</v>
          </cell>
          <cell r="E91" t="str">
            <v>Afila Cuchillo Con Base V</v>
          </cell>
          <cell r="F91" t="str">
            <v>CH</v>
          </cell>
          <cell r="G91" t="str">
            <v>Rodar</v>
          </cell>
          <cell r="H91">
            <v>4.9000000000000002E-2</v>
          </cell>
          <cell r="J91">
            <v>0</v>
          </cell>
          <cell r="K91">
            <v>450</v>
          </cell>
          <cell r="L91" t="str">
            <v>AL</v>
          </cell>
          <cell r="M91">
            <v>22.05</v>
          </cell>
          <cell r="O91">
            <v>3600</v>
          </cell>
        </row>
        <row r="92">
          <cell r="C92" t="str">
            <v>C1</v>
          </cell>
          <cell r="D92">
            <v>505</v>
          </cell>
          <cell r="E92" t="str">
            <v xml:space="preserve">Pelador Mgo Plastico     </v>
          </cell>
          <cell r="F92" t="str">
            <v>LK</v>
          </cell>
          <cell r="G92" t="str">
            <v>Manolo</v>
          </cell>
          <cell r="H92">
            <v>5.5999999999999999E-3</v>
          </cell>
          <cell r="I92" t="str">
            <v>Mango 505 P/Calar.</v>
          </cell>
          <cell r="J92">
            <v>21000</v>
          </cell>
          <cell r="K92">
            <v>0</v>
          </cell>
          <cell r="L92" t="str">
            <v>PP 2630</v>
          </cell>
          <cell r="M92">
            <v>117.6</v>
          </cell>
          <cell r="N92">
            <v>4</v>
          </cell>
          <cell r="O92">
            <v>36000</v>
          </cell>
        </row>
        <row r="93">
          <cell r="C93" t="str">
            <v>C1</v>
          </cell>
          <cell r="D93">
            <v>505</v>
          </cell>
          <cell r="E93" t="str">
            <v xml:space="preserve">Pelador Mgo Plastico     </v>
          </cell>
          <cell r="F93" t="str">
            <v>LK</v>
          </cell>
          <cell r="G93" t="str">
            <v>Manolo</v>
          </cell>
          <cell r="H93">
            <v>5.5999999999999999E-3</v>
          </cell>
          <cell r="I93" t="str">
            <v>Mango 505 Calados.</v>
          </cell>
          <cell r="J93">
            <v>21000</v>
          </cell>
          <cell r="K93">
            <v>0</v>
          </cell>
          <cell r="L93" t="str">
            <v>PP 2630</v>
          </cell>
          <cell r="M93">
            <v>117.6</v>
          </cell>
          <cell r="N93">
            <v>4</v>
          </cell>
          <cell r="O93">
            <v>36000</v>
          </cell>
        </row>
        <row r="94">
          <cell r="C94" t="str">
            <v>C4</v>
          </cell>
          <cell r="D94">
            <v>58</v>
          </cell>
          <cell r="E94" t="str">
            <v xml:space="preserve">Cierra Bolsa X2          </v>
          </cell>
          <cell r="F94" t="str">
            <v>LK</v>
          </cell>
          <cell r="G94" t="str">
            <v>JL Matriceria</v>
          </cell>
          <cell r="I94" t="str">
            <v>Cierra Bolsas Blanc.</v>
          </cell>
          <cell r="J94">
            <v>240</v>
          </cell>
          <cell r="K94">
            <v>0</v>
          </cell>
          <cell r="L94" t="str">
            <v>PP 2630</v>
          </cell>
          <cell r="M94">
            <v>0</v>
          </cell>
          <cell r="O94">
            <v>10000</v>
          </cell>
        </row>
        <row r="95">
          <cell r="C95" t="str">
            <v>C4</v>
          </cell>
          <cell r="D95">
            <v>715</v>
          </cell>
          <cell r="E95" t="str">
            <v xml:space="preserve">Cierra Bolsa X 4         </v>
          </cell>
          <cell r="F95" t="str">
            <v>CH</v>
          </cell>
          <cell r="G95" t="str">
            <v>JL Matriceria</v>
          </cell>
          <cell r="J95">
            <v>0</v>
          </cell>
          <cell r="K95">
            <v>120</v>
          </cell>
          <cell r="M95">
            <v>0</v>
          </cell>
          <cell r="O95">
            <v>10000</v>
          </cell>
        </row>
        <row r="96">
          <cell r="C96" t="str">
            <v>C14</v>
          </cell>
          <cell r="D96">
            <v>501</v>
          </cell>
          <cell r="E96" t="str">
            <v xml:space="preserve">Abrelatas A Manija       </v>
          </cell>
          <cell r="F96" t="str">
            <v>LK</v>
          </cell>
          <cell r="G96" t="str">
            <v>Manolo</v>
          </cell>
          <cell r="H96">
            <v>8.9999999999999993E-3</v>
          </cell>
          <cell r="I96" t="str">
            <v>Manguito Abrelat. Rojo</v>
          </cell>
          <cell r="J96">
            <v>5040</v>
          </cell>
          <cell r="K96">
            <v>0</v>
          </cell>
          <cell r="L96" t="str">
            <v>PS</v>
          </cell>
          <cell r="M96">
            <v>45.36</v>
          </cell>
          <cell r="N96">
            <v>12</v>
          </cell>
          <cell r="O96">
            <v>19200</v>
          </cell>
        </row>
        <row r="97">
          <cell r="C97" t="str">
            <v>C13</v>
          </cell>
          <cell r="D97">
            <v>701</v>
          </cell>
          <cell r="E97" t="str">
            <v xml:space="preserve">Abrelatas A Manija       </v>
          </cell>
          <cell r="F97" t="str">
            <v>CH</v>
          </cell>
          <cell r="G97" t="str">
            <v>Manolo</v>
          </cell>
          <cell r="H97">
            <v>8.9999999999999993E-3</v>
          </cell>
          <cell r="I97" t="str">
            <v>Manguito Abrelat. Blanco</v>
          </cell>
          <cell r="J97">
            <v>0</v>
          </cell>
          <cell r="K97">
            <v>600</v>
          </cell>
          <cell r="L97" t="str">
            <v>PS</v>
          </cell>
          <cell r="M97">
            <v>5.3999999999999995</v>
          </cell>
          <cell r="N97">
            <v>12</v>
          </cell>
          <cell r="O97">
            <v>19200</v>
          </cell>
        </row>
        <row r="98">
          <cell r="C98" t="str">
            <v>A12</v>
          </cell>
          <cell r="D98">
            <v>501</v>
          </cell>
          <cell r="E98" t="str">
            <v xml:space="preserve">Abrelatas A Manija       </v>
          </cell>
          <cell r="F98" t="str">
            <v>LK</v>
          </cell>
          <cell r="G98" t="str">
            <v>Manolo</v>
          </cell>
          <cell r="H98">
            <v>5.5999999999999995E-4</v>
          </cell>
          <cell r="I98" t="str">
            <v>Pirolo Rojo</v>
          </cell>
          <cell r="J98">
            <v>5040</v>
          </cell>
          <cell r="K98">
            <v>0</v>
          </cell>
          <cell r="L98" t="str">
            <v>PE</v>
          </cell>
          <cell r="M98">
            <v>2.8223999999999996</v>
          </cell>
          <cell r="N98">
            <v>20</v>
          </cell>
          <cell r="O98">
            <v>36000</v>
          </cell>
        </row>
        <row r="99">
          <cell r="C99" t="str">
            <v>A8</v>
          </cell>
          <cell r="D99">
            <v>502</v>
          </cell>
          <cell r="E99" t="str">
            <v xml:space="preserve">Abrelatas A Mariposa     </v>
          </cell>
          <cell r="F99" t="str">
            <v>LK</v>
          </cell>
          <cell r="G99" t="str">
            <v>Manolo</v>
          </cell>
          <cell r="H99">
            <v>6.3000000000000003E-4</v>
          </cell>
          <cell r="I99" t="str">
            <v>Buje Blanco</v>
          </cell>
          <cell r="J99">
            <v>6420</v>
          </cell>
          <cell r="K99">
            <v>0</v>
          </cell>
          <cell r="L99" t="str">
            <v>PA6N</v>
          </cell>
          <cell r="M99">
            <v>4.0446</v>
          </cell>
          <cell r="N99">
            <v>2</v>
          </cell>
          <cell r="O99">
            <v>33000</v>
          </cell>
        </row>
        <row r="100">
          <cell r="C100" t="str">
            <v>A8</v>
          </cell>
          <cell r="D100">
            <v>512</v>
          </cell>
          <cell r="E100" t="str">
            <v>Abrelata Mariposa Plastic</v>
          </cell>
          <cell r="F100" t="str">
            <v>LK</v>
          </cell>
          <cell r="G100" t="str">
            <v>Manolo</v>
          </cell>
          <cell r="H100">
            <v>6.3000000000000003E-4</v>
          </cell>
          <cell r="J100">
            <v>984</v>
          </cell>
          <cell r="K100">
            <v>0</v>
          </cell>
          <cell r="L100" t="str">
            <v>PA6N</v>
          </cell>
          <cell r="M100">
            <v>0.61992000000000003</v>
          </cell>
          <cell r="N100">
            <v>2</v>
          </cell>
          <cell r="O100">
            <v>33000</v>
          </cell>
        </row>
        <row r="101">
          <cell r="C101" t="str">
            <v>EP2</v>
          </cell>
          <cell r="D101">
            <v>586</v>
          </cell>
          <cell r="E101" t="str">
            <v xml:space="preserve">Pelapapas Mgo Ergonomico </v>
          </cell>
          <cell r="F101" t="str">
            <v>LK</v>
          </cell>
          <cell r="G101" t="str">
            <v>Telleria</v>
          </cell>
          <cell r="H101">
            <v>1.6500000000000001E-2</v>
          </cell>
          <cell r="I101" t="str">
            <v>Mango Pelador LK 586 S/S</v>
          </cell>
          <cell r="J101">
            <v>6000</v>
          </cell>
          <cell r="K101">
            <v>0</v>
          </cell>
          <cell r="L101" t="str">
            <v>PP CP241</v>
          </cell>
          <cell r="M101">
            <v>99</v>
          </cell>
          <cell r="N101">
            <v>4</v>
          </cell>
          <cell r="O101">
            <v>10000</v>
          </cell>
        </row>
        <row r="102">
          <cell r="C102" t="str">
            <v>EP1</v>
          </cell>
          <cell r="D102">
            <v>99</v>
          </cell>
          <cell r="E102" t="str">
            <v>Pelapapas Mgo Plast Verde</v>
          </cell>
          <cell r="F102" t="str">
            <v>CH</v>
          </cell>
          <cell r="G102" t="str">
            <v>Telleria</v>
          </cell>
          <cell r="H102">
            <v>1.6500000000000001E-2</v>
          </cell>
          <cell r="I102" t="str">
            <v>Mangos Pelador Vde</v>
          </cell>
          <cell r="J102">
            <v>0</v>
          </cell>
          <cell r="K102">
            <v>1476</v>
          </cell>
          <cell r="L102" t="str">
            <v>PP CP241</v>
          </cell>
          <cell r="M102">
            <v>24.354000000000003</v>
          </cell>
          <cell r="N102">
            <v>4</v>
          </cell>
          <cell r="O102">
            <v>10000</v>
          </cell>
        </row>
        <row r="103">
          <cell r="C103" t="str">
            <v>A19</v>
          </cell>
          <cell r="D103">
            <v>609</v>
          </cell>
          <cell r="E103" t="str">
            <v xml:space="preserve">Pisa Papas               </v>
          </cell>
          <cell r="F103" t="str">
            <v>CH</v>
          </cell>
          <cell r="G103" t="str">
            <v>Manolo</v>
          </cell>
          <cell r="H103">
            <v>1.37E-2</v>
          </cell>
          <cell r="I103" t="str">
            <v>Mangos Chef</v>
          </cell>
          <cell r="J103">
            <v>0</v>
          </cell>
          <cell r="K103">
            <v>600</v>
          </cell>
          <cell r="L103" t="str">
            <v>PP 2630</v>
          </cell>
          <cell r="M103">
            <v>8.2200000000000006</v>
          </cell>
          <cell r="N103">
            <v>4</v>
          </cell>
          <cell r="O103">
            <v>6000</v>
          </cell>
        </row>
        <row r="104">
          <cell r="C104" t="str">
            <v>A19</v>
          </cell>
          <cell r="D104">
            <v>789</v>
          </cell>
          <cell r="E104" t="str">
            <v xml:space="preserve">Pisa Papa Nylon          </v>
          </cell>
          <cell r="F104" t="str">
            <v>CH</v>
          </cell>
          <cell r="G104" t="str">
            <v>Manolo</v>
          </cell>
          <cell r="H104">
            <v>1.37E-2</v>
          </cell>
          <cell r="J104">
            <v>0</v>
          </cell>
          <cell r="K104">
            <v>240</v>
          </cell>
          <cell r="L104" t="str">
            <v>PP 2630</v>
          </cell>
          <cell r="M104">
            <v>3.2880000000000003</v>
          </cell>
          <cell r="N104">
            <v>4</v>
          </cell>
          <cell r="O104">
            <v>6000</v>
          </cell>
        </row>
        <row r="105">
          <cell r="C105" t="str">
            <v>A19</v>
          </cell>
          <cell r="D105">
            <v>856</v>
          </cell>
          <cell r="E105" t="str">
            <v xml:space="preserve">Pala Torta               </v>
          </cell>
          <cell r="F105" t="str">
            <v>CH</v>
          </cell>
          <cell r="G105" t="str">
            <v>Manolo</v>
          </cell>
          <cell r="H105">
            <v>1.37E-2</v>
          </cell>
          <cell r="J105">
            <v>0</v>
          </cell>
          <cell r="K105">
            <v>48</v>
          </cell>
          <cell r="L105" t="str">
            <v>PP 2630</v>
          </cell>
          <cell r="M105">
            <v>0.65759999999999996</v>
          </cell>
          <cell r="N105">
            <v>4</v>
          </cell>
          <cell r="O105">
            <v>6000</v>
          </cell>
        </row>
        <row r="106">
          <cell r="C106" t="str">
            <v>A19</v>
          </cell>
          <cell r="D106">
            <v>857</v>
          </cell>
          <cell r="E106" t="str">
            <v>Cuchillo De Torta</v>
          </cell>
          <cell r="F106" t="str">
            <v>CH</v>
          </cell>
          <cell r="G106" t="str">
            <v>Manolo</v>
          </cell>
          <cell r="H106">
            <v>1.37E-2</v>
          </cell>
          <cell r="J106">
            <v>0</v>
          </cell>
          <cell r="K106">
            <v>48</v>
          </cell>
          <cell r="L106" t="str">
            <v>PP 2630</v>
          </cell>
          <cell r="M106">
            <v>0.65759999999999996</v>
          </cell>
          <cell r="N106">
            <v>4</v>
          </cell>
          <cell r="O106">
            <v>6000</v>
          </cell>
        </row>
        <row r="107">
          <cell r="C107" t="str">
            <v>A19</v>
          </cell>
          <cell r="D107">
            <v>858</v>
          </cell>
          <cell r="E107" t="str">
            <v xml:space="preserve">Pala De Canelones        </v>
          </cell>
          <cell r="F107" t="str">
            <v>CH</v>
          </cell>
          <cell r="G107" t="str">
            <v>Manolo</v>
          </cell>
          <cell r="H107">
            <v>1.37E-2</v>
          </cell>
          <cell r="J107">
            <v>0</v>
          </cell>
          <cell r="K107">
            <v>60</v>
          </cell>
          <cell r="L107" t="str">
            <v>PP 2630</v>
          </cell>
          <cell r="M107">
            <v>0.82200000000000006</v>
          </cell>
          <cell r="N107">
            <v>4</v>
          </cell>
          <cell r="O107">
            <v>6000</v>
          </cell>
        </row>
        <row r="108">
          <cell r="C108" t="str">
            <v>A19</v>
          </cell>
          <cell r="D108">
            <v>630</v>
          </cell>
          <cell r="E108" t="str">
            <v>Cucharon Ac Inox C/Mgo Ch</v>
          </cell>
          <cell r="F108" t="str">
            <v>CH</v>
          </cell>
          <cell r="G108" t="str">
            <v>Manolo</v>
          </cell>
          <cell r="H108">
            <v>1.37E-2</v>
          </cell>
          <cell r="J108">
            <v>0</v>
          </cell>
          <cell r="K108">
            <v>60</v>
          </cell>
          <cell r="L108" t="str">
            <v>PP 2630</v>
          </cell>
          <cell r="M108">
            <v>0.82200000000000006</v>
          </cell>
          <cell r="N108">
            <v>4</v>
          </cell>
          <cell r="O108">
            <v>6000</v>
          </cell>
        </row>
        <row r="109">
          <cell r="C109" t="str">
            <v>A19</v>
          </cell>
          <cell r="D109">
            <v>631</v>
          </cell>
          <cell r="E109" t="str">
            <v xml:space="preserve">Espumadera Ac Inox C/Mgo </v>
          </cell>
          <cell r="F109" t="str">
            <v>CH</v>
          </cell>
          <cell r="G109" t="str">
            <v>Manolo</v>
          </cell>
          <cell r="H109">
            <v>1.37E-2</v>
          </cell>
          <cell r="J109">
            <v>0</v>
          </cell>
          <cell r="K109">
            <v>72</v>
          </cell>
          <cell r="L109" t="str">
            <v>PP 2630</v>
          </cell>
          <cell r="M109">
            <v>0.98640000000000005</v>
          </cell>
          <cell r="N109">
            <v>4</v>
          </cell>
          <cell r="O109">
            <v>6000</v>
          </cell>
        </row>
        <row r="110">
          <cell r="C110" t="str">
            <v>A19</v>
          </cell>
          <cell r="D110">
            <v>632</v>
          </cell>
          <cell r="E110" t="str">
            <v>Pinche Ac Inox C/Mgo Chef</v>
          </cell>
          <cell r="F110" t="str">
            <v>CH</v>
          </cell>
          <cell r="G110" t="str">
            <v>Manolo</v>
          </cell>
          <cell r="H110">
            <v>1.37E-2</v>
          </cell>
          <cell r="J110">
            <v>0</v>
          </cell>
          <cell r="K110">
            <v>48</v>
          </cell>
          <cell r="L110" t="str">
            <v>PP 2630</v>
          </cell>
          <cell r="M110">
            <v>0.65759999999999996</v>
          </cell>
          <cell r="N110">
            <v>4</v>
          </cell>
          <cell r="O110">
            <v>6000</v>
          </cell>
        </row>
        <row r="111">
          <cell r="C111" t="str">
            <v>A19</v>
          </cell>
          <cell r="D111">
            <v>633</v>
          </cell>
          <cell r="E111" t="str">
            <v>Cuchara Salsera Ac Inox</v>
          </cell>
          <cell r="F111" t="str">
            <v>CH</v>
          </cell>
          <cell r="G111" t="str">
            <v>Manolo</v>
          </cell>
          <cell r="H111">
            <v>1.37E-2</v>
          </cell>
          <cell r="J111">
            <v>0</v>
          </cell>
          <cell r="K111">
            <v>24</v>
          </cell>
          <cell r="L111" t="str">
            <v>PP 2630</v>
          </cell>
          <cell r="M111">
            <v>0.32879999999999998</v>
          </cell>
          <cell r="N111">
            <v>4</v>
          </cell>
          <cell r="O111">
            <v>6000</v>
          </cell>
        </row>
        <row r="112">
          <cell r="C112" t="str">
            <v>A19</v>
          </cell>
          <cell r="D112">
            <v>634</v>
          </cell>
          <cell r="E112" t="str">
            <v>Cuchara Calada Ac Inox</v>
          </cell>
          <cell r="F112" t="str">
            <v>CH</v>
          </cell>
          <cell r="G112" t="str">
            <v>Manolo</v>
          </cell>
          <cell r="H112">
            <v>1.37E-2</v>
          </cell>
          <cell r="J112">
            <v>0</v>
          </cell>
          <cell r="K112">
            <v>24</v>
          </cell>
          <cell r="L112" t="str">
            <v>PP 2630</v>
          </cell>
          <cell r="M112">
            <v>0.32879999999999998</v>
          </cell>
          <cell r="N112">
            <v>4</v>
          </cell>
          <cell r="O112">
            <v>6000</v>
          </cell>
        </row>
        <row r="113">
          <cell r="C113" t="str">
            <v>A19</v>
          </cell>
          <cell r="D113">
            <v>635</v>
          </cell>
          <cell r="E113" t="str">
            <v>Espatula Lisa Ac Inox</v>
          </cell>
          <cell r="F113" t="str">
            <v>CH</v>
          </cell>
          <cell r="G113" t="str">
            <v>Manolo</v>
          </cell>
          <cell r="H113">
            <v>1.37E-2</v>
          </cell>
          <cell r="J113">
            <v>0</v>
          </cell>
          <cell r="K113">
            <v>48</v>
          </cell>
          <cell r="L113" t="str">
            <v>PP 2630</v>
          </cell>
          <cell r="M113">
            <v>0.65759999999999996</v>
          </cell>
          <cell r="N113">
            <v>4</v>
          </cell>
          <cell r="O113">
            <v>6000</v>
          </cell>
        </row>
        <row r="114">
          <cell r="C114" t="str">
            <v>A19</v>
          </cell>
          <cell r="D114">
            <v>636</v>
          </cell>
          <cell r="E114" t="str">
            <v>Espatula Calada Ac Inox</v>
          </cell>
          <cell r="F114" t="str">
            <v>CH</v>
          </cell>
          <cell r="G114" t="str">
            <v>Manolo</v>
          </cell>
          <cell r="H114">
            <v>1.37E-2</v>
          </cell>
          <cell r="J114">
            <v>0</v>
          </cell>
          <cell r="K114">
            <v>48</v>
          </cell>
          <cell r="L114" t="str">
            <v>PP 2630</v>
          </cell>
          <cell r="M114">
            <v>0.65759999999999996</v>
          </cell>
          <cell r="N114">
            <v>4</v>
          </cell>
          <cell r="O114">
            <v>6000</v>
          </cell>
        </row>
        <row r="115">
          <cell r="C115" t="str">
            <v>A19</v>
          </cell>
          <cell r="D115">
            <v>709</v>
          </cell>
          <cell r="E115" t="str">
            <v>Descorazonador De Manzana</v>
          </cell>
          <cell r="F115" t="str">
            <v>CH</v>
          </cell>
          <cell r="G115" t="str">
            <v>Manolo</v>
          </cell>
          <cell r="H115">
            <v>1.37E-2</v>
          </cell>
          <cell r="J115">
            <v>0</v>
          </cell>
          <cell r="K115">
            <v>60</v>
          </cell>
          <cell r="L115" t="str">
            <v>PP 2630</v>
          </cell>
          <cell r="M115">
            <v>0.82200000000000006</v>
          </cell>
          <cell r="N115">
            <v>4</v>
          </cell>
          <cell r="O115">
            <v>6000</v>
          </cell>
        </row>
        <row r="116">
          <cell r="C116" t="str">
            <v>A19</v>
          </cell>
          <cell r="D116">
            <v>710</v>
          </cell>
          <cell r="E116" t="str">
            <v>Enrulador Manteca</v>
          </cell>
          <cell r="F116" t="str">
            <v>CH</v>
          </cell>
          <cell r="G116" t="str">
            <v>Manolo</v>
          </cell>
          <cell r="H116">
            <v>1.37E-2</v>
          </cell>
          <cell r="J116">
            <v>0</v>
          </cell>
          <cell r="K116">
            <v>0</v>
          </cell>
          <cell r="L116" t="str">
            <v>PP 2630</v>
          </cell>
          <cell r="M116">
            <v>0</v>
          </cell>
          <cell r="N116">
            <v>4</v>
          </cell>
          <cell r="O116">
            <v>6000</v>
          </cell>
        </row>
        <row r="117">
          <cell r="C117" t="str">
            <v>A19</v>
          </cell>
          <cell r="D117">
            <v>720</v>
          </cell>
          <cell r="E117" t="str">
            <v xml:space="preserve">Ahueca Papa              </v>
          </cell>
          <cell r="F117" t="str">
            <v>CH</v>
          </cell>
          <cell r="G117" t="str">
            <v>Manolo</v>
          </cell>
          <cell r="H117">
            <v>1.37E-2</v>
          </cell>
          <cell r="J117">
            <v>0</v>
          </cell>
          <cell r="K117">
            <v>72</v>
          </cell>
          <cell r="L117" t="str">
            <v>PP 2630</v>
          </cell>
          <cell r="M117">
            <v>0.98640000000000005</v>
          </cell>
          <cell r="N117">
            <v>4</v>
          </cell>
          <cell r="O117">
            <v>6000</v>
          </cell>
        </row>
        <row r="118">
          <cell r="C118" t="str">
            <v>A19</v>
          </cell>
          <cell r="D118">
            <v>722</v>
          </cell>
          <cell r="E118" t="str">
            <v xml:space="preserve">Ahueca Frutas            </v>
          </cell>
          <cell r="F118" t="str">
            <v>CH</v>
          </cell>
          <cell r="G118" t="str">
            <v>Manolo</v>
          </cell>
          <cell r="H118">
            <v>1.37E-2</v>
          </cell>
          <cell r="J118">
            <v>0</v>
          </cell>
          <cell r="K118">
            <v>36</v>
          </cell>
          <cell r="L118" t="str">
            <v>PP 2630</v>
          </cell>
          <cell r="M118">
            <v>0.49320000000000003</v>
          </cell>
          <cell r="N118">
            <v>4</v>
          </cell>
          <cell r="O118">
            <v>6000</v>
          </cell>
        </row>
        <row r="119">
          <cell r="C119" t="str">
            <v>A19</v>
          </cell>
          <cell r="D119">
            <v>859</v>
          </cell>
          <cell r="E119" t="str">
            <v xml:space="preserve">Corta Ravioles           </v>
          </cell>
          <cell r="F119" t="str">
            <v>CH</v>
          </cell>
          <cell r="G119" t="str">
            <v>Manolo</v>
          </cell>
          <cell r="H119">
            <v>1.37E-2</v>
          </cell>
          <cell r="J119">
            <v>0</v>
          </cell>
          <cell r="K119">
            <v>144</v>
          </cell>
          <cell r="L119" t="str">
            <v>PP 2630</v>
          </cell>
          <cell r="M119">
            <v>1.9728000000000001</v>
          </cell>
          <cell r="N119">
            <v>4</v>
          </cell>
          <cell r="O119">
            <v>6000</v>
          </cell>
        </row>
        <row r="120">
          <cell r="C120" t="str">
            <v>A19</v>
          </cell>
          <cell r="D120">
            <v>863</v>
          </cell>
          <cell r="E120" t="str">
            <v xml:space="preserve">Corta Pizza Grande       </v>
          </cell>
          <cell r="F120" t="str">
            <v>CH</v>
          </cell>
          <cell r="G120" t="str">
            <v>Manolo</v>
          </cell>
          <cell r="H120">
            <v>1.37E-2</v>
          </cell>
          <cell r="J120">
            <v>0</v>
          </cell>
          <cell r="K120">
            <v>96</v>
          </cell>
          <cell r="L120" t="str">
            <v>PP 2630</v>
          </cell>
          <cell r="M120">
            <v>1.3151999999999999</v>
          </cell>
          <cell r="N120">
            <v>4</v>
          </cell>
          <cell r="O120">
            <v>6000</v>
          </cell>
        </row>
        <row r="121">
          <cell r="C121" t="str">
            <v>A19</v>
          </cell>
          <cell r="D121">
            <v>864</v>
          </cell>
          <cell r="E121" t="str">
            <v xml:space="preserve">Pincel Pastelero         </v>
          </cell>
          <cell r="F121" t="str">
            <v>CH</v>
          </cell>
          <cell r="G121" t="str">
            <v>Manolo</v>
          </cell>
          <cell r="H121">
            <v>1.37E-2</v>
          </cell>
          <cell r="J121">
            <v>0</v>
          </cell>
          <cell r="K121">
            <v>120</v>
          </cell>
          <cell r="L121" t="str">
            <v>PP 2630</v>
          </cell>
          <cell r="M121">
            <v>1.6440000000000001</v>
          </cell>
          <cell r="N121">
            <v>4</v>
          </cell>
          <cell r="O121">
            <v>6000</v>
          </cell>
        </row>
        <row r="122">
          <cell r="C122" t="str">
            <v>MP4</v>
          </cell>
          <cell r="D122">
            <v>598</v>
          </cell>
          <cell r="F122" t="str">
            <v>LK</v>
          </cell>
          <cell r="G122" t="str">
            <v>JL Matriceria</v>
          </cell>
          <cell r="H122">
            <v>8.9999999999999993E-3</v>
          </cell>
          <cell r="I122" t="str">
            <v>Cuchillo de Untar Acril DISCONTINUO</v>
          </cell>
          <cell r="J122">
            <v>0</v>
          </cell>
          <cell r="K122">
            <v>0</v>
          </cell>
          <cell r="L122" t="str">
            <v>PP 2630</v>
          </cell>
          <cell r="M122">
            <v>0</v>
          </cell>
          <cell r="O122">
            <v>10000</v>
          </cell>
        </row>
        <row r="123">
          <cell r="C123" t="str">
            <v>MP4</v>
          </cell>
          <cell r="D123">
            <v>717</v>
          </cell>
          <cell r="E123" t="str">
            <v>Cuchillo de Untar Acrilico Transp.</v>
          </cell>
          <cell r="F123" t="str">
            <v>CH</v>
          </cell>
          <cell r="G123" t="str">
            <v>JL Matriceria</v>
          </cell>
          <cell r="H123">
            <v>8.9999999999999993E-3</v>
          </cell>
          <cell r="I123" t="str">
            <v>Cuchillo de Untar Acril</v>
          </cell>
          <cell r="J123">
            <v>0</v>
          </cell>
          <cell r="K123">
            <v>24</v>
          </cell>
          <cell r="L123" t="str">
            <v>PP 2630</v>
          </cell>
          <cell r="M123">
            <v>0.21599999999999997</v>
          </cell>
          <cell r="O123">
            <v>10000</v>
          </cell>
        </row>
        <row r="124">
          <cell r="C124" t="str">
            <v>EP9</v>
          </cell>
          <cell r="D124">
            <v>59</v>
          </cell>
          <cell r="E124" t="str">
            <v>Cuchillito De Untar Plast</v>
          </cell>
          <cell r="F124" t="str">
            <v>LK</v>
          </cell>
          <cell r="G124" t="str">
            <v>JL Matriceria</v>
          </cell>
          <cell r="H124">
            <v>7.3000000000000001E-3</v>
          </cell>
          <cell r="I124" t="str">
            <v>Cuchillo de Untar Blanc</v>
          </cell>
          <cell r="J124">
            <v>168</v>
          </cell>
          <cell r="K124">
            <v>0</v>
          </cell>
          <cell r="L124" t="str">
            <v>PP 2630</v>
          </cell>
          <cell r="M124">
            <v>1.2263999999999999</v>
          </cell>
          <cell r="O124">
            <v>10000</v>
          </cell>
        </row>
        <row r="125">
          <cell r="C125" t="str">
            <v>EP9</v>
          </cell>
          <cell r="D125">
            <v>718</v>
          </cell>
          <cell r="E125" t="str">
            <v xml:space="preserve">Cuch. Untar Blanco X 4   </v>
          </cell>
          <cell r="F125" t="str">
            <v>CH</v>
          </cell>
          <cell r="G125" t="str">
            <v>JL Matriceria</v>
          </cell>
          <cell r="H125">
            <v>7.3000000000000001E-3</v>
          </cell>
          <cell r="I125" t="str">
            <v>Cuchillo de Untar Blanc</v>
          </cell>
          <cell r="J125">
            <v>0</v>
          </cell>
          <cell r="K125">
            <v>24</v>
          </cell>
          <cell r="L125" t="str">
            <v>PP 2630</v>
          </cell>
          <cell r="M125">
            <v>0.17519999999999999</v>
          </cell>
          <cell r="O125">
            <v>10000</v>
          </cell>
        </row>
        <row r="126">
          <cell r="C126" t="str">
            <v>MP8</v>
          </cell>
          <cell r="D126">
            <v>537</v>
          </cell>
          <cell r="F126" t="str">
            <v>LK</v>
          </cell>
          <cell r="G126" t="str">
            <v>Manolo</v>
          </cell>
          <cell r="H126">
            <v>1.9E-2</v>
          </cell>
          <cell r="I126" t="str">
            <v>Puntera Roja PyP  Ajo</v>
          </cell>
          <cell r="J126">
            <v>0</v>
          </cell>
          <cell r="K126">
            <v>0</v>
          </cell>
          <cell r="L126" t="str">
            <v>ABS</v>
          </cell>
          <cell r="M126">
            <v>0</v>
          </cell>
          <cell r="N126">
            <v>4</v>
          </cell>
          <cell r="O126">
            <v>3000</v>
          </cell>
        </row>
        <row r="127">
          <cell r="C127" t="str">
            <v>V17</v>
          </cell>
          <cell r="D127">
            <v>569</v>
          </cell>
          <cell r="E127" t="str">
            <v xml:space="preserve">Pelanaranjas X 1 Display </v>
          </cell>
          <cell r="F127" t="str">
            <v>LK</v>
          </cell>
          <cell r="G127" t="str">
            <v>Manolo</v>
          </cell>
          <cell r="H127">
            <v>7.0000000000000001E-3</v>
          </cell>
          <cell r="I127" t="str">
            <v>Pela naranjas</v>
          </cell>
          <cell r="J127">
            <v>240</v>
          </cell>
          <cell r="K127">
            <v>0</v>
          </cell>
          <cell r="L127" t="str">
            <v>ABS</v>
          </cell>
          <cell r="M127">
            <v>1.68</v>
          </cell>
          <cell r="N127">
            <v>4</v>
          </cell>
          <cell r="O127">
            <v>2000</v>
          </cell>
        </row>
        <row r="128">
          <cell r="C128" t="str">
            <v>V6</v>
          </cell>
          <cell r="D128">
            <v>843</v>
          </cell>
          <cell r="E128" t="str">
            <v xml:space="preserve">Cuchara Calada Plastica  </v>
          </cell>
          <cell r="F128" t="str">
            <v>CH</v>
          </cell>
          <cell r="G128" t="str">
            <v>Manolo</v>
          </cell>
          <cell r="H128">
            <v>4.2000000000000003E-2</v>
          </cell>
          <cell r="I128" t="str">
            <v>Cuchara Calada 1 Pz  Ny</v>
          </cell>
          <cell r="J128">
            <v>0</v>
          </cell>
          <cell r="K128">
            <v>48</v>
          </cell>
          <cell r="L128" t="str">
            <v>NY Rec</v>
          </cell>
          <cell r="M128">
            <v>2.016</v>
          </cell>
          <cell r="N128">
            <v>2</v>
          </cell>
          <cell r="O128">
            <v>1500</v>
          </cell>
        </row>
        <row r="129">
          <cell r="C129" t="str">
            <v>V6</v>
          </cell>
          <cell r="D129">
            <v>390</v>
          </cell>
          <cell r="E129" t="str">
            <v>Cuchara Calada Nylon 1 Pz</v>
          </cell>
          <cell r="F129" t="str">
            <v>LK</v>
          </cell>
          <cell r="G129" t="str">
            <v>Manolo</v>
          </cell>
          <cell r="H129">
            <v>4.2000000000000003E-2</v>
          </cell>
          <cell r="I129" t="str">
            <v>Cuchara Calada 1 Pz  Ny</v>
          </cell>
          <cell r="J129">
            <v>120</v>
          </cell>
          <cell r="K129">
            <v>0</v>
          </cell>
          <cell r="L129" t="str">
            <v>NY Rec</v>
          </cell>
          <cell r="M129">
            <v>5.04</v>
          </cell>
          <cell r="N129">
            <v>2</v>
          </cell>
          <cell r="O129">
            <v>1500</v>
          </cell>
        </row>
        <row r="130">
          <cell r="C130" t="str">
            <v>V5</v>
          </cell>
          <cell r="D130">
            <v>844</v>
          </cell>
          <cell r="E130" t="str">
            <v xml:space="preserve">Cuchara Pulpo Plastica   </v>
          </cell>
          <cell r="F130" t="str">
            <v>CH</v>
          </cell>
          <cell r="G130" t="str">
            <v>Manolo</v>
          </cell>
          <cell r="H130">
            <v>4.8000000000000001E-2</v>
          </cell>
          <cell r="I130" t="str">
            <v xml:space="preserve">Cuchara Fideos 1 Pz Ny </v>
          </cell>
          <cell r="J130">
            <v>0</v>
          </cell>
          <cell r="K130">
            <v>72</v>
          </cell>
          <cell r="L130" t="str">
            <v>NY Rec</v>
          </cell>
          <cell r="M130">
            <v>3.456</v>
          </cell>
          <cell r="N130">
            <v>2</v>
          </cell>
          <cell r="O130">
            <v>1500</v>
          </cell>
        </row>
        <row r="131">
          <cell r="C131" t="str">
            <v>V5</v>
          </cell>
          <cell r="D131">
            <v>391</v>
          </cell>
          <cell r="E131" t="str">
            <v>Cuchara Pulpo Nylon 1 Pza</v>
          </cell>
          <cell r="F131" t="str">
            <v>LK</v>
          </cell>
          <cell r="G131" t="str">
            <v>Manolo</v>
          </cell>
          <cell r="H131">
            <v>4.8000000000000001E-2</v>
          </cell>
          <cell r="I131" t="str">
            <v>Cuchara Fideos 1 Pz Ny</v>
          </cell>
          <cell r="J131">
            <v>288</v>
          </cell>
          <cell r="K131">
            <v>0</v>
          </cell>
          <cell r="L131" t="str">
            <v>NY Rec</v>
          </cell>
          <cell r="M131">
            <v>13.824</v>
          </cell>
          <cell r="N131">
            <v>2</v>
          </cell>
          <cell r="O131">
            <v>1500</v>
          </cell>
        </row>
        <row r="132">
          <cell r="C132" t="str">
            <v>V2</v>
          </cell>
          <cell r="D132">
            <v>845</v>
          </cell>
          <cell r="E132" t="str">
            <v xml:space="preserve">Cucharon Plastico        </v>
          </cell>
          <cell r="F132" t="str">
            <v>CH</v>
          </cell>
          <cell r="G132" t="str">
            <v>Manolo</v>
          </cell>
          <cell r="H132">
            <v>5.5E-2</v>
          </cell>
          <cell r="I132" t="str">
            <v xml:space="preserve">Cucharon 1 Pz Ny </v>
          </cell>
          <cell r="J132">
            <v>0</v>
          </cell>
          <cell r="K132">
            <v>144</v>
          </cell>
          <cell r="L132" t="str">
            <v>NY Rec</v>
          </cell>
          <cell r="M132">
            <v>7.92</v>
          </cell>
          <cell r="N132">
            <v>1</v>
          </cell>
          <cell r="O132">
            <v>1500</v>
          </cell>
        </row>
        <row r="133">
          <cell r="C133" t="str">
            <v>V2</v>
          </cell>
          <cell r="D133">
            <v>392</v>
          </cell>
          <cell r="E133" t="str">
            <v xml:space="preserve">Cucharon Nylon 1 Pza     </v>
          </cell>
          <cell r="F133" t="str">
            <v>LK</v>
          </cell>
          <cell r="G133" t="str">
            <v>Manolo</v>
          </cell>
          <cell r="H133">
            <v>5.5E-2</v>
          </cell>
          <cell r="I133" t="str">
            <v xml:space="preserve">Cucharon 1 Pz Ny </v>
          </cell>
          <cell r="J133">
            <v>600</v>
          </cell>
          <cell r="K133">
            <v>0</v>
          </cell>
          <cell r="L133" t="str">
            <v>NY Rec</v>
          </cell>
          <cell r="M133">
            <v>33</v>
          </cell>
          <cell r="N133">
            <v>1</v>
          </cell>
          <cell r="O133">
            <v>1500</v>
          </cell>
        </row>
        <row r="134">
          <cell r="C134" t="str">
            <v>V7</v>
          </cell>
          <cell r="D134">
            <v>846</v>
          </cell>
          <cell r="E134" t="str">
            <v xml:space="preserve">Espatula Calada Plastica </v>
          </cell>
          <cell r="F134" t="str">
            <v>CH</v>
          </cell>
          <cell r="G134" t="str">
            <v>Manolo</v>
          </cell>
          <cell r="H134">
            <v>4.2999999999999997E-2</v>
          </cell>
          <cell r="I134" t="str">
            <v>Espatula Cal.  1 Pz Ny</v>
          </cell>
          <cell r="J134">
            <v>0</v>
          </cell>
          <cell r="K134">
            <v>144</v>
          </cell>
          <cell r="L134" t="str">
            <v>NY Rec</v>
          </cell>
          <cell r="M134">
            <v>6.1919999999999993</v>
          </cell>
          <cell r="N134">
            <v>2</v>
          </cell>
          <cell r="O134">
            <v>1500</v>
          </cell>
        </row>
        <row r="135">
          <cell r="C135" t="str">
            <v>V7</v>
          </cell>
          <cell r="D135">
            <v>393</v>
          </cell>
          <cell r="E135" t="str">
            <v>Espatula Calada Nylon 1 P</v>
          </cell>
          <cell r="F135" t="str">
            <v>LK</v>
          </cell>
          <cell r="G135" t="str">
            <v>Manolo</v>
          </cell>
          <cell r="H135">
            <v>4.2999999999999997E-2</v>
          </cell>
          <cell r="I135" t="str">
            <v>Espatula Cal.  1 Pz Ny</v>
          </cell>
          <cell r="J135">
            <v>432</v>
          </cell>
          <cell r="K135">
            <v>0</v>
          </cell>
          <cell r="L135" t="str">
            <v>NY Rec</v>
          </cell>
          <cell r="M135">
            <v>18.575999999999997</v>
          </cell>
          <cell r="N135">
            <v>2</v>
          </cell>
          <cell r="O135">
            <v>1500</v>
          </cell>
        </row>
        <row r="136">
          <cell r="C136" t="str">
            <v>V3</v>
          </cell>
          <cell r="D136">
            <v>842</v>
          </cell>
          <cell r="E136" t="str">
            <v xml:space="preserve">Espatula Lisa Plastica   </v>
          </cell>
          <cell r="F136" t="str">
            <v>CH</v>
          </cell>
          <cell r="G136" t="str">
            <v>Manolo</v>
          </cell>
          <cell r="H136">
            <v>0.05</v>
          </cell>
          <cell r="I136" t="str">
            <v xml:space="preserve">Espatula Lisa 1 Pz </v>
          </cell>
          <cell r="J136">
            <v>0</v>
          </cell>
          <cell r="K136">
            <v>120</v>
          </cell>
          <cell r="L136" t="str">
            <v>NY Rec</v>
          </cell>
          <cell r="M136">
            <v>6</v>
          </cell>
          <cell r="N136">
            <v>2</v>
          </cell>
          <cell r="O136">
            <v>1500</v>
          </cell>
        </row>
        <row r="137">
          <cell r="C137" t="str">
            <v>V3</v>
          </cell>
          <cell r="D137">
            <v>394</v>
          </cell>
          <cell r="E137" t="str">
            <v>Espatula Lisa Nylon 1 Pza</v>
          </cell>
          <cell r="F137" t="str">
            <v>LK</v>
          </cell>
          <cell r="G137" t="str">
            <v>Manolo</v>
          </cell>
          <cell r="H137">
            <v>0.05</v>
          </cell>
          <cell r="I137" t="str">
            <v xml:space="preserve">Espatula Lisa 1 Pz </v>
          </cell>
          <cell r="J137">
            <v>360</v>
          </cell>
          <cell r="K137">
            <v>0</v>
          </cell>
          <cell r="L137" t="str">
            <v>NY Rec</v>
          </cell>
          <cell r="M137">
            <v>18</v>
          </cell>
          <cell r="N137">
            <v>2</v>
          </cell>
          <cell r="O137">
            <v>1500</v>
          </cell>
        </row>
        <row r="138">
          <cell r="C138" t="str">
            <v>V8</v>
          </cell>
          <cell r="D138">
            <v>547</v>
          </cell>
          <cell r="E138" t="str">
            <v xml:space="preserve">Corta Torta              </v>
          </cell>
          <cell r="F138" t="str">
            <v>LK</v>
          </cell>
          <cell r="G138" t="str">
            <v>Manolo</v>
          </cell>
          <cell r="H138">
            <v>6.2E-2</v>
          </cell>
          <cell r="I138" t="str">
            <v>Corta Torta</v>
          </cell>
          <cell r="J138">
            <v>24</v>
          </cell>
          <cell r="K138">
            <v>0</v>
          </cell>
          <cell r="L138" t="str">
            <v>NY Rec</v>
          </cell>
          <cell r="M138">
            <v>1.488</v>
          </cell>
          <cell r="N138">
            <v>2</v>
          </cell>
          <cell r="O138">
            <v>1500</v>
          </cell>
        </row>
        <row r="139">
          <cell r="C139" t="str">
            <v>V8</v>
          </cell>
          <cell r="D139">
            <v>818</v>
          </cell>
          <cell r="E139" t="str">
            <v>Corta Torta Plast</v>
          </cell>
          <cell r="F139" t="str">
            <v>CH</v>
          </cell>
          <cell r="G139" t="str">
            <v>Manolo</v>
          </cell>
          <cell r="H139">
            <v>6.2E-2</v>
          </cell>
          <cell r="I139" t="str">
            <v>Corta Torta</v>
          </cell>
          <cell r="J139">
            <v>0</v>
          </cell>
          <cell r="K139">
            <v>0</v>
          </cell>
          <cell r="L139" t="str">
            <v>NY Rec</v>
          </cell>
          <cell r="M139">
            <v>0</v>
          </cell>
          <cell r="N139">
            <v>2</v>
          </cell>
          <cell r="O139">
            <v>1500</v>
          </cell>
        </row>
        <row r="140">
          <cell r="C140" t="str">
            <v>B2</v>
          </cell>
          <cell r="D140">
            <v>908</v>
          </cell>
          <cell r="E140" t="str">
            <v>Cuchara De Cocina 33Cm X 12</v>
          </cell>
          <cell r="F140" t="str">
            <v>CH</v>
          </cell>
          <cell r="G140" t="str">
            <v>Telleria</v>
          </cell>
          <cell r="H140">
            <v>5.5E-2</v>
          </cell>
          <cell r="I140" t="str">
            <v>Cuchara Ny Chef (S/marca)</v>
          </cell>
          <cell r="J140">
            <v>0</v>
          </cell>
          <cell r="K140">
            <v>24</v>
          </cell>
          <cell r="L140" t="str">
            <v xml:space="preserve">Nyl Fib. Vid.  </v>
          </cell>
          <cell r="M140">
            <v>1.32</v>
          </cell>
          <cell r="N140">
            <v>2</v>
          </cell>
          <cell r="O140">
            <v>2000</v>
          </cell>
        </row>
        <row r="141">
          <cell r="C141" t="str">
            <v>B3</v>
          </cell>
          <cell r="D141">
            <v>248</v>
          </cell>
          <cell r="E141" t="str">
            <v>Cuchara De Cocina 33 Cm X 12</v>
          </cell>
          <cell r="F141" t="str">
            <v>LK</v>
          </cell>
          <cell r="G141" t="str">
            <v>Telleria</v>
          </cell>
          <cell r="H141">
            <v>5.5E-2</v>
          </cell>
          <cell r="I141" t="str">
            <v>Cuchara Ny Loeke (Serif.)</v>
          </cell>
          <cell r="J141">
            <v>984</v>
          </cell>
          <cell r="K141">
            <v>0</v>
          </cell>
          <cell r="L141" t="str">
            <v xml:space="preserve">Nyl Fib. Vid.  </v>
          </cell>
          <cell r="M141">
            <v>54.12</v>
          </cell>
          <cell r="N141">
            <v>2</v>
          </cell>
          <cell r="O141">
            <v>2000</v>
          </cell>
        </row>
        <row r="142">
          <cell r="C142" t="str">
            <v>V14</v>
          </cell>
          <cell r="D142">
            <v>280</v>
          </cell>
          <cell r="E142" t="str">
            <v>Manga Repostera + 4 Boqui</v>
          </cell>
          <cell r="F142" t="str">
            <v>LK</v>
          </cell>
          <cell r="G142" t="str">
            <v>Manolo</v>
          </cell>
          <cell r="H142">
            <v>1.1000000000000001E-3</v>
          </cell>
          <cell r="I142" t="str">
            <v>Picos Reposteros</v>
          </cell>
          <cell r="J142">
            <v>984</v>
          </cell>
          <cell r="K142">
            <v>0</v>
          </cell>
          <cell r="L142" t="str">
            <v>PP 2630</v>
          </cell>
          <cell r="M142">
            <v>1.0824</v>
          </cell>
          <cell r="N142">
            <v>8</v>
          </cell>
          <cell r="O142">
            <v>2000</v>
          </cell>
        </row>
        <row r="143">
          <cell r="C143" t="str">
            <v>V1</v>
          </cell>
          <cell r="D143">
            <v>355</v>
          </cell>
          <cell r="E143" t="str">
            <v>Pisa Papas Nylon Mgo Plas</v>
          </cell>
          <cell r="F143" t="str">
            <v>LK</v>
          </cell>
          <cell r="G143" t="str">
            <v>Manolo</v>
          </cell>
          <cell r="H143">
            <v>1.4E-2</v>
          </cell>
          <cell r="I143" t="str">
            <v>Pisa papa Nylon</v>
          </cell>
          <cell r="J143">
            <v>480</v>
          </cell>
          <cell r="K143">
            <v>0</v>
          </cell>
          <cell r="L143" t="str">
            <v>NY Rec</v>
          </cell>
          <cell r="M143">
            <v>6.72</v>
          </cell>
          <cell r="N143">
            <v>1</v>
          </cell>
          <cell r="O143">
            <v>2000</v>
          </cell>
        </row>
        <row r="144">
          <cell r="C144" t="str">
            <v>C2</v>
          </cell>
          <cell r="D144">
            <v>523</v>
          </cell>
          <cell r="E144" t="str">
            <v xml:space="preserve">Sacacorcho Doble Aleta   </v>
          </cell>
          <cell r="F144" t="str">
            <v>LK</v>
          </cell>
          <cell r="G144" t="str">
            <v>Manolo</v>
          </cell>
          <cell r="H144">
            <v>2.1999999999999999E-2</v>
          </cell>
          <cell r="I144" t="str">
            <v>Cuerpo Sac Aleta Plast</v>
          </cell>
          <cell r="J144">
            <v>1608</v>
          </cell>
          <cell r="K144">
            <v>0</v>
          </cell>
          <cell r="L144" t="str">
            <v>ABS</v>
          </cell>
          <cell r="M144">
            <v>35.375999999999998</v>
          </cell>
          <cell r="O144">
            <v>500</v>
          </cell>
        </row>
        <row r="145">
          <cell r="C145" t="str">
            <v>C2</v>
          </cell>
          <cell r="D145">
            <v>723</v>
          </cell>
          <cell r="E145" t="str">
            <v xml:space="preserve">Sacacorcho Doble Aleta   </v>
          </cell>
          <cell r="F145" t="str">
            <v>CH</v>
          </cell>
          <cell r="G145" t="str">
            <v>Manolo</v>
          </cell>
          <cell r="H145">
            <v>2.1999999999999999E-2</v>
          </cell>
          <cell r="I145" t="str">
            <v>Cuerpo Doble aleta Plast</v>
          </cell>
          <cell r="J145">
            <v>0</v>
          </cell>
          <cell r="K145">
            <v>192</v>
          </cell>
          <cell r="L145" t="str">
            <v>ABS</v>
          </cell>
          <cell r="M145">
            <v>4.2240000000000002</v>
          </cell>
          <cell r="N145">
            <v>2</v>
          </cell>
          <cell r="O145">
            <v>500</v>
          </cell>
        </row>
        <row r="146">
          <cell r="C146" t="str">
            <v>B1</v>
          </cell>
          <cell r="D146">
            <v>546</v>
          </cell>
          <cell r="E146" t="str">
            <v xml:space="preserve">Corta Queso              </v>
          </cell>
          <cell r="F146" t="str">
            <v>LK</v>
          </cell>
          <cell r="G146" t="str">
            <v>Manolo</v>
          </cell>
          <cell r="H146">
            <v>7.7000000000000002E-3</v>
          </cell>
          <cell r="I146" t="str">
            <v>Cilindro Corta Queso</v>
          </cell>
          <cell r="J146">
            <v>4800</v>
          </cell>
          <cell r="K146">
            <v>0</v>
          </cell>
          <cell r="L146" t="str">
            <v>AL</v>
          </cell>
          <cell r="M146">
            <v>36.96</v>
          </cell>
          <cell r="N146">
            <v>8</v>
          </cell>
          <cell r="O146">
            <v>12000</v>
          </cell>
        </row>
        <row r="147">
          <cell r="C147" t="str">
            <v>B1</v>
          </cell>
          <cell r="D147">
            <v>809</v>
          </cell>
          <cell r="E147" t="str">
            <v xml:space="preserve">Corta Queso              </v>
          </cell>
          <cell r="F147" t="str">
            <v>CH</v>
          </cell>
          <cell r="G147" t="str">
            <v>Manolo</v>
          </cell>
          <cell r="H147">
            <v>7.7000000000000002E-3</v>
          </cell>
          <cell r="I147" t="str">
            <v>Cilindro Corta Queso</v>
          </cell>
          <cell r="J147">
            <v>0</v>
          </cell>
          <cell r="K147">
            <v>600</v>
          </cell>
          <cell r="L147" t="str">
            <v>AL</v>
          </cell>
          <cell r="M147">
            <v>4.62</v>
          </cell>
          <cell r="N147">
            <v>8</v>
          </cell>
          <cell r="O147">
            <v>12000</v>
          </cell>
        </row>
        <row r="148">
          <cell r="C148" t="str">
            <v>BP7</v>
          </cell>
          <cell r="D148">
            <v>577</v>
          </cell>
          <cell r="E148" t="str">
            <v>Tapon De Vino/Cerveza Premium</v>
          </cell>
          <cell r="F148" t="str">
            <v>LK</v>
          </cell>
          <cell r="G148" t="str">
            <v>Manolo</v>
          </cell>
          <cell r="I148" t="str">
            <v>Tapon Premium NO HACEMOS</v>
          </cell>
          <cell r="J148">
            <v>1020</v>
          </cell>
          <cell r="K148">
            <v>0</v>
          </cell>
          <cell r="M148">
            <v>0</v>
          </cell>
        </row>
        <row r="149">
          <cell r="C149" t="str">
            <v>BP8</v>
          </cell>
          <cell r="G149" t="str">
            <v>Manolo</v>
          </cell>
          <cell r="I149" t="str">
            <v>Tapa Bombilla Plast</v>
          </cell>
          <cell r="J149">
            <v>0</v>
          </cell>
          <cell r="K149">
            <v>0</v>
          </cell>
          <cell r="M149">
            <v>0</v>
          </cell>
          <cell r="N149" t="str">
            <v>NO</v>
          </cell>
        </row>
        <row r="150">
          <cell r="C150" t="str">
            <v>B8</v>
          </cell>
          <cell r="D150">
            <v>735</v>
          </cell>
          <cell r="E150" t="str">
            <v>Sac. Cabo Nylon</v>
          </cell>
          <cell r="F150" t="str">
            <v>CH</v>
          </cell>
          <cell r="G150" t="str">
            <v>Manolo</v>
          </cell>
          <cell r="H150">
            <v>1.6299999999999999E-2</v>
          </cell>
          <cell r="I150" t="str">
            <v>Cuerpo Sacacorcho Plast</v>
          </cell>
          <cell r="J150">
            <v>0</v>
          </cell>
          <cell r="K150">
            <v>0</v>
          </cell>
          <cell r="L150" t="str">
            <v>PP 2630</v>
          </cell>
          <cell r="M150">
            <v>0</v>
          </cell>
          <cell r="O150">
            <v>500</v>
          </cell>
        </row>
        <row r="151">
          <cell r="C151" t="str">
            <v>B8</v>
          </cell>
          <cell r="D151">
            <v>581</v>
          </cell>
          <cell r="E151" t="str">
            <v>Sacacorcho Cabo Plastico</v>
          </cell>
          <cell r="F151" t="str">
            <v>LK</v>
          </cell>
          <cell r="G151" t="str">
            <v>Manolo</v>
          </cell>
          <cell r="H151">
            <v>1.6299999999999999E-2</v>
          </cell>
          <cell r="J151">
            <v>300</v>
          </cell>
          <cell r="K151">
            <v>0</v>
          </cell>
          <cell r="L151" t="str">
            <v>PP 2630</v>
          </cell>
          <cell r="M151">
            <v>4.8899999999999997</v>
          </cell>
          <cell r="O151">
            <v>500</v>
          </cell>
        </row>
        <row r="152">
          <cell r="C152" t="str">
            <v>A3</v>
          </cell>
          <cell r="D152">
            <v>299</v>
          </cell>
          <cell r="E152" t="str">
            <v>Muñeco Silicona Antiderra</v>
          </cell>
          <cell r="F152" t="str">
            <v>LK</v>
          </cell>
          <cell r="G152" t="str">
            <v>Manolo</v>
          </cell>
          <cell r="H152">
            <v>8.0000000000000002E-3</v>
          </cell>
          <cell r="I152" t="str">
            <v>Muñeco Antiderrame</v>
          </cell>
          <cell r="J152">
            <v>120</v>
          </cell>
          <cell r="K152">
            <v>0</v>
          </cell>
          <cell r="L152" t="str">
            <v>Santo
8211-35</v>
          </cell>
          <cell r="M152">
            <v>0.96</v>
          </cell>
          <cell r="N152">
            <v>0</v>
          </cell>
          <cell r="O152">
            <v>2500</v>
          </cell>
        </row>
        <row r="153">
          <cell r="C153" t="str">
            <v>EP7</v>
          </cell>
          <cell r="D153">
            <v>518</v>
          </cell>
          <cell r="E153" t="str">
            <v xml:space="preserve">Sacafuente Gastronomico  </v>
          </cell>
          <cell r="F153" t="str">
            <v>LK</v>
          </cell>
          <cell r="G153" t="str">
            <v>Maspoli</v>
          </cell>
          <cell r="H153">
            <v>7.4499999999999997E-2</v>
          </cell>
          <cell r="I153" t="str">
            <v>Mgo Sacafuente Pizzero</v>
          </cell>
          <cell r="J153">
            <v>864</v>
          </cell>
          <cell r="K153">
            <v>0</v>
          </cell>
          <cell r="L153" t="str">
            <v>Palo Blanco</v>
          </cell>
          <cell r="M153">
            <v>64.367999999999995</v>
          </cell>
          <cell r="N153">
            <v>0</v>
          </cell>
          <cell r="O153">
            <v>500</v>
          </cell>
        </row>
        <row r="154">
          <cell r="C154" t="str">
            <v>EP8</v>
          </cell>
          <cell r="D154">
            <v>564</v>
          </cell>
          <cell r="E154" t="str">
            <v xml:space="preserve">Corta Pizza Gastronomico </v>
          </cell>
          <cell r="F154" t="str">
            <v>LK</v>
          </cell>
          <cell r="G154" t="str">
            <v>Maspoli</v>
          </cell>
          <cell r="H154">
            <v>7.4499999999999997E-2</v>
          </cell>
          <cell r="I154" t="str">
            <v>Mgo Corta Pizza</v>
          </cell>
          <cell r="J154">
            <v>600</v>
          </cell>
          <cell r="K154">
            <v>0</v>
          </cell>
          <cell r="L154" t="str">
            <v>Palo Blanco</v>
          </cell>
          <cell r="M154">
            <v>44.699999999999996</v>
          </cell>
          <cell r="N154">
            <v>0</v>
          </cell>
          <cell r="O154">
            <v>500</v>
          </cell>
        </row>
        <row r="155">
          <cell r="C155" t="str">
            <v>EP5</v>
          </cell>
          <cell r="D155">
            <v>519</v>
          </cell>
          <cell r="E155" t="str">
            <v>Cuchillo De Untar X 2 mad</v>
          </cell>
          <cell r="F155" t="str">
            <v>LK</v>
          </cell>
          <cell r="G155" t="str">
            <v>Pintos</v>
          </cell>
          <cell r="H155">
            <v>6.3E-3</v>
          </cell>
          <cell r="I155" t="str">
            <v>Mgo Mad Cuch Untar</v>
          </cell>
          <cell r="J155">
            <v>960</v>
          </cell>
          <cell r="K155">
            <v>0</v>
          </cell>
          <cell r="L155" t="str">
            <v>Palo Blanco</v>
          </cell>
          <cell r="M155">
            <v>6.048</v>
          </cell>
          <cell r="N155">
            <v>0</v>
          </cell>
          <cell r="O155">
            <v>1000</v>
          </cell>
        </row>
        <row r="156">
          <cell r="C156" t="str">
            <v>EP5</v>
          </cell>
          <cell r="D156">
            <v>719</v>
          </cell>
          <cell r="E156" t="str">
            <v>Cuch Untar Mgo Madera X2</v>
          </cell>
          <cell r="F156" t="str">
            <v>CH</v>
          </cell>
          <cell r="G156" t="str">
            <v>Pintos</v>
          </cell>
          <cell r="H156">
            <v>6.3E-3</v>
          </cell>
          <cell r="J156">
            <v>0</v>
          </cell>
          <cell r="K156">
            <v>144</v>
          </cell>
          <cell r="L156" t="str">
            <v>Palo Blanco</v>
          </cell>
          <cell r="M156">
            <v>0.90720000000000001</v>
          </cell>
          <cell r="N156">
            <v>0</v>
          </cell>
          <cell r="O156">
            <v>1000</v>
          </cell>
        </row>
        <row r="157">
          <cell r="C157" t="str">
            <v>EP6</v>
          </cell>
          <cell r="D157">
            <v>525</v>
          </cell>
          <cell r="E157" t="str">
            <v>Sacacorcho Cabo De Madera</v>
          </cell>
          <cell r="F157" t="str">
            <v>LK</v>
          </cell>
          <cell r="G157" t="str">
            <v>Pintos</v>
          </cell>
          <cell r="H157">
            <v>2.8000000000000001E-2</v>
          </cell>
          <cell r="I157" t="str">
            <v>Cabo Madera 525</v>
          </cell>
          <cell r="J157">
            <v>1728</v>
          </cell>
          <cell r="K157">
            <v>0</v>
          </cell>
          <cell r="L157" t="str">
            <v>Palo Blanco</v>
          </cell>
          <cell r="M157">
            <v>48.384</v>
          </cell>
          <cell r="N157">
            <v>0</v>
          </cell>
          <cell r="O157">
            <v>1000</v>
          </cell>
        </row>
        <row r="158">
          <cell r="C158" t="str">
            <v>EP6</v>
          </cell>
          <cell r="D158">
            <v>725</v>
          </cell>
          <cell r="E158" t="str">
            <v>Sacacorcho Cabo De Madera</v>
          </cell>
          <cell r="F158" t="str">
            <v>CH</v>
          </cell>
          <cell r="G158" t="str">
            <v>Pintos</v>
          </cell>
          <cell r="H158">
            <v>2.8000000000000001E-2</v>
          </cell>
          <cell r="J158">
            <v>0</v>
          </cell>
          <cell r="K158">
            <v>552</v>
          </cell>
          <cell r="L158" t="str">
            <v>Palo Blanco</v>
          </cell>
          <cell r="M158">
            <v>15.456</v>
          </cell>
          <cell r="N158">
            <v>0</v>
          </cell>
          <cell r="O158">
            <v>1000</v>
          </cell>
        </row>
        <row r="159">
          <cell r="C159" t="str">
            <v>GRJ12</v>
          </cell>
          <cell r="D159">
            <v>229</v>
          </cell>
          <cell r="E159" t="str">
            <v xml:space="preserve">Ñoquera Madera           </v>
          </cell>
          <cell r="F159" t="str">
            <v>LK</v>
          </cell>
          <cell r="G159" t="str">
            <v>Pintos</v>
          </cell>
          <cell r="H159">
            <v>3.4500000000000003E-2</v>
          </cell>
          <cell r="I159" t="str">
            <v>Ñoquera</v>
          </cell>
          <cell r="J159">
            <v>1200</v>
          </cell>
          <cell r="K159">
            <v>0</v>
          </cell>
          <cell r="L159" t="str">
            <v>Palo Blanco</v>
          </cell>
          <cell r="M159">
            <v>41.400000000000006</v>
          </cell>
          <cell r="N159">
            <v>0</v>
          </cell>
          <cell r="O159">
            <v>1000</v>
          </cell>
        </row>
        <row r="160">
          <cell r="C160" t="str">
            <v>GRJ12</v>
          </cell>
          <cell r="D160">
            <v>909</v>
          </cell>
          <cell r="E160" t="str">
            <v xml:space="preserve">Ñoquera Display          </v>
          </cell>
          <cell r="F160" t="str">
            <v>CH</v>
          </cell>
          <cell r="G160" t="str">
            <v>Pintos</v>
          </cell>
          <cell r="H160">
            <v>3.4500000000000003E-2</v>
          </cell>
          <cell r="J160">
            <v>0</v>
          </cell>
          <cell r="K160">
            <v>390</v>
          </cell>
          <cell r="L160" t="str">
            <v>Palo Blanco</v>
          </cell>
          <cell r="M160">
            <v>13.455000000000002</v>
          </cell>
          <cell r="N160">
            <v>0</v>
          </cell>
          <cell r="O160">
            <v>1000</v>
          </cell>
        </row>
        <row r="169">
          <cell r="D169">
            <v>579</v>
          </cell>
          <cell r="F169" t="str">
            <v>LK</v>
          </cell>
          <cell r="H169" t="str">
            <v>info</v>
          </cell>
          <cell r="I169" t="str">
            <v>Tapon Gaseosa Color</v>
          </cell>
          <cell r="J169">
            <v>1104</v>
          </cell>
          <cell r="O169" t="str">
            <v>-</v>
          </cell>
        </row>
        <row r="170">
          <cell r="D170">
            <v>816</v>
          </cell>
          <cell r="F170" t="str">
            <v>CH</v>
          </cell>
          <cell r="H170" t="str">
            <v>info</v>
          </cell>
          <cell r="I170" t="str">
            <v>Tapon Gaseosa Color</v>
          </cell>
          <cell r="J170">
            <v>720</v>
          </cell>
        </row>
        <row r="171">
          <cell r="C171" t="str">
            <v>BP6</v>
          </cell>
          <cell r="D171">
            <v>314</v>
          </cell>
          <cell r="F171" t="str">
            <v>M.S</v>
          </cell>
          <cell r="H171">
            <v>2E-3</v>
          </cell>
          <cell r="I171" t="str">
            <v>Plaquitas 3- 1 Neg.</v>
          </cell>
          <cell r="J171">
            <v>0</v>
          </cell>
          <cell r="O171">
            <v>6000</v>
          </cell>
        </row>
        <row r="172">
          <cell r="D172">
            <v>453</v>
          </cell>
          <cell r="F172" t="str">
            <v>CH</v>
          </cell>
          <cell r="H172">
            <v>1.21E-2</v>
          </cell>
          <cell r="I172" t="str">
            <v xml:space="preserve">Cuchara Fid. Corto  Ny. </v>
          </cell>
          <cell r="J172">
            <v>240</v>
          </cell>
          <cell r="O172">
            <v>1500</v>
          </cell>
        </row>
        <row r="173">
          <cell r="D173">
            <v>77</v>
          </cell>
          <cell r="F173" t="str">
            <v>M.S</v>
          </cell>
          <cell r="H173">
            <v>1.21E-2</v>
          </cell>
          <cell r="I173" t="str">
            <v xml:space="preserve">Cuchara Fid. Corto  Ny. </v>
          </cell>
          <cell r="J173">
            <v>0</v>
          </cell>
          <cell r="O173">
            <v>1500</v>
          </cell>
        </row>
        <row r="174">
          <cell r="D174">
            <v>454</v>
          </cell>
          <cell r="F174" t="str">
            <v>CH</v>
          </cell>
          <cell r="H174">
            <v>2.1600000000000001E-2</v>
          </cell>
          <cell r="I174" t="str">
            <v>Cucharon Corto Ny.</v>
          </cell>
          <cell r="J174">
            <v>240</v>
          </cell>
          <cell r="O174">
            <v>1500</v>
          </cell>
        </row>
        <row r="175">
          <cell r="D175">
            <v>78</v>
          </cell>
          <cell r="F175" t="str">
            <v>M.S</v>
          </cell>
          <cell r="H175">
            <v>2.1600000000000001E-2</v>
          </cell>
          <cell r="I175" t="str">
            <v>Cucharon Corto Ny.</v>
          </cell>
          <cell r="J175">
            <v>0</v>
          </cell>
          <cell r="O175">
            <v>1500</v>
          </cell>
        </row>
        <row r="176">
          <cell r="D176">
            <v>456</v>
          </cell>
          <cell r="F176" t="str">
            <v>CH</v>
          </cell>
          <cell r="H176">
            <v>2.3E-2</v>
          </cell>
          <cell r="I176" t="str">
            <v>Espatula Lisa Corto Ny</v>
          </cell>
          <cell r="J176">
            <v>240</v>
          </cell>
          <cell r="O176">
            <v>1500</v>
          </cell>
        </row>
        <row r="177">
          <cell r="D177">
            <v>80</v>
          </cell>
          <cell r="F177" t="str">
            <v>M.S</v>
          </cell>
          <cell r="H177">
            <v>2.3E-2</v>
          </cell>
          <cell r="I177" t="str">
            <v>Espatula Lisa Corto Ny</v>
          </cell>
          <cell r="J177">
            <v>0</v>
          </cell>
          <cell r="O177">
            <v>1500</v>
          </cell>
        </row>
        <row r="178">
          <cell r="D178">
            <v>76</v>
          </cell>
          <cell r="F178" t="str">
            <v>M.S</v>
          </cell>
          <cell r="H178">
            <v>1.9800000000000002E-2</v>
          </cell>
          <cell r="I178" t="str">
            <v>Espumadera Corto Ny</v>
          </cell>
          <cell r="J178">
            <v>0</v>
          </cell>
          <cell r="O178">
            <v>1500</v>
          </cell>
        </row>
        <row r="179">
          <cell r="D179">
            <v>452</v>
          </cell>
          <cell r="F179" t="str">
            <v>CH</v>
          </cell>
          <cell r="H179">
            <v>1.9800000000000002E-2</v>
          </cell>
          <cell r="I179" t="str">
            <v>Espumadera Corto Ny</v>
          </cell>
          <cell r="J179">
            <v>0</v>
          </cell>
          <cell r="O179">
            <v>1500</v>
          </cell>
        </row>
        <row r="180">
          <cell r="D180">
            <v>455</v>
          </cell>
          <cell r="F180" t="str">
            <v>CH</v>
          </cell>
          <cell r="H180">
            <v>2.3E-2</v>
          </cell>
          <cell r="I180" t="str">
            <v>Espatula Cal. Corto Ny</v>
          </cell>
          <cell r="J180">
            <v>240</v>
          </cell>
          <cell r="O180">
            <v>1500</v>
          </cell>
        </row>
        <row r="181">
          <cell r="D181">
            <v>79</v>
          </cell>
          <cell r="F181" t="str">
            <v>M.S</v>
          </cell>
          <cell r="H181">
            <v>2.3E-2</v>
          </cell>
          <cell r="I181" t="str">
            <v>Espatula Cal. Corto Ny</v>
          </cell>
          <cell r="J181">
            <v>0</v>
          </cell>
          <cell r="O181">
            <v>1500</v>
          </cell>
        </row>
        <row r="182">
          <cell r="D182">
            <v>455</v>
          </cell>
          <cell r="F182" t="str">
            <v>CH</v>
          </cell>
          <cell r="H182">
            <v>1.3099999999999999E-2</v>
          </cell>
          <cell r="I182" t="str">
            <v>Vastagos Cortos</v>
          </cell>
          <cell r="J182">
            <v>240</v>
          </cell>
          <cell r="O182">
            <v>1500</v>
          </cell>
        </row>
        <row r="183">
          <cell r="D183">
            <v>456</v>
          </cell>
          <cell r="F183" t="str">
            <v>CH</v>
          </cell>
          <cell r="H183">
            <v>1.3099999999999999E-2</v>
          </cell>
          <cell r="I183" t="str">
            <v>Vastagos Cortos</v>
          </cell>
          <cell r="J183">
            <v>240</v>
          </cell>
          <cell r="O183">
            <v>1500</v>
          </cell>
        </row>
        <row r="184">
          <cell r="D184">
            <v>452</v>
          </cell>
          <cell r="F184" t="str">
            <v>CH</v>
          </cell>
          <cell r="H184">
            <v>8.3000000000000001E-3</v>
          </cell>
          <cell r="I184" t="str">
            <v>Vastagos Largos</v>
          </cell>
          <cell r="J184">
            <v>0</v>
          </cell>
          <cell r="O184">
            <v>1500</v>
          </cell>
        </row>
        <row r="185">
          <cell r="D185">
            <v>453</v>
          </cell>
          <cell r="F185" t="str">
            <v>CH</v>
          </cell>
          <cell r="H185">
            <v>8.3000000000000001E-3</v>
          </cell>
          <cell r="I185" t="str">
            <v>Vastagos Largos</v>
          </cell>
          <cell r="J185">
            <v>240</v>
          </cell>
          <cell r="O185">
            <v>1500</v>
          </cell>
        </row>
        <row r="186">
          <cell r="D186">
            <v>454</v>
          </cell>
          <cell r="F186" t="str">
            <v>CH</v>
          </cell>
          <cell r="H186">
            <v>8.3000000000000001E-3</v>
          </cell>
          <cell r="I186" t="str">
            <v>Vastagos Largos</v>
          </cell>
          <cell r="J186">
            <v>240</v>
          </cell>
          <cell r="O186">
            <v>1500</v>
          </cell>
        </row>
        <row r="187">
          <cell r="C187" t="str">
            <v>V7</v>
          </cell>
          <cell r="D187" t="str">
            <v>199K</v>
          </cell>
          <cell r="F187" t="str">
            <v>CH</v>
          </cell>
          <cell r="H187">
            <v>4.2999999999999997E-2</v>
          </cell>
          <cell r="I187" t="str">
            <v>Espatula Cal.  1 Pz Ny</v>
          </cell>
          <cell r="J187">
            <v>0</v>
          </cell>
          <cell r="O187">
            <v>1500</v>
          </cell>
        </row>
        <row r="188">
          <cell r="C188" t="str">
            <v>V7</v>
          </cell>
          <cell r="D188">
            <v>1094</v>
          </cell>
          <cell r="F188" t="str">
            <v>H.L</v>
          </cell>
          <cell r="H188">
            <v>4.2999999999999997E-2</v>
          </cell>
          <cell r="I188" t="str">
            <v>Espatula Cal.  1 Pz Ny</v>
          </cell>
          <cell r="J188">
            <v>0</v>
          </cell>
          <cell r="O188">
            <v>1500</v>
          </cell>
        </row>
        <row r="189">
          <cell r="C189" t="str">
            <v>V11</v>
          </cell>
          <cell r="D189">
            <v>658</v>
          </cell>
          <cell r="F189" t="str">
            <v>L.Vde</v>
          </cell>
          <cell r="H189">
            <v>4.2999999999999997E-2</v>
          </cell>
          <cell r="I189" t="str">
            <v>Espatula Cal.  1 Pz Ny Vde</v>
          </cell>
          <cell r="J189">
            <v>0</v>
          </cell>
          <cell r="O189">
            <v>1500</v>
          </cell>
        </row>
        <row r="190">
          <cell r="C190" t="str">
            <v>V3</v>
          </cell>
          <cell r="D190">
            <v>1090</v>
          </cell>
          <cell r="F190" t="str">
            <v>H.L</v>
          </cell>
          <cell r="H190">
            <v>0.05</v>
          </cell>
          <cell r="I190" t="str">
            <v xml:space="preserve">Espatula Lisa 1 Pz </v>
          </cell>
          <cell r="J190">
            <v>0</v>
          </cell>
          <cell r="O190">
            <v>1500</v>
          </cell>
        </row>
        <row r="191">
          <cell r="C191" t="str">
            <v>V10</v>
          </cell>
          <cell r="D191">
            <v>663</v>
          </cell>
          <cell r="F191" t="str">
            <v>L.Vde</v>
          </cell>
          <cell r="H191">
            <v>0.05</v>
          </cell>
          <cell r="I191" t="str">
            <v>Espatula Lisa 1 Pz Ny Vde</v>
          </cell>
          <cell r="J191">
            <v>0</v>
          </cell>
          <cell r="O191">
            <v>1500</v>
          </cell>
        </row>
        <row r="192">
          <cell r="C192" t="str">
            <v>V2</v>
          </cell>
          <cell r="D192" t="str">
            <v>198K</v>
          </cell>
          <cell r="F192" t="str">
            <v>CH</v>
          </cell>
          <cell r="H192">
            <v>5.5E-2</v>
          </cell>
          <cell r="I192" t="str">
            <v xml:space="preserve">Cucharon 1 Pz Ny </v>
          </cell>
          <cell r="J192">
            <v>0</v>
          </cell>
          <cell r="O192">
            <v>1500</v>
          </cell>
        </row>
        <row r="193">
          <cell r="C193" t="str">
            <v>V2</v>
          </cell>
          <cell r="D193">
            <v>1093</v>
          </cell>
          <cell r="F193" t="str">
            <v>H.L</v>
          </cell>
          <cell r="H193">
            <v>5.5E-2</v>
          </cell>
          <cell r="I193" t="str">
            <v xml:space="preserve">Cucharon 1 Pz Ny </v>
          </cell>
          <cell r="J193">
            <v>0</v>
          </cell>
          <cell r="O193">
            <v>1500</v>
          </cell>
        </row>
        <row r="194">
          <cell r="C194" t="str">
            <v>V9</v>
          </cell>
          <cell r="D194">
            <v>657</v>
          </cell>
          <cell r="F194" t="str">
            <v>L.Vde</v>
          </cell>
          <cell r="H194">
            <v>5.5E-2</v>
          </cell>
          <cell r="I194" t="str">
            <v>Cucharon 1 Pz Ny Vde</v>
          </cell>
          <cell r="J194">
            <v>0</v>
          </cell>
          <cell r="O194">
            <v>1500</v>
          </cell>
        </row>
        <row r="195">
          <cell r="C195" t="str">
            <v>V6</v>
          </cell>
          <cell r="D195" t="str">
            <v>196K</v>
          </cell>
          <cell r="F195" t="str">
            <v>C</v>
          </cell>
          <cell r="H195">
            <v>4.2000000000000003E-2</v>
          </cell>
          <cell r="I195" t="str">
            <v>Cuchara Calada 1 Pz  Ny</v>
          </cell>
          <cell r="J195">
            <v>0</v>
          </cell>
          <cell r="O195">
            <v>1500</v>
          </cell>
        </row>
        <row r="196">
          <cell r="C196" t="str">
            <v>V6</v>
          </cell>
          <cell r="D196">
            <v>1091</v>
          </cell>
          <cell r="F196" t="str">
            <v>H.L</v>
          </cell>
          <cell r="H196">
            <v>4.2000000000000003E-2</v>
          </cell>
          <cell r="I196" t="str">
            <v>Cuchara Calada 1 Pz  Ny</v>
          </cell>
          <cell r="J196">
            <v>0</v>
          </cell>
          <cell r="O196">
            <v>1500</v>
          </cell>
        </row>
        <row r="197">
          <cell r="C197" t="str">
            <v>V13</v>
          </cell>
          <cell r="D197">
            <v>655</v>
          </cell>
          <cell r="F197" t="str">
            <v>L.Vde</v>
          </cell>
          <cell r="H197">
            <v>4.2000000000000003E-2</v>
          </cell>
          <cell r="I197" t="str">
            <v>Cuchara Calada 1 Pz  Ny Vde</v>
          </cell>
          <cell r="J197">
            <v>0</v>
          </cell>
          <cell r="O197">
            <v>1500</v>
          </cell>
        </row>
        <row r="198">
          <cell r="C198" t="str">
            <v>V5</v>
          </cell>
          <cell r="D198" t="str">
            <v>197K</v>
          </cell>
          <cell r="F198" t="str">
            <v>CH</v>
          </cell>
          <cell r="H198">
            <v>4.8000000000000001E-2</v>
          </cell>
          <cell r="I198" t="str">
            <v>Cuchara Fideos 1 Pz Ny</v>
          </cell>
          <cell r="J198">
            <v>0</v>
          </cell>
          <cell r="O198">
            <v>1500</v>
          </cell>
        </row>
        <row r="199">
          <cell r="C199" t="str">
            <v>V5</v>
          </cell>
          <cell r="D199">
            <v>1092</v>
          </cell>
          <cell r="F199" t="str">
            <v>H.L</v>
          </cell>
          <cell r="H199">
            <v>4.8000000000000001E-2</v>
          </cell>
          <cell r="I199" t="str">
            <v>Cuchara Fideos 1 Pz Ny</v>
          </cell>
          <cell r="J199">
            <v>0</v>
          </cell>
          <cell r="O199">
            <v>1500</v>
          </cell>
        </row>
        <row r="200">
          <cell r="C200" t="str">
            <v>V12</v>
          </cell>
          <cell r="D200">
            <v>656</v>
          </cell>
          <cell r="F200" t="str">
            <v>L.Vde</v>
          </cell>
          <cell r="H200">
            <v>4.8000000000000001E-2</v>
          </cell>
          <cell r="I200" t="str">
            <v>Cuchara Fideos 1 Pz Ny Vde</v>
          </cell>
          <cell r="J200">
            <v>0</v>
          </cell>
          <cell r="O200">
            <v>1500</v>
          </cell>
        </row>
        <row r="201">
          <cell r="C201" t="str">
            <v>JP1</v>
          </cell>
          <cell r="D201">
            <v>2</v>
          </cell>
          <cell r="F201" t="str">
            <v>M.S</v>
          </cell>
          <cell r="G201" t="str">
            <v>Disc</v>
          </cell>
          <cell r="H201">
            <v>1.2999999999999999E-2</v>
          </cell>
          <cell r="I201" t="str">
            <v>Puntera Neg. Batidor</v>
          </cell>
          <cell r="J201">
            <v>0</v>
          </cell>
          <cell r="O201">
            <v>8000</v>
          </cell>
        </row>
        <row r="202">
          <cell r="C202" t="str">
            <v>JP1</v>
          </cell>
          <cell r="D202">
            <v>7</v>
          </cell>
          <cell r="F202" t="str">
            <v>M.S</v>
          </cell>
          <cell r="G202" t="str">
            <v>Disc</v>
          </cell>
          <cell r="H202">
            <v>1.2999999999999999E-2</v>
          </cell>
          <cell r="I202" t="str">
            <v>Puntera Neg. Batidor</v>
          </cell>
          <cell r="J202">
            <v>0</v>
          </cell>
          <cell r="O202">
            <v>8000</v>
          </cell>
        </row>
        <row r="203">
          <cell r="C203" t="str">
            <v>JP1</v>
          </cell>
          <cell r="D203">
            <v>91</v>
          </cell>
          <cell r="F203" t="str">
            <v>M.S</v>
          </cell>
          <cell r="G203" t="str">
            <v>Disc</v>
          </cell>
          <cell r="H203">
            <v>1.2999999999999999E-2</v>
          </cell>
          <cell r="I203" t="str">
            <v>Puntera Neg. Batidor</v>
          </cell>
          <cell r="J203">
            <v>0</v>
          </cell>
          <cell r="O203">
            <v>8000</v>
          </cell>
        </row>
        <row r="204">
          <cell r="C204" t="str">
            <v>JP2</v>
          </cell>
          <cell r="D204">
            <v>76</v>
          </cell>
          <cell r="F204" t="str">
            <v>M.S</v>
          </cell>
          <cell r="H204">
            <v>1.2999999999999999E-2</v>
          </cell>
          <cell r="I204" t="str">
            <v>Puntera Neg. M/U</v>
          </cell>
          <cell r="J204">
            <v>0</v>
          </cell>
          <cell r="O204">
            <v>8000</v>
          </cell>
        </row>
        <row r="205">
          <cell r="C205" t="str">
            <v>JP2</v>
          </cell>
          <cell r="D205">
            <v>77</v>
          </cell>
          <cell r="F205" t="str">
            <v>M.S</v>
          </cell>
          <cell r="H205">
            <v>1.2999999999999999E-2</v>
          </cell>
          <cell r="I205" t="str">
            <v>Puntera Neg. M/U</v>
          </cell>
          <cell r="J205">
            <v>0</v>
          </cell>
          <cell r="O205">
            <v>8000</v>
          </cell>
        </row>
        <row r="206">
          <cell r="C206" t="str">
            <v>JP2</v>
          </cell>
          <cell r="D206">
            <v>78</v>
          </cell>
          <cell r="F206" t="str">
            <v>M.S</v>
          </cell>
          <cell r="H206">
            <v>1.2999999999999999E-2</v>
          </cell>
          <cell r="I206" t="str">
            <v>Puntera Neg. M/U</v>
          </cell>
          <cell r="J206">
            <v>0</v>
          </cell>
          <cell r="O206">
            <v>8000</v>
          </cell>
        </row>
        <row r="207">
          <cell r="C207" t="str">
            <v>JP2</v>
          </cell>
          <cell r="D207">
            <v>79</v>
          </cell>
          <cell r="F207" t="str">
            <v>M.S</v>
          </cell>
          <cell r="H207">
            <v>1.2999999999999999E-2</v>
          </cell>
          <cell r="I207" t="str">
            <v>Puntera Neg. M/U</v>
          </cell>
          <cell r="J207">
            <v>0</v>
          </cell>
          <cell r="O207">
            <v>8000</v>
          </cell>
        </row>
        <row r="208">
          <cell r="C208" t="str">
            <v>JP2</v>
          </cell>
          <cell r="D208">
            <v>80</v>
          </cell>
          <cell r="F208" t="str">
            <v>M.S</v>
          </cell>
          <cell r="H208">
            <v>1.2999999999999999E-2</v>
          </cell>
          <cell r="I208" t="str">
            <v>Puntera Neg. M/U</v>
          </cell>
          <cell r="J208">
            <v>0</v>
          </cell>
          <cell r="O208">
            <v>8000</v>
          </cell>
        </row>
        <row r="209">
          <cell r="C209" t="str">
            <v>JP3</v>
          </cell>
          <cell r="D209">
            <v>94</v>
          </cell>
          <cell r="F209" t="str">
            <v>M.S</v>
          </cell>
          <cell r="G209" t="str">
            <v>Disc</v>
          </cell>
          <cell r="H209">
            <v>1.2999999999999999E-2</v>
          </cell>
          <cell r="I209" t="str">
            <v>Puntera Neg. Canel - Afila</v>
          </cell>
          <cell r="J209">
            <v>0</v>
          </cell>
          <cell r="O209">
            <v>8000</v>
          </cell>
        </row>
        <row r="210">
          <cell r="C210" t="str">
            <v>JP3</v>
          </cell>
          <cell r="D210">
            <v>201</v>
          </cell>
          <cell r="F210" t="str">
            <v>M.S</v>
          </cell>
          <cell r="G210" t="str">
            <v>Disc</v>
          </cell>
          <cell r="H210">
            <v>1.2999999999999999E-2</v>
          </cell>
          <cell r="I210" t="str">
            <v>Puntera Neg. Canel - Afila</v>
          </cell>
          <cell r="J210">
            <v>0</v>
          </cell>
          <cell r="O210">
            <v>8000</v>
          </cell>
        </row>
        <row r="211">
          <cell r="C211" t="str">
            <v>JP3</v>
          </cell>
          <cell r="D211">
            <v>202</v>
          </cell>
          <cell r="F211" t="str">
            <v>M.S</v>
          </cell>
          <cell r="G211" t="str">
            <v>Disc</v>
          </cell>
          <cell r="H211">
            <v>1.2999999999999999E-2</v>
          </cell>
          <cell r="I211" t="str">
            <v>Puntera Neg. Canel - Afila</v>
          </cell>
          <cell r="J211">
            <v>0</v>
          </cell>
          <cell r="O211">
            <v>8000</v>
          </cell>
        </row>
        <row r="212">
          <cell r="C212" t="str">
            <v>JP3</v>
          </cell>
          <cell r="D212">
            <v>203</v>
          </cell>
          <cell r="F212" t="str">
            <v>M.S</v>
          </cell>
          <cell r="G212" t="str">
            <v>Disc</v>
          </cell>
          <cell r="H212">
            <v>1.2999999999999999E-2</v>
          </cell>
          <cell r="I212" t="str">
            <v>Puntera Neg. Canel - Afila</v>
          </cell>
          <cell r="J212">
            <v>0</v>
          </cell>
          <cell r="O212">
            <v>8000</v>
          </cell>
        </row>
        <row r="213">
          <cell r="C213" t="str">
            <v>JP3</v>
          </cell>
          <cell r="D213">
            <v>204</v>
          </cell>
          <cell r="F213" t="str">
            <v>M.S</v>
          </cell>
          <cell r="G213" t="str">
            <v>Disc</v>
          </cell>
          <cell r="H213">
            <v>1.2999999999999999E-2</v>
          </cell>
          <cell r="I213" t="str">
            <v>Puntera Neg. Canel - Afila</v>
          </cell>
          <cell r="J213">
            <v>0</v>
          </cell>
          <cell r="O213">
            <v>8000</v>
          </cell>
        </row>
        <row r="214">
          <cell r="C214" t="str">
            <v>JP3</v>
          </cell>
          <cell r="D214">
            <v>205</v>
          </cell>
          <cell r="F214" t="str">
            <v>M.S</v>
          </cell>
          <cell r="G214" t="str">
            <v>Disc</v>
          </cell>
          <cell r="H214">
            <v>1.2999999999999999E-2</v>
          </cell>
          <cell r="I214" t="str">
            <v>Puntera Neg. Canel - Afila</v>
          </cell>
          <cell r="J214">
            <v>0</v>
          </cell>
          <cell r="O214">
            <v>8000</v>
          </cell>
        </row>
        <row r="215">
          <cell r="C215" t="str">
            <v>JP3</v>
          </cell>
          <cell r="D215" t="str">
            <v>206</v>
          </cell>
          <cell r="F215" t="str">
            <v>M.S</v>
          </cell>
          <cell r="G215" t="str">
            <v>Disc</v>
          </cell>
          <cell r="H215">
            <v>1.2999999999999999E-2</v>
          </cell>
          <cell r="I215" t="str">
            <v>Puntera Neg. Canel - Afila</v>
          </cell>
          <cell r="J215">
            <v>0</v>
          </cell>
          <cell r="O215">
            <v>8000</v>
          </cell>
        </row>
        <row r="216">
          <cell r="C216" t="str">
            <v>JP3</v>
          </cell>
          <cell r="D216" t="str">
            <v>207F</v>
          </cell>
          <cell r="F216" t="str">
            <v>M.S</v>
          </cell>
          <cell r="H216">
            <v>1.2999999999999999E-2</v>
          </cell>
          <cell r="I216" t="str">
            <v>Puntera Neg. Canel - Afila</v>
          </cell>
          <cell r="J216">
            <v>0</v>
          </cell>
          <cell r="O216">
            <v>8000</v>
          </cell>
        </row>
        <row r="217">
          <cell r="C217" t="str">
            <v>JP3</v>
          </cell>
          <cell r="D217">
            <v>208</v>
          </cell>
          <cell r="F217" t="str">
            <v>M.S</v>
          </cell>
          <cell r="G217" t="str">
            <v>Disc</v>
          </cell>
          <cell r="H217">
            <v>1.2999999999999999E-2</v>
          </cell>
          <cell r="I217" t="str">
            <v>Puntera Neg. Canel - Afila</v>
          </cell>
          <cell r="J217">
            <v>0</v>
          </cell>
          <cell r="O217">
            <v>8000</v>
          </cell>
        </row>
        <row r="218">
          <cell r="C218" t="str">
            <v>JP3</v>
          </cell>
          <cell r="D218">
            <v>13</v>
          </cell>
          <cell r="F218" t="str">
            <v>M.S</v>
          </cell>
          <cell r="H218">
            <v>1.2999999999999999E-2</v>
          </cell>
          <cell r="I218" t="str">
            <v>Puntera Neg. Canel - Afila</v>
          </cell>
          <cell r="J218">
            <v>0</v>
          </cell>
          <cell r="O218">
            <v>8000</v>
          </cell>
        </row>
        <row r="219">
          <cell r="C219" t="str">
            <v>JP4</v>
          </cell>
          <cell r="D219">
            <v>87</v>
          </cell>
          <cell r="F219" t="str">
            <v>M.S</v>
          </cell>
          <cell r="G219" t="str">
            <v>Disc</v>
          </cell>
          <cell r="H219">
            <v>1.2999999999999999E-2</v>
          </cell>
          <cell r="I219" t="str">
            <v>Puntera Neg. Corta Queso</v>
          </cell>
          <cell r="J219">
            <v>0</v>
          </cell>
          <cell r="O219">
            <v>8000</v>
          </cell>
        </row>
        <row r="220">
          <cell r="C220" t="str">
            <v>JP5</v>
          </cell>
          <cell r="D220">
            <v>92</v>
          </cell>
          <cell r="F220" t="str">
            <v>M.S</v>
          </cell>
          <cell r="G220" t="str">
            <v>Disc</v>
          </cell>
          <cell r="H220">
            <v>1.2999999999999999E-2</v>
          </cell>
          <cell r="I220" t="str">
            <v>Punt Neg. Cuch. y pala Torta</v>
          </cell>
          <cell r="J220">
            <v>0</v>
          </cell>
          <cell r="O220">
            <v>8000</v>
          </cell>
        </row>
        <row r="221">
          <cell r="C221" t="str">
            <v>JP6</v>
          </cell>
          <cell r="D221">
            <v>81</v>
          </cell>
          <cell r="F221" t="str">
            <v>M.S</v>
          </cell>
          <cell r="H221">
            <v>1.2999999999999999E-2</v>
          </cell>
          <cell r="I221" t="str">
            <v>Puntera Neg. Pelador</v>
          </cell>
          <cell r="J221">
            <v>0</v>
          </cell>
          <cell r="O221">
            <v>8000</v>
          </cell>
        </row>
        <row r="222">
          <cell r="C222" t="str">
            <v>JP7</v>
          </cell>
          <cell r="D222">
            <v>86</v>
          </cell>
          <cell r="F222" t="str">
            <v>M.S</v>
          </cell>
          <cell r="H222">
            <v>1.2999999999999999E-2</v>
          </cell>
          <cell r="I222" t="str">
            <v>Punt Neg. Pincel Pastelero</v>
          </cell>
          <cell r="J222">
            <v>0</v>
          </cell>
          <cell r="O222">
            <v>8000</v>
          </cell>
        </row>
        <row r="223">
          <cell r="C223" t="str">
            <v>JP8</v>
          </cell>
          <cell r="D223">
            <v>82</v>
          </cell>
          <cell r="F223" t="str">
            <v>M.S</v>
          </cell>
          <cell r="G223" t="str">
            <v>Disc</v>
          </cell>
          <cell r="H223">
            <v>1.2999999999999999E-2</v>
          </cell>
          <cell r="I223" t="str">
            <v xml:space="preserve">Puntera Neg. Espatula </v>
          </cell>
          <cell r="J223">
            <v>0</v>
          </cell>
          <cell r="O223">
            <v>8000</v>
          </cell>
        </row>
        <row r="224">
          <cell r="C224" t="str">
            <v>JP8</v>
          </cell>
          <cell r="D224">
            <v>83</v>
          </cell>
          <cell r="F224" t="str">
            <v>M.S</v>
          </cell>
          <cell r="G224" t="str">
            <v>Disc</v>
          </cell>
          <cell r="H224">
            <v>1.2999999999999999E-2</v>
          </cell>
          <cell r="I224" t="str">
            <v xml:space="preserve">Puntera Neg. Espatula </v>
          </cell>
          <cell r="J224">
            <v>0</v>
          </cell>
          <cell r="O224">
            <v>8000</v>
          </cell>
        </row>
        <row r="225">
          <cell r="C225" t="str">
            <v>JP8</v>
          </cell>
          <cell r="D225">
            <v>84</v>
          </cell>
          <cell r="F225" t="str">
            <v>M.S</v>
          </cell>
          <cell r="G225" t="str">
            <v>Disc</v>
          </cell>
          <cell r="H225">
            <v>1.2999999999999999E-2</v>
          </cell>
          <cell r="I225" t="str">
            <v xml:space="preserve">Puntera Neg. Espatula </v>
          </cell>
          <cell r="J225">
            <v>0</v>
          </cell>
          <cell r="O225">
            <v>8000</v>
          </cell>
        </row>
        <row r="226">
          <cell r="C226" t="str">
            <v>JP8</v>
          </cell>
          <cell r="D226">
            <v>85</v>
          </cell>
          <cell r="F226" t="str">
            <v>M.S</v>
          </cell>
          <cell r="H226">
            <v>1.2999999999999999E-2</v>
          </cell>
          <cell r="I226" t="str">
            <v xml:space="preserve">Puntera Neg. Espatula </v>
          </cell>
          <cell r="J226">
            <v>0</v>
          </cell>
          <cell r="O226">
            <v>8000</v>
          </cell>
        </row>
        <row r="227">
          <cell r="C227" t="str">
            <v>KP2</v>
          </cell>
          <cell r="D227">
            <v>22</v>
          </cell>
          <cell r="F227" t="str">
            <v>M.S</v>
          </cell>
          <cell r="H227">
            <v>1.2999999999999999E-2</v>
          </cell>
          <cell r="I227" t="str">
            <v>Puntera negra ф 6</v>
          </cell>
          <cell r="J227">
            <v>0</v>
          </cell>
          <cell r="O227">
            <v>8000</v>
          </cell>
        </row>
        <row r="228">
          <cell r="C228" t="str">
            <v>KP3</v>
          </cell>
          <cell r="D228">
            <v>38</v>
          </cell>
          <cell r="F228" t="str">
            <v>M.S</v>
          </cell>
          <cell r="H228">
            <v>1.2999999999999999E-2</v>
          </cell>
          <cell r="I228" t="str">
            <v xml:space="preserve">Puntera Neg. Pisa Papas </v>
          </cell>
          <cell r="J228">
            <v>0</v>
          </cell>
          <cell r="O228">
            <v>8000</v>
          </cell>
        </row>
        <row r="229">
          <cell r="C229" t="str">
            <v>KP3</v>
          </cell>
          <cell r="D229">
            <v>41</v>
          </cell>
          <cell r="F229" t="str">
            <v>M.S</v>
          </cell>
          <cell r="H229">
            <v>1.2999999999999999E-2</v>
          </cell>
          <cell r="I229" t="str">
            <v xml:space="preserve">Puntera Neg. Pisa Papas </v>
          </cell>
          <cell r="J229">
            <v>0</v>
          </cell>
          <cell r="O229">
            <v>8000</v>
          </cell>
        </row>
        <row r="230">
          <cell r="C230" t="str">
            <v>KP4</v>
          </cell>
          <cell r="D230">
            <v>89</v>
          </cell>
          <cell r="F230" t="str">
            <v>M.S</v>
          </cell>
          <cell r="G230" t="str">
            <v>Disc</v>
          </cell>
          <cell r="H230">
            <v>1.2999999999999999E-2</v>
          </cell>
          <cell r="I230" t="str">
            <v>Puntera negra colador chico</v>
          </cell>
          <cell r="J230">
            <v>0</v>
          </cell>
          <cell r="O230">
            <v>8000</v>
          </cell>
        </row>
        <row r="231">
          <cell r="C231" t="str">
            <v>KP4</v>
          </cell>
          <cell r="D231">
            <v>90</v>
          </cell>
          <cell r="F231" t="str">
            <v>M.S</v>
          </cell>
          <cell r="G231" t="str">
            <v>Disc</v>
          </cell>
          <cell r="H231">
            <v>1.2999999999999999E-2</v>
          </cell>
          <cell r="I231" t="str">
            <v>Puntera negra colador chico</v>
          </cell>
          <cell r="J231">
            <v>0</v>
          </cell>
          <cell r="O231">
            <v>8000</v>
          </cell>
        </row>
        <row r="232">
          <cell r="C232" t="str">
            <v>KP5</v>
          </cell>
          <cell r="D232">
            <v>50</v>
          </cell>
          <cell r="F232" t="str">
            <v>M.S</v>
          </cell>
          <cell r="G232" t="str">
            <v>Disc</v>
          </cell>
          <cell r="H232">
            <v>1.2999999999999999E-2</v>
          </cell>
          <cell r="I232" t="str">
            <v>Punt negra descorazonador</v>
          </cell>
          <cell r="J232">
            <v>0</v>
          </cell>
          <cell r="O232">
            <v>8000</v>
          </cell>
        </row>
        <row r="233">
          <cell r="C233" t="str">
            <v>KP6</v>
          </cell>
          <cell r="D233" t="str">
            <v/>
          </cell>
          <cell r="H233">
            <v>1.2999999999999999E-2</v>
          </cell>
          <cell r="I233" t="str">
            <v>Puntera negra India</v>
          </cell>
          <cell r="J233">
            <v>0</v>
          </cell>
          <cell r="O233">
            <v>8000</v>
          </cell>
        </row>
        <row r="234">
          <cell r="C234" t="str">
            <v>KP7</v>
          </cell>
          <cell r="D234">
            <v>640</v>
          </cell>
          <cell r="F234" t="str">
            <v>CH</v>
          </cell>
          <cell r="H234">
            <v>8.9999999999999993E-3</v>
          </cell>
          <cell r="I234" t="str">
            <v>Tapas Azules</v>
          </cell>
          <cell r="J234">
            <v>0</v>
          </cell>
          <cell r="O234">
            <v>6000</v>
          </cell>
        </row>
        <row r="235">
          <cell r="C235" t="str">
            <v>KP7</v>
          </cell>
          <cell r="D235">
            <v>641</v>
          </cell>
          <cell r="F235" t="str">
            <v>CH</v>
          </cell>
          <cell r="H235">
            <v>8.9999999999999993E-3</v>
          </cell>
          <cell r="I235" t="str">
            <v>Tapas Azules</v>
          </cell>
          <cell r="J235">
            <v>0</v>
          </cell>
          <cell r="O235">
            <v>6000</v>
          </cell>
        </row>
        <row r="236">
          <cell r="C236" t="str">
            <v>KP7</v>
          </cell>
          <cell r="D236">
            <v>642</v>
          </cell>
          <cell r="F236" t="str">
            <v>CH</v>
          </cell>
          <cell r="H236">
            <v>8.9999999999999993E-3</v>
          </cell>
          <cell r="I236" t="str">
            <v>Tapas Azules</v>
          </cell>
          <cell r="J236">
            <v>0</v>
          </cell>
          <cell r="O236">
            <v>6000</v>
          </cell>
        </row>
        <row r="237">
          <cell r="C237" t="str">
            <v>KP7</v>
          </cell>
          <cell r="D237">
            <v>643</v>
          </cell>
          <cell r="F237" t="str">
            <v>CH</v>
          </cell>
          <cell r="H237">
            <v>8.9999999999999993E-3</v>
          </cell>
          <cell r="I237" t="str">
            <v>Tapas Azules</v>
          </cell>
          <cell r="J237">
            <v>0</v>
          </cell>
          <cell r="O237">
            <v>6000</v>
          </cell>
        </row>
        <row r="238">
          <cell r="C238" t="str">
            <v>KP7</v>
          </cell>
          <cell r="D238">
            <v>644</v>
          </cell>
          <cell r="F238" t="str">
            <v>CH</v>
          </cell>
          <cell r="H238">
            <v>8.9999999999999993E-3</v>
          </cell>
          <cell r="I238" t="str">
            <v>Tapas Azules</v>
          </cell>
          <cell r="J238">
            <v>0</v>
          </cell>
          <cell r="O238">
            <v>6000</v>
          </cell>
        </row>
        <row r="239">
          <cell r="C239" t="str">
            <v>KP7</v>
          </cell>
          <cell r="D239">
            <v>645</v>
          </cell>
          <cell r="F239" t="str">
            <v>CH</v>
          </cell>
          <cell r="H239">
            <v>8.9999999999999993E-3</v>
          </cell>
          <cell r="I239" t="str">
            <v>Tapas Azules</v>
          </cell>
          <cell r="J239">
            <v>0</v>
          </cell>
          <cell r="O239">
            <v>6000</v>
          </cell>
        </row>
        <row r="240">
          <cell r="C240" t="str">
            <v>KP7</v>
          </cell>
          <cell r="D240">
            <v>646</v>
          </cell>
          <cell r="F240" t="str">
            <v>CH</v>
          </cell>
          <cell r="H240">
            <v>8.9999999999999993E-3</v>
          </cell>
          <cell r="I240" t="str">
            <v>Tapas Azules</v>
          </cell>
          <cell r="J240">
            <v>0</v>
          </cell>
          <cell r="O240">
            <v>6000</v>
          </cell>
        </row>
        <row r="241">
          <cell r="C241" t="str">
            <v>KP7</v>
          </cell>
          <cell r="D241">
            <v>647</v>
          </cell>
          <cell r="F241" t="str">
            <v>CH</v>
          </cell>
          <cell r="H241">
            <v>8.9999999999999993E-3</v>
          </cell>
          <cell r="I241" t="str">
            <v>Tapas Azules</v>
          </cell>
          <cell r="J241">
            <v>0</v>
          </cell>
          <cell r="O241">
            <v>6000</v>
          </cell>
        </row>
        <row r="242">
          <cell r="C242" t="str">
            <v>KP7</v>
          </cell>
          <cell r="D242">
            <v>100</v>
          </cell>
          <cell r="F242" t="str">
            <v>CH</v>
          </cell>
          <cell r="G242" t="str">
            <v>Disc</v>
          </cell>
          <cell r="H242">
            <v>8.9999999999999993E-3</v>
          </cell>
          <cell r="I242" t="str">
            <v>Tapas Azules</v>
          </cell>
          <cell r="J242">
            <v>0</v>
          </cell>
          <cell r="O242">
            <v>6000</v>
          </cell>
        </row>
        <row r="243">
          <cell r="C243" t="str">
            <v>KP7</v>
          </cell>
          <cell r="D243">
            <v>101</v>
          </cell>
          <cell r="F243" t="str">
            <v>CH</v>
          </cell>
          <cell r="G243" t="str">
            <v>Disc</v>
          </cell>
          <cell r="H243">
            <v>8.9999999999999993E-3</v>
          </cell>
          <cell r="I243" t="str">
            <v>Tapas Azules</v>
          </cell>
          <cell r="J243">
            <v>0</v>
          </cell>
          <cell r="O243">
            <v>6000</v>
          </cell>
        </row>
        <row r="244">
          <cell r="C244" t="str">
            <v>KP7</v>
          </cell>
          <cell r="D244">
            <v>102</v>
          </cell>
          <cell r="F244" t="str">
            <v>CH</v>
          </cell>
          <cell r="H244">
            <v>8.9999999999999993E-3</v>
          </cell>
          <cell r="I244" t="str">
            <v>Tapas Azules</v>
          </cell>
          <cell r="J244">
            <v>0</v>
          </cell>
          <cell r="O244">
            <v>6000</v>
          </cell>
        </row>
        <row r="245">
          <cell r="C245" t="str">
            <v>KP7</v>
          </cell>
          <cell r="D245">
            <v>104</v>
          </cell>
          <cell r="F245" t="str">
            <v>CH</v>
          </cell>
          <cell r="H245">
            <v>8.9999999999999993E-3</v>
          </cell>
          <cell r="I245" t="str">
            <v>Tapas Azules</v>
          </cell>
          <cell r="J245">
            <v>0</v>
          </cell>
          <cell r="O245">
            <v>6000</v>
          </cell>
        </row>
        <row r="246">
          <cell r="C246" t="str">
            <v>KP7</v>
          </cell>
          <cell r="D246">
            <v>177</v>
          </cell>
          <cell r="F246" t="str">
            <v>CH</v>
          </cell>
          <cell r="G246" t="str">
            <v>Disc</v>
          </cell>
          <cell r="H246">
            <v>8.9999999999999993E-3</v>
          </cell>
          <cell r="I246" t="str">
            <v>Tapas Azules</v>
          </cell>
          <cell r="J246">
            <v>0</v>
          </cell>
          <cell r="O246">
            <v>6000</v>
          </cell>
        </row>
        <row r="247">
          <cell r="C247" t="str">
            <v>KP7</v>
          </cell>
          <cell r="D247">
            <v>107</v>
          </cell>
          <cell r="F247" t="str">
            <v>CH</v>
          </cell>
          <cell r="G247" t="str">
            <v>Disc</v>
          </cell>
          <cell r="H247">
            <v>8.9999999999999993E-3</v>
          </cell>
          <cell r="I247" t="str">
            <v>Tapas Azules</v>
          </cell>
          <cell r="J247">
            <v>0</v>
          </cell>
          <cell r="O247">
            <v>6000</v>
          </cell>
        </row>
        <row r="248">
          <cell r="C248" t="str">
            <v>KP7</v>
          </cell>
          <cell r="D248">
            <v>108</v>
          </cell>
          <cell r="F248" t="str">
            <v>CH</v>
          </cell>
          <cell r="G248" t="str">
            <v>Disc</v>
          </cell>
          <cell r="H248">
            <v>8.9999999999999993E-3</v>
          </cell>
          <cell r="I248" t="str">
            <v>Tapas Azules</v>
          </cell>
          <cell r="J248">
            <v>0</v>
          </cell>
          <cell r="O248">
            <v>6000</v>
          </cell>
        </row>
        <row r="249">
          <cell r="C249" t="str">
            <v>KP1</v>
          </cell>
          <cell r="D249" t="str">
            <v>138K</v>
          </cell>
          <cell r="F249" t="str">
            <v>Krea</v>
          </cell>
          <cell r="H249">
            <v>8.9999999999999993E-3</v>
          </cell>
          <cell r="I249" t="str">
            <v>Tapas Verdes</v>
          </cell>
          <cell r="J249">
            <v>0</v>
          </cell>
          <cell r="O249">
            <v>6000</v>
          </cell>
        </row>
        <row r="250">
          <cell r="C250" t="str">
            <v>KP1</v>
          </cell>
          <cell r="D250">
            <v>640</v>
          </cell>
          <cell r="F250" t="str">
            <v>CH</v>
          </cell>
          <cell r="H250">
            <v>8.9999999999999993E-3</v>
          </cell>
          <cell r="I250" t="str">
            <v>Tapas Verdes</v>
          </cell>
          <cell r="J250">
            <v>0</v>
          </cell>
          <cell r="O250">
            <v>6000</v>
          </cell>
        </row>
        <row r="251">
          <cell r="C251" t="str">
            <v>KP1</v>
          </cell>
          <cell r="D251">
            <v>641</v>
          </cell>
          <cell r="F251" t="str">
            <v>CH</v>
          </cell>
          <cell r="H251">
            <v>8.9999999999999993E-3</v>
          </cell>
          <cell r="I251" t="str">
            <v>Tapas Verdes</v>
          </cell>
          <cell r="J251">
            <v>0</v>
          </cell>
          <cell r="O251">
            <v>6000</v>
          </cell>
        </row>
        <row r="252">
          <cell r="C252" t="str">
            <v>KP1</v>
          </cell>
          <cell r="D252">
            <v>642</v>
          </cell>
          <cell r="F252" t="str">
            <v>CH</v>
          </cell>
          <cell r="H252">
            <v>8.9999999999999993E-3</v>
          </cell>
          <cell r="I252" t="str">
            <v>Tapas Verdes</v>
          </cell>
          <cell r="J252">
            <v>0</v>
          </cell>
          <cell r="O252">
            <v>6000</v>
          </cell>
        </row>
        <row r="253">
          <cell r="C253" t="str">
            <v>KP1</v>
          </cell>
          <cell r="D253">
            <v>643</v>
          </cell>
          <cell r="F253" t="str">
            <v>CH</v>
          </cell>
          <cell r="H253">
            <v>8.9999999999999993E-3</v>
          </cell>
          <cell r="I253" t="str">
            <v>Tapas Verdes</v>
          </cell>
          <cell r="J253">
            <v>0</v>
          </cell>
          <cell r="O253">
            <v>6000</v>
          </cell>
        </row>
        <row r="254">
          <cell r="C254" t="str">
            <v>KP1</v>
          </cell>
          <cell r="D254">
            <v>644</v>
          </cell>
          <cell r="F254" t="str">
            <v>CH</v>
          </cell>
          <cell r="H254">
            <v>8.9999999999999993E-3</v>
          </cell>
          <cell r="I254" t="str">
            <v>Tapas Verdes</v>
          </cell>
          <cell r="J254">
            <v>0</v>
          </cell>
          <cell r="O254">
            <v>6000</v>
          </cell>
        </row>
        <row r="255">
          <cell r="C255" t="str">
            <v>KP1</v>
          </cell>
          <cell r="D255">
            <v>645</v>
          </cell>
          <cell r="F255" t="str">
            <v>CH</v>
          </cell>
          <cell r="H255">
            <v>8.9999999999999993E-3</v>
          </cell>
          <cell r="I255" t="str">
            <v>Tapas Verdes</v>
          </cell>
          <cell r="J255">
            <v>0</v>
          </cell>
          <cell r="O255">
            <v>6000</v>
          </cell>
        </row>
        <row r="256">
          <cell r="C256" t="str">
            <v>KP1</v>
          </cell>
          <cell r="D256">
            <v>646</v>
          </cell>
          <cell r="F256" t="str">
            <v>CH</v>
          </cell>
          <cell r="H256">
            <v>8.9999999999999993E-3</v>
          </cell>
          <cell r="I256" t="str">
            <v>Tapas Verdes</v>
          </cell>
          <cell r="J256">
            <v>0</v>
          </cell>
          <cell r="O256">
            <v>6000</v>
          </cell>
        </row>
        <row r="257">
          <cell r="C257" t="str">
            <v>KP1</v>
          </cell>
          <cell r="D257">
            <v>647</v>
          </cell>
          <cell r="F257" t="str">
            <v>CH</v>
          </cell>
          <cell r="H257">
            <v>8.9999999999999993E-3</v>
          </cell>
          <cell r="I257" t="str">
            <v>Tapas Verdes</v>
          </cell>
          <cell r="J257">
            <v>0</v>
          </cell>
          <cell r="O257">
            <v>6000</v>
          </cell>
        </row>
        <row r="258">
          <cell r="C258" t="str">
            <v>KP1</v>
          </cell>
          <cell r="D258" t="str">
            <v>133K</v>
          </cell>
          <cell r="F258" t="str">
            <v>Krea</v>
          </cell>
          <cell r="G258" t="str">
            <v>Disc</v>
          </cell>
          <cell r="H258">
            <v>8.9999999999999993E-3</v>
          </cell>
          <cell r="I258" t="str">
            <v>Tapas Verdes</v>
          </cell>
          <cell r="J258">
            <v>0</v>
          </cell>
          <cell r="O258">
            <v>6000</v>
          </cell>
        </row>
        <row r="259">
          <cell r="C259" t="str">
            <v>KP1</v>
          </cell>
          <cell r="D259" t="str">
            <v>134K</v>
          </cell>
          <cell r="F259" t="str">
            <v>Krea</v>
          </cell>
          <cell r="H259">
            <v>8.9999999999999993E-3</v>
          </cell>
          <cell r="I259" t="str">
            <v>Tapas Verdes</v>
          </cell>
          <cell r="J259">
            <v>0</v>
          </cell>
          <cell r="O259">
            <v>6000</v>
          </cell>
        </row>
        <row r="260">
          <cell r="C260" t="str">
            <v>KP1</v>
          </cell>
          <cell r="D260" t="str">
            <v>135K</v>
          </cell>
          <cell r="F260" t="str">
            <v>Krea</v>
          </cell>
          <cell r="H260">
            <v>8.9999999999999993E-3</v>
          </cell>
          <cell r="I260" t="str">
            <v>Tapas Verdes</v>
          </cell>
          <cell r="J260">
            <v>0</v>
          </cell>
          <cell r="O260">
            <v>6000</v>
          </cell>
        </row>
        <row r="261">
          <cell r="C261" t="str">
            <v>KP1</v>
          </cell>
          <cell r="D261" t="str">
            <v>136K</v>
          </cell>
          <cell r="F261" t="str">
            <v>Krea</v>
          </cell>
          <cell r="H261">
            <v>8.9999999999999993E-3</v>
          </cell>
          <cell r="I261" t="str">
            <v>Tapas Verdes</v>
          </cell>
          <cell r="J261">
            <v>0</v>
          </cell>
          <cell r="O261">
            <v>6000</v>
          </cell>
        </row>
        <row r="262">
          <cell r="C262" t="str">
            <v>KP1</v>
          </cell>
          <cell r="D262" t="str">
            <v>137K</v>
          </cell>
          <cell r="F262" t="str">
            <v>Krea</v>
          </cell>
          <cell r="H262">
            <v>8.9999999999999993E-3</v>
          </cell>
          <cell r="I262" t="str">
            <v>Tapas Verdes</v>
          </cell>
          <cell r="J262">
            <v>0</v>
          </cell>
          <cell r="O262">
            <v>6000</v>
          </cell>
        </row>
        <row r="263">
          <cell r="C263" t="str">
            <v>KP1</v>
          </cell>
          <cell r="D263" t="str">
            <v>140K</v>
          </cell>
          <cell r="F263" t="str">
            <v>Krea</v>
          </cell>
          <cell r="G263" t="str">
            <v>Disc</v>
          </cell>
          <cell r="H263">
            <v>8.9999999999999993E-3</v>
          </cell>
          <cell r="I263" t="str">
            <v>Tapas Verdes</v>
          </cell>
          <cell r="J263">
            <v>0</v>
          </cell>
          <cell r="O263">
            <v>6000</v>
          </cell>
        </row>
        <row r="264">
          <cell r="C264" t="str">
            <v>KP1</v>
          </cell>
          <cell r="D264" t="str">
            <v>139K</v>
          </cell>
          <cell r="F264" t="str">
            <v>Krea</v>
          </cell>
          <cell r="G264" t="str">
            <v>Disc</v>
          </cell>
          <cell r="H264">
            <v>8.9999999999999993E-3</v>
          </cell>
          <cell r="I264" t="str">
            <v>Tapas Verdes</v>
          </cell>
          <cell r="J264">
            <v>780</v>
          </cell>
          <cell r="O264">
            <v>6000</v>
          </cell>
        </row>
        <row r="265">
          <cell r="C265" t="str">
            <v>KP1</v>
          </cell>
          <cell r="D265" t="str">
            <v>174K</v>
          </cell>
          <cell r="F265" t="str">
            <v>Krea</v>
          </cell>
          <cell r="G265" t="str">
            <v>Disc</v>
          </cell>
          <cell r="H265">
            <v>8.9999999999999993E-3</v>
          </cell>
          <cell r="I265" t="str">
            <v>Tapas Verdes</v>
          </cell>
          <cell r="J265">
            <v>0</v>
          </cell>
          <cell r="O265">
            <v>6000</v>
          </cell>
        </row>
        <row r="266">
          <cell r="C266" t="str">
            <v>KP1</v>
          </cell>
          <cell r="D266" t="str">
            <v>175K</v>
          </cell>
          <cell r="F266" t="str">
            <v>Krea</v>
          </cell>
          <cell r="G266" t="str">
            <v>Disc</v>
          </cell>
          <cell r="H266">
            <v>8.9999999999999993E-3</v>
          </cell>
          <cell r="I266" t="str">
            <v>Tapas Verdes</v>
          </cell>
          <cell r="J266">
            <v>0</v>
          </cell>
          <cell r="O266">
            <v>6000</v>
          </cell>
        </row>
        <row r="267">
          <cell r="C267" t="str">
            <v>KP1</v>
          </cell>
          <cell r="D267" t="str">
            <v>119K</v>
          </cell>
          <cell r="F267" t="str">
            <v>Krea</v>
          </cell>
          <cell r="G267" t="str">
            <v>Disc</v>
          </cell>
          <cell r="H267">
            <v>8.9999999999999993E-3</v>
          </cell>
          <cell r="I267" t="str">
            <v>Tapas Verdes</v>
          </cell>
          <cell r="J267">
            <v>0</v>
          </cell>
          <cell r="O267">
            <v>6000</v>
          </cell>
        </row>
        <row r="268">
          <cell r="C268" t="str">
            <v>KP1</v>
          </cell>
          <cell r="D268" t="str">
            <v>120K</v>
          </cell>
          <cell r="F268" t="str">
            <v>Krea</v>
          </cell>
          <cell r="G268" t="str">
            <v>Disc</v>
          </cell>
          <cell r="H268">
            <v>8.9999999999999993E-3</v>
          </cell>
          <cell r="I268" t="str">
            <v>Tapas Verdes</v>
          </cell>
          <cell r="J268">
            <v>0</v>
          </cell>
          <cell r="O268">
            <v>6000</v>
          </cell>
        </row>
        <row r="269">
          <cell r="C269" t="str">
            <v>KP1</v>
          </cell>
          <cell r="D269" t="str">
            <v>121K</v>
          </cell>
          <cell r="F269" t="str">
            <v>Krea</v>
          </cell>
          <cell r="H269">
            <v>8.9999999999999993E-3</v>
          </cell>
          <cell r="I269" t="str">
            <v>Tapas Verdes</v>
          </cell>
          <cell r="J269">
            <v>540</v>
          </cell>
          <cell r="O269">
            <v>6000</v>
          </cell>
        </row>
        <row r="270">
          <cell r="C270" t="str">
            <v>KP1</v>
          </cell>
          <cell r="D270" t="str">
            <v>122K</v>
          </cell>
          <cell r="F270" t="str">
            <v>Krea</v>
          </cell>
          <cell r="H270">
            <v>8.9999999999999993E-3</v>
          </cell>
          <cell r="I270" t="str">
            <v>Tapas Verdes</v>
          </cell>
          <cell r="J270">
            <v>0</v>
          </cell>
          <cell r="O270">
            <v>6000</v>
          </cell>
        </row>
        <row r="271">
          <cell r="C271" t="str">
            <v>KP1</v>
          </cell>
          <cell r="D271" t="str">
            <v>123K</v>
          </cell>
          <cell r="F271" t="str">
            <v>Krea</v>
          </cell>
          <cell r="H271">
            <v>8.9999999999999993E-3</v>
          </cell>
          <cell r="I271" t="str">
            <v>Tapas Verdes</v>
          </cell>
          <cell r="J271">
            <v>0</v>
          </cell>
          <cell r="O271">
            <v>6000</v>
          </cell>
        </row>
        <row r="272">
          <cell r="C272" t="str">
            <v>KP1</v>
          </cell>
          <cell r="D272" t="str">
            <v>124K</v>
          </cell>
          <cell r="F272" t="str">
            <v>Krea</v>
          </cell>
          <cell r="H272">
            <v>8.9999999999999993E-3</v>
          </cell>
          <cell r="I272" t="str">
            <v>Tapas Verdes</v>
          </cell>
          <cell r="J272">
            <v>0</v>
          </cell>
          <cell r="O272">
            <v>6000</v>
          </cell>
        </row>
        <row r="273">
          <cell r="C273" t="str">
            <v>LP1</v>
          </cell>
          <cell r="D273">
            <v>1066</v>
          </cell>
          <cell r="F273" t="str">
            <v>H.L</v>
          </cell>
          <cell r="H273">
            <v>1.4E-2</v>
          </cell>
          <cell r="I273" t="str">
            <v>Capuchon Vdes</v>
          </cell>
          <cell r="J273">
            <v>0</v>
          </cell>
          <cell r="O273">
            <v>6000</v>
          </cell>
        </row>
        <row r="274">
          <cell r="C274" t="str">
            <v>LP1</v>
          </cell>
          <cell r="D274">
            <v>1068</v>
          </cell>
          <cell r="F274" t="str">
            <v>H.L</v>
          </cell>
          <cell r="H274">
            <v>1.4E-2</v>
          </cell>
          <cell r="I274" t="str">
            <v>Capuchon Vdes</v>
          </cell>
          <cell r="J274">
            <v>0</v>
          </cell>
          <cell r="O274">
            <v>6000</v>
          </cell>
        </row>
        <row r="275">
          <cell r="C275" t="str">
            <v>LP1</v>
          </cell>
          <cell r="D275">
            <v>1088</v>
          </cell>
          <cell r="F275" t="str">
            <v>H.L</v>
          </cell>
          <cell r="H275">
            <v>1.4E-2</v>
          </cell>
          <cell r="I275" t="str">
            <v>Capuchon Vdes</v>
          </cell>
          <cell r="J275">
            <v>0</v>
          </cell>
          <cell r="O275">
            <v>6000</v>
          </cell>
        </row>
        <row r="276">
          <cell r="C276" t="str">
            <v>LP1</v>
          </cell>
          <cell r="D276">
            <v>1069</v>
          </cell>
          <cell r="F276" t="str">
            <v>H.L</v>
          </cell>
          <cell r="H276">
            <v>1.4E-2</v>
          </cell>
          <cell r="I276" t="str">
            <v>Capuchon Vdes</v>
          </cell>
          <cell r="J276">
            <v>0</v>
          </cell>
          <cell r="O276">
            <v>6000</v>
          </cell>
        </row>
        <row r="277">
          <cell r="C277" t="str">
            <v>LP1</v>
          </cell>
          <cell r="D277">
            <v>1095</v>
          </cell>
          <cell r="F277" t="str">
            <v>H.L</v>
          </cell>
          <cell r="H277">
            <v>1.4E-2</v>
          </cell>
          <cell r="I277" t="str">
            <v>Capuchon Vdes</v>
          </cell>
          <cell r="J277">
            <v>0</v>
          </cell>
          <cell r="O277">
            <v>6000</v>
          </cell>
        </row>
        <row r="278">
          <cell r="C278" t="str">
            <v>LP1</v>
          </cell>
          <cell r="D278">
            <v>1086</v>
          </cell>
          <cell r="F278" t="str">
            <v>H.L</v>
          </cell>
          <cell r="G278" t="str">
            <v>Disc</v>
          </cell>
          <cell r="H278">
            <v>1.4E-2</v>
          </cell>
          <cell r="I278" t="str">
            <v>Capuchon Vdes</v>
          </cell>
          <cell r="J278">
            <v>0</v>
          </cell>
          <cell r="O278">
            <v>6000</v>
          </cell>
        </row>
        <row r="279">
          <cell r="C279" t="str">
            <v>LP1</v>
          </cell>
          <cell r="D279">
            <v>1072</v>
          </cell>
          <cell r="F279" t="str">
            <v>H.L</v>
          </cell>
          <cell r="H279">
            <v>1.4E-2</v>
          </cell>
          <cell r="I279" t="str">
            <v>Capuchon Vdes</v>
          </cell>
          <cell r="J279">
            <v>0</v>
          </cell>
          <cell r="O279">
            <v>6000</v>
          </cell>
        </row>
        <row r="280">
          <cell r="C280" t="str">
            <v>LP1</v>
          </cell>
          <cell r="D280">
            <v>1070</v>
          </cell>
          <cell r="F280" t="str">
            <v>H.L</v>
          </cell>
          <cell r="H280">
            <v>1.4E-2</v>
          </cell>
          <cell r="I280" t="str">
            <v>Capuchon Vdes</v>
          </cell>
          <cell r="J280">
            <v>0</v>
          </cell>
          <cell r="O280">
            <v>6000</v>
          </cell>
        </row>
        <row r="281">
          <cell r="C281" t="str">
            <v>LP1</v>
          </cell>
          <cell r="D281">
            <v>1071</v>
          </cell>
          <cell r="F281" t="str">
            <v>H.L</v>
          </cell>
          <cell r="H281">
            <v>1.4E-2</v>
          </cell>
          <cell r="I281" t="str">
            <v>Capuchon Vdes</v>
          </cell>
          <cell r="J281">
            <v>0</v>
          </cell>
          <cell r="O281">
            <v>6000</v>
          </cell>
        </row>
        <row r="282">
          <cell r="C282" t="str">
            <v>MP1</v>
          </cell>
          <cell r="D282">
            <v>7</v>
          </cell>
          <cell r="F282" t="str">
            <v>M.S</v>
          </cell>
          <cell r="G282" t="str">
            <v>Disc</v>
          </cell>
          <cell r="H282">
            <v>1.4E-2</v>
          </cell>
          <cell r="I282" t="str">
            <v>Capuchon Neg.</v>
          </cell>
          <cell r="J282">
            <v>0</v>
          </cell>
          <cell r="O282">
            <v>6000</v>
          </cell>
        </row>
        <row r="283">
          <cell r="C283" t="str">
            <v>MP1</v>
          </cell>
          <cell r="D283">
            <v>2</v>
          </cell>
          <cell r="F283" t="str">
            <v>M.S</v>
          </cell>
          <cell r="G283" t="str">
            <v>Disc</v>
          </cell>
          <cell r="H283">
            <v>1.4E-2</v>
          </cell>
          <cell r="I283" t="str">
            <v>Capuchon Neg.</v>
          </cell>
          <cell r="J283">
            <v>0</v>
          </cell>
          <cell r="O283">
            <v>6000</v>
          </cell>
        </row>
        <row r="284">
          <cell r="C284" t="str">
            <v>MP1</v>
          </cell>
          <cell r="D284">
            <v>91</v>
          </cell>
          <cell r="F284" t="str">
            <v>M.S</v>
          </cell>
          <cell r="G284" t="str">
            <v>Disc</v>
          </cell>
          <cell r="H284">
            <v>1.4E-2</v>
          </cell>
          <cell r="I284" t="str">
            <v>Capuchon Neg.</v>
          </cell>
          <cell r="J284">
            <v>0</v>
          </cell>
          <cell r="O284">
            <v>6000</v>
          </cell>
        </row>
        <row r="285">
          <cell r="C285" t="str">
            <v>MP1</v>
          </cell>
          <cell r="D285">
            <v>76</v>
          </cell>
          <cell r="F285" t="str">
            <v>M.S</v>
          </cell>
          <cell r="H285">
            <v>1.4E-2</v>
          </cell>
          <cell r="I285" t="str">
            <v>Capuchon Neg.</v>
          </cell>
          <cell r="J285">
            <v>0</v>
          </cell>
          <cell r="O285">
            <v>6000</v>
          </cell>
        </row>
        <row r="286">
          <cell r="C286" t="str">
            <v>MP1</v>
          </cell>
          <cell r="D286">
            <v>77</v>
          </cell>
          <cell r="F286" t="str">
            <v>M.S</v>
          </cell>
          <cell r="H286">
            <v>1.4E-2</v>
          </cell>
          <cell r="I286" t="str">
            <v>Capuchon Neg.</v>
          </cell>
          <cell r="J286">
            <v>0</v>
          </cell>
          <cell r="O286">
            <v>6000</v>
          </cell>
        </row>
        <row r="287">
          <cell r="C287" t="str">
            <v>MP1</v>
          </cell>
          <cell r="D287">
            <v>78</v>
          </cell>
          <cell r="F287" t="str">
            <v>M.S</v>
          </cell>
          <cell r="H287">
            <v>1.4E-2</v>
          </cell>
          <cell r="I287" t="str">
            <v>Capuchon Neg.</v>
          </cell>
          <cell r="J287">
            <v>0</v>
          </cell>
          <cell r="O287">
            <v>6000</v>
          </cell>
        </row>
        <row r="288">
          <cell r="C288" t="str">
            <v>MP1</v>
          </cell>
          <cell r="D288">
            <v>79</v>
          </cell>
          <cell r="F288" t="str">
            <v>M.S</v>
          </cell>
          <cell r="H288">
            <v>1.4E-2</v>
          </cell>
          <cell r="I288" t="str">
            <v>Capuchon Neg.</v>
          </cell>
          <cell r="J288">
            <v>0</v>
          </cell>
          <cell r="O288">
            <v>6000</v>
          </cell>
        </row>
        <row r="289">
          <cell r="C289" t="str">
            <v>MP1</v>
          </cell>
          <cell r="D289">
            <v>80</v>
          </cell>
          <cell r="F289" t="str">
            <v>M.S</v>
          </cell>
          <cell r="H289">
            <v>1.4E-2</v>
          </cell>
          <cell r="I289" t="str">
            <v>Capuchon Neg.</v>
          </cell>
          <cell r="J289">
            <v>0</v>
          </cell>
          <cell r="O289">
            <v>6000</v>
          </cell>
        </row>
        <row r="290">
          <cell r="C290" t="str">
            <v>MP1</v>
          </cell>
          <cell r="D290">
            <v>94</v>
          </cell>
          <cell r="F290" t="str">
            <v>M.S</v>
          </cell>
          <cell r="G290" t="str">
            <v>Disc</v>
          </cell>
          <cell r="H290">
            <v>1.4E-2</v>
          </cell>
          <cell r="I290" t="str">
            <v>Capuchon Neg.</v>
          </cell>
          <cell r="J290">
            <v>0</v>
          </cell>
          <cell r="O290">
            <v>6000</v>
          </cell>
        </row>
        <row r="291">
          <cell r="C291" t="str">
            <v>MP1</v>
          </cell>
          <cell r="D291">
            <v>201</v>
          </cell>
          <cell r="F291" t="str">
            <v>M.S</v>
          </cell>
          <cell r="G291" t="str">
            <v>Disc</v>
          </cell>
          <cell r="H291">
            <v>1.4E-2</v>
          </cell>
          <cell r="I291" t="str">
            <v>Capuchon Neg.</v>
          </cell>
          <cell r="J291">
            <v>0</v>
          </cell>
          <cell r="O291">
            <v>6000</v>
          </cell>
        </row>
        <row r="292">
          <cell r="C292" t="str">
            <v>MP1</v>
          </cell>
          <cell r="D292">
            <v>202</v>
          </cell>
          <cell r="F292" t="str">
            <v>M.S</v>
          </cell>
          <cell r="G292" t="str">
            <v>Disc</v>
          </cell>
          <cell r="H292">
            <v>1.4E-2</v>
          </cell>
          <cell r="I292" t="str">
            <v>Capuchon Neg.</v>
          </cell>
          <cell r="J292">
            <v>0</v>
          </cell>
          <cell r="O292">
            <v>6000</v>
          </cell>
        </row>
        <row r="293">
          <cell r="C293" t="str">
            <v>MP1</v>
          </cell>
          <cell r="D293">
            <v>203</v>
          </cell>
          <cell r="F293" t="str">
            <v>M.S</v>
          </cell>
          <cell r="G293" t="str">
            <v>Disc</v>
          </cell>
          <cell r="H293">
            <v>1.4E-2</v>
          </cell>
          <cell r="I293" t="str">
            <v>Capuchon Neg.</v>
          </cell>
          <cell r="J293">
            <v>0</v>
          </cell>
          <cell r="O293">
            <v>6000</v>
          </cell>
        </row>
        <row r="294">
          <cell r="C294" t="str">
            <v>MP1</v>
          </cell>
          <cell r="D294">
            <v>204</v>
          </cell>
          <cell r="F294" t="str">
            <v>M.S</v>
          </cell>
          <cell r="G294" t="str">
            <v>Disc</v>
          </cell>
          <cell r="H294">
            <v>1.4E-2</v>
          </cell>
          <cell r="I294" t="str">
            <v>Capuchon Neg.</v>
          </cell>
          <cell r="J294">
            <v>0</v>
          </cell>
          <cell r="O294">
            <v>6000</v>
          </cell>
        </row>
        <row r="295">
          <cell r="C295" t="str">
            <v>MP1</v>
          </cell>
          <cell r="D295">
            <v>205</v>
          </cell>
          <cell r="F295" t="str">
            <v>M.S</v>
          </cell>
          <cell r="G295" t="str">
            <v>Disc</v>
          </cell>
          <cell r="H295">
            <v>1.4E-2</v>
          </cell>
          <cell r="I295" t="str">
            <v>Capuchon Neg.</v>
          </cell>
          <cell r="J295">
            <v>0</v>
          </cell>
          <cell r="O295">
            <v>6000</v>
          </cell>
        </row>
        <row r="296">
          <cell r="C296" t="str">
            <v>MP1</v>
          </cell>
          <cell r="D296">
            <v>206</v>
          </cell>
          <cell r="F296" t="str">
            <v>M.S</v>
          </cell>
          <cell r="G296" t="str">
            <v>Disc</v>
          </cell>
          <cell r="H296">
            <v>1.4E-2</v>
          </cell>
          <cell r="I296" t="str">
            <v>Capuchon Neg.</v>
          </cell>
          <cell r="J296">
            <v>0</v>
          </cell>
          <cell r="O296">
            <v>6000</v>
          </cell>
        </row>
        <row r="297">
          <cell r="C297" t="str">
            <v>MP1</v>
          </cell>
          <cell r="D297" t="str">
            <v>207F</v>
          </cell>
          <cell r="F297" t="str">
            <v>M.S</v>
          </cell>
          <cell r="H297">
            <v>1.4E-2</v>
          </cell>
          <cell r="I297" t="str">
            <v>Capuchon Neg.</v>
          </cell>
          <cell r="J297">
            <v>0</v>
          </cell>
          <cell r="O297">
            <v>6000</v>
          </cell>
        </row>
        <row r="298">
          <cell r="C298" t="str">
            <v>MP1</v>
          </cell>
          <cell r="D298">
            <v>208</v>
          </cell>
          <cell r="F298" t="str">
            <v>M.S</v>
          </cell>
          <cell r="G298" t="str">
            <v>Disc</v>
          </cell>
          <cell r="H298">
            <v>1.4E-2</v>
          </cell>
          <cell r="I298" t="str">
            <v>Capuchon Neg.</v>
          </cell>
          <cell r="J298">
            <v>0</v>
          </cell>
          <cell r="O298">
            <v>6000</v>
          </cell>
        </row>
        <row r="299">
          <cell r="C299" t="str">
            <v>MP1</v>
          </cell>
          <cell r="D299">
            <v>87</v>
          </cell>
          <cell r="F299" t="str">
            <v>M.S</v>
          </cell>
          <cell r="G299" t="str">
            <v>Disc</v>
          </cell>
          <cell r="H299">
            <v>1.4E-2</v>
          </cell>
          <cell r="I299" t="str">
            <v>Capuchon Neg.</v>
          </cell>
          <cell r="J299">
            <v>0</v>
          </cell>
          <cell r="O299">
            <v>6000</v>
          </cell>
        </row>
        <row r="300">
          <cell r="C300" t="str">
            <v>MP1</v>
          </cell>
          <cell r="D300">
            <v>92</v>
          </cell>
          <cell r="F300" t="str">
            <v>M.S</v>
          </cell>
          <cell r="G300" t="str">
            <v>Disc</v>
          </cell>
          <cell r="H300">
            <v>1.4E-2</v>
          </cell>
          <cell r="I300" t="str">
            <v>Capuchon Neg.</v>
          </cell>
          <cell r="J300">
            <v>0</v>
          </cell>
          <cell r="O300">
            <v>6000</v>
          </cell>
        </row>
        <row r="301">
          <cell r="C301" t="str">
            <v>MP1</v>
          </cell>
          <cell r="D301">
            <v>81</v>
          </cell>
          <cell r="F301" t="str">
            <v>M.S</v>
          </cell>
          <cell r="H301">
            <v>1.4E-2</v>
          </cell>
          <cell r="I301" t="str">
            <v>Capuchon Neg.</v>
          </cell>
          <cell r="J301">
            <v>0</v>
          </cell>
          <cell r="O301">
            <v>6000</v>
          </cell>
        </row>
        <row r="302">
          <cell r="C302" t="str">
            <v>MP1</v>
          </cell>
          <cell r="D302">
            <v>86</v>
          </cell>
          <cell r="F302" t="str">
            <v>M.S</v>
          </cell>
          <cell r="H302">
            <v>1.4E-2</v>
          </cell>
          <cell r="I302" t="str">
            <v>Capuchon Neg.</v>
          </cell>
          <cell r="J302">
            <v>0</v>
          </cell>
          <cell r="O302">
            <v>6000</v>
          </cell>
        </row>
        <row r="303">
          <cell r="C303" t="str">
            <v>MP1</v>
          </cell>
          <cell r="D303">
            <v>82</v>
          </cell>
          <cell r="F303" t="str">
            <v>M.S</v>
          </cell>
          <cell r="G303" t="str">
            <v>Disc</v>
          </cell>
          <cell r="H303">
            <v>1.4E-2</v>
          </cell>
          <cell r="I303" t="str">
            <v>Capuchon Neg.</v>
          </cell>
          <cell r="J303">
            <v>0</v>
          </cell>
          <cell r="O303">
            <v>6000</v>
          </cell>
        </row>
        <row r="304">
          <cell r="C304" t="str">
            <v>MP1</v>
          </cell>
          <cell r="D304">
            <v>83</v>
          </cell>
          <cell r="F304" t="str">
            <v>M.S</v>
          </cell>
          <cell r="G304" t="str">
            <v>Disc</v>
          </cell>
          <cell r="H304">
            <v>1.4E-2</v>
          </cell>
          <cell r="I304" t="str">
            <v>Capuchon Neg.</v>
          </cell>
          <cell r="J304">
            <v>0</v>
          </cell>
          <cell r="O304">
            <v>6000</v>
          </cell>
        </row>
        <row r="305">
          <cell r="C305" t="str">
            <v>MP1</v>
          </cell>
          <cell r="D305">
            <v>84</v>
          </cell>
          <cell r="F305" t="str">
            <v>M.S</v>
          </cell>
          <cell r="G305" t="str">
            <v>Disc</v>
          </cell>
          <cell r="H305">
            <v>1.4E-2</v>
          </cell>
          <cell r="I305" t="str">
            <v>Capuchon Neg.</v>
          </cell>
          <cell r="J305">
            <v>0</v>
          </cell>
          <cell r="O305">
            <v>6000</v>
          </cell>
        </row>
        <row r="306">
          <cell r="C306" t="str">
            <v>MP1</v>
          </cell>
          <cell r="D306">
            <v>85</v>
          </cell>
          <cell r="F306" t="str">
            <v>M.S</v>
          </cell>
          <cell r="H306">
            <v>1.4E-2</v>
          </cell>
          <cell r="I306" t="str">
            <v>Capuchon Neg.</v>
          </cell>
          <cell r="J306">
            <v>0</v>
          </cell>
          <cell r="O306">
            <v>6000</v>
          </cell>
        </row>
        <row r="307">
          <cell r="C307" t="str">
            <v>MP1</v>
          </cell>
          <cell r="D307">
            <v>22</v>
          </cell>
          <cell r="F307" t="str">
            <v>M.S</v>
          </cell>
          <cell r="H307">
            <v>1.4E-2</v>
          </cell>
          <cell r="I307" t="str">
            <v>Capuchon Neg.</v>
          </cell>
          <cell r="J307">
            <v>0</v>
          </cell>
          <cell r="O307">
            <v>6000</v>
          </cell>
        </row>
        <row r="308">
          <cell r="C308" t="str">
            <v>MP1</v>
          </cell>
          <cell r="D308">
            <v>38</v>
          </cell>
          <cell r="F308" t="str">
            <v>M.S</v>
          </cell>
          <cell r="H308">
            <v>1.4E-2</v>
          </cell>
          <cell r="I308" t="str">
            <v>Capuchon Neg.</v>
          </cell>
          <cell r="J308">
            <v>0</v>
          </cell>
          <cell r="O308">
            <v>6000</v>
          </cell>
        </row>
        <row r="309">
          <cell r="C309" t="str">
            <v>MP1</v>
          </cell>
          <cell r="D309">
            <v>41</v>
          </cell>
          <cell r="F309" t="str">
            <v>M.S</v>
          </cell>
          <cell r="H309">
            <v>1.4E-2</v>
          </cell>
          <cell r="I309" t="str">
            <v>Capuchon Neg.</v>
          </cell>
          <cell r="J309">
            <v>0</v>
          </cell>
          <cell r="O309">
            <v>6000</v>
          </cell>
        </row>
        <row r="310">
          <cell r="C310" t="str">
            <v>MP1</v>
          </cell>
          <cell r="D310">
            <v>89</v>
          </cell>
          <cell r="F310" t="str">
            <v>M.S</v>
          </cell>
          <cell r="G310" t="str">
            <v>Disc</v>
          </cell>
          <cell r="H310">
            <v>1.4E-2</v>
          </cell>
          <cell r="I310" t="str">
            <v>Capuchon Neg.</v>
          </cell>
          <cell r="J310">
            <v>0</v>
          </cell>
          <cell r="O310">
            <v>6000</v>
          </cell>
        </row>
        <row r="311">
          <cell r="C311" t="str">
            <v>MP1</v>
          </cell>
          <cell r="D311">
            <v>90</v>
          </cell>
          <cell r="F311" t="str">
            <v>M.S</v>
          </cell>
          <cell r="G311" t="str">
            <v>Disc</v>
          </cell>
          <cell r="H311">
            <v>1.4E-2</v>
          </cell>
          <cell r="I311" t="str">
            <v>Capuchon Neg.</v>
          </cell>
          <cell r="J311">
            <v>0</v>
          </cell>
          <cell r="O311">
            <v>6000</v>
          </cell>
        </row>
        <row r="312">
          <cell r="C312" t="str">
            <v>MP1</v>
          </cell>
          <cell r="D312">
            <v>50</v>
          </cell>
          <cell r="F312" t="str">
            <v>M.S</v>
          </cell>
          <cell r="G312" t="str">
            <v>Disc</v>
          </cell>
          <cell r="H312">
            <v>1.4E-2</v>
          </cell>
          <cell r="I312" t="str">
            <v>Capuchon Neg.</v>
          </cell>
          <cell r="J312">
            <v>0</v>
          </cell>
          <cell r="O312">
            <v>6000</v>
          </cell>
        </row>
        <row r="313">
          <cell r="C313" t="str">
            <v>MP7</v>
          </cell>
          <cell r="D313">
            <v>537</v>
          </cell>
          <cell r="F313" t="str">
            <v>LK</v>
          </cell>
          <cell r="G313" t="str">
            <v>Manolo</v>
          </cell>
          <cell r="H313">
            <v>1.4E-2</v>
          </cell>
          <cell r="I313" t="str">
            <v>Capuchon Blanco PyP Ajo</v>
          </cell>
          <cell r="J313">
            <v>0</v>
          </cell>
          <cell r="O313">
            <v>6000</v>
          </cell>
        </row>
        <row r="314">
          <cell r="C314" t="str">
            <v>LP2</v>
          </cell>
          <cell r="D314">
            <v>1066</v>
          </cell>
          <cell r="F314" t="str">
            <v>H.L</v>
          </cell>
          <cell r="H314">
            <v>1.2999999999999999E-2</v>
          </cell>
          <cell r="I314" t="str">
            <v>Puntera Vde Espat</v>
          </cell>
          <cell r="J314">
            <v>0</v>
          </cell>
          <cell r="O314">
            <v>8000</v>
          </cell>
        </row>
        <row r="315">
          <cell r="C315" t="str">
            <v>LP2</v>
          </cell>
          <cell r="D315">
            <v>1069</v>
          </cell>
          <cell r="F315" t="str">
            <v>H.L</v>
          </cell>
          <cell r="H315">
            <v>1.2999999999999999E-2</v>
          </cell>
          <cell r="I315" t="str">
            <v>Puntera Vde Espat</v>
          </cell>
          <cell r="J315">
            <v>0</v>
          </cell>
          <cell r="O315">
            <v>8000</v>
          </cell>
        </row>
        <row r="316">
          <cell r="C316" t="str">
            <v>LP2</v>
          </cell>
          <cell r="D316">
            <v>1088</v>
          </cell>
          <cell r="F316" t="str">
            <v>H.L</v>
          </cell>
          <cell r="H316">
            <v>1.2999999999999999E-2</v>
          </cell>
          <cell r="I316" t="str">
            <v>Puntera Vde Espat</v>
          </cell>
          <cell r="J316">
            <v>0</v>
          </cell>
          <cell r="O316">
            <v>8000</v>
          </cell>
        </row>
        <row r="317">
          <cell r="C317" t="str">
            <v>LP3</v>
          </cell>
          <cell r="D317">
            <v>1068</v>
          </cell>
          <cell r="F317" t="str">
            <v>H.L</v>
          </cell>
          <cell r="H317">
            <v>1.2999999999999999E-2</v>
          </cell>
          <cell r="I317" t="str">
            <v>Puntera Vde Pelador</v>
          </cell>
          <cell r="J317">
            <v>0</v>
          </cell>
          <cell r="O317">
            <v>8000</v>
          </cell>
        </row>
        <row r="318">
          <cell r="C318" t="str">
            <v>LP4</v>
          </cell>
          <cell r="D318">
            <v>1066</v>
          </cell>
          <cell r="F318" t="str">
            <v>H.L</v>
          </cell>
          <cell r="H318">
            <v>1.2999999999999999E-2</v>
          </cell>
          <cell r="I318" t="str">
            <v>Puntera Vde ф 6</v>
          </cell>
          <cell r="J318">
            <v>0</v>
          </cell>
          <cell r="O318">
            <v>8000</v>
          </cell>
        </row>
        <row r="319">
          <cell r="C319" t="str">
            <v>LLP1</v>
          </cell>
          <cell r="D319">
            <v>1095</v>
          </cell>
          <cell r="F319" t="str">
            <v>H.L</v>
          </cell>
          <cell r="H319">
            <v>1.2999999999999999E-2</v>
          </cell>
          <cell r="I319" t="str">
            <v>Puntera Vde Pisa Papas</v>
          </cell>
          <cell r="J319">
            <v>0</v>
          </cell>
          <cell r="O319">
            <v>8000</v>
          </cell>
        </row>
        <row r="320">
          <cell r="C320" t="str">
            <v>LLP5</v>
          </cell>
          <cell r="D320">
            <v>1086</v>
          </cell>
          <cell r="F320" t="str">
            <v>H.L</v>
          </cell>
          <cell r="G320" t="str">
            <v>Disc</v>
          </cell>
          <cell r="H320">
            <v>1.2999999999999999E-2</v>
          </cell>
          <cell r="I320" t="str">
            <v>Puntera Vde Cuch y Pala</v>
          </cell>
          <cell r="J320">
            <v>0</v>
          </cell>
          <cell r="O320">
            <v>8000</v>
          </cell>
        </row>
        <row r="321">
          <cell r="C321" t="str">
            <v>LLP6</v>
          </cell>
          <cell r="D321">
            <v>1072</v>
          </cell>
          <cell r="F321" t="str">
            <v>H.L</v>
          </cell>
          <cell r="H321">
            <v>1.2999999999999999E-2</v>
          </cell>
          <cell r="I321" t="str">
            <v>Puntera Vde Batidor</v>
          </cell>
          <cell r="J321">
            <v>0</v>
          </cell>
          <cell r="O321">
            <v>8000</v>
          </cell>
        </row>
        <row r="322">
          <cell r="C322" t="str">
            <v>LLP7</v>
          </cell>
          <cell r="D322" t="str">
            <v/>
          </cell>
          <cell r="H322">
            <v>1.2999999999999999E-2</v>
          </cell>
          <cell r="I322" t="str">
            <v>Puntera Vde P/ Vastagos</v>
          </cell>
          <cell r="J322">
            <v>0</v>
          </cell>
          <cell r="O322">
            <v>8000</v>
          </cell>
        </row>
        <row r="323">
          <cell r="C323" t="str">
            <v>MP3</v>
          </cell>
          <cell r="D323">
            <v>1070</v>
          </cell>
          <cell r="F323" t="str">
            <v>H.L</v>
          </cell>
          <cell r="H323">
            <v>1.2999999999999999E-2</v>
          </cell>
          <cell r="I323" t="str">
            <v xml:space="preserve">Puntera Vde Colador Chico </v>
          </cell>
          <cell r="J323">
            <v>0</v>
          </cell>
          <cell r="O323">
            <v>8000</v>
          </cell>
        </row>
        <row r="324">
          <cell r="C324" t="str">
            <v>MP3</v>
          </cell>
          <cell r="D324">
            <v>1071</v>
          </cell>
          <cell r="F324" t="str">
            <v>H.L</v>
          </cell>
          <cell r="H324">
            <v>1.2999999999999999E-2</v>
          </cell>
          <cell r="I324" t="str">
            <v xml:space="preserve">Puntera Vde Colador Chico </v>
          </cell>
          <cell r="J324">
            <v>0</v>
          </cell>
          <cell r="O324">
            <v>8000</v>
          </cell>
        </row>
        <row r="325">
          <cell r="C325" t="str">
            <v>MP9</v>
          </cell>
          <cell r="D325">
            <v>771</v>
          </cell>
          <cell r="F325" t="str">
            <v>L.Vde</v>
          </cell>
          <cell r="H325">
            <v>1.2999999999999999E-2</v>
          </cell>
          <cell r="I325" t="str">
            <v>Puntera Vde Pala de Canel.</v>
          </cell>
          <cell r="J325">
            <v>0</v>
          </cell>
          <cell r="O325">
            <v>8000</v>
          </cell>
        </row>
        <row r="326">
          <cell r="C326" t="str">
            <v>MP10</v>
          </cell>
          <cell r="H326">
            <v>1.2999999999999999E-2</v>
          </cell>
          <cell r="I326" t="str">
            <v>Puntera Vde Descorazonador</v>
          </cell>
          <cell r="J326">
            <v>0</v>
          </cell>
          <cell r="O326">
            <v>8000</v>
          </cell>
        </row>
        <row r="327">
          <cell r="C327" t="str">
            <v>IP1</v>
          </cell>
          <cell r="D327">
            <v>615</v>
          </cell>
          <cell r="F327" t="str">
            <v>CH</v>
          </cell>
          <cell r="H327">
            <v>1.37E-2</v>
          </cell>
          <cell r="I327" t="str">
            <v>Mangos Chef</v>
          </cell>
          <cell r="J327">
            <v>228</v>
          </cell>
          <cell r="O327">
            <v>6000</v>
          </cell>
        </row>
        <row r="328">
          <cell r="C328" t="str">
            <v>IP1</v>
          </cell>
          <cell r="D328">
            <v>637</v>
          </cell>
          <cell r="F328" t="str">
            <v>CH</v>
          </cell>
          <cell r="H328">
            <v>1.37E-2</v>
          </cell>
          <cell r="I328" t="str">
            <v>Mangos Chef</v>
          </cell>
          <cell r="J328">
            <v>120</v>
          </cell>
          <cell r="O328">
            <v>6000</v>
          </cell>
        </row>
        <row r="329">
          <cell r="C329" t="str">
            <v>IP2</v>
          </cell>
          <cell r="D329">
            <v>28</v>
          </cell>
          <cell r="F329" t="str">
            <v>L.Vde</v>
          </cell>
          <cell r="H329">
            <v>1.37E-2</v>
          </cell>
          <cell r="I329" t="str">
            <v>Mangos Chef Vde</v>
          </cell>
          <cell r="J329">
            <v>0</v>
          </cell>
          <cell r="O329">
            <v>6000</v>
          </cell>
        </row>
        <row r="330">
          <cell r="C330" t="str">
            <v>IP2</v>
          </cell>
          <cell r="D330">
            <v>29</v>
          </cell>
          <cell r="F330" t="str">
            <v>L.Vde</v>
          </cell>
          <cell r="H330">
            <v>1.37E-2</v>
          </cell>
          <cell r="I330" t="str">
            <v>Mangos Chef Vde</v>
          </cell>
          <cell r="J330">
            <v>0</v>
          </cell>
          <cell r="O330">
            <v>6000</v>
          </cell>
        </row>
        <row r="331">
          <cell r="C331" t="str">
            <v>IP2</v>
          </cell>
          <cell r="D331">
            <v>33</v>
          </cell>
          <cell r="F331" t="str">
            <v>L.Vde</v>
          </cell>
          <cell r="H331">
            <v>1.37E-2</v>
          </cell>
          <cell r="I331" t="str">
            <v>Mangos Chef Vde</v>
          </cell>
          <cell r="J331">
            <v>0</v>
          </cell>
          <cell r="O331">
            <v>6000</v>
          </cell>
        </row>
        <row r="332">
          <cell r="C332" t="str">
            <v>IP2</v>
          </cell>
          <cell r="D332">
            <v>34</v>
          </cell>
          <cell r="F332" t="str">
            <v>L.Vde</v>
          </cell>
          <cell r="H332">
            <v>1.37E-2</v>
          </cell>
          <cell r="I332" t="str">
            <v>Mangos Chef Vde</v>
          </cell>
          <cell r="J332">
            <v>0</v>
          </cell>
          <cell r="O332">
            <v>6000</v>
          </cell>
        </row>
        <row r="333">
          <cell r="C333" t="str">
            <v>IP2</v>
          </cell>
          <cell r="D333">
            <v>36</v>
          </cell>
          <cell r="F333" t="str">
            <v>L.Vde</v>
          </cell>
          <cell r="H333">
            <v>1.37E-2</v>
          </cell>
          <cell r="I333" t="str">
            <v>Mangos Chef Vde</v>
          </cell>
          <cell r="J333">
            <v>0</v>
          </cell>
          <cell r="O333">
            <v>6000</v>
          </cell>
        </row>
        <row r="334">
          <cell r="C334" t="str">
            <v>IP2</v>
          </cell>
          <cell r="D334">
            <v>37</v>
          </cell>
          <cell r="F334" t="str">
            <v>L.Vde</v>
          </cell>
          <cell r="H334">
            <v>1.37E-2</v>
          </cell>
          <cell r="I334" t="str">
            <v>Mangos Chef Vde</v>
          </cell>
          <cell r="J334">
            <v>0</v>
          </cell>
          <cell r="O334">
            <v>6000</v>
          </cell>
        </row>
        <row r="335">
          <cell r="C335" t="str">
            <v>IP2</v>
          </cell>
          <cell r="D335">
            <v>62</v>
          </cell>
          <cell r="F335" t="str">
            <v>L.Vde</v>
          </cell>
          <cell r="H335">
            <v>1.37E-2</v>
          </cell>
          <cell r="I335" t="str">
            <v>Mangos Chef Vde</v>
          </cell>
          <cell r="J335">
            <v>0</v>
          </cell>
          <cell r="O335">
            <v>6000</v>
          </cell>
        </row>
        <row r="336">
          <cell r="C336" t="str">
            <v>IP2</v>
          </cell>
          <cell r="D336">
            <v>75</v>
          </cell>
          <cell r="F336" t="str">
            <v>L.Vde</v>
          </cell>
          <cell r="H336">
            <v>1.37E-2</v>
          </cell>
          <cell r="I336" t="str">
            <v>Mangos Chef Vde</v>
          </cell>
          <cell r="J336">
            <v>0</v>
          </cell>
          <cell r="O336">
            <v>6000</v>
          </cell>
        </row>
        <row r="337">
          <cell r="C337" t="str">
            <v>IP2</v>
          </cell>
          <cell r="D337">
            <v>209</v>
          </cell>
          <cell r="F337" t="str">
            <v>L.Vde</v>
          </cell>
          <cell r="H337">
            <v>1.37E-2</v>
          </cell>
          <cell r="I337" t="str">
            <v>Mangos Chef Vde</v>
          </cell>
          <cell r="J337">
            <v>0</v>
          </cell>
          <cell r="O337">
            <v>6000</v>
          </cell>
        </row>
        <row r="338">
          <cell r="C338" t="str">
            <v>IP2</v>
          </cell>
          <cell r="D338">
            <v>276</v>
          </cell>
          <cell r="F338" t="str">
            <v>L.Vde</v>
          </cell>
          <cell r="H338">
            <v>1.37E-2</v>
          </cell>
          <cell r="I338" t="str">
            <v>Mangos Chef Vde</v>
          </cell>
          <cell r="J338">
            <v>0</v>
          </cell>
          <cell r="O338">
            <v>6000</v>
          </cell>
        </row>
        <row r="339">
          <cell r="C339" t="str">
            <v>IP2</v>
          </cell>
          <cell r="D339">
            <v>778</v>
          </cell>
          <cell r="F339" t="str">
            <v>L.Vde</v>
          </cell>
          <cell r="H339">
            <v>1.37E-2</v>
          </cell>
          <cell r="I339" t="str">
            <v>Mangos Chef Vde</v>
          </cell>
          <cell r="J339">
            <v>0</v>
          </cell>
          <cell r="O339">
            <v>6000</v>
          </cell>
        </row>
        <row r="340">
          <cell r="C340" t="str">
            <v>MP2</v>
          </cell>
          <cell r="D340" t="str">
            <v>252K</v>
          </cell>
          <cell r="F340" t="str">
            <v>Krea</v>
          </cell>
          <cell r="H340">
            <v>1.6500000000000001E-2</v>
          </cell>
          <cell r="I340" t="str">
            <v>Mangos Pelador Vde</v>
          </cell>
          <cell r="J340">
            <v>0</v>
          </cell>
        </row>
        <row r="341">
          <cell r="F341" t="str">
            <v>LK</v>
          </cell>
          <cell r="H341">
            <v>6.3000000000000003E-4</v>
          </cell>
          <cell r="I341" t="str">
            <v>Buje Neg.</v>
          </cell>
          <cell r="J341">
            <v>0</v>
          </cell>
        </row>
        <row r="342">
          <cell r="C342" t="str">
            <v>GP4</v>
          </cell>
          <cell r="D342">
            <v>214</v>
          </cell>
          <cell r="F342" t="str">
            <v>C.B</v>
          </cell>
          <cell r="G342" t="str">
            <v>Disc</v>
          </cell>
          <cell r="H342">
            <v>5.8E-4</v>
          </cell>
          <cell r="I342" t="str">
            <v>Pirolo Negro</v>
          </cell>
          <cell r="J342">
            <v>0</v>
          </cell>
          <cell r="O342">
            <v>36000</v>
          </cell>
        </row>
        <row r="343">
          <cell r="C343" t="str">
            <v>GP4</v>
          </cell>
          <cell r="D343">
            <v>5</v>
          </cell>
          <cell r="F343" t="str">
            <v>LK</v>
          </cell>
          <cell r="H343">
            <v>5.8E-4</v>
          </cell>
          <cell r="I343" t="str">
            <v>Pirolo Negro</v>
          </cell>
          <cell r="J343">
            <v>0</v>
          </cell>
          <cell r="O343">
            <v>36000</v>
          </cell>
        </row>
        <row r="344">
          <cell r="C344" t="str">
            <v>GP4</v>
          </cell>
          <cell r="D344" t="str">
            <v>104M</v>
          </cell>
          <cell r="F344" t="str">
            <v>LK</v>
          </cell>
          <cell r="H344">
            <v>5.8E-4</v>
          </cell>
          <cell r="I344" t="str">
            <v>Pirolo Negro</v>
          </cell>
          <cell r="J344">
            <v>0</v>
          </cell>
          <cell r="O344">
            <v>36000</v>
          </cell>
        </row>
        <row r="345">
          <cell r="C345" t="str">
            <v>GP3</v>
          </cell>
          <cell r="D345">
            <v>95</v>
          </cell>
          <cell r="F345" t="str">
            <v>L.Vde</v>
          </cell>
          <cell r="H345">
            <v>5.8E-4</v>
          </cell>
          <cell r="I345" t="str">
            <v>Pirolo Verde</v>
          </cell>
          <cell r="J345">
            <v>0</v>
          </cell>
          <cell r="O345">
            <v>36000</v>
          </cell>
        </row>
        <row r="346">
          <cell r="C346" t="str">
            <v>GP3</v>
          </cell>
          <cell r="D346">
            <v>96</v>
          </cell>
          <cell r="F346" t="str">
            <v>L.Vde</v>
          </cell>
          <cell r="H346">
            <v>5.8E-4</v>
          </cell>
          <cell r="I346" t="str">
            <v>Pirolo Verde</v>
          </cell>
          <cell r="J346">
            <v>0</v>
          </cell>
          <cell r="O346">
            <v>36000</v>
          </cell>
        </row>
        <row r="347">
          <cell r="C347" t="str">
            <v>FP7</v>
          </cell>
          <cell r="D347">
            <v>5</v>
          </cell>
          <cell r="F347" t="str">
            <v>LK</v>
          </cell>
          <cell r="H347">
            <v>8.9999999999999993E-3</v>
          </cell>
          <cell r="I347" t="str">
            <v>Manguito Abrelat. Neg</v>
          </cell>
          <cell r="J347">
            <v>0</v>
          </cell>
          <cell r="O347">
            <v>19200</v>
          </cell>
        </row>
        <row r="348">
          <cell r="C348" t="str">
            <v>FP7</v>
          </cell>
          <cell r="D348" t="str">
            <v>104M</v>
          </cell>
          <cell r="F348" t="str">
            <v>LK</v>
          </cell>
          <cell r="H348">
            <v>8.9999999999999993E-3</v>
          </cell>
          <cell r="I348" t="str">
            <v>Manguito Abrelat. Neg</v>
          </cell>
          <cell r="J348">
            <v>0</v>
          </cell>
          <cell r="O348">
            <v>19200</v>
          </cell>
        </row>
        <row r="349">
          <cell r="C349" t="str">
            <v>EP5</v>
          </cell>
          <cell r="D349">
            <v>95</v>
          </cell>
          <cell r="F349" t="str">
            <v>L.Vde</v>
          </cell>
          <cell r="H349">
            <v>8.9999999999999993E-3</v>
          </cell>
          <cell r="I349" t="str">
            <v>Manguito Abrelat. Vde</v>
          </cell>
          <cell r="J349">
            <v>0</v>
          </cell>
          <cell r="O349">
            <v>19200</v>
          </cell>
        </row>
        <row r="350">
          <cell r="C350" t="str">
            <v>EP3</v>
          </cell>
          <cell r="D350">
            <v>586</v>
          </cell>
          <cell r="F350" t="str">
            <v>LK</v>
          </cell>
          <cell r="H350">
            <v>1.6999999999999999E-3</v>
          </cell>
          <cell r="I350" t="str">
            <v>Mang Pel 586 LK Serig</v>
          </cell>
          <cell r="J350">
            <v>9780</v>
          </cell>
        </row>
        <row r="351">
          <cell r="C351" t="str">
            <v>EP4</v>
          </cell>
          <cell r="D351">
            <v>586</v>
          </cell>
          <cell r="F351" t="str">
            <v>LK</v>
          </cell>
          <cell r="H351">
            <v>1.6999999999999999E-3</v>
          </cell>
          <cell r="I351" t="str">
            <v>Mang Pel 586 LK Serig</v>
          </cell>
          <cell r="J351">
            <v>9780</v>
          </cell>
        </row>
        <row r="352">
          <cell r="C352" t="str">
            <v>LLP3</v>
          </cell>
          <cell r="H352">
            <v>1.6999999999999999E-3</v>
          </cell>
          <cell r="I352" t="str">
            <v>Noyo Propio P/ India.</v>
          </cell>
          <cell r="J352">
            <v>0</v>
          </cell>
          <cell r="O352">
            <v>6000</v>
          </cell>
        </row>
        <row r="353">
          <cell r="C353" t="str">
            <v>LLP4</v>
          </cell>
          <cell r="D353" t="str">
            <v>119K</v>
          </cell>
          <cell r="F353" t="str">
            <v>Krea</v>
          </cell>
          <cell r="H353">
            <v>1.6999999999999999E-3</v>
          </cell>
          <cell r="I353" t="str">
            <v>Noyo 2x10 Espat.</v>
          </cell>
          <cell r="J353">
            <v>0</v>
          </cell>
          <cell r="O353">
            <v>6000</v>
          </cell>
        </row>
        <row r="354">
          <cell r="C354" t="str">
            <v>LLP4</v>
          </cell>
          <cell r="D354" t="str">
            <v>122K</v>
          </cell>
          <cell r="F354" t="str">
            <v xml:space="preserve">Krea </v>
          </cell>
          <cell r="H354">
            <v>1.6999999999999999E-3</v>
          </cell>
          <cell r="I354" t="str">
            <v>Noyo 2x10 Espat.</v>
          </cell>
          <cell r="J354">
            <v>0</v>
          </cell>
          <cell r="O354">
            <v>6000</v>
          </cell>
        </row>
        <row r="355">
          <cell r="C355" t="str">
            <v>LLP4</v>
          </cell>
          <cell r="D355" t="str">
            <v>120K</v>
          </cell>
          <cell r="F355" t="str">
            <v>Krea</v>
          </cell>
          <cell r="H355">
            <v>1.6999999999999999E-3</v>
          </cell>
          <cell r="I355" t="str">
            <v>Noyo 2x10 Espat.</v>
          </cell>
          <cell r="J355">
            <v>0</v>
          </cell>
          <cell r="O355">
            <v>6000</v>
          </cell>
        </row>
        <row r="356">
          <cell r="C356" t="str">
            <v>LLP4</v>
          </cell>
          <cell r="D356" t="str">
            <v>138K</v>
          </cell>
          <cell r="F356" t="str">
            <v>CH</v>
          </cell>
          <cell r="H356">
            <v>1.6999999999999999E-3</v>
          </cell>
          <cell r="I356" t="str">
            <v>Noyo 2x10 Espat.</v>
          </cell>
          <cell r="J356">
            <v>0</v>
          </cell>
          <cell r="O356">
            <v>6000</v>
          </cell>
        </row>
        <row r="357">
          <cell r="C357" t="str">
            <v>LLP4</v>
          </cell>
          <cell r="D357">
            <v>102</v>
          </cell>
          <cell r="F357" t="str">
            <v>CH</v>
          </cell>
          <cell r="H357">
            <v>1.6999999999999999E-3</v>
          </cell>
          <cell r="I357" t="str">
            <v>Noyo 2x10 Espat.</v>
          </cell>
          <cell r="J357">
            <v>0</v>
          </cell>
          <cell r="O357">
            <v>6000</v>
          </cell>
        </row>
        <row r="358">
          <cell r="C358" t="str">
            <v>LLP4</v>
          </cell>
          <cell r="D358">
            <v>177</v>
          </cell>
          <cell r="F358" t="str">
            <v>CH</v>
          </cell>
          <cell r="G358" t="str">
            <v>Disc</v>
          </cell>
          <cell r="H358">
            <v>1.6999999999999999E-3</v>
          </cell>
          <cell r="I358" t="str">
            <v>Noyo 2x10 Espat.</v>
          </cell>
          <cell r="J358">
            <v>0</v>
          </cell>
          <cell r="O358">
            <v>6000</v>
          </cell>
        </row>
        <row r="359">
          <cell r="C359" t="str">
            <v>LLP2</v>
          </cell>
          <cell r="D359" t="str">
            <v>121K</v>
          </cell>
          <cell r="F359" t="str">
            <v>Krea</v>
          </cell>
          <cell r="H359">
            <v>1.6999999999999999E-3</v>
          </cell>
          <cell r="I359" t="str">
            <v>Noyo Mgo P/Alamb. CQ.</v>
          </cell>
          <cell r="J359">
            <v>540</v>
          </cell>
          <cell r="O359">
            <v>6000</v>
          </cell>
        </row>
        <row r="360">
          <cell r="D360">
            <v>104</v>
          </cell>
          <cell r="F360" t="str">
            <v>CHef</v>
          </cell>
          <cell r="H360">
            <v>1.6999999999999999E-3</v>
          </cell>
          <cell r="I360" t="str">
            <v>Noyo Mgo P/Alamb. CQ.</v>
          </cell>
          <cell r="J360">
            <v>0</v>
          </cell>
          <cell r="O360">
            <v>6000</v>
          </cell>
        </row>
        <row r="361">
          <cell r="C361" t="str">
            <v>FP1</v>
          </cell>
          <cell r="D361">
            <v>504</v>
          </cell>
          <cell r="F361" t="str">
            <v>LK</v>
          </cell>
          <cell r="H361">
            <v>4.9000000000000002E-2</v>
          </cell>
          <cell r="I361" t="str">
            <v>Afila P/Calar Blanc.</v>
          </cell>
          <cell r="J361">
            <v>7002</v>
          </cell>
          <cell r="O361">
            <v>3600</v>
          </cell>
        </row>
        <row r="362">
          <cell r="C362" t="str">
            <v>FP1</v>
          </cell>
          <cell r="D362" t="str">
            <v>118K</v>
          </cell>
          <cell r="F362" t="str">
            <v>Krea</v>
          </cell>
          <cell r="H362">
            <v>4.9000000000000002E-2</v>
          </cell>
          <cell r="I362" t="str">
            <v>Afila P/Calar Blanc.</v>
          </cell>
          <cell r="J362">
            <v>336</v>
          </cell>
          <cell r="O362">
            <v>3600</v>
          </cell>
        </row>
        <row r="363">
          <cell r="C363" t="str">
            <v>EP1</v>
          </cell>
          <cell r="D363">
            <v>504</v>
          </cell>
          <cell r="F363" t="str">
            <v>LK</v>
          </cell>
          <cell r="H363">
            <v>4.9000000000000002E-2</v>
          </cell>
          <cell r="I363" t="str">
            <v>Afila P/Calar Blanc.</v>
          </cell>
          <cell r="J363">
            <v>7002</v>
          </cell>
          <cell r="O363">
            <v>3600</v>
          </cell>
        </row>
        <row r="364">
          <cell r="C364" t="str">
            <v>EP1</v>
          </cell>
          <cell r="D364" t="str">
            <v>118K</v>
          </cell>
          <cell r="F364" t="str">
            <v>Krea</v>
          </cell>
          <cell r="H364">
            <v>4.9000000000000002E-2</v>
          </cell>
          <cell r="I364" t="str">
            <v>Afila P/Calar Blanc.</v>
          </cell>
          <cell r="J364">
            <v>336</v>
          </cell>
          <cell r="O364">
            <v>3600</v>
          </cell>
        </row>
        <row r="365">
          <cell r="C365" t="str">
            <v>EP7</v>
          </cell>
          <cell r="D365">
            <v>615</v>
          </cell>
          <cell r="F365" t="str">
            <v>CH</v>
          </cell>
          <cell r="H365">
            <v>1E-3</v>
          </cell>
          <cell r="I365" t="str">
            <v>Ojales Neg.</v>
          </cell>
          <cell r="J365">
            <v>228</v>
          </cell>
          <cell r="O365">
            <v>10000</v>
          </cell>
        </row>
        <row r="366">
          <cell r="C366" t="str">
            <v>EP7</v>
          </cell>
          <cell r="D366">
            <v>637</v>
          </cell>
          <cell r="F366" t="str">
            <v>CH</v>
          </cell>
          <cell r="H366">
            <v>1E-3</v>
          </cell>
          <cell r="I366" t="str">
            <v>Ojales Neg.</v>
          </cell>
          <cell r="J366">
            <v>120</v>
          </cell>
          <cell r="O366">
            <v>10000</v>
          </cell>
        </row>
        <row r="367">
          <cell r="C367" t="str">
            <v>BP10</v>
          </cell>
          <cell r="D367">
            <v>28</v>
          </cell>
          <cell r="F367" t="str">
            <v>L.Vde</v>
          </cell>
          <cell r="H367">
            <v>1E-3</v>
          </cell>
          <cell r="I367" t="str">
            <v>Ojales Blanc.</v>
          </cell>
          <cell r="J367">
            <v>0</v>
          </cell>
          <cell r="O367">
            <v>10000</v>
          </cell>
        </row>
        <row r="368">
          <cell r="C368" t="str">
            <v>BP10</v>
          </cell>
          <cell r="D368">
            <v>29</v>
          </cell>
          <cell r="F368" t="str">
            <v>L.Vde</v>
          </cell>
          <cell r="H368">
            <v>1E-3</v>
          </cell>
          <cell r="I368" t="str">
            <v>Ojales Blanc.</v>
          </cell>
          <cell r="J368">
            <v>0</v>
          </cell>
          <cell r="O368">
            <v>10000</v>
          </cell>
        </row>
        <row r="369">
          <cell r="C369" t="str">
            <v>BP10</v>
          </cell>
          <cell r="D369">
            <v>33</v>
          </cell>
          <cell r="F369" t="str">
            <v>L.Vde</v>
          </cell>
          <cell r="H369">
            <v>1E-3</v>
          </cell>
          <cell r="I369" t="str">
            <v>Ojales Blanc.</v>
          </cell>
          <cell r="J369">
            <v>0</v>
          </cell>
          <cell r="O369">
            <v>10000</v>
          </cell>
        </row>
        <row r="370">
          <cell r="C370" t="str">
            <v>BP10</v>
          </cell>
          <cell r="D370">
            <v>34</v>
          </cell>
          <cell r="F370" t="str">
            <v>L.Vde</v>
          </cell>
          <cell r="H370">
            <v>1E-3</v>
          </cell>
          <cell r="I370" t="str">
            <v>Ojales Blanc.</v>
          </cell>
          <cell r="J370">
            <v>0</v>
          </cell>
          <cell r="O370">
            <v>10000</v>
          </cell>
        </row>
        <row r="371">
          <cell r="C371" t="str">
            <v>BP10</v>
          </cell>
          <cell r="D371">
            <v>36</v>
          </cell>
          <cell r="F371" t="str">
            <v>L.Vde</v>
          </cell>
          <cell r="H371">
            <v>1E-3</v>
          </cell>
          <cell r="I371" t="str">
            <v>Ojales Blanc.</v>
          </cell>
          <cell r="J371">
            <v>0</v>
          </cell>
          <cell r="O371">
            <v>10000</v>
          </cell>
        </row>
        <row r="372">
          <cell r="C372" t="str">
            <v>BP10</v>
          </cell>
          <cell r="D372">
            <v>37</v>
          </cell>
          <cell r="F372" t="str">
            <v>L.Vde</v>
          </cell>
          <cell r="H372">
            <v>1E-3</v>
          </cell>
          <cell r="I372" t="str">
            <v>Ojales Blanc.</v>
          </cell>
          <cell r="J372">
            <v>0</v>
          </cell>
          <cell r="O372">
            <v>10000</v>
          </cell>
        </row>
        <row r="373">
          <cell r="C373" t="str">
            <v>BP10</v>
          </cell>
          <cell r="D373">
            <v>62</v>
          </cell>
          <cell r="F373" t="str">
            <v>L.Vde</v>
          </cell>
          <cell r="H373">
            <v>1E-3</v>
          </cell>
          <cell r="I373" t="str">
            <v>Ojales Blanc.</v>
          </cell>
          <cell r="J373">
            <v>0</v>
          </cell>
          <cell r="O373">
            <v>10000</v>
          </cell>
        </row>
        <row r="374">
          <cell r="C374" t="str">
            <v>BP10</v>
          </cell>
          <cell r="D374">
            <v>75</v>
          </cell>
          <cell r="F374" t="str">
            <v>L.Vde</v>
          </cell>
          <cell r="H374">
            <v>1E-3</v>
          </cell>
          <cell r="I374" t="str">
            <v>Ojales Blanc.</v>
          </cell>
          <cell r="J374">
            <v>0</v>
          </cell>
          <cell r="O374">
            <v>10000</v>
          </cell>
        </row>
        <row r="375">
          <cell r="C375" t="str">
            <v>BP10</v>
          </cell>
          <cell r="D375">
            <v>209</v>
          </cell>
          <cell r="F375" t="str">
            <v>L.Vde</v>
          </cell>
          <cell r="H375">
            <v>1E-3</v>
          </cell>
          <cell r="I375" t="str">
            <v>Ojales Blanc.</v>
          </cell>
          <cell r="J375">
            <v>0</v>
          </cell>
          <cell r="O375">
            <v>10000</v>
          </cell>
        </row>
        <row r="376">
          <cell r="C376" t="str">
            <v>BP10</v>
          </cell>
          <cell r="D376">
            <v>276</v>
          </cell>
          <cell r="F376" t="str">
            <v>L.Vde</v>
          </cell>
          <cell r="H376">
            <v>1E-3</v>
          </cell>
          <cell r="I376" t="str">
            <v>Ojales Blanc.</v>
          </cell>
          <cell r="J376">
            <v>0</v>
          </cell>
          <cell r="O376">
            <v>10000</v>
          </cell>
        </row>
        <row r="377">
          <cell r="C377" t="str">
            <v>BP10</v>
          </cell>
          <cell r="D377">
            <v>778</v>
          </cell>
          <cell r="F377" t="str">
            <v>L.Vde</v>
          </cell>
          <cell r="H377">
            <v>1E-3</v>
          </cell>
          <cell r="I377" t="str">
            <v>Ojales Blanc.</v>
          </cell>
          <cell r="J377">
            <v>0</v>
          </cell>
          <cell r="O377">
            <v>10000</v>
          </cell>
        </row>
        <row r="378">
          <cell r="C378" t="str">
            <v>MP6</v>
          </cell>
          <cell r="D378" t="str">
            <v>712EN</v>
          </cell>
          <cell r="F378" t="str">
            <v>Imp</v>
          </cell>
          <cell r="H378">
            <v>3.5000000000000001E-3</v>
          </cell>
          <cell r="I378" t="str">
            <v>Capuchon Marip. Blanc.</v>
          </cell>
          <cell r="J378">
            <v>0</v>
          </cell>
          <cell r="O378">
            <v>5000</v>
          </cell>
        </row>
        <row r="379">
          <cell r="C379" t="str">
            <v>BP3</v>
          </cell>
          <cell r="D379">
            <v>96</v>
          </cell>
          <cell r="F379" t="str">
            <v>L.Vde</v>
          </cell>
          <cell r="H379">
            <v>3.5000000000000001E-3</v>
          </cell>
          <cell r="I379" t="str">
            <v>Capuchon Marip. Vde.</v>
          </cell>
          <cell r="J379">
            <v>0</v>
          </cell>
          <cell r="O379">
            <v>5000</v>
          </cell>
        </row>
        <row r="380">
          <cell r="C380" t="str">
            <v>BP2</v>
          </cell>
          <cell r="D380">
            <v>26</v>
          </cell>
          <cell r="F380" t="str">
            <v>L.Vde</v>
          </cell>
          <cell r="H380">
            <v>2.3E-2</v>
          </cell>
          <cell r="I380" t="str">
            <v>Cachas Verdes</v>
          </cell>
          <cell r="J380">
            <v>0</v>
          </cell>
          <cell r="O380">
            <v>5000</v>
          </cell>
        </row>
        <row r="381">
          <cell r="C381" t="str">
            <v>FP3</v>
          </cell>
          <cell r="D381" t="str">
            <v>145K</v>
          </cell>
          <cell r="F381" t="str">
            <v>Krea</v>
          </cell>
          <cell r="H381">
            <v>2.3E-2</v>
          </cell>
          <cell r="I381" t="str">
            <v>Cachas Blancas</v>
          </cell>
          <cell r="J381">
            <v>0</v>
          </cell>
          <cell r="O381">
            <v>5000</v>
          </cell>
        </row>
        <row r="382">
          <cell r="C382" t="str">
            <v>FP3</v>
          </cell>
          <cell r="D382" t="str">
            <v>146K</v>
          </cell>
          <cell r="F382" t="str">
            <v>Krea</v>
          </cell>
          <cell r="H382">
            <v>2.3E-2</v>
          </cell>
          <cell r="I382" t="str">
            <v>Cachas Blancas</v>
          </cell>
          <cell r="J382">
            <v>0</v>
          </cell>
          <cell r="O382">
            <v>5000</v>
          </cell>
        </row>
        <row r="383">
          <cell r="C383" t="str">
            <v>FP3</v>
          </cell>
          <cell r="D383" t="str">
            <v>147K</v>
          </cell>
          <cell r="F383" t="str">
            <v>Krea</v>
          </cell>
          <cell r="H383">
            <v>2.3E-2</v>
          </cell>
          <cell r="I383" t="str">
            <v>Cachas Blancas</v>
          </cell>
          <cell r="J383">
            <v>0</v>
          </cell>
          <cell r="O383">
            <v>5000</v>
          </cell>
        </row>
        <row r="384">
          <cell r="C384" t="str">
            <v>FP3</v>
          </cell>
          <cell r="D384">
            <v>1076</v>
          </cell>
          <cell r="F384" t="str">
            <v>H.L</v>
          </cell>
          <cell r="H384">
            <v>2.3E-2</v>
          </cell>
          <cell r="I384" t="str">
            <v>Cachas Blancas</v>
          </cell>
          <cell r="J384">
            <v>0</v>
          </cell>
          <cell r="O384">
            <v>5000</v>
          </cell>
        </row>
        <row r="385">
          <cell r="C385" t="str">
            <v>BP1</v>
          </cell>
          <cell r="D385">
            <v>311</v>
          </cell>
          <cell r="F385" t="str">
            <v>LK</v>
          </cell>
          <cell r="H385">
            <v>1.4999999999999999E-2</v>
          </cell>
          <cell r="I385" t="str">
            <v>Mangos Cuch y P Torta</v>
          </cell>
          <cell r="J385">
            <v>0</v>
          </cell>
        </row>
        <row r="386">
          <cell r="C386" t="str">
            <v>AP10</v>
          </cell>
          <cell r="D386">
            <v>452</v>
          </cell>
          <cell r="F386" t="str">
            <v>CH</v>
          </cell>
          <cell r="H386">
            <v>5.0000000000000001E-3</v>
          </cell>
          <cell r="I386" t="str">
            <v>Inser. Neg. p/ Vastag.</v>
          </cell>
          <cell r="J386">
            <v>0</v>
          </cell>
          <cell r="O386">
            <v>5000</v>
          </cell>
        </row>
        <row r="387">
          <cell r="C387" t="str">
            <v>AP10</v>
          </cell>
          <cell r="D387">
            <v>453</v>
          </cell>
          <cell r="F387" t="str">
            <v>CH</v>
          </cell>
          <cell r="H387">
            <v>5.0000000000000001E-3</v>
          </cell>
          <cell r="I387" t="str">
            <v>Inser. Neg. p/ Vastag.</v>
          </cell>
          <cell r="J387">
            <v>240</v>
          </cell>
          <cell r="O387">
            <v>5000</v>
          </cell>
        </row>
        <row r="388">
          <cell r="C388" t="str">
            <v>AP10</v>
          </cell>
          <cell r="D388">
            <v>454</v>
          </cell>
          <cell r="F388" t="str">
            <v>CH</v>
          </cell>
          <cell r="H388">
            <v>5.0000000000000001E-3</v>
          </cell>
          <cell r="I388" t="str">
            <v>Inser. Neg. p/ Vastag.</v>
          </cell>
          <cell r="J388">
            <v>240</v>
          </cell>
          <cell r="O388">
            <v>5000</v>
          </cell>
        </row>
        <row r="389">
          <cell r="C389" t="str">
            <v>AP10</v>
          </cell>
          <cell r="D389">
            <v>455</v>
          </cell>
          <cell r="F389" t="str">
            <v>CH</v>
          </cell>
          <cell r="H389">
            <v>5.0000000000000001E-3</v>
          </cell>
          <cell r="I389" t="str">
            <v>Inser. Neg. p/ Vastag.</v>
          </cell>
          <cell r="J389">
            <v>240</v>
          </cell>
          <cell r="O389">
            <v>5000</v>
          </cell>
        </row>
        <row r="390">
          <cell r="C390" t="str">
            <v>AP10</v>
          </cell>
          <cell r="D390">
            <v>456</v>
          </cell>
          <cell r="F390" t="str">
            <v>CH</v>
          </cell>
          <cell r="H390">
            <v>5.0000000000000001E-3</v>
          </cell>
          <cell r="I390" t="str">
            <v>Inser. Neg. p/ Vastag.</v>
          </cell>
          <cell r="J390">
            <v>240</v>
          </cell>
          <cell r="O390">
            <v>5000</v>
          </cell>
        </row>
        <row r="391">
          <cell r="C391" t="str">
            <v>BP7</v>
          </cell>
          <cell r="D391">
            <v>28</v>
          </cell>
          <cell r="F391" t="str">
            <v>L.Vde</v>
          </cell>
          <cell r="H391">
            <v>5.0000000000000001E-3</v>
          </cell>
          <cell r="I391" t="str">
            <v>Insert. Bat. Blanco</v>
          </cell>
          <cell r="J391">
            <v>0</v>
          </cell>
          <cell r="O391">
            <v>5000</v>
          </cell>
        </row>
        <row r="392">
          <cell r="C392" t="str">
            <v>BP7</v>
          </cell>
          <cell r="D392">
            <v>29</v>
          </cell>
          <cell r="F392" t="str">
            <v>L.Vde</v>
          </cell>
          <cell r="H392">
            <v>5.0000000000000001E-3</v>
          </cell>
          <cell r="I392" t="str">
            <v>Insert. Bat. Blanco</v>
          </cell>
          <cell r="J392">
            <v>0</v>
          </cell>
          <cell r="O392">
            <v>5000</v>
          </cell>
        </row>
        <row r="393">
          <cell r="C393" t="str">
            <v>BP8</v>
          </cell>
          <cell r="D393">
            <v>33</v>
          </cell>
          <cell r="F393" t="str">
            <v>L.Vde</v>
          </cell>
          <cell r="H393">
            <v>5.0000000000000001E-3</v>
          </cell>
          <cell r="I393" t="str">
            <v>Insert. Esp. Blanco</v>
          </cell>
          <cell r="J393">
            <v>0</v>
          </cell>
          <cell r="O393">
            <v>5000</v>
          </cell>
        </row>
        <row r="394">
          <cell r="C394" t="str">
            <v>BP8</v>
          </cell>
          <cell r="D394">
            <v>34</v>
          </cell>
          <cell r="F394" t="str">
            <v>L.Vde</v>
          </cell>
          <cell r="H394">
            <v>5.0000000000000001E-3</v>
          </cell>
          <cell r="I394" t="str">
            <v>Insert. Esp. Blanco</v>
          </cell>
          <cell r="J394">
            <v>0</v>
          </cell>
          <cell r="O394">
            <v>5000</v>
          </cell>
        </row>
        <row r="395">
          <cell r="C395" t="str">
            <v>BP8</v>
          </cell>
          <cell r="D395">
            <v>36</v>
          </cell>
          <cell r="F395" t="str">
            <v>L.Vde</v>
          </cell>
          <cell r="H395">
            <v>5.0000000000000001E-3</v>
          </cell>
          <cell r="I395" t="str">
            <v>Insert. Esp. Blanco</v>
          </cell>
          <cell r="J395">
            <v>0</v>
          </cell>
          <cell r="O395">
            <v>5000</v>
          </cell>
        </row>
        <row r="396">
          <cell r="C396" t="str">
            <v>BP8</v>
          </cell>
          <cell r="D396">
            <v>37</v>
          </cell>
          <cell r="F396" t="str">
            <v>L.Vde</v>
          </cell>
          <cell r="H396">
            <v>5.0000000000000001E-3</v>
          </cell>
          <cell r="I396" t="str">
            <v>Insert. Esp. Blanco</v>
          </cell>
          <cell r="J396">
            <v>0</v>
          </cell>
          <cell r="O396">
            <v>5000</v>
          </cell>
        </row>
        <row r="397">
          <cell r="C397" t="str">
            <v>BP8</v>
          </cell>
          <cell r="D397">
            <v>62</v>
          </cell>
          <cell r="F397" t="str">
            <v>L.Vde</v>
          </cell>
          <cell r="H397">
            <v>5.0000000000000001E-3</v>
          </cell>
          <cell r="I397" t="str">
            <v>Insert. Esp. Blanco</v>
          </cell>
          <cell r="J397">
            <v>0</v>
          </cell>
          <cell r="O397">
            <v>5000</v>
          </cell>
        </row>
        <row r="398">
          <cell r="C398" t="str">
            <v>BP8</v>
          </cell>
          <cell r="D398">
            <v>75</v>
          </cell>
          <cell r="F398" t="str">
            <v>L.Vde</v>
          </cell>
          <cell r="H398">
            <v>5.0000000000000001E-3</v>
          </cell>
          <cell r="I398" t="str">
            <v>Insert. Esp. Blanco</v>
          </cell>
          <cell r="J398">
            <v>0</v>
          </cell>
          <cell r="O398">
            <v>5000</v>
          </cell>
        </row>
        <row r="399">
          <cell r="C399" t="str">
            <v>BP8</v>
          </cell>
          <cell r="D399">
            <v>209</v>
          </cell>
          <cell r="F399" t="str">
            <v>L.Vde</v>
          </cell>
          <cell r="H399">
            <v>5.0000000000000001E-3</v>
          </cell>
          <cell r="I399" t="str">
            <v>Insert. Esp. Blanco</v>
          </cell>
          <cell r="J399">
            <v>0</v>
          </cell>
          <cell r="O399">
            <v>5000</v>
          </cell>
        </row>
        <row r="400">
          <cell r="C400" t="str">
            <v>BP8</v>
          </cell>
          <cell r="D400">
            <v>276</v>
          </cell>
          <cell r="F400" t="str">
            <v>L.Vde</v>
          </cell>
          <cell r="H400">
            <v>5.0000000000000001E-3</v>
          </cell>
          <cell r="I400" t="str">
            <v>Insert. Esp. Blanco</v>
          </cell>
          <cell r="J400">
            <v>0</v>
          </cell>
          <cell r="O400">
            <v>5000</v>
          </cell>
        </row>
        <row r="401">
          <cell r="C401" t="str">
            <v>BP8</v>
          </cell>
          <cell r="D401">
            <v>778</v>
          </cell>
          <cell r="F401" t="str">
            <v>L.Vde</v>
          </cell>
          <cell r="H401">
            <v>5.0000000000000001E-3</v>
          </cell>
          <cell r="I401" t="str">
            <v>Insert. Esp. Blanco</v>
          </cell>
          <cell r="J401">
            <v>0</v>
          </cell>
          <cell r="O401">
            <v>5000</v>
          </cell>
        </row>
        <row r="402">
          <cell r="H402">
            <v>6.4999999999999997E-3</v>
          </cell>
          <cell r="I402" t="str">
            <v>Inserto Blanc. Espat. India</v>
          </cell>
          <cell r="J402">
            <v>0</v>
          </cell>
          <cell r="O402">
            <v>5000</v>
          </cell>
        </row>
        <row r="403">
          <cell r="C403" t="str">
            <v>HP4</v>
          </cell>
          <cell r="H403">
            <v>6.4999999999999997E-3</v>
          </cell>
          <cell r="I403" t="str">
            <v>Inserto Neg. Espat. India</v>
          </cell>
          <cell r="J403">
            <v>0</v>
          </cell>
          <cell r="O403">
            <v>5000</v>
          </cell>
        </row>
        <row r="404">
          <cell r="C404" t="str">
            <v>AP8</v>
          </cell>
          <cell r="D404">
            <v>9</v>
          </cell>
          <cell r="F404" t="str">
            <v>L.Vde</v>
          </cell>
          <cell r="H404">
            <v>2E-3</v>
          </cell>
          <cell r="I404" t="str">
            <v>Placas 3 en 1 Vde.</v>
          </cell>
          <cell r="J404">
            <v>0</v>
          </cell>
          <cell r="O404">
            <v>6000</v>
          </cell>
        </row>
        <row r="405">
          <cell r="C405" t="str">
            <v>AP1</v>
          </cell>
          <cell r="D405">
            <v>477</v>
          </cell>
          <cell r="F405" t="str">
            <v>LK</v>
          </cell>
          <cell r="H405">
            <v>2E-3</v>
          </cell>
          <cell r="I405" t="str">
            <v>Placas 3 en 1 Roj.</v>
          </cell>
          <cell r="J405">
            <v>0</v>
          </cell>
          <cell r="O405">
            <v>6000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91C7-EC57-450F-8846-62940CAAD373}">
  <dimension ref="B2:I157"/>
  <sheetViews>
    <sheetView topLeftCell="D1" zoomScale="85" zoomScaleNormal="85" workbookViewId="0">
      <selection activeCell="I3" sqref="I3:I157"/>
    </sheetView>
  </sheetViews>
  <sheetFormatPr baseColWidth="10" defaultRowHeight="14.4" x14ac:dyDescent="0.3"/>
  <cols>
    <col min="2" max="2" width="8.88671875" bestFit="1" customWidth="1"/>
    <col min="3" max="3" width="35.5546875" bestFit="1" customWidth="1"/>
    <col min="5" max="5" width="33.77734375" bestFit="1" customWidth="1"/>
    <col min="6" max="6" width="8.44140625" customWidth="1"/>
    <col min="7" max="8" width="11.5546875" customWidth="1"/>
    <col min="9" max="9" width="20.77734375" customWidth="1"/>
  </cols>
  <sheetData>
    <row r="2" spans="2:9" ht="54" x14ac:dyDescent="0.3">
      <c r="B2" s="1" t="s">
        <v>0</v>
      </c>
      <c r="C2" s="1" t="s">
        <v>1</v>
      </c>
      <c r="D2" s="13" t="s">
        <v>145</v>
      </c>
      <c r="E2" s="1" t="s">
        <v>144</v>
      </c>
      <c r="F2" s="1" t="s">
        <v>93</v>
      </c>
      <c r="G2" s="8" t="s">
        <v>90</v>
      </c>
      <c r="H2" s="8" t="s">
        <v>91</v>
      </c>
      <c r="I2" s="1" t="s">
        <v>92</v>
      </c>
    </row>
    <row r="3" spans="2:9" ht="18" x14ac:dyDescent="0.35">
      <c r="B3" s="4">
        <v>511</v>
      </c>
      <c r="C3" s="5" t="s">
        <v>3</v>
      </c>
      <c r="D3" s="12" t="s">
        <v>147</v>
      </c>
      <c r="E3" s="11" t="str">
        <f>+VLOOKUP(D3,'[1]Consumo x Cod Articulo'!$C$1:$O$65536,7,)</f>
        <v>Plaquita 3 en 1 LK</v>
      </c>
      <c r="F3" s="3">
        <f>+G3+H3</f>
        <v>420</v>
      </c>
      <c r="G3" s="4">
        <v>420</v>
      </c>
      <c r="H3" s="9">
        <v>0</v>
      </c>
      <c r="I3" s="15" t="s">
        <v>200</v>
      </c>
    </row>
    <row r="4" spans="2:9" ht="18" x14ac:dyDescent="0.35">
      <c r="B4" s="4">
        <v>315</v>
      </c>
      <c r="C4" s="5" t="s">
        <v>22</v>
      </c>
      <c r="D4" s="12" t="s">
        <v>151</v>
      </c>
      <c r="E4" s="11" t="str">
        <f>+VLOOKUP(D4,'[1]Consumo x Cod Articulo'!$C$1:$O$65536,7,)</f>
        <v>Capuchon ф 8</v>
      </c>
      <c r="F4" s="3">
        <f>+G4+H4</f>
        <v>1920</v>
      </c>
      <c r="G4" s="4">
        <v>1920</v>
      </c>
      <c r="H4" s="9">
        <v>0</v>
      </c>
      <c r="I4" s="15" t="s">
        <v>203</v>
      </c>
    </row>
    <row r="5" spans="2:9" ht="18" x14ac:dyDescent="0.35">
      <c r="B5" s="4">
        <v>355</v>
      </c>
      <c r="C5" s="6" t="s">
        <v>23</v>
      </c>
      <c r="D5" s="12" t="s">
        <v>151</v>
      </c>
      <c r="E5" s="11" t="str">
        <f>+VLOOKUP(D5,'[1]Consumo x Cod Articulo'!$C$1:$O$65536,7,)</f>
        <v>Capuchon ф 8</v>
      </c>
      <c r="F5" s="3">
        <f>+G5+H5</f>
        <v>480</v>
      </c>
      <c r="G5" s="4">
        <v>480</v>
      </c>
      <c r="H5" s="9">
        <v>0</v>
      </c>
      <c r="I5" s="15" t="s">
        <v>203</v>
      </c>
    </row>
    <row r="6" spans="2:9" ht="18" x14ac:dyDescent="0.35">
      <c r="B6" s="4">
        <v>535</v>
      </c>
      <c r="C6" s="6" t="s">
        <v>24</v>
      </c>
      <c r="D6" s="12" t="s">
        <v>151</v>
      </c>
      <c r="E6" s="11" t="str">
        <f>+VLOOKUP(D6,'[1]Consumo x Cod Articulo'!$C$1:$O$65536,7,)</f>
        <v>Capuchon ф 8</v>
      </c>
      <c r="F6" s="3">
        <f>+G6+H6</f>
        <v>996</v>
      </c>
      <c r="G6" s="4">
        <v>996</v>
      </c>
      <c r="H6" s="9">
        <v>0</v>
      </c>
      <c r="I6" s="15" t="s">
        <v>204</v>
      </c>
    </row>
    <row r="7" spans="2:9" ht="18" x14ac:dyDescent="0.35">
      <c r="B7" s="4">
        <v>512</v>
      </c>
      <c r="C7" s="5" t="s">
        <v>42</v>
      </c>
      <c r="D7" s="12" t="s">
        <v>165</v>
      </c>
      <c r="E7" s="11" t="str">
        <f>+VLOOKUP(D7,'[1]Consumo x Cod Articulo'!$C$1:$O$65536,7,)</f>
        <v>Capuchon Mariposa 512</v>
      </c>
      <c r="F7" s="3">
        <f>+G7+H7</f>
        <v>984</v>
      </c>
      <c r="G7" s="4">
        <v>984</v>
      </c>
      <c r="H7" s="9">
        <v>0</v>
      </c>
      <c r="I7" s="15" t="s">
        <v>205</v>
      </c>
    </row>
    <row r="8" spans="2:9" ht="18" x14ac:dyDescent="0.35">
      <c r="B8" s="4">
        <v>501</v>
      </c>
      <c r="C8" s="5" t="s">
        <v>55</v>
      </c>
      <c r="D8" s="12" t="s">
        <v>172</v>
      </c>
      <c r="E8" s="11" t="str">
        <f>+VLOOKUP(D8,'[1]Consumo x Cod Articulo'!$C$1:$O$65536,7,)</f>
        <v>Pirolo Rojo</v>
      </c>
      <c r="F8" s="3">
        <f>+G8+H8</f>
        <v>5040</v>
      </c>
      <c r="G8" s="4">
        <v>5040</v>
      </c>
      <c r="H8" s="9">
        <v>0</v>
      </c>
      <c r="I8" s="15" t="s">
        <v>207</v>
      </c>
    </row>
    <row r="9" spans="2:9" ht="18" x14ac:dyDescent="0.35">
      <c r="B9" s="4">
        <v>515</v>
      </c>
      <c r="C9" s="6" t="s">
        <v>5</v>
      </c>
      <c r="D9" s="12" t="s">
        <v>148</v>
      </c>
      <c r="E9" s="11" t="str">
        <f>+VLOOKUP(D9,'[1]Consumo x Cod Articulo'!$C$1:$O$65536,7,)</f>
        <v>Capuchon Batidor LK</v>
      </c>
      <c r="F9" s="3">
        <f>+G9+H9</f>
        <v>144</v>
      </c>
      <c r="G9" s="4">
        <v>144</v>
      </c>
      <c r="H9" s="9">
        <v>0</v>
      </c>
      <c r="I9" s="15" t="s">
        <v>202</v>
      </c>
    </row>
    <row r="10" spans="2:9" ht="18" x14ac:dyDescent="0.35">
      <c r="B10" s="4">
        <v>546</v>
      </c>
      <c r="C10" s="6" t="s">
        <v>4</v>
      </c>
      <c r="D10" s="12" t="s">
        <v>148</v>
      </c>
      <c r="E10" s="11" t="str">
        <f>+VLOOKUP(D10,'[1]Consumo x Cod Articulo'!$C$1:$O$65536,7,)</f>
        <v>Capuchon Batidor LK</v>
      </c>
      <c r="F10" s="3">
        <f>+G10+H10</f>
        <v>4800</v>
      </c>
      <c r="G10" s="4">
        <v>4800</v>
      </c>
      <c r="H10" s="9">
        <v>0</v>
      </c>
      <c r="I10" s="15" t="s">
        <v>201</v>
      </c>
    </row>
    <row r="11" spans="2:9" ht="18" x14ac:dyDescent="0.35">
      <c r="B11" s="4">
        <v>548</v>
      </c>
      <c r="C11" s="5" t="s">
        <v>21</v>
      </c>
      <c r="D11" s="12" t="s">
        <v>150</v>
      </c>
      <c r="E11" s="11" t="str">
        <f>+VLOOKUP(D11,'[1]Consumo x Cod Articulo'!$C$1:$O$65536,7,)</f>
        <v>Capuchon ф10</v>
      </c>
      <c r="F11" s="3">
        <f>+G11+H11</f>
        <v>360</v>
      </c>
      <c r="G11" s="4">
        <v>360</v>
      </c>
      <c r="H11" s="9">
        <v>0</v>
      </c>
      <c r="I11" s="15" t="s">
        <v>207</v>
      </c>
    </row>
    <row r="12" spans="2:9" ht="18" x14ac:dyDescent="0.35">
      <c r="B12" s="4">
        <v>548</v>
      </c>
      <c r="C12" s="5" t="s">
        <v>21</v>
      </c>
      <c r="D12" s="12" t="s">
        <v>163</v>
      </c>
      <c r="E12" s="11" t="str">
        <f>+VLOOKUP(D12,'[1]Consumo x Cod Articulo'!$C$1:$O$65536,7,)</f>
        <v>Mangos ф 10</v>
      </c>
      <c r="F12" s="3">
        <f>+G12+H12</f>
        <v>360</v>
      </c>
      <c r="G12" s="4">
        <v>360</v>
      </c>
      <c r="H12" s="9">
        <v>0</v>
      </c>
      <c r="I12" s="15" t="s">
        <v>207</v>
      </c>
    </row>
    <row r="13" spans="2:9" ht="18" x14ac:dyDescent="0.35">
      <c r="B13" s="4">
        <v>312</v>
      </c>
      <c r="C13" s="5" t="s">
        <v>16</v>
      </c>
      <c r="D13" s="12" t="s">
        <v>159</v>
      </c>
      <c r="E13" s="11" t="str">
        <f>+VLOOKUP(D13,'[1]Consumo x Cod Articulo'!$C$1:$O$65536,7,)</f>
        <v>Mango LK Cuch y P Torta</v>
      </c>
      <c r="F13" s="3">
        <f>+G13+H13</f>
        <v>156</v>
      </c>
      <c r="G13" s="4">
        <v>156</v>
      </c>
      <c r="H13" s="9">
        <v>0</v>
      </c>
      <c r="I13" s="15" t="s">
        <v>200</v>
      </c>
    </row>
    <row r="14" spans="2:9" ht="18" x14ac:dyDescent="0.35">
      <c r="B14" s="4">
        <v>332</v>
      </c>
      <c r="C14" s="5" t="s">
        <v>6</v>
      </c>
      <c r="D14" s="12" t="s">
        <v>149</v>
      </c>
      <c r="E14" s="11" t="str">
        <f>+VLOOKUP(D14,'[1]Consumo x Cod Articulo'!$C$1:$O$65536,7,)</f>
        <v>Capuchon Espatula LK</v>
      </c>
      <c r="F14" s="3">
        <f>+G14+H14</f>
        <v>168</v>
      </c>
      <c r="G14" s="4">
        <v>168</v>
      </c>
      <c r="H14" s="9">
        <v>0</v>
      </c>
      <c r="I14" s="15" t="s">
        <v>202</v>
      </c>
    </row>
    <row r="15" spans="2:9" ht="18" x14ac:dyDescent="0.35">
      <c r="B15" s="4">
        <v>333</v>
      </c>
      <c r="C15" s="6" t="s">
        <v>7</v>
      </c>
      <c r="D15" s="12" t="s">
        <v>149</v>
      </c>
      <c r="E15" s="11" t="str">
        <f>+VLOOKUP(D15,'[1]Consumo x Cod Articulo'!$C$1:$O$65536,7,)</f>
        <v>Capuchon Espatula LK</v>
      </c>
      <c r="F15" s="3">
        <f>+G15+H15</f>
        <v>288</v>
      </c>
      <c r="G15" s="4">
        <v>288</v>
      </c>
      <c r="H15" s="9">
        <v>0</v>
      </c>
      <c r="I15" s="15" t="s">
        <v>202</v>
      </c>
    </row>
    <row r="16" spans="2:9" ht="18" x14ac:dyDescent="0.35">
      <c r="B16" s="4">
        <v>334</v>
      </c>
      <c r="C16" s="6" t="s">
        <v>8</v>
      </c>
      <c r="D16" s="12" t="s">
        <v>149</v>
      </c>
      <c r="E16" s="11" t="str">
        <f>+VLOOKUP(D16,'[1]Consumo x Cod Articulo'!$C$1:$O$65536,7,)</f>
        <v>Capuchon Espatula LK</v>
      </c>
      <c r="F16" s="3">
        <f>+G16+H16</f>
        <v>144</v>
      </c>
      <c r="G16" s="4">
        <v>144</v>
      </c>
      <c r="H16" s="9">
        <v>0</v>
      </c>
      <c r="I16" s="15" t="s">
        <v>202</v>
      </c>
    </row>
    <row r="17" spans="2:9" ht="18" x14ac:dyDescent="0.35">
      <c r="B17" s="4">
        <v>335</v>
      </c>
      <c r="C17" s="6" t="s">
        <v>9</v>
      </c>
      <c r="D17" s="12" t="s">
        <v>149</v>
      </c>
      <c r="E17" s="11" t="str">
        <f>+VLOOKUP(D17,'[1]Consumo x Cod Articulo'!$C$1:$O$65536,7,)</f>
        <v>Capuchon Espatula LK</v>
      </c>
      <c r="F17" s="3">
        <f>+G17+H17</f>
        <v>120</v>
      </c>
      <c r="G17" s="4">
        <v>120</v>
      </c>
      <c r="H17" s="9">
        <v>0</v>
      </c>
      <c r="I17" s="15" t="s">
        <v>202</v>
      </c>
    </row>
    <row r="18" spans="2:9" ht="18" x14ac:dyDescent="0.35">
      <c r="B18" s="4">
        <v>336</v>
      </c>
      <c r="C18" s="6" t="s">
        <v>10</v>
      </c>
      <c r="D18" s="12" t="s">
        <v>149</v>
      </c>
      <c r="E18" s="11" t="str">
        <f>+VLOOKUP(D18,'[1]Consumo x Cod Articulo'!$C$1:$O$65536,7,)</f>
        <v>Capuchon Espatula LK</v>
      </c>
      <c r="F18" s="3">
        <f>+G18+H18</f>
        <v>180</v>
      </c>
      <c r="G18" s="4">
        <v>180</v>
      </c>
      <c r="H18" s="9">
        <v>0</v>
      </c>
      <c r="I18" s="15" t="s">
        <v>202</v>
      </c>
    </row>
    <row r="19" spans="2:9" ht="18" x14ac:dyDescent="0.35">
      <c r="B19" s="4">
        <v>337</v>
      </c>
      <c r="C19" s="6" t="s">
        <v>11</v>
      </c>
      <c r="D19" s="12" t="s">
        <v>149</v>
      </c>
      <c r="E19" s="11" t="str">
        <f>+VLOOKUP(D19,'[1]Consumo x Cod Articulo'!$C$1:$O$65536,7,)</f>
        <v>Capuchon Espatula LK</v>
      </c>
      <c r="F19" s="3">
        <f>+G19+H19</f>
        <v>48</v>
      </c>
      <c r="G19" s="4">
        <v>48</v>
      </c>
      <c r="H19" s="9">
        <v>0</v>
      </c>
      <c r="I19" s="15" t="s">
        <v>202</v>
      </c>
    </row>
    <row r="20" spans="2:9" ht="18" x14ac:dyDescent="0.35">
      <c r="B20" s="4">
        <v>338</v>
      </c>
      <c r="C20" s="6" t="s">
        <v>12</v>
      </c>
      <c r="D20" s="12" t="s">
        <v>149</v>
      </c>
      <c r="E20" s="11" t="str">
        <f>+VLOOKUP(D20,'[1]Consumo x Cod Articulo'!$C$1:$O$65536,7,)</f>
        <v>Capuchon Espatula LK</v>
      </c>
      <c r="F20" s="3">
        <f>+G20+H20</f>
        <v>96</v>
      </c>
      <c r="G20" s="4">
        <v>96</v>
      </c>
      <c r="H20" s="9">
        <v>0</v>
      </c>
      <c r="I20" s="15" t="s">
        <v>202</v>
      </c>
    </row>
    <row r="21" spans="2:9" ht="18" x14ac:dyDescent="0.35">
      <c r="B21" s="4">
        <v>395</v>
      </c>
      <c r="C21" s="6" t="s">
        <v>19</v>
      </c>
      <c r="D21" s="12" t="s">
        <v>149</v>
      </c>
      <c r="E21" s="11" t="str">
        <f>+VLOOKUP(D21,'[1]Consumo x Cod Articulo'!$C$1:$O$65536,7,)</f>
        <v>Capuchon Espatula LK</v>
      </c>
      <c r="F21" s="3">
        <f>+G21+H21</f>
        <v>336</v>
      </c>
      <c r="G21" s="4">
        <v>336</v>
      </c>
      <c r="H21" s="9">
        <v>0</v>
      </c>
      <c r="I21" s="15" t="s">
        <v>202</v>
      </c>
    </row>
    <row r="22" spans="2:9" ht="18" x14ac:dyDescent="0.35">
      <c r="B22" s="4">
        <v>396</v>
      </c>
      <c r="C22" s="6" t="s">
        <v>20</v>
      </c>
      <c r="D22" s="12" t="s">
        <v>149</v>
      </c>
      <c r="E22" s="11" t="str">
        <f>+VLOOKUP(D22,'[1]Consumo x Cod Articulo'!$C$1:$O$65536,7,)</f>
        <v>Capuchon Espatula LK</v>
      </c>
      <c r="F22" s="3">
        <f>+G22+H22</f>
        <v>192</v>
      </c>
      <c r="G22" s="4">
        <v>192</v>
      </c>
      <c r="H22" s="9">
        <v>0</v>
      </c>
      <c r="I22" s="15" t="s">
        <v>202</v>
      </c>
    </row>
    <row r="23" spans="2:9" ht="18" x14ac:dyDescent="0.35">
      <c r="B23" s="4">
        <v>542</v>
      </c>
      <c r="C23" s="6" t="s">
        <v>13</v>
      </c>
      <c r="D23" s="12" t="s">
        <v>149</v>
      </c>
      <c r="E23" s="11" t="str">
        <f>+VLOOKUP(D23,'[1]Consumo x Cod Articulo'!$C$1:$O$65536,7,)</f>
        <v>Capuchon Espatula LK</v>
      </c>
      <c r="F23" s="3">
        <f>+G23+H23</f>
        <v>396</v>
      </c>
      <c r="G23" s="4">
        <v>396</v>
      </c>
      <c r="H23" s="9">
        <v>0</v>
      </c>
      <c r="I23" s="15" t="s">
        <v>207</v>
      </c>
    </row>
    <row r="24" spans="2:9" ht="18" x14ac:dyDescent="0.35">
      <c r="B24" s="4">
        <v>543</v>
      </c>
      <c r="C24" s="6" t="s">
        <v>14</v>
      </c>
      <c r="D24" s="12" t="s">
        <v>149</v>
      </c>
      <c r="E24" s="11" t="str">
        <f>+VLOOKUP(D24,'[1]Consumo x Cod Articulo'!$C$1:$O$65536,7,)</f>
        <v>Capuchon Espatula LK</v>
      </c>
      <c r="F24" s="3">
        <f>+G24+H24</f>
        <v>300</v>
      </c>
      <c r="G24" s="4">
        <v>300</v>
      </c>
      <c r="H24" s="9">
        <v>0</v>
      </c>
      <c r="I24" s="15" t="s">
        <v>207</v>
      </c>
    </row>
    <row r="25" spans="2:9" ht="18" x14ac:dyDescent="0.35">
      <c r="B25" s="4">
        <v>546</v>
      </c>
      <c r="C25" s="6" t="s">
        <v>4</v>
      </c>
      <c r="D25" s="12" t="s">
        <v>149</v>
      </c>
      <c r="E25" s="11" t="str">
        <f>+VLOOKUP(D25,'[1]Consumo x Cod Articulo'!$C$1:$O$65536,7,)</f>
        <v>Capuchon Espatula LK</v>
      </c>
      <c r="F25" s="3">
        <f>+G25+H25</f>
        <v>4800</v>
      </c>
      <c r="G25" s="4">
        <v>4800</v>
      </c>
      <c r="H25" s="9">
        <v>0</v>
      </c>
      <c r="I25" s="15" t="s">
        <v>201</v>
      </c>
    </row>
    <row r="26" spans="2:9" ht="18" x14ac:dyDescent="0.35">
      <c r="B26" s="4">
        <v>587</v>
      </c>
      <c r="C26" s="6" t="s">
        <v>18</v>
      </c>
      <c r="D26" s="12" t="s">
        <v>149</v>
      </c>
      <c r="E26" s="11" t="str">
        <f>+VLOOKUP(D26,'[1]Consumo x Cod Articulo'!$C$1:$O$65536,7,)</f>
        <v>Capuchon Espatula LK</v>
      </c>
      <c r="F26" s="3">
        <f>+G26+H26</f>
        <v>2760</v>
      </c>
      <c r="G26" s="4">
        <v>2760</v>
      </c>
      <c r="H26" s="9">
        <v>0</v>
      </c>
      <c r="I26" s="15" t="s">
        <v>201</v>
      </c>
    </row>
    <row r="27" spans="2:9" ht="18" x14ac:dyDescent="0.35">
      <c r="B27" s="4">
        <v>559</v>
      </c>
      <c r="C27" s="6" t="s">
        <v>15</v>
      </c>
      <c r="D27" s="12" t="s">
        <v>149</v>
      </c>
      <c r="E27" s="11" t="str">
        <f>+VLOOKUP(D27,'[1]Consumo x Cod Articulo'!$C$1:$O$65536,7,)</f>
        <v>Capuchon Espatula LK</v>
      </c>
      <c r="F27" s="3">
        <f>+G27+H27</f>
        <v>720</v>
      </c>
      <c r="G27" s="4">
        <v>720</v>
      </c>
      <c r="H27" s="9">
        <v>0</v>
      </c>
      <c r="I27" s="15" t="s">
        <v>200</v>
      </c>
    </row>
    <row r="28" spans="2:9" ht="18" x14ac:dyDescent="0.35">
      <c r="B28" s="4">
        <v>312</v>
      </c>
      <c r="C28" s="6" t="s">
        <v>16</v>
      </c>
      <c r="D28" s="12" t="s">
        <v>149</v>
      </c>
      <c r="E28" s="11" t="str">
        <f>+VLOOKUP(D28,'[1]Consumo x Cod Articulo'!$C$1:$O$65536,7,)</f>
        <v>Capuchon Espatula LK</v>
      </c>
      <c r="F28" s="3">
        <f>+G28+H28</f>
        <v>156</v>
      </c>
      <c r="G28" s="4">
        <v>156</v>
      </c>
      <c r="H28" s="9">
        <v>0</v>
      </c>
      <c r="I28" s="15" t="s">
        <v>200</v>
      </c>
    </row>
    <row r="29" spans="2:9" ht="18" x14ac:dyDescent="0.35">
      <c r="B29" s="4">
        <v>570</v>
      </c>
      <c r="C29" s="6" t="s">
        <v>17</v>
      </c>
      <c r="D29" s="12" t="s">
        <v>149</v>
      </c>
      <c r="E29" s="11" t="str">
        <f>+VLOOKUP(D29,'[1]Consumo x Cod Articulo'!$C$1:$O$65536,7,)</f>
        <v>Capuchon Espatula LK</v>
      </c>
      <c r="F29" s="3">
        <f>+G29+H29</f>
        <v>296</v>
      </c>
      <c r="G29" s="4">
        <v>296</v>
      </c>
      <c r="H29" s="9">
        <v>0</v>
      </c>
      <c r="I29" s="15" t="s">
        <v>200</v>
      </c>
    </row>
    <row r="30" spans="2:9" ht="18" x14ac:dyDescent="0.35">
      <c r="B30" s="2">
        <v>630</v>
      </c>
      <c r="C30" s="5" t="s">
        <v>43</v>
      </c>
      <c r="D30" s="12" t="s">
        <v>176</v>
      </c>
      <c r="E30" s="11" t="str">
        <f>+VLOOKUP(D30,'[1]Consumo x Cod Articulo'!$C$1:$O$65536,7,)</f>
        <v>Mangos Chef</v>
      </c>
      <c r="F30" s="3">
        <f>+G30+H30</f>
        <v>60</v>
      </c>
      <c r="G30" s="9">
        <v>0</v>
      </c>
      <c r="H30" s="4">
        <v>60</v>
      </c>
      <c r="I30" s="15" t="s">
        <v>202</v>
      </c>
    </row>
    <row r="31" spans="2:9" ht="18" x14ac:dyDescent="0.35">
      <c r="B31" s="2">
        <v>631</v>
      </c>
      <c r="C31" s="5" t="s">
        <v>44</v>
      </c>
      <c r="D31" s="12" t="s">
        <v>176</v>
      </c>
      <c r="E31" s="11" t="str">
        <f>+VLOOKUP(D31,'[1]Consumo x Cod Articulo'!$C$1:$O$65536,7,)</f>
        <v>Mangos Chef</v>
      </c>
      <c r="F31" s="3">
        <f>+G31+H31</f>
        <v>72</v>
      </c>
      <c r="G31" s="9">
        <v>0</v>
      </c>
      <c r="H31" s="4">
        <v>72</v>
      </c>
      <c r="I31" s="15" t="s">
        <v>202</v>
      </c>
    </row>
    <row r="32" spans="2:9" ht="18" x14ac:dyDescent="0.35">
      <c r="B32" s="2">
        <v>632</v>
      </c>
      <c r="C32" s="5" t="s">
        <v>45</v>
      </c>
      <c r="D32" s="12" t="s">
        <v>176</v>
      </c>
      <c r="E32" s="11" t="str">
        <f>+VLOOKUP(D32,'[1]Consumo x Cod Articulo'!$C$1:$O$65536,7,)</f>
        <v>Mangos Chef</v>
      </c>
      <c r="F32" s="3">
        <f>+G32+H32</f>
        <v>48</v>
      </c>
      <c r="G32" s="9">
        <v>0</v>
      </c>
      <c r="H32" s="4">
        <v>48</v>
      </c>
      <c r="I32" s="15" t="s">
        <v>202</v>
      </c>
    </row>
    <row r="33" spans="2:9" ht="18" x14ac:dyDescent="0.35">
      <c r="B33" s="2">
        <v>633</v>
      </c>
      <c r="C33" s="5" t="s">
        <v>46</v>
      </c>
      <c r="D33" s="12" t="s">
        <v>176</v>
      </c>
      <c r="E33" s="11" t="str">
        <f>+VLOOKUP(D33,'[1]Consumo x Cod Articulo'!$C$1:$O$65536,7,)</f>
        <v>Mangos Chef</v>
      </c>
      <c r="F33" s="3">
        <f>+G33+H33</f>
        <v>24</v>
      </c>
      <c r="G33" s="9">
        <v>0</v>
      </c>
      <c r="H33" s="4">
        <v>24</v>
      </c>
      <c r="I33" s="15" t="s">
        <v>202</v>
      </c>
    </row>
    <row r="34" spans="2:9" ht="18" x14ac:dyDescent="0.35">
      <c r="B34" s="2">
        <v>634</v>
      </c>
      <c r="C34" s="5" t="s">
        <v>47</v>
      </c>
      <c r="D34" s="12" t="s">
        <v>176</v>
      </c>
      <c r="E34" s="11" t="str">
        <f>+VLOOKUP(D34,'[1]Consumo x Cod Articulo'!$C$1:$O$65536,7,)</f>
        <v>Mangos Chef</v>
      </c>
      <c r="F34" s="3">
        <f>+G34+H34</f>
        <v>24</v>
      </c>
      <c r="G34" s="9">
        <v>0</v>
      </c>
      <c r="H34" s="4">
        <v>24</v>
      </c>
      <c r="I34" s="15" t="s">
        <v>202</v>
      </c>
    </row>
    <row r="35" spans="2:9" ht="18" x14ac:dyDescent="0.35">
      <c r="B35" s="2">
        <v>635</v>
      </c>
      <c r="C35" s="5" t="s">
        <v>48</v>
      </c>
      <c r="D35" s="12" t="s">
        <v>176</v>
      </c>
      <c r="E35" s="11" t="str">
        <f>+VLOOKUP(D35,'[1]Consumo x Cod Articulo'!$C$1:$O$65536,7,)</f>
        <v>Mangos Chef</v>
      </c>
      <c r="F35" s="3">
        <f>+G35+H35</f>
        <v>48</v>
      </c>
      <c r="G35" s="9">
        <v>0</v>
      </c>
      <c r="H35" s="4">
        <v>48</v>
      </c>
      <c r="I35" s="15" t="s">
        <v>202</v>
      </c>
    </row>
    <row r="36" spans="2:9" ht="18" x14ac:dyDescent="0.35">
      <c r="B36" s="2">
        <v>636</v>
      </c>
      <c r="C36" s="5" t="s">
        <v>49</v>
      </c>
      <c r="D36" s="12" t="s">
        <v>176</v>
      </c>
      <c r="E36" s="11" t="str">
        <f>+VLOOKUP(D36,'[1]Consumo x Cod Articulo'!$C$1:$O$65536,7,)</f>
        <v>Mangos Chef</v>
      </c>
      <c r="F36" s="3">
        <f>+G36+H36</f>
        <v>48</v>
      </c>
      <c r="G36" s="9">
        <v>0</v>
      </c>
      <c r="H36" s="4">
        <v>48</v>
      </c>
      <c r="I36" s="15" t="s">
        <v>202</v>
      </c>
    </row>
    <row r="37" spans="2:9" ht="18" x14ac:dyDescent="0.35">
      <c r="B37" s="2">
        <v>709</v>
      </c>
      <c r="C37" s="5" t="s">
        <v>19</v>
      </c>
      <c r="D37" s="12" t="s">
        <v>176</v>
      </c>
      <c r="E37" s="11" t="str">
        <f>+VLOOKUP(D37,'[1]Consumo x Cod Articulo'!$C$1:$O$65536,7,)</f>
        <v>Mangos Chef</v>
      </c>
      <c r="F37" s="3">
        <f>+G37+H37</f>
        <v>60</v>
      </c>
      <c r="G37" s="9">
        <v>0</v>
      </c>
      <c r="H37" s="4">
        <v>60</v>
      </c>
      <c r="I37" s="15" t="s">
        <v>202</v>
      </c>
    </row>
    <row r="38" spans="2:9" ht="18" x14ac:dyDescent="0.35">
      <c r="B38" s="2">
        <v>710</v>
      </c>
      <c r="C38" s="5" t="s">
        <v>29</v>
      </c>
      <c r="D38" s="12" t="s">
        <v>176</v>
      </c>
      <c r="E38" s="11" t="str">
        <f>+VLOOKUP(D38,'[1]Consumo x Cod Articulo'!$C$1:$O$65536,7,)</f>
        <v>Mangos Chef</v>
      </c>
      <c r="F38" s="3">
        <f>+G38+H38</f>
        <v>0</v>
      </c>
      <c r="G38" s="9">
        <v>0</v>
      </c>
      <c r="H38" s="4">
        <v>0</v>
      </c>
      <c r="I38" s="15" t="s">
        <v>202</v>
      </c>
    </row>
    <row r="39" spans="2:9" ht="18" x14ac:dyDescent="0.35">
      <c r="B39" s="2">
        <v>609</v>
      </c>
      <c r="C39" s="5" t="s">
        <v>32</v>
      </c>
      <c r="D39" s="12" t="s">
        <v>176</v>
      </c>
      <c r="E39" s="11" t="str">
        <f>+VLOOKUP(D39,'[1]Consumo x Cod Articulo'!$C$1:$O$65536,7,)</f>
        <v>Mangos Chef</v>
      </c>
      <c r="F39" s="3">
        <f>+G39+H39</f>
        <v>600</v>
      </c>
      <c r="G39" s="9">
        <v>0</v>
      </c>
      <c r="H39" s="4">
        <v>600</v>
      </c>
      <c r="I39" s="15" t="s">
        <v>203</v>
      </c>
    </row>
    <row r="40" spans="2:9" ht="18" x14ac:dyDescent="0.35">
      <c r="B40" s="2">
        <v>789</v>
      </c>
      <c r="C40" s="5" t="s">
        <v>33</v>
      </c>
      <c r="D40" s="12" t="s">
        <v>176</v>
      </c>
      <c r="E40" s="11" t="str">
        <f>+VLOOKUP(D40,'[1]Consumo x Cod Articulo'!$C$1:$O$65536,7,)</f>
        <v>Mangos Chef</v>
      </c>
      <c r="F40" s="3">
        <f>+G40+H40</f>
        <v>240</v>
      </c>
      <c r="G40" s="9">
        <v>0</v>
      </c>
      <c r="H40" s="4">
        <v>240</v>
      </c>
      <c r="I40" s="15" t="s">
        <v>203</v>
      </c>
    </row>
    <row r="41" spans="2:9" ht="18" x14ac:dyDescent="0.35">
      <c r="B41" s="2">
        <v>720</v>
      </c>
      <c r="C41" s="5" t="s">
        <v>30</v>
      </c>
      <c r="D41" s="12" t="s">
        <v>176</v>
      </c>
      <c r="E41" s="11" t="str">
        <f>+VLOOKUP(D41,'[1]Consumo x Cod Articulo'!$C$1:$O$65536,7,)</f>
        <v>Mangos Chef</v>
      </c>
      <c r="F41" s="3">
        <f>+G41+H41</f>
        <v>72</v>
      </c>
      <c r="G41" s="9">
        <v>0</v>
      </c>
      <c r="H41" s="4">
        <v>72</v>
      </c>
      <c r="I41" s="15" t="s">
        <v>207</v>
      </c>
    </row>
    <row r="42" spans="2:9" ht="18" x14ac:dyDescent="0.35">
      <c r="B42" s="2">
        <v>722</v>
      </c>
      <c r="C42" s="5" t="s">
        <v>14</v>
      </c>
      <c r="D42" s="12" t="s">
        <v>176</v>
      </c>
      <c r="E42" s="11" t="str">
        <f>+VLOOKUP(D42,'[1]Consumo x Cod Articulo'!$C$1:$O$65536,7,)</f>
        <v>Mangos Chef</v>
      </c>
      <c r="F42" s="3">
        <f>+G42+H42</f>
        <v>36</v>
      </c>
      <c r="G42" s="9">
        <v>0</v>
      </c>
      <c r="H42" s="4">
        <v>36</v>
      </c>
      <c r="I42" s="15" t="s">
        <v>207</v>
      </c>
    </row>
    <row r="43" spans="2:9" ht="18" x14ac:dyDescent="0.35">
      <c r="B43" s="2">
        <v>864</v>
      </c>
      <c r="C43" s="5" t="s">
        <v>21</v>
      </c>
      <c r="D43" s="12" t="s">
        <v>176</v>
      </c>
      <c r="E43" s="11" t="str">
        <f>+VLOOKUP(D43,'[1]Consumo x Cod Articulo'!$C$1:$O$65536,7,)</f>
        <v>Mangos Chef</v>
      </c>
      <c r="F43" s="3">
        <f>+G43+H43</f>
        <v>120</v>
      </c>
      <c r="G43" s="9">
        <v>0</v>
      </c>
      <c r="H43" s="4">
        <v>120</v>
      </c>
      <c r="I43" s="15" t="s">
        <v>207</v>
      </c>
    </row>
    <row r="44" spans="2:9" ht="18" x14ac:dyDescent="0.35">
      <c r="B44" s="2">
        <v>856</v>
      </c>
      <c r="C44" s="5" t="s">
        <v>27</v>
      </c>
      <c r="D44" s="12" t="s">
        <v>176</v>
      </c>
      <c r="E44" s="11" t="str">
        <f>+VLOOKUP(D44,'[1]Consumo x Cod Articulo'!$C$1:$O$65536,7,)</f>
        <v>Mangos Chef</v>
      </c>
      <c r="F44" s="3">
        <f>+G44+H44</f>
        <v>48</v>
      </c>
      <c r="G44" s="9">
        <v>0</v>
      </c>
      <c r="H44" s="4">
        <v>48</v>
      </c>
      <c r="I44" s="15" t="s">
        <v>200</v>
      </c>
    </row>
    <row r="45" spans="2:9" ht="18" x14ac:dyDescent="0.35">
      <c r="B45" s="2">
        <v>857</v>
      </c>
      <c r="C45" s="5" t="s">
        <v>28</v>
      </c>
      <c r="D45" s="12" t="s">
        <v>176</v>
      </c>
      <c r="E45" s="11" t="str">
        <f>+VLOOKUP(D45,'[1]Consumo x Cod Articulo'!$C$1:$O$65536,7,)</f>
        <v>Mangos Chef</v>
      </c>
      <c r="F45" s="3">
        <f>+G45+H45</f>
        <v>48</v>
      </c>
      <c r="G45" s="9">
        <v>0</v>
      </c>
      <c r="H45" s="4">
        <v>48</v>
      </c>
      <c r="I45" s="15" t="s">
        <v>200</v>
      </c>
    </row>
    <row r="46" spans="2:9" ht="18" x14ac:dyDescent="0.35">
      <c r="B46" s="2">
        <v>858</v>
      </c>
      <c r="C46" s="5" t="s">
        <v>17</v>
      </c>
      <c r="D46" s="12" t="s">
        <v>176</v>
      </c>
      <c r="E46" s="11" t="str">
        <f>+VLOOKUP(D46,'[1]Consumo x Cod Articulo'!$C$1:$O$65536,7,)</f>
        <v>Mangos Chef</v>
      </c>
      <c r="F46" s="3">
        <f>+G46+H46</f>
        <v>60</v>
      </c>
      <c r="G46" s="9">
        <v>0</v>
      </c>
      <c r="H46" s="4">
        <v>60</v>
      </c>
      <c r="I46" s="15" t="s">
        <v>200</v>
      </c>
    </row>
    <row r="47" spans="2:9" ht="18" x14ac:dyDescent="0.35">
      <c r="B47" s="2">
        <v>859</v>
      </c>
      <c r="C47" s="5" t="s">
        <v>15</v>
      </c>
      <c r="D47" s="12" t="s">
        <v>176</v>
      </c>
      <c r="E47" s="11" t="str">
        <f>+VLOOKUP(D47,'[1]Consumo x Cod Articulo'!$C$1:$O$65536,7,)</f>
        <v>Mangos Chef</v>
      </c>
      <c r="F47" s="3">
        <f>+G47+H47</f>
        <v>144</v>
      </c>
      <c r="G47" s="9">
        <v>0</v>
      </c>
      <c r="H47" s="4">
        <v>144</v>
      </c>
      <c r="I47" s="15" t="s">
        <v>200</v>
      </c>
    </row>
    <row r="48" spans="2:9" ht="18" x14ac:dyDescent="0.35">
      <c r="B48" s="2">
        <v>863</v>
      </c>
      <c r="C48" s="5" t="s">
        <v>31</v>
      </c>
      <c r="D48" s="12" t="s">
        <v>176</v>
      </c>
      <c r="E48" s="11" t="str">
        <f>+VLOOKUP(D48,'[1]Consumo x Cod Articulo'!$C$1:$O$65536,7,)</f>
        <v>Mangos Chef</v>
      </c>
      <c r="F48" s="3">
        <f>+G48+H48</f>
        <v>96</v>
      </c>
      <c r="G48" s="9">
        <v>0</v>
      </c>
      <c r="H48" s="4">
        <v>96</v>
      </c>
      <c r="I48" s="15" t="s">
        <v>200</v>
      </c>
    </row>
    <row r="49" spans="2:9" ht="18" x14ac:dyDescent="0.35">
      <c r="B49" s="2">
        <v>43</v>
      </c>
      <c r="C49" s="3" t="s">
        <v>2</v>
      </c>
      <c r="D49" s="12" t="s">
        <v>146</v>
      </c>
      <c r="E49" s="11" t="str">
        <f>+VLOOKUP(D49,'[1]Consumo x Cod Articulo'!$C$1:$O$65536,7,)</f>
        <v>Plaquitas 3- 1 Blan.</v>
      </c>
      <c r="F49" s="3">
        <f>+G49+H49</f>
        <v>240</v>
      </c>
      <c r="G49" s="9">
        <v>0</v>
      </c>
      <c r="H49" s="4">
        <v>240</v>
      </c>
      <c r="I49" s="15" t="s">
        <v>200</v>
      </c>
    </row>
    <row r="50" spans="2:9" ht="18" x14ac:dyDescent="0.35">
      <c r="B50" s="4">
        <v>299</v>
      </c>
      <c r="C50" s="6" t="s">
        <v>82</v>
      </c>
      <c r="D50" s="12" t="s">
        <v>194</v>
      </c>
      <c r="E50" s="11" t="str">
        <f>+VLOOKUP(D50,'[1]Consumo x Cod Articulo'!$C$1:$O$65536,7,)</f>
        <v>Muñeco Antiderrame</v>
      </c>
      <c r="F50" s="3">
        <f>+G50+H50</f>
        <v>120</v>
      </c>
      <c r="G50" s="4">
        <v>120</v>
      </c>
      <c r="H50" s="9">
        <v>0</v>
      </c>
      <c r="I50" s="15" t="s">
        <v>204</v>
      </c>
    </row>
    <row r="51" spans="2:9" ht="18" x14ac:dyDescent="0.35">
      <c r="B51" s="4">
        <v>551</v>
      </c>
      <c r="C51" s="6" t="s">
        <v>25</v>
      </c>
      <c r="D51" s="12" t="s">
        <v>152</v>
      </c>
      <c r="E51" s="11" t="str">
        <f>+VLOOKUP(D51,'[1]Consumo x Cod Articulo'!$C$1:$O$65536,7,)</f>
        <v>Mang Cuch Unt Rojo</v>
      </c>
      <c r="F51" s="3">
        <f>+G51+H51</f>
        <v>360</v>
      </c>
      <c r="G51" s="4">
        <v>360</v>
      </c>
      <c r="H51" s="9">
        <v>0</v>
      </c>
      <c r="I51" s="15" t="s">
        <v>200</v>
      </c>
    </row>
    <row r="52" spans="2:9" ht="18" x14ac:dyDescent="0.35">
      <c r="B52" s="4">
        <v>878</v>
      </c>
      <c r="C52" s="6" t="s">
        <v>26</v>
      </c>
      <c r="D52" s="12" t="s">
        <v>153</v>
      </c>
      <c r="E52" s="11" t="str">
        <f>+VLOOKUP(D52,'[1]Consumo x Cod Articulo'!$C$1:$O$65536,7,)</f>
        <v>Mang Cuch Unt Chef</v>
      </c>
      <c r="F52" s="3">
        <f>+G52+H52</f>
        <v>168</v>
      </c>
      <c r="G52" s="9">
        <v>0</v>
      </c>
      <c r="H52" s="4">
        <v>168</v>
      </c>
      <c r="I52" s="15" t="s">
        <v>200</v>
      </c>
    </row>
    <row r="53" spans="2:9" ht="18" x14ac:dyDescent="0.35">
      <c r="B53" s="4">
        <v>502</v>
      </c>
      <c r="C53" s="5" t="s">
        <v>56</v>
      </c>
      <c r="D53" s="12" t="s">
        <v>173</v>
      </c>
      <c r="E53" s="11" t="str">
        <f>+VLOOKUP(D53,'[1]Consumo x Cod Articulo'!$C$1:$O$65536,7,)</f>
        <v>Buje Blanco</v>
      </c>
      <c r="F53" s="3">
        <f>+G53+H53</f>
        <v>6420</v>
      </c>
      <c r="G53" s="4">
        <v>6420</v>
      </c>
      <c r="H53" s="9">
        <v>0</v>
      </c>
      <c r="I53" s="15" t="s">
        <v>205</v>
      </c>
    </row>
    <row r="54" spans="2:9" ht="18" x14ac:dyDescent="0.35">
      <c r="B54" s="4">
        <v>512</v>
      </c>
      <c r="C54" s="5" t="s">
        <v>42</v>
      </c>
      <c r="D54" s="12" t="s">
        <v>173</v>
      </c>
      <c r="E54" s="11" t="str">
        <f>+VLOOKUP(D54,'[1]Consumo x Cod Articulo'!$C$1:$O$65536,7,)</f>
        <v>Buje Blanco</v>
      </c>
      <c r="F54" s="3">
        <f>+G54+H54</f>
        <v>984</v>
      </c>
      <c r="G54" s="4">
        <v>984</v>
      </c>
      <c r="H54" s="9">
        <v>0</v>
      </c>
      <c r="I54" s="15" t="s">
        <v>205</v>
      </c>
    </row>
    <row r="55" spans="2:9" ht="18" x14ac:dyDescent="0.35">
      <c r="B55" s="4">
        <v>546</v>
      </c>
      <c r="C55" s="5" t="s">
        <v>4</v>
      </c>
      <c r="D55" s="12" t="s">
        <v>191</v>
      </c>
      <c r="E55" s="11" t="str">
        <f>+VLOOKUP(D55,'[1]Consumo x Cod Articulo'!$C$1:$O$65536,7,)</f>
        <v>Cilindro Corta Queso</v>
      </c>
      <c r="F55" s="3">
        <f>+G55+H55</f>
        <v>4800</v>
      </c>
      <c r="G55" s="4">
        <v>4800</v>
      </c>
      <c r="H55" s="9">
        <v>0</v>
      </c>
      <c r="I55" s="15" t="s">
        <v>201</v>
      </c>
    </row>
    <row r="56" spans="2:9" ht="18" x14ac:dyDescent="0.35">
      <c r="B56" s="4">
        <v>809</v>
      </c>
      <c r="C56" s="5" t="s">
        <v>4</v>
      </c>
      <c r="D56" s="12" t="s">
        <v>191</v>
      </c>
      <c r="E56" s="11" t="str">
        <f>+VLOOKUP(D56,'[1]Consumo x Cod Articulo'!$C$1:$O$65536,7,)</f>
        <v>Cilindro Corta Queso</v>
      </c>
      <c r="F56" s="3">
        <f>+G56+H56</f>
        <v>600</v>
      </c>
      <c r="G56" s="9">
        <v>0</v>
      </c>
      <c r="H56" s="4">
        <v>600</v>
      </c>
      <c r="I56" s="15" t="s">
        <v>201</v>
      </c>
    </row>
    <row r="57" spans="2:9" ht="18" x14ac:dyDescent="0.35">
      <c r="B57" s="4">
        <v>908</v>
      </c>
      <c r="C57" s="6" t="s">
        <v>75</v>
      </c>
      <c r="D57" s="12" t="s">
        <v>186</v>
      </c>
      <c r="E57" s="11" t="str">
        <f>+VLOOKUP(D57,'[1]Consumo x Cod Articulo'!$C$1:$O$65536,7,)</f>
        <v>Cuchara Ny Chef (S/marca)</v>
      </c>
      <c r="F57" s="3">
        <f>+G57+H57</f>
        <v>24</v>
      </c>
      <c r="G57" s="9">
        <v>0</v>
      </c>
      <c r="H57" s="4">
        <v>24</v>
      </c>
      <c r="I57" s="15" t="s">
        <v>202</v>
      </c>
    </row>
    <row r="58" spans="2:9" ht="18" x14ac:dyDescent="0.35">
      <c r="B58" s="4">
        <v>248</v>
      </c>
      <c r="C58" s="6" t="s">
        <v>76</v>
      </c>
      <c r="D58" s="12" t="s">
        <v>187</v>
      </c>
      <c r="E58" s="11" t="str">
        <f>+VLOOKUP(D58,'[1]Consumo x Cod Articulo'!$C$1:$O$65536,7,)</f>
        <v>Cuchara Ny Loeke (Serif.)</v>
      </c>
      <c r="F58" s="3">
        <f>+G58+H58</f>
        <v>984</v>
      </c>
      <c r="G58" s="4">
        <v>984</v>
      </c>
      <c r="H58" s="9">
        <v>0</v>
      </c>
      <c r="I58" s="15" t="s">
        <v>202</v>
      </c>
    </row>
    <row r="59" spans="2:9" ht="18" x14ac:dyDescent="0.35">
      <c r="B59" s="2">
        <v>710</v>
      </c>
      <c r="C59" s="5" t="s">
        <v>29</v>
      </c>
      <c r="D59" s="12" t="s">
        <v>154</v>
      </c>
      <c r="E59" s="11" t="str">
        <f>+VLOOKUP(D59,'[1]Consumo x Cod Articulo'!$C$1:$O$65536,7,)</f>
        <v>Inser. Neg. Cuch. y Pal</v>
      </c>
      <c r="F59" s="3">
        <f>+G59+H59</f>
        <v>0</v>
      </c>
      <c r="G59" s="9">
        <v>0</v>
      </c>
      <c r="H59" s="4">
        <v>0</v>
      </c>
      <c r="I59" s="15" t="s">
        <v>202</v>
      </c>
    </row>
    <row r="60" spans="2:9" ht="18" x14ac:dyDescent="0.35">
      <c r="B60" s="2">
        <v>856</v>
      </c>
      <c r="C60" s="5" t="s">
        <v>27</v>
      </c>
      <c r="D60" s="12" t="s">
        <v>154</v>
      </c>
      <c r="E60" s="11" t="str">
        <f>+VLOOKUP(D60,'[1]Consumo x Cod Articulo'!$C$1:$O$65536,7,)</f>
        <v>Inser. Neg. Cuch. y Pal</v>
      </c>
      <c r="F60" s="3">
        <f>+G60+H60</f>
        <v>48</v>
      </c>
      <c r="G60" s="9">
        <v>0</v>
      </c>
      <c r="H60" s="4">
        <v>48</v>
      </c>
      <c r="I60" s="15" t="s">
        <v>200</v>
      </c>
    </row>
    <row r="61" spans="2:9" ht="18" x14ac:dyDescent="0.35">
      <c r="B61" s="2">
        <v>857</v>
      </c>
      <c r="C61" s="5" t="s">
        <v>28</v>
      </c>
      <c r="D61" s="12" t="s">
        <v>154</v>
      </c>
      <c r="E61" s="11" t="str">
        <f>+VLOOKUP(D61,'[1]Consumo x Cod Articulo'!$C$1:$O$65536,7,)</f>
        <v>Inser. Neg. Cuch. y Pal</v>
      </c>
      <c r="F61" s="3">
        <f>+G61+H61</f>
        <v>48</v>
      </c>
      <c r="G61" s="9">
        <v>0</v>
      </c>
      <c r="H61" s="4">
        <v>48</v>
      </c>
      <c r="I61" s="15" t="s">
        <v>200</v>
      </c>
    </row>
    <row r="62" spans="2:9" ht="18" x14ac:dyDescent="0.35">
      <c r="B62" s="2">
        <v>720</v>
      </c>
      <c r="C62" s="5" t="s">
        <v>30</v>
      </c>
      <c r="D62" s="12" t="s">
        <v>155</v>
      </c>
      <c r="E62" s="11" t="str">
        <f>+VLOOKUP(D62,'[1]Consumo x Cod Articulo'!$C$1:$O$65536,7,)</f>
        <v>Inser. Neg. Espat</v>
      </c>
      <c r="F62" s="3">
        <f>+G62+H62</f>
        <v>72</v>
      </c>
      <c r="G62" s="9">
        <v>0</v>
      </c>
      <c r="H62" s="4">
        <v>72</v>
      </c>
      <c r="I62" s="15" t="s">
        <v>207</v>
      </c>
    </row>
    <row r="63" spans="2:9" ht="18" x14ac:dyDescent="0.35">
      <c r="B63" s="2">
        <v>722</v>
      </c>
      <c r="C63" s="5" t="s">
        <v>14</v>
      </c>
      <c r="D63" s="12" t="s">
        <v>155</v>
      </c>
      <c r="E63" s="11" t="str">
        <f>+VLOOKUP(D63,'[1]Consumo x Cod Articulo'!$C$1:$O$65536,7,)</f>
        <v>Inser. Neg. Espat</v>
      </c>
      <c r="F63" s="3">
        <f>+G63+H63</f>
        <v>36</v>
      </c>
      <c r="G63" s="9">
        <v>0</v>
      </c>
      <c r="H63" s="4">
        <v>36</v>
      </c>
      <c r="I63" s="15" t="s">
        <v>207</v>
      </c>
    </row>
    <row r="64" spans="2:9" ht="18" x14ac:dyDescent="0.35">
      <c r="B64" s="2">
        <v>859</v>
      </c>
      <c r="C64" s="5" t="s">
        <v>15</v>
      </c>
      <c r="D64" s="12" t="s">
        <v>155</v>
      </c>
      <c r="E64" s="11" t="str">
        <f>+VLOOKUP(D64,'[1]Consumo x Cod Articulo'!$C$1:$O$65536,7,)</f>
        <v>Inser. Neg. Espat</v>
      </c>
      <c r="F64" s="3">
        <f>+G64+H64</f>
        <v>144</v>
      </c>
      <c r="G64" s="9">
        <v>0</v>
      </c>
      <c r="H64" s="4">
        <v>144</v>
      </c>
      <c r="I64" s="15" t="s">
        <v>200</v>
      </c>
    </row>
    <row r="65" spans="2:9" ht="18" x14ac:dyDescent="0.35">
      <c r="B65" s="2">
        <v>863</v>
      </c>
      <c r="C65" s="5" t="s">
        <v>31</v>
      </c>
      <c r="D65" s="12" t="s">
        <v>155</v>
      </c>
      <c r="E65" s="11" t="str">
        <f>+VLOOKUP(D65,'[1]Consumo x Cod Articulo'!$C$1:$O$65536,7,)</f>
        <v>Inser. Neg. Espat</v>
      </c>
      <c r="F65" s="3">
        <f>+G65+H65</f>
        <v>96</v>
      </c>
      <c r="G65" s="9">
        <v>0</v>
      </c>
      <c r="H65" s="4">
        <v>96</v>
      </c>
      <c r="I65" s="15" t="s">
        <v>200</v>
      </c>
    </row>
    <row r="66" spans="2:9" ht="18" x14ac:dyDescent="0.35">
      <c r="B66" s="2">
        <v>609</v>
      </c>
      <c r="C66" s="5" t="s">
        <v>32</v>
      </c>
      <c r="D66" s="12" t="s">
        <v>156</v>
      </c>
      <c r="E66" s="11" t="str">
        <f>+VLOOKUP(D66,'[1]Consumo x Cod Articulo'!$C$1:$O$65536,7,)</f>
        <v>Inser. Neg. Batidor</v>
      </c>
      <c r="F66" s="3">
        <f>+G66+H66</f>
        <v>600</v>
      </c>
      <c r="G66" s="9">
        <v>0</v>
      </c>
      <c r="H66" s="4">
        <v>600</v>
      </c>
      <c r="I66" s="15" t="s">
        <v>203</v>
      </c>
    </row>
    <row r="67" spans="2:9" ht="18" x14ac:dyDescent="0.35">
      <c r="B67" s="2">
        <v>789</v>
      </c>
      <c r="C67" s="5" t="s">
        <v>33</v>
      </c>
      <c r="D67" s="12" t="s">
        <v>156</v>
      </c>
      <c r="E67" s="11" t="str">
        <f>+VLOOKUP(D67,'[1]Consumo x Cod Articulo'!$C$1:$O$65536,7,)</f>
        <v>Inser. Neg. Batidor</v>
      </c>
      <c r="F67" s="3">
        <f>+G67+H67</f>
        <v>240</v>
      </c>
      <c r="G67" s="9">
        <v>0</v>
      </c>
      <c r="H67" s="4">
        <v>240</v>
      </c>
      <c r="I67" s="15" t="s">
        <v>203</v>
      </c>
    </row>
    <row r="68" spans="2:9" ht="18" x14ac:dyDescent="0.35">
      <c r="B68" s="2">
        <v>307</v>
      </c>
      <c r="C68" s="5" t="s">
        <v>35</v>
      </c>
      <c r="D68" s="12" t="s">
        <v>156</v>
      </c>
      <c r="E68" s="11" t="str">
        <f>+VLOOKUP(D68,'[1]Consumo x Cod Articulo'!$C$1:$O$65536,7,)</f>
        <v>Inser. Neg. Batidor</v>
      </c>
      <c r="F68" s="3">
        <f>+G68+H68</f>
        <v>480</v>
      </c>
      <c r="G68" s="9">
        <v>0</v>
      </c>
      <c r="H68" s="4">
        <v>480</v>
      </c>
      <c r="I68" s="15" t="s">
        <v>204</v>
      </c>
    </row>
    <row r="69" spans="2:9" ht="18" x14ac:dyDescent="0.35">
      <c r="B69" s="2">
        <v>708</v>
      </c>
      <c r="C69" s="5" t="s">
        <v>34</v>
      </c>
      <c r="D69" s="12" t="s">
        <v>156</v>
      </c>
      <c r="E69" s="11" t="str">
        <f>+VLOOKUP(D69,'[1]Consumo x Cod Articulo'!$C$1:$O$65536,7,)</f>
        <v>Inser. Neg. Batidor</v>
      </c>
      <c r="F69" s="3">
        <f>+G69+H69</f>
        <v>72</v>
      </c>
      <c r="G69" s="9">
        <v>0</v>
      </c>
      <c r="H69" s="4">
        <v>72</v>
      </c>
      <c r="I69" s="15" t="s">
        <v>200</v>
      </c>
    </row>
    <row r="70" spans="2:9" ht="18" x14ac:dyDescent="0.35">
      <c r="B70" s="4">
        <v>735</v>
      </c>
      <c r="C70" s="5" t="s">
        <v>80</v>
      </c>
      <c r="D70" s="12" t="s">
        <v>193</v>
      </c>
      <c r="E70" s="11" t="str">
        <f>+VLOOKUP(D70,'[1]Consumo x Cod Articulo'!$C$1:$O$65536,7,)</f>
        <v>Cuerpo Sacacorcho Plast</v>
      </c>
      <c r="F70" s="3">
        <f>+G70+H70</f>
        <v>0</v>
      </c>
      <c r="G70" s="9">
        <v>0</v>
      </c>
      <c r="H70" s="4">
        <v>0</v>
      </c>
      <c r="I70" s="15" t="s">
        <v>200</v>
      </c>
    </row>
    <row r="71" spans="2:9" ht="18" x14ac:dyDescent="0.35">
      <c r="B71" s="4">
        <v>581</v>
      </c>
      <c r="C71" s="6" t="s">
        <v>81</v>
      </c>
      <c r="D71" s="12" t="s">
        <v>193</v>
      </c>
      <c r="E71" s="11" t="str">
        <f>+VLOOKUP(D71,'[1]Consumo x Cod Articulo'!$C$1:$O$65536,7,)</f>
        <v>Cuerpo Sacacorcho Plast</v>
      </c>
      <c r="F71" s="3">
        <f>+G71+H71</f>
        <v>300</v>
      </c>
      <c r="G71" s="4">
        <v>300</v>
      </c>
      <c r="H71" s="9">
        <v>0</v>
      </c>
      <c r="I71" s="15" t="s">
        <v>200</v>
      </c>
    </row>
    <row r="72" spans="2:9" ht="18" x14ac:dyDescent="0.35">
      <c r="B72" s="4">
        <v>577</v>
      </c>
      <c r="C72" s="5" t="s">
        <v>79</v>
      </c>
      <c r="D72" s="12" t="s">
        <v>192</v>
      </c>
      <c r="E72" s="11" t="str">
        <f>+VLOOKUP(D72,'[1]Consumo x Cod Articulo'!$C$1:$O$65536,7,)</f>
        <v>Tapon Premium NO HACEMOS</v>
      </c>
      <c r="F72" s="3">
        <f>+G72+H72</f>
        <v>1020</v>
      </c>
      <c r="G72" s="4">
        <v>1020</v>
      </c>
      <c r="H72" s="9">
        <v>0</v>
      </c>
      <c r="I72" s="15" t="s">
        <v>206</v>
      </c>
    </row>
    <row r="73" spans="2:9" ht="18" x14ac:dyDescent="0.35">
      <c r="B73" s="4">
        <v>505</v>
      </c>
      <c r="C73" s="5" t="s">
        <v>52</v>
      </c>
      <c r="D73" s="12" t="s">
        <v>168</v>
      </c>
      <c r="E73" s="11" t="str">
        <f>+VLOOKUP(D73,'[1]Consumo x Cod Articulo'!$C$1:$O$65536,7,)</f>
        <v>Mango 505 P/Calar.</v>
      </c>
      <c r="F73" s="3">
        <f>+G73+H73</f>
        <v>21000</v>
      </c>
      <c r="G73" s="4">
        <v>21000</v>
      </c>
      <c r="H73" s="9">
        <v>0</v>
      </c>
      <c r="I73" s="15" t="s">
        <v>203</v>
      </c>
    </row>
    <row r="74" spans="2:9" ht="18" x14ac:dyDescent="0.35">
      <c r="B74" s="4">
        <v>505</v>
      </c>
      <c r="C74" s="5" t="s">
        <v>52</v>
      </c>
      <c r="D74" s="12" t="s">
        <v>168</v>
      </c>
      <c r="E74" s="11" t="str">
        <f>+VLOOKUP(D74,'[1]Consumo x Cod Articulo'!$C$1:$O$65536,7,)</f>
        <v>Mango 505 P/Calar.</v>
      </c>
      <c r="F74" s="3">
        <f>+G74+H74</f>
        <v>21000</v>
      </c>
      <c r="G74" s="4">
        <v>21000</v>
      </c>
      <c r="H74" s="9">
        <v>0</v>
      </c>
      <c r="I74" s="15" t="s">
        <v>201</v>
      </c>
    </row>
    <row r="75" spans="2:9" ht="18" x14ac:dyDescent="0.35">
      <c r="B75" s="4">
        <v>332</v>
      </c>
      <c r="C75" s="5" t="s">
        <v>6</v>
      </c>
      <c r="D75" s="12" t="s">
        <v>161</v>
      </c>
      <c r="E75" s="11" t="str">
        <f>+VLOOKUP(D75,'[1]Consumo x Cod Articulo'!$C$1:$O$65536,7,)</f>
        <v>Mango LK Espatula</v>
      </c>
      <c r="F75" s="3">
        <f>+G75+H75</f>
        <v>168</v>
      </c>
      <c r="G75" s="4">
        <v>168</v>
      </c>
      <c r="H75" s="9">
        <v>0</v>
      </c>
      <c r="I75" s="15" t="s">
        <v>202</v>
      </c>
    </row>
    <row r="76" spans="2:9" ht="18" x14ac:dyDescent="0.35">
      <c r="B76" s="4">
        <v>333</v>
      </c>
      <c r="C76" s="5" t="s">
        <v>7</v>
      </c>
      <c r="D76" s="12" t="s">
        <v>161</v>
      </c>
      <c r="E76" s="11" t="str">
        <f>+VLOOKUP(D76,'[1]Consumo x Cod Articulo'!$C$1:$O$65536,7,)</f>
        <v>Mango LK Espatula</v>
      </c>
      <c r="F76" s="3">
        <f>+G76+H76</f>
        <v>288</v>
      </c>
      <c r="G76" s="4">
        <v>288</v>
      </c>
      <c r="H76" s="9">
        <v>0</v>
      </c>
      <c r="I76" s="15" t="s">
        <v>202</v>
      </c>
    </row>
    <row r="77" spans="2:9" ht="18" x14ac:dyDescent="0.35">
      <c r="B77" s="4">
        <v>334</v>
      </c>
      <c r="C77" s="5" t="s">
        <v>8</v>
      </c>
      <c r="D77" s="12" t="s">
        <v>161</v>
      </c>
      <c r="E77" s="11" t="str">
        <f>+VLOOKUP(D77,'[1]Consumo x Cod Articulo'!$C$1:$O$65536,7,)</f>
        <v>Mango LK Espatula</v>
      </c>
      <c r="F77" s="3">
        <f>+G77+H77</f>
        <v>144</v>
      </c>
      <c r="G77" s="4">
        <v>144</v>
      </c>
      <c r="H77" s="9">
        <v>0</v>
      </c>
      <c r="I77" s="15" t="s">
        <v>202</v>
      </c>
    </row>
    <row r="78" spans="2:9" ht="18" x14ac:dyDescent="0.35">
      <c r="B78" s="4">
        <v>335</v>
      </c>
      <c r="C78" s="5" t="s">
        <v>9</v>
      </c>
      <c r="D78" s="12" t="s">
        <v>161</v>
      </c>
      <c r="E78" s="11" t="str">
        <f>+VLOOKUP(D78,'[1]Consumo x Cod Articulo'!$C$1:$O$65536,7,)</f>
        <v>Mango LK Espatula</v>
      </c>
      <c r="F78" s="3">
        <f>+G78+H78</f>
        <v>120</v>
      </c>
      <c r="G78" s="4">
        <v>120</v>
      </c>
      <c r="H78" s="9">
        <v>0</v>
      </c>
      <c r="I78" s="15" t="s">
        <v>202</v>
      </c>
    </row>
    <row r="79" spans="2:9" ht="18" x14ac:dyDescent="0.35">
      <c r="B79" s="4">
        <v>336</v>
      </c>
      <c r="C79" s="5" t="s">
        <v>10</v>
      </c>
      <c r="D79" s="12" t="s">
        <v>161</v>
      </c>
      <c r="E79" s="11" t="str">
        <f>+VLOOKUP(D79,'[1]Consumo x Cod Articulo'!$C$1:$O$65536,7,)</f>
        <v>Mango LK Espatula</v>
      </c>
      <c r="F79" s="3">
        <f>+G79+H79</f>
        <v>180</v>
      </c>
      <c r="G79" s="4">
        <v>180</v>
      </c>
      <c r="H79" s="9">
        <v>0</v>
      </c>
      <c r="I79" s="15" t="s">
        <v>202</v>
      </c>
    </row>
    <row r="80" spans="2:9" ht="18" x14ac:dyDescent="0.35">
      <c r="B80" s="4">
        <v>337</v>
      </c>
      <c r="C80" s="5" t="s">
        <v>11</v>
      </c>
      <c r="D80" s="12" t="s">
        <v>161</v>
      </c>
      <c r="E80" s="11" t="str">
        <f>+VLOOKUP(D80,'[1]Consumo x Cod Articulo'!$C$1:$O$65536,7,)</f>
        <v>Mango LK Espatula</v>
      </c>
      <c r="F80" s="3">
        <f>+G80+H80</f>
        <v>48</v>
      </c>
      <c r="G80" s="4">
        <v>48</v>
      </c>
      <c r="H80" s="9">
        <v>0</v>
      </c>
      <c r="I80" s="15" t="s">
        <v>202</v>
      </c>
    </row>
    <row r="81" spans="2:9" ht="18" x14ac:dyDescent="0.35">
      <c r="B81" s="4">
        <v>338</v>
      </c>
      <c r="C81" s="5" t="s">
        <v>12</v>
      </c>
      <c r="D81" s="12" t="s">
        <v>161</v>
      </c>
      <c r="E81" s="11" t="str">
        <f>+VLOOKUP(D81,'[1]Consumo x Cod Articulo'!$C$1:$O$65536,7,)</f>
        <v>Mango LK Espatula</v>
      </c>
      <c r="F81" s="3">
        <f>+G81+H81</f>
        <v>96</v>
      </c>
      <c r="G81" s="4">
        <v>96</v>
      </c>
      <c r="H81" s="9">
        <v>0</v>
      </c>
      <c r="I81" s="15" t="s">
        <v>202</v>
      </c>
    </row>
    <row r="82" spans="2:9" ht="18" x14ac:dyDescent="0.35">
      <c r="B82" s="4">
        <v>395</v>
      </c>
      <c r="C82" s="5" t="s">
        <v>19</v>
      </c>
      <c r="D82" s="12" t="s">
        <v>161</v>
      </c>
      <c r="E82" s="11" t="str">
        <f>+VLOOKUP(D82,'[1]Consumo x Cod Articulo'!$C$1:$O$65536,7,)</f>
        <v>Mango LK Espatula</v>
      </c>
      <c r="F82" s="3">
        <f>+G82+H82</f>
        <v>336</v>
      </c>
      <c r="G82" s="4">
        <v>336</v>
      </c>
      <c r="H82" s="9">
        <v>0</v>
      </c>
      <c r="I82" s="15" t="s">
        <v>202</v>
      </c>
    </row>
    <row r="83" spans="2:9" ht="18" x14ac:dyDescent="0.35">
      <c r="B83" s="4">
        <v>396</v>
      </c>
      <c r="C83" s="5" t="s">
        <v>20</v>
      </c>
      <c r="D83" s="12" t="s">
        <v>161</v>
      </c>
      <c r="E83" s="11" t="str">
        <f>+VLOOKUP(D83,'[1]Consumo x Cod Articulo'!$C$1:$O$65536,7,)</f>
        <v>Mango LK Espatula</v>
      </c>
      <c r="F83" s="3">
        <f>+G83+H83</f>
        <v>192</v>
      </c>
      <c r="G83" s="4">
        <v>192</v>
      </c>
      <c r="H83" s="9">
        <v>0</v>
      </c>
      <c r="I83" s="15" t="s">
        <v>202</v>
      </c>
    </row>
    <row r="84" spans="2:9" ht="18" x14ac:dyDescent="0.35">
      <c r="B84" s="4">
        <v>535</v>
      </c>
      <c r="C84" s="5" t="s">
        <v>24</v>
      </c>
      <c r="D84" s="12" t="s">
        <v>161</v>
      </c>
      <c r="E84" s="11" t="str">
        <f>+VLOOKUP(D84,'[1]Consumo x Cod Articulo'!$C$1:$O$65536,7,)</f>
        <v>Mango LK Espatula</v>
      </c>
      <c r="F84" s="3">
        <f>+G84+H84</f>
        <v>996</v>
      </c>
      <c r="G84" s="4">
        <v>996</v>
      </c>
      <c r="H84" s="9">
        <v>0</v>
      </c>
      <c r="I84" s="15" t="s">
        <v>204</v>
      </c>
    </row>
    <row r="85" spans="2:9" ht="18" x14ac:dyDescent="0.35">
      <c r="B85" s="4">
        <v>542</v>
      </c>
      <c r="C85" s="5" t="s">
        <v>13</v>
      </c>
      <c r="D85" s="12" t="s">
        <v>161</v>
      </c>
      <c r="E85" s="11" t="str">
        <f>+VLOOKUP(D85,'[1]Consumo x Cod Articulo'!$C$1:$O$65536,7,)</f>
        <v>Mango LK Espatula</v>
      </c>
      <c r="F85" s="3">
        <f>+G85+H85</f>
        <v>396</v>
      </c>
      <c r="G85" s="4">
        <v>396</v>
      </c>
      <c r="H85" s="9">
        <v>0</v>
      </c>
      <c r="I85" s="15" t="s">
        <v>207</v>
      </c>
    </row>
    <row r="86" spans="2:9" ht="18" x14ac:dyDescent="0.35">
      <c r="B86" s="4">
        <v>543</v>
      </c>
      <c r="C86" s="5" t="s">
        <v>14</v>
      </c>
      <c r="D86" s="12" t="s">
        <v>161</v>
      </c>
      <c r="E86" s="11" t="str">
        <f>+VLOOKUP(D86,'[1]Consumo x Cod Articulo'!$C$1:$O$65536,7,)</f>
        <v>Mango LK Espatula</v>
      </c>
      <c r="F86" s="3">
        <f>+G86+H86</f>
        <v>300</v>
      </c>
      <c r="G86" s="4">
        <v>300</v>
      </c>
      <c r="H86" s="9">
        <v>0</v>
      </c>
      <c r="I86" s="15" t="s">
        <v>207</v>
      </c>
    </row>
    <row r="87" spans="2:9" ht="18" customHeight="1" x14ac:dyDescent="0.35">
      <c r="B87" s="4">
        <v>587</v>
      </c>
      <c r="C87" s="5" t="s">
        <v>18</v>
      </c>
      <c r="D87" s="12" t="s">
        <v>161</v>
      </c>
      <c r="E87" s="11" t="str">
        <f>+VLOOKUP(D87,'[1]Consumo x Cod Articulo'!$C$1:$O$65536,7,)</f>
        <v>Mango LK Espatula</v>
      </c>
      <c r="F87" s="3">
        <f>+G87+H87</f>
        <v>2760</v>
      </c>
      <c r="G87" s="4">
        <v>2760</v>
      </c>
      <c r="H87" s="9">
        <v>0</v>
      </c>
      <c r="I87" s="15" t="s">
        <v>201</v>
      </c>
    </row>
    <row r="88" spans="2:9" ht="18" customHeight="1" x14ac:dyDescent="0.35">
      <c r="B88" s="4">
        <v>559</v>
      </c>
      <c r="C88" s="5" t="s">
        <v>15</v>
      </c>
      <c r="D88" s="12" t="s">
        <v>161</v>
      </c>
      <c r="E88" s="11" t="str">
        <f>+VLOOKUP(D88,'[1]Consumo x Cod Articulo'!$C$1:$O$65536,7,)</f>
        <v>Mango LK Espatula</v>
      </c>
      <c r="F88" s="3">
        <f>+G88+H88</f>
        <v>720</v>
      </c>
      <c r="G88" s="4">
        <v>720</v>
      </c>
      <c r="H88" s="9">
        <v>0</v>
      </c>
      <c r="I88" s="15" t="s">
        <v>200</v>
      </c>
    </row>
    <row r="89" spans="2:9" ht="18" x14ac:dyDescent="0.35">
      <c r="B89" s="4">
        <v>570</v>
      </c>
      <c r="C89" s="5" t="s">
        <v>17</v>
      </c>
      <c r="D89" s="12" t="s">
        <v>161</v>
      </c>
      <c r="E89" s="11" t="str">
        <f>+VLOOKUP(D89,'[1]Consumo x Cod Articulo'!$C$1:$O$65536,7,)</f>
        <v>Mango LK Espatula</v>
      </c>
      <c r="F89" s="3">
        <f>+G89+H89</f>
        <v>296</v>
      </c>
      <c r="G89" s="4">
        <v>296</v>
      </c>
      <c r="H89" s="9">
        <v>0</v>
      </c>
      <c r="I89" s="15" t="s">
        <v>200</v>
      </c>
    </row>
    <row r="90" spans="2:9" ht="18" x14ac:dyDescent="0.35">
      <c r="B90" s="4">
        <v>315</v>
      </c>
      <c r="C90" s="5" t="s">
        <v>22</v>
      </c>
      <c r="D90" s="12" t="s">
        <v>160</v>
      </c>
      <c r="E90" s="11" t="str">
        <f>+VLOOKUP(D90,'[1]Consumo x Cod Articulo'!$C$1:$O$65536,7,)</f>
        <v>Mango LK ф 8</v>
      </c>
      <c r="F90" s="3">
        <f>+G90+H90</f>
        <v>1920</v>
      </c>
      <c r="G90" s="4">
        <v>1920</v>
      </c>
      <c r="H90" s="9">
        <v>0</v>
      </c>
      <c r="I90" s="15" t="s">
        <v>203</v>
      </c>
    </row>
    <row r="91" spans="2:9" ht="18" x14ac:dyDescent="0.35">
      <c r="B91" s="4">
        <v>355</v>
      </c>
      <c r="C91" s="5" t="s">
        <v>23</v>
      </c>
      <c r="D91" s="12" t="s">
        <v>160</v>
      </c>
      <c r="E91" s="11" t="str">
        <f>+VLOOKUP(D91,'[1]Consumo x Cod Articulo'!$C$1:$O$65536,7,)</f>
        <v>Mango LK ф 8</v>
      </c>
      <c r="F91" s="3">
        <f>+G91+H91</f>
        <v>480</v>
      </c>
      <c r="G91" s="4">
        <v>480</v>
      </c>
      <c r="H91" s="9">
        <v>0</v>
      </c>
      <c r="I91" s="15" t="s">
        <v>203</v>
      </c>
    </row>
    <row r="92" spans="2:9" ht="18" customHeight="1" x14ac:dyDescent="0.35">
      <c r="B92" s="2">
        <v>701</v>
      </c>
      <c r="C92" s="5" t="s">
        <v>55</v>
      </c>
      <c r="D92" s="12" t="s">
        <v>171</v>
      </c>
      <c r="E92" s="11" t="str">
        <f>+VLOOKUP(D92,'[1]Consumo x Cod Articulo'!$C$1:$O$65536,7,)</f>
        <v>Manguito Abrelat. Blanco</v>
      </c>
      <c r="F92" s="3">
        <f>+G92+H92</f>
        <v>600</v>
      </c>
      <c r="G92" s="9">
        <v>0</v>
      </c>
      <c r="H92" s="4">
        <v>600</v>
      </c>
      <c r="I92" s="15" t="s">
        <v>207</v>
      </c>
    </row>
    <row r="93" spans="2:9" ht="18" x14ac:dyDescent="0.35">
      <c r="B93" s="4">
        <v>501</v>
      </c>
      <c r="C93" s="5" t="s">
        <v>55</v>
      </c>
      <c r="D93" s="12" t="s">
        <v>170</v>
      </c>
      <c r="E93" s="11" t="str">
        <f>+VLOOKUP(D93,'[1]Consumo x Cod Articulo'!$C$1:$O$65536,7,)</f>
        <v>Manguito Abrelat. Rojo</v>
      </c>
      <c r="F93" s="3">
        <f>+G93+H93</f>
        <v>5040</v>
      </c>
      <c r="G93" s="4">
        <v>5040</v>
      </c>
      <c r="H93" s="9">
        <v>0</v>
      </c>
      <c r="I93" s="15" t="s">
        <v>207</v>
      </c>
    </row>
    <row r="94" spans="2:9" ht="18" x14ac:dyDescent="0.35">
      <c r="B94" s="4">
        <v>523</v>
      </c>
      <c r="C94" s="5" t="s">
        <v>78</v>
      </c>
      <c r="D94" s="12" t="s">
        <v>190</v>
      </c>
      <c r="E94" s="11" t="str">
        <f>+VLOOKUP(D94,'[1]Consumo x Cod Articulo'!$C$1:$O$65536,7,)</f>
        <v>Cuerpo Sac Aleta Plast</v>
      </c>
      <c r="F94" s="3">
        <f>+G94+H94</f>
        <v>1608</v>
      </c>
      <c r="G94" s="4">
        <v>1608</v>
      </c>
      <c r="H94" s="9">
        <v>0</v>
      </c>
      <c r="I94" s="15" t="s">
        <v>207</v>
      </c>
    </row>
    <row r="95" spans="2:9" ht="18" x14ac:dyDescent="0.35">
      <c r="B95" s="4">
        <v>723</v>
      </c>
      <c r="C95" s="5" t="s">
        <v>78</v>
      </c>
      <c r="D95" s="12" t="s">
        <v>190</v>
      </c>
      <c r="E95" s="11" t="str">
        <f>+VLOOKUP(D95,'[1]Consumo x Cod Articulo'!$C$1:$O$65536,7,)</f>
        <v>Cuerpo Sac Aleta Plast</v>
      </c>
      <c r="F95" s="3">
        <f>+G95+H95</f>
        <v>192</v>
      </c>
      <c r="G95" s="9">
        <v>0</v>
      </c>
      <c r="H95" s="4">
        <v>192</v>
      </c>
      <c r="I95" s="15" t="s">
        <v>207</v>
      </c>
    </row>
    <row r="96" spans="2:9" ht="18" x14ac:dyDescent="0.35">
      <c r="B96" s="4">
        <v>515</v>
      </c>
      <c r="C96" s="5" t="s">
        <v>5</v>
      </c>
      <c r="D96" s="12" t="s">
        <v>162</v>
      </c>
      <c r="E96" s="11" t="str">
        <f>+VLOOKUP(D96,'[1]Consumo x Cod Articulo'!$C$1:$O$65536,7,)</f>
        <v>Mango LK Corta Queso</v>
      </c>
      <c r="F96" s="3">
        <f>+G96+H96</f>
        <v>144</v>
      </c>
      <c r="G96" s="4">
        <v>144</v>
      </c>
      <c r="H96" s="9">
        <v>0</v>
      </c>
      <c r="I96" s="15" t="s">
        <v>202</v>
      </c>
    </row>
    <row r="97" spans="2:9" ht="18" x14ac:dyDescent="0.35">
      <c r="B97" s="4">
        <v>546</v>
      </c>
      <c r="C97" s="5" t="s">
        <v>4</v>
      </c>
      <c r="D97" s="12" t="s">
        <v>162</v>
      </c>
      <c r="E97" s="11" t="str">
        <f>+VLOOKUP(D97,'[1]Consumo x Cod Articulo'!$C$1:$O$65536,7,)</f>
        <v>Mango LK Corta Queso</v>
      </c>
      <c r="F97" s="3">
        <f>+G97+H97</f>
        <v>4800</v>
      </c>
      <c r="G97" s="4">
        <v>4800</v>
      </c>
      <c r="H97" s="9">
        <v>0</v>
      </c>
      <c r="I97" s="15" t="s">
        <v>201</v>
      </c>
    </row>
    <row r="98" spans="2:9" ht="18" x14ac:dyDescent="0.35">
      <c r="B98" s="4">
        <v>58</v>
      </c>
      <c r="C98" s="6" t="s">
        <v>53</v>
      </c>
      <c r="D98" s="12" t="s">
        <v>169</v>
      </c>
      <c r="E98" s="11" t="str">
        <f>+VLOOKUP(D98,'[1]Consumo x Cod Articulo'!$C$1:$O$65536,7,)</f>
        <v>Cierra Bolsas Blanc.</v>
      </c>
      <c r="F98" s="3">
        <f>+G98+H98</f>
        <v>240</v>
      </c>
      <c r="G98" s="4">
        <v>240</v>
      </c>
      <c r="H98" s="9">
        <v>0</v>
      </c>
      <c r="I98" s="15" t="s">
        <v>207</v>
      </c>
    </row>
    <row r="99" spans="2:9" ht="18" x14ac:dyDescent="0.35">
      <c r="B99" s="2">
        <v>715</v>
      </c>
      <c r="C99" s="5" t="s">
        <v>54</v>
      </c>
      <c r="D99" s="12" t="s">
        <v>169</v>
      </c>
      <c r="E99" s="11" t="str">
        <f>+VLOOKUP(D99,'[1]Consumo x Cod Articulo'!$C$1:$O$65536,7,)</f>
        <v>Cierra Bolsas Blanc.</v>
      </c>
      <c r="F99" s="3">
        <f>+G99+H99</f>
        <v>120</v>
      </c>
      <c r="G99" s="9">
        <v>0</v>
      </c>
      <c r="H99" s="4">
        <v>120</v>
      </c>
      <c r="I99" s="15" t="s">
        <v>207</v>
      </c>
    </row>
    <row r="100" spans="2:9" ht="18" x14ac:dyDescent="0.35">
      <c r="B100" s="2">
        <v>630</v>
      </c>
      <c r="C100" s="5" t="s">
        <v>43</v>
      </c>
      <c r="D100" s="12" t="s">
        <v>166</v>
      </c>
      <c r="E100" s="11" t="str">
        <f>+VLOOKUP(D100,'[1]Consumo x Cod Articulo'!$C$1:$O$65536,7,)</f>
        <v>Ojales Neg/Blanco</v>
      </c>
      <c r="F100" s="3">
        <f>+G100+H100</f>
        <v>60</v>
      </c>
      <c r="G100" s="9">
        <v>0</v>
      </c>
      <c r="H100" s="4">
        <v>60</v>
      </c>
      <c r="I100" s="15" t="s">
        <v>202</v>
      </c>
    </row>
    <row r="101" spans="2:9" ht="18" x14ac:dyDescent="0.35">
      <c r="B101" s="2">
        <v>631</v>
      </c>
      <c r="C101" s="5" t="s">
        <v>44</v>
      </c>
      <c r="D101" s="12" t="s">
        <v>166</v>
      </c>
      <c r="E101" s="11" t="str">
        <f>+VLOOKUP(D101,'[1]Consumo x Cod Articulo'!$C$1:$O$65536,7,)</f>
        <v>Ojales Neg/Blanco</v>
      </c>
      <c r="F101" s="3">
        <f>+G101+H101</f>
        <v>72</v>
      </c>
      <c r="G101" s="9">
        <v>0</v>
      </c>
      <c r="H101" s="4">
        <v>72</v>
      </c>
      <c r="I101" s="15" t="s">
        <v>202</v>
      </c>
    </row>
    <row r="102" spans="2:9" ht="18" x14ac:dyDescent="0.35">
      <c r="B102" s="2">
        <v>632</v>
      </c>
      <c r="C102" s="5" t="s">
        <v>45</v>
      </c>
      <c r="D102" s="12" t="s">
        <v>166</v>
      </c>
      <c r="E102" s="11" t="str">
        <f>+VLOOKUP(D102,'[1]Consumo x Cod Articulo'!$C$1:$O$65536,7,)</f>
        <v>Ojales Neg/Blanco</v>
      </c>
      <c r="F102" s="3">
        <f>+G102+H102</f>
        <v>48</v>
      </c>
      <c r="G102" s="9">
        <v>0</v>
      </c>
      <c r="H102" s="4">
        <v>48</v>
      </c>
      <c r="I102" s="15" t="s">
        <v>202</v>
      </c>
    </row>
    <row r="103" spans="2:9" ht="18" x14ac:dyDescent="0.35">
      <c r="B103" s="2">
        <v>633</v>
      </c>
      <c r="C103" s="5" t="s">
        <v>46</v>
      </c>
      <c r="D103" s="12" t="s">
        <v>166</v>
      </c>
      <c r="E103" s="11" t="str">
        <f>+VLOOKUP(D103,'[1]Consumo x Cod Articulo'!$C$1:$O$65536,7,)</f>
        <v>Ojales Neg/Blanco</v>
      </c>
      <c r="F103" s="3">
        <f>+G103+H103</f>
        <v>24</v>
      </c>
      <c r="G103" s="9">
        <v>0</v>
      </c>
      <c r="H103" s="4">
        <v>24</v>
      </c>
      <c r="I103" s="15" t="s">
        <v>202</v>
      </c>
    </row>
    <row r="104" spans="2:9" ht="18" x14ac:dyDescent="0.35">
      <c r="B104" s="2">
        <v>634</v>
      </c>
      <c r="C104" s="5" t="s">
        <v>47</v>
      </c>
      <c r="D104" s="12" t="s">
        <v>166</v>
      </c>
      <c r="E104" s="11" t="str">
        <f>+VLOOKUP(D104,'[1]Consumo x Cod Articulo'!$C$1:$O$65536,7,)</f>
        <v>Ojales Neg/Blanco</v>
      </c>
      <c r="F104" s="3">
        <f>+G104+H104</f>
        <v>24</v>
      </c>
      <c r="G104" s="9">
        <v>0</v>
      </c>
      <c r="H104" s="4">
        <v>24</v>
      </c>
      <c r="I104" s="15" t="s">
        <v>202</v>
      </c>
    </row>
    <row r="105" spans="2:9" ht="18" x14ac:dyDescent="0.35">
      <c r="B105" s="2">
        <v>635</v>
      </c>
      <c r="C105" s="5" t="s">
        <v>48</v>
      </c>
      <c r="D105" s="12" t="s">
        <v>166</v>
      </c>
      <c r="E105" s="11" t="str">
        <f>+VLOOKUP(D105,'[1]Consumo x Cod Articulo'!$C$1:$O$65536,7,)</f>
        <v>Ojales Neg/Blanco</v>
      </c>
      <c r="F105" s="3">
        <f>+G105+H105</f>
        <v>48</v>
      </c>
      <c r="G105" s="9">
        <v>0</v>
      </c>
      <c r="H105" s="4">
        <v>48</v>
      </c>
      <c r="I105" s="15" t="s">
        <v>202</v>
      </c>
    </row>
    <row r="106" spans="2:9" ht="18" x14ac:dyDescent="0.35">
      <c r="B106" s="2">
        <v>636</v>
      </c>
      <c r="C106" s="5" t="s">
        <v>49</v>
      </c>
      <c r="D106" s="12" t="s">
        <v>166</v>
      </c>
      <c r="E106" s="11" t="str">
        <f>+VLOOKUP(D106,'[1]Consumo x Cod Articulo'!$C$1:$O$65536,7,)</f>
        <v>Ojales Neg/Blanco</v>
      </c>
      <c r="F106" s="3">
        <f>+G106+H106</f>
        <v>48</v>
      </c>
      <c r="G106" s="9">
        <v>0</v>
      </c>
      <c r="H106" s="4">
        <v>48</v>
      </c>
      <c r="I106" s="15" t="s">
        <v>202</v>
      </c>
    </row>
    <row r="107" spans="2:9" ht="18" x14ac:dyDescent="0.35">
      <c r="B107" s="2">
        <v>709</v>
      </c>
      <c r="C107" s="5" t="s">
        <v>19</v>
      </c>
      <c r="D107" s="12" t="s">
        <v>166</v>
      </c>
      <c r="E107" s="11" t="str">
        <f>+VLOOKUP(D107,'[1]Consumo x Cod Articulo'!$C$1:$O$65536,7,)</f>
        <v>Ojales Neg/Blanco</v>
      </c>
      <c r="F107" s="3">
        <f>+G107+H107</f>
        <v>60</v>
      </c>
      <c r="G107" s="9">
        <v>0</v>
      </c>
      <c r="H107" s="4">
        <v>60</v>
      </c>
      <c r="I107" s="15" t="s">
        <v>202</v>
      </c>
    </row>
    <row r="108" spans="2:9" ht="18" x14ac:dyDescent="0.35">
      <c r="B108" s="2">
        <v>710</v>
      </c>
      <c r="C108" s="5" t="s">
        <v>29</v>
      </c>
      <c r="D108" s="12" t="s">
        <v>166</v>
      </c>
      <c r="E108" s="11" t="str">
        <f>+VLOOKUP(D108,'[1]Consumo x Cod Articulo'!$C$1:$O$65536,7,)</f>
        <v>Ojales Neg/Blanco</v>
      </c>
      <c r="F108" s="3">
        <f>+G108+H108</f>
        <v>0</v>
      </c>
      <c r="G108" s="9">
        <v>0</v>
      </c>
      <c r="H108" s="4">
        <v>0</v>
      </c>
      <c r="I108" s="15" t="s">
        <v>202</v>
      </c>
    </row>
    <row r="109" spans="2:9" ht="18" x14ac:dyDescent="0.35">
      <c r="B109" s="2">
        <v>609</v>
      </c>
      <c r="C109" s="5" t="s">
        <v>32</v>
      </c>
      <c r="D109" s="12" t="s">
        <v>166</v>
      </c>
      <c r="E109" s="11" t="str">
        <f>+VLOOKUP(D109,'[1]Consumo x Cod Articulo'!$C$1:$O$65536,7,)</f>
        <v>Ojales Neg/Blanco</v>
      </c>
      <c r="F109" s="3">
        <f>+G109+H109</f>
        <v>600</v>
      </c>
      <c r="G109" s="9">
        <v>0</v>
      </c>
      <c r="H109" s="4">
        <v>600</v>
      </c>
      <c r="I109" s="15" t="s">
        <v>203</v>
      </c>
    </row>
    <row r="110" spans="2:9" ht="18" x14ac:dyDescent="0.35">
      <c r="B110" s="2">
        <v>789</v>
      </c>
      <c r="C110" s="5" t="s">
        <v>33</v>
      </c>
      <c r="D110" s="12" t="s">
        <v>166</v>
      </c>
      <c r="E110" s="11" t="str">
        <f>+VLOOKUP(D110,'[1]Consumo x Cod Articulo'!$C$1:$O$65536,7,)</f>
        <v>Ojales Neg/Blanco</v>
      </c>
      <c r="F110" s="3">
        <f>+G110+H110</f>
        <v>240</v>
      </c>
      <c r="G110" s="9">
        <v>0</v>
      </c>
      <c r="H110" s="4">
        <v>240</v>
      </c>
      <c r="I110" s="15" t="s">
        <v>203</v>
      </c>
    </row>
    <row r="111" spans="2:9" ht="18" x14ac:dyDescent="0.35">
      <c r="B111" s="2">
        <v>720</v>
      </c>
      <c r="C111" s="5" t="s">
        <v>30</v>
      </c>
      <c r="D111" s="12" t="s">
        <v>166</v>
      </c>
      <c r="E111" s="11" t="str">
        <f>+VLOOKUP(D111,'[1]Consumo x Cod Articulo'!$C$1:$O$65536,7,)</f>
        <v>Ojales Neg/Blanco</v>
      </c>
      <c r="F111" s="3">
        <f>+G111+H111</f>
        <v>72</v>
      </c>
      <c r="G111" s="9">
        <v>0</v>
      </c>
      <c r="H111" s="4">
        <v>72</v>
      </c>
      <c r="I111" s="15" t="s">
        <v>207</v>
      </c>
    </row>
    <row r="112" spans="2:9" ht="18" x14ac:dyDescent="0.35">
      <c r="B112" s="2">
        <v>722</v>
      </c>
      <c r="C112" s="5" t="s">
        <v>14</v>
      </c>
      <c r="D112" s="12" t="s">
        <v>166</v>
      </c>
      <c r="E112" s="11" t="str">
        <f>+VLOOKUP(D112,'[1]Consumo x Cod Articulo'!$C$1:$O$65536,7,)</f>
        <v>Ojales Neg/Blanco</v>
      </c>
      <c r="F112" s="3">
        <f>+G112+H112</f>
        <v>36</v>
      </c>
      <c r="G112" s="9">
        <v>0</v>
      </c>
      <c r="H112" s="4">
        <v>36</v>
      </c>
      <c r="I112" s="15" t="s">
        <v>207</v>
      </c>
    </row>
    <row r="113" spans="2:9" ht="18" x14ac:dyDescent="0.35">
      <c r="B113" s="2">
        <v>864</v>
      </c>
      <c r="C113" s="5" t="s">
        <v>21</v>
      </c>
      <c r="D113" s="12" t="s">
        <v>166</v>
      </c>
      <c r="E113" s="11" t="str">
        <f>+VLOOKUP(D113,'[1]Consumo x Cod Articulo'!$C$1:$O$65536,7,)</f>
        <v>Ojales Neg/Blanco</v>
      </c>
      <c r="F113" s="3">
        <f>+G113+H113</f>
        <v>120</v>
      </c>
      <c r="G113" s="9">
        <v>0</v>
      </c>
      <c r="H113" s="4">
        <v>120</v>
      </c>
      <c r="I113" s="15" t="s">
        <v>207</v>
      </c>
    </row>
    <row r="114" spans="2:9" ht="18" x14ac:dyDescent="0.35">
      <c r="B114" s="2">
        <v>856</v>
      </c>
      <c r="C114" s="5" t="s">
        <v>27</v>
      </c>
      <c r="D114" s="12" t="s">
        <v>166</v>
      </c>
      <c r="E114" s="11" t="str">
        <f>+VLOOKUP(D114,'[1]Consumo x Cod Articulo'!$C$1:$O$65536,7,)</f>
        <v>Ojales Neg/Blanco</v>
      </c>
      <c r="F114" s="3">
        <f>+G114+H114</f>
        <v>48</v>
      </c>
      <c r="G114" s="9">
        <v>0</v>
      </c>
      <c r="H114" s="4">
        <v>48</v>
      </c>
      <c r="I114" s="15" t="s">
        <v>200</v>
      </c>
    </row>
    <row r="115" spans="2:9" ht="18" x14ac:dyDescent="0.35">
      <c r="B115" s="2">
        <v>857</v>
      </c>
      <c r="C115" s="5" t="s">
        <v>28</v>
      </c>
      <c r="D115" s="12" t="s">
        <v>166</v>
      </c>
      <c r="E115" s="11" t="str">
        <f>+VLOOKUP(D115,'[1]Consumo x Cod Articulo'!$C$1:$O$65536,7,)</f>
        <v>Ojales Neg/Blanco</v>
      </c>
      <c r="F115" s="3">
        <f>+G115+H115</f>
        <v>48</v>
      </c>
      <c r="G115" s="9">
        <v>0</v>
      </c>
      <c r="H115" s="4">
        <v>48</v>
      </c>
      <c r="I115" s="15" t="s">
        <v>200</v>
      </c>
    </row>
    <row r="116" spans="2:9" ht="18" x14ac:dyDescent="0.35">
      <c r="B116" s="2">
        <v>858</v>
      </c>
      <c r="C116" s="5" t="s">
        <v>17</v>
      </c>
      <c r="D116" s="12" t="s">
        <v>166</v>
      </c>
      <c r="E116" s="11" t="str">
        <f>+VLOOKUP(D116,'[1]Consumo x Cod Articulo'!$C$1:$O$65536,7,)</f>
        <v>Ojales Neg/Blanco</v>
      </c>
      <c r="F116" s="3">
        <f>+G116+H116</f>
        <v>60</v>
      </c>
      <c r="G116" s="9">
        <v>0</v>
      </c>
      <c r="H116" s="4">
        <v>60</v>
      </c>
      <c r="I116" s="15" t="s">
        <v>200</v>
      </c>
    </row>
    <row r="117" spans="2:9" ht="18" x14ac:dyDescent="0.35">
      <c r="B117" s="2">
        <v>859</v>
      </c>
      <c r="C117" s="5" t="s">
        <v>15</v>
      </c>
      <c r="D117" s="12" t="s">
        <v>166</v>
      </c>
      <c r="E117" s="11" t="str">
        <f>+VLOOKUP(D117,'[1]Consumo x Cod Articulo'!$C$1:$O$65536,7,)</f>
        <v>Ojales Neg/Blanco</v>
      </c>
      <c r="F117" s="3">
        <f>+G117+H117</f>
        <v>144</v>
      </c>
      <c r="G117" s="9">
        <v>0</v>
      </c>
      <c r="H117" s="4">
        <v>144</v>
      </c>
      <c r="I117" s="15" t="s">
        <v>200</v>
      </c>
    </row>
    <row r="118" spans="2:9" ht="18" x14ac:dyDescent="0.35">
      <c r="B118" s="2">
        <v>863</v>
      </c>
      <c r="C118" s="5" t="s">
        <v>31</v>
      </c>
      <c r="D118" s="12" t="s">
        <v>166</v>
      </c>
      <c r="E118" s="11" t="str">
        <f>+VLOOKUP(D118,'[1]Consumo x Cod Articulo'!$C$1:$O$65536,7,)</f>
        <v>Ojales Neg/Blanco</v>
      </c>
      <c r="F118" s="3">
        <f>+G118+H118</f>
        <v>96</v>
      </c>
      <c r="G118" s="9">
        <v>0</v>
      </c>
      <c r="H118" s="4">
        <v>96</v>
      </c>
      <c r="I118" s="15" t="s">
        <v>200</v>
      </c>
    </row>
    <row r="119" spans="2:9" ht="18" x14ac:dyDescent="0.35">
      <c r="B119" s="2">
        <v>858</v>
      </c>
      <c r="C119" s="5" t="s">
        <v>17</v>
      </c>
      <c r="D119" s="12" t="s">
        <v>158</v>
      </c>
      <c r="E119" s="11" t="str">
        <f>+VLOOKUP(D119,'[1]Consumo x Cod Articulo'!$C$1:$O$65536,7,)</f>
        <v>Inserto Neg. Canelones</v>
      </c>
      <c r="F119" s="3">
        <f>+G119+H119</f>
        <v>60</v>
      </c>
      <c r="G119" s="9">
        <v>0</v>
      </c>
      <c r="H119" s="4">
        <v>60</v>
      </c>
      <c r="I119" s="15" t="s">
        <v>200</v>
      </c>
    </row>
    <row r="120" spans="2:9" ht="18" x14ac:dyDescent="0.35">
      <c r="B120" s="2">
        <v>53</v>
      </c>
      <c r="C120" s="5" t="s">
        <v>36</v>
      </c>
      <c r="D120" s="12" t="s">
        <v>164</v>
      </c>
      <c r="E120" s="11" t="str">
        <f>+VLOOKUP(D120,'[1]Consumo x Cod Articulo'!$C$1:$O$65536,7,)</f>
        <v>Cachas Azules</v>
      </c>
      <c r="F120" s="3">
        <f>+G120+H120</f>
        <v>84</v>
      </c>
      <c r="G120" s="9">
        <v>0</v>
      </c>
      <c r="H120" s="4">
        <v>84</v>
      </c>
      <c r="I120" s="15" t="s">
        <v>201</v>
      </c>
    </row>
    <row r="121" spans="2:9" ht="18" x14ac:dyDescent="0.35">
      <c r="B121" s="2">
        <v>54</v>
      </c>
      <c r="C121" s="5" t="s">
        <v>37</v>
      </c>
      <c r="D121" s="12" t="s">
        <v>164</v>
      </c>
      <c r="E121" s="11" t="str">
        <f>+VLOOKUP(D121,'[1]Consumo x Cod Articulo'!$C$1:$O$65536,7,)</f>
        <v>Cachas Azules</v>
      </c>
      <c r="F121" s="3">
        <f>+G121+H121</f>
        <v>60</v>
      </c>
      <c r="G121" s="9">
        <v>0</v>
      </c>
      <c r="H121" s="4">
        <v>60</v>
      </c>
      <c r="I121" s="15" t="s">
        <v>201</v>
      </c>
    </row>
    <row r="122" spans="2:9" ht="18" x14ac:dyDescent="0.35">
      <c r="B122" s="2">
        <v>55</v>
      </c>
      <c r="C122" s="5" t="s">
        <v>38</v>
      </c>
      <c r="D122" s="12" t="s">
        <v>164</v>
      </c>
      <c r="E122" s="11" t="str">
        <f>+VLOOKUP(D122,'[1]Consumo x Cod Articulo'!$C$1:$O$65536,7,)</f>
        <v>Cachas Azules</v>
      </c>
      <c r="F122" s="3">
        <f>+G122+H122</f>
        <v>144</v>
      </c>
      <c r="G122" s="9">
        <v>0</v>
      </c>
      <c r="H122" s="4">
        <v>144</v>
      </c>
      <c r="I122" s="15" t="s">
        <v>201</v>
      </c>
    </row>
    <row r="123" spans="2:9" ht="18" x14ac:dyDescent="0.35">
      <c r="B123" s="4">
        <v>594</v>
      </c>
      <c r="C123" s="5" t="s">
        <v>39</v>
      </c>
      <c r="D123" s="12" t="s">
        <v>164</v>
      </c>
      <c r="E123" s="11" t="str">
        <f>+VLOOKUP(D123,'[1]Consumo x Cod Articulo'!$C$1:$O$65536,7,)</f>
        <v>Cachas Azules</v>
      </c>
      <c r="F123" s="3">
        <f>+G123+H123</f>
        <v>300</v>
      </c>
      <c r="G123" s="4">
        <v>300</v>
      </c>
      <c r="H123" s="9">
        <v>0</v>
      </c>
      <c r="I123" s="15" t="s">
        <v>201</v>
      </c>
    </row>
    <row r="124" spans="2:9" ht="18" x14ac:dyDescent="0.35">
      <c r="B124" s="4">
        <v>595</v>
      </c>
      <c r="C124" s="5" t="s">
        <v>40</v>
      </c>
      <c r="D124" s="12" t="s">
        <v>164</v>
      </c>
      <c r="E124" s="11" t="str">
        <f>+VLOOKUP(D124,'[1]Consumo x Cod Articulo'!$C$1:$O$65536,7,)</f>
        <v>Cachas Azules</v>
      </c>
      <c r="F124" s="3">
        <f>+G124+H124</f>
        <v>192</v>
      </c>
      <c r="G124" s="4">
        <v>192</v>
      </c>
      <c r="H124" s="9">
        <v>0</v>
      </c>
      <c r="I124" s="15" t="s">
        <v>201</v>
      </c>
    </row>
    <row r="125" spans="2:9" ht="18" x14ac:dyDescent="0.35">
      <c r="B125" s="4">
        <v>596</v>
      </c>
      <c r="C125" s="5" t="s">
        <v>41</v>
      </c>
      <c r="D125" s="12" t="s">
        <v>164</v>
      </c>
      <c r="E125" s="11" t="str">
        <f>+VLOOKUP(D125,'[1]Consumo x Cod Articulo'!$C$1:$O$65536,7,)</f>
        <v>Cachas Azules</v>
      </c>
      <c r="F125" s="3">
        <f>+G125+H125</f>
        <v>252</v>
      </c>
      <c r="G125" s="4">
        <v>252</v>
      </c>
      <c r="H125" s="9">
        <v>0</v>
      </c>
      <c r="I125" s="15" t="s">
        <v>201</v>
      </c>
    </row>
    <row r="126" spans="2:9" ht="18" x14ac:dyDescent="0.35">
      <c r="B126" s="2">
        <v>99</v>
      </c>
      <c r="C126" s="5" t="s">
        <v>58</v>
      </c>
      <c r="D126" s="12" t="s">
        <v>175</v>
      </c>
      <c r="E126" s="11" t="str">
        <f>+VLOOKUP(D126,'[1]Consumo x Cod Articulo'!$C$1:$O$65536,7,)</f>
        <v>Mangos Pelador Vde</v>
      </c>
      <c r="F126" s="3">
        <f>+G126+H126</f>
        <v>1476</v>
      </c>
      <c r="G126" s="9">
        <v>0</v>
      </c>
      <c r="H126" s="4">
        <v>1476</v>
      </c>
      <c r="I126" s="15" t="s">
        <v>201</v>
      </c>
    </row>
    <row r="127" spans="2:9" ht="18" x14ac:dyDescent="0.35">
      <c r="B127" s="4">
        <v>586</v>
      </c>
      <c r="C127" s="6" t="s">
        <v>57</v>
      </c>
      <c r="D127" s="12" t="s">
        <v>174</v>
      </c>
      <c r="E127" s="11" t="str">
        <f>+VLOOKUP(D127,'[1]Consumo x Cod Articulo'!$C$1:$O$65536,7,)</f>
        <v>Mango Pelador LK 586 S/S</v>
      </c>
      <c r="F127" s="3">
        <f>+G127+H127</f>
        <v>6000</v>
      </c>
      <c r="G127" s="4">
        <v>6000</v>
      </c>
      <c r="H127" s="9">
        <v>0</v>
      </c>
      <c r="I127" s="15" t="s">
        <v>201</v>
      </c>
    </row>
    <row r="128" spans="2:9" ht="18" x14ac:dyDescent="0.35">
      <c r="B128" s="4">
        <v>504</v>
      </c>
      <c r="C128" s="6" t="s">
        <v>50</v>
      </c>
      <c r="D128" s="12" t="s">
        <v>167</v>
      </c>
      <c r="E128" s="11" t="str">
        <f>+VLOOKUP(D128,'[1]Consumo x Cod Articulo'!$C$1:$O$65536,7,)</f>
        <v>Afila Caladas Azules</v>
      </c>
      <c r="F128" s="3">
        <f>+G128+H128</f>
        <v>5600</v>
      </c>
      <c r="G128" s="4">
        <v>5600</v>
      </c>
      <c r="H128" s="9">
        <v>0</v>
      </c>
      <c r="I128" s="15" t="s">
        <v>203</v>
      </c>
    </row>
    <row r="129" spans="2:9" ht="18" x14ac:dyDescent="0.35">
      <c r="B129" s="4">
        <v>504</v>
      </c>
      <c r="C129" s="6" t="s">
        <v>50</v>
      </c>
      <c r="D129" s="12" t="s">
        <v>167</v>
      </c>
      <c r="E129" s="11" t="str">
        <f>+VLOOKUP(D129,'[1]Consumo x Cod Articulo'!$C$1:$O$65536,7,)</f>
        <v>Afila Caladas Azules</v>
      </c>
      <c r="F129" s="3">
        <f>+G129+H129</f>
        <v>5600</v>
      </c>
      <c r="G129" s="4">
        <v>5600</v>
      </c>
      <c r="H129" s="9">
        <v>0</v>
      </c>
      <c r="I129" s="15" t="s">
        <v>200</v>
      </c>
    </row>
    <row r="130" spans="2:9" ht="18" x14ac:dyDescent="0.35">
      <c r="B130" s="2">
        <v>97</v>
      </c>
      <c r="C130" s="5" t="s">
        <v>51</v>
      </c>
      <c r="D130" s="12" t="s">
        <v>167</v>
      </c>
      <c r="E130" s="11" t="str">
        <f>+VLOOKUP(D130,'[1]Consumo x Cod Articulo'!$C$1:$O$65536,7,)</f>
        <v>Afila Caladas Azules</v>
      </c>
      <c r="F130" s="3">
        <f>+G130+H130</f>
        <v>450</v>
      </c>
      <c r="G130" s="9">
        <v>0</v>
      </c>
      <c r="H130" s="4">
        <v>450</v>
      </c>
      <c r="I130" s="15" t="s">
        <v>200</v>
      </c>
    </row>
    <row r="131" spans="2:9" ht="18" x14ac:dyDescent="0.35">
      <c r="B131" s="4">
        <v>519</v>
      </c>
      <c r="C131" s="3" t="s">
        <v>85</v>
      </c>
      <c r="D131" s="12" t="s">
        <v>197</v>
      </c>
      <c r="E131" s="11" t="str">
        <f>+VLOOKUP(D131,'[1]Consumo x Cod Articulo'!$C$1:$O$65536,7,)</f>
        <v>Mgo Mad Cuch Untar</v>
      </c>
      <c r="F131" s="3">
        <f>+G131+H131</f>
        <v>960</v>
      </c>
      <c r="G131" s="2">
        <v>960</v>
      </c>
      <c r="H131" s="9">
        <v>0</v>
      </c>
      <c r="I131" s="15" t="s">
        <v>201</v>
      </c>
    </row>
    <row r="132" spans="2:9" ht="18" x14ac:dyDescent="0.35">
      <c r="B132" s="4">
        <v>719</v>
      </c>
      <c r="C132" s="3" t="s">
        <v>86</v>
      </c>
      <c r="D132" s="12" t="s">
        <v>197</v>
      </c>
      <c r="E132" s="11" t="str">
        <f>+VLOOKUP(D132,'[1]Consumo x Cod Articulo'!$C$1:$O$65536,7,)</f>
        <v>Mgo Mad Cuch Untar</v>
      </c>
      <c r="F132" s="3">
        <f>+G132+H132</f>
        <v>144</v>
      </c>
      <c r="G132" s="9">
        <v>0</v>
      </c>
      <c r="H132" s="4">
        <v>144</v>
      </c>
      <c r="I132" s="15" t="s">
        <v>201</v>
      </c>
    </row>
    <row r="133" spans="2:9" ht="18" x14ac:dyDescent="0.35">
      <c r="B133" s="4">
        <v>525</v>
      </c>
      <c r="C133" s="3" t="s">
        <v>87</v>
      </c>
      <c r="D133" s="12" t="s">
        <v>198</v>
      </c>
      <c r="E133" s="11" t="str">
        <f>+VLOOKUP(D133,'[1]Consumo x Cod Articulo'!$C$1:$O$65536,7,)</f>
        <v>Cabo Madera 525</v>
      </c>
      <c r="F133" s="3">
        <f>+G133+H133</f>
        <v>1728</v>
      </c>
      <c r="G133" s="2">
        <v>1728</v>
      </c>
      <c r="H133" s="9">
        <v>0</v>
      </c>
      <c r="I133" s="15" t="s">
        <v>207</v>
      </c>
    </row>
    <row r="134" spans="2:9" ht="18" x14ac:dyDescent="0.35">
      <c r="B134" s="4">
        <v>725</v>
      </c>
      <c r="C134" s="3" t="s">
        <v>87</v>
      </c>
      <c r="D134" s="12" t="s">
        <v>198</v>
      </c>
      <c r="E134" s="11" t="str">
        <f>+VLOOKUP(D134,'[1]Consumo x Cod Articulo'!$C$1:$O$65536,7,)</f>
        <v>Cabo Madera 525</v>
      </c>
      <c r="F134" s="3">
        <f>+G134+H134</f>
        <v>552</v>
      </c>
      <c r="G134" s="9">
        <v>0</v>
      </c>
      <c r="H134" s="4">
        <v>552</v>
      </c>
      <c r="I134" s="15" t="s">
        <v>201</v>
      </c>
    </row>
    <row r="135" spans="2:9" ht="18" x14ac:dyDescent="0.35">
      <c r="B135" s="4">
        <v>518</v>
      </c>
      <c r="C135" s="3" t="s">
        <v>83</v>
      </c>
      <c r="D135" s="12" t="s">
        <v>195</v>
      </c>
      <c r="E135" s="11" t="str">
        <f>+VLOOKUP(D135,'[1]Consumo x Cod Articulo'!$C$1:$O$65536,7,)</f>
        <v>Mgo Sacafuente Pizzero</v>
      </c>
      <c r="F135" s="3">
        <f>+G135+H135</f>
        <v>864</v>
      </c>
      <c r="G135" s="2">
        <v>864</v>
      </c>
      <c r="H135" s="9">
        <v>0</v>
      </c>
      <c r="I135" s="15" t="s">
        <v>201</v>
      </c>
    </row>
    <row r="136" spans="2:9" ht="18" x14ac:dyDescent="0.35">
      <c r="B136" s="4">
        <v>564</v>
      </c>
      <c r="C136" s="3" t="s">
        <v>84</v>
      </c>
      <c r="D136" s="12" t="s">
        <v>196</v>
      </c>
      <c r="E136" s="11" t="str">
        <f>+VLOOKUP(D136,'[1]Consumo x Cod Articulo'!$C$1:$O$65536,7,)</f>
        <v>Mgo Corta Pizza</v>
      </c>
      <c r="F136" s="3">
        <f>+G136+H136</f>
        <v>600</v>
      </c>
      <c r="G136" s="2">
        <v>600</v>
      </c>
      <c r="H136" s="9">
        <v>0</v>
      </c>
      <c r="I136" s="15" t="s">
        <v>200</v>
      </c>
    </row>
    <row r="137" spans="2:9" ht="18" x14ac:dyDescent="0.35">
      <c r="B137" s="4">
        <v>59</v>
      </c>
      <c r="C137" s="6" t="s">
        <v>60</v>
      </c>
      <c r="D137" s="12" t="s">
        <v>178</v>
      </c>
      <c r="E137" s="11" t="str">
        <f>+VLOOKUP(D137,'[1]Consumo x Cod Articulo'!$C$1:$O$65536,7,)</f>
        <v>Cuchillo de Untar Blanc</v>
      </c>
      <c r="F137" s="3">
        <f>+G137+H137</f>
        <v>168</v>
      </c>
      <c r="G137" s="4">
        <v>168</v>
      </c>
      <c r="H137" s="9">
        <v>0</v>
      </c>
      <c r="I137" s="15" t="s">
        <v>201</v>
      </c>
    </row>
    <row r="138" spans="2:9" ht="18" x14ac:dyDescent="0.35">
      <c r="B138" s="2">
        <v>718</v>
      </c>
      <c r="C138" s="5" t="s">
        <v>61</v>
      </c>
      <c r="D138" s="12" t="s">
        <v>178</v>
      </c>
      <c r="E138" s="11" t="str">
        <f>+VLOOKUP(D138,'[1]Consumo x Cod Articulo'!$C$1:$O$65536,7,)</f>
        <v>Cuchillo de Untar Blanc</v>
      </c>
      <c r="F138" s="3">
        <f>+G138+H138</f>
        <v>24</v>
      </c>
      <c r="G138" s="9">
        <v>0</v>
      </c>
      <c r="H138" s="4">
        <v>24</v>
      </c>
      <c r="I138" s="15" t="s">
        <v>201</v>
      </c>
    </row>
    <row r="139" spans="2:9" ht="18" x14ac:dyDescent="0.35">
      <c r="B139" s="4">
        <v>229</v>
      </c>
      <c r="C139" s="3" t="s">
        <v>88</v>
      </c>
      <c r="D139" s="12" t="s">
        <v>199</v>
      </c>
      <c r="E139" s="11" t="str">
        <f>+VLOOKUP(D139,'[1]Consumo x Cod Articulo'!$C$1:$O$65536,7,)</f>
        <v>Ñoquera</v>
      </c>
      <c r="F139" s="3">
        <f>+G139+H139</f>
        <v>1200</v>
      </c>
      <c r="G139" s="2">
        <v>1200</v>
      </c>
      <c r="H139" s="9">
        <v>0</v>
      </c>
      <c r="I139" s="15" t="s">
        <v>203</v>
      </c>
    </row>
    <row r="140" spans="2:9" ht="18" x14ac:dyDescent="0.35">
      <c r="B140" s="4">
        <v>909</v>
      </c>
      <c r="C140" s="3" t="s">
        <v>89</v>
      </c>
      <c r="D140" s="12" t="s">
        <v>199</v>
      </c>
      <c r="E140" s="11" t="str">
        <f>+VLOOKUP(D140,'[1]Consumo x Cod Articulo'!$C$1:$O$65536,7,)</f>
        <v>Ñoquera</v>
      </c>
      <c r="F140" s="3">
        <f>+G140+H140</f>
        <v>390</v>
      </c>
      <c r="G140" s="9">
        <v>0</v>
      </c>
      <c r="H140" s="17">
        <v>390</v>
      </c>
      <c r="I140" s="15" t="s">
        <v>203</v>
      </c>
    </row>
    <row r="141" spans="2:9" ht="18" x14ac:dyDescent="0.35">
      <c r="B141" s="2">
        <v>709</v>
      </c>
      <c r="C141" s="5" t="s">
        <v>19</v>
      </c>
      <c r="D141" s="12" t="s">
        <v>157</v>
      </c>
      <c r="E141" s="11" t="str">
        <f>+VLOOKUP(D141,'[1]Consumo x Cod Articulo'!$C$1:$O$65536,7,)</f>
        <v>Inser. Sonrisa DISCONTINUA</v>
      </c>
      <c r="F141" s="3">
        <f>+G141+H141</f>
        <v>60</v>
      </c>
      <c r="G141" s="9">
        <v>0</v>
      </c>
      <c r="H141" s="4">
        <v>60</v>
      </c>
      <c r="I141" s="15" t="s">
        <v>202</v>
      </c>
    </row>
    <row r="142" spans="2:9" ht="18" x14ac:dyDescent="0.35">
      <c r="B142" s="2">
        <v>717</v>
      </c>
      <c r="C142" s="5" t="s">
        <v>59</v>
      </c>
      <c r="D142" s="12" t="s">
        <v>177</v>
      </c>
      <c r="E142" s="11" t="str">
        <f>+VLOOKUP(D142,'[1]Consumo x Cod Articulo'!$C$1:$O$65536,7,)</f>
        <v>Cuchillo de Untar Acril DISCONTINUO</v>
      </c>
      <c r="F142" s="3">
        <f>+G142+H142</f>
        <v>24</v>
      </c>
      <c r="G142" s="9">
        <v>0</v>
      </c>
      <c r="H142" s="4">
        <v>24</v>
      </c>
      <c r="I142" s="15" t="s">
        <v>201</v>
      </c>
    </row>
    <row r="143" spans="2:9" ht="18" x14ac:dyDescent="0.35">
      <c r="B143" s="4">
        <v>355</v>
      </c>
      <c r="C143" s="5" t="s">
        <v>23</v>
      </c>
      <c r="D143" s="12" t="s">
        <v>189</v>
      </c>
      <c r="E143" s="11" t="str">
        <f>+VLOOKUP(D143,'[1]Consumo x Cod Articulo'!$C$1:$O$65536,7,)</f>
        <v>Pisa papa Nylon</v>
      </c>
      <c r="F143" s="3">
        <f>+G143+H143</f>
        <v>480</v>
      </c>
      <c r="G143" s="4">
        <v>480</v>
      </c>
      <c r="H143" s="9">
        <v>0</v>
      </c>
      <c r="I143" s="15" t="s">
        <v>203</v>
      </c>
    </row>
    <row r="144" spans="2:9" ht="18" x14ac:dyDescent="0.35">
      <c r="B144" s="4">
        <v>280</v>
      </c>
      <c r="C144" s="5" t="s">
        <v>77</v>
      </c>
      <c r="D144" s="12" t="s">
        <v>188</v>
      </c>
      <c r="E144" s="11" t="str">
        <f>+VLOOKUP(D144,'[1]Consumo x Cod Articulo'!$C$1:$O$65536,7,)</f>
        <v>Picos Reposteros</v>
      </c>
      <c r="F144" s="3">
        <f>+G144+H144</f>
        <v>984</v>
      </c>
      <c r="G144" s="4">
        <v>984</v>
      </c>
      <c r="H144" s="9">
        <v>0</v>
      </c>
      <c r="I144" s="15" t="s">
        <v>208</v>
      </c>
    </row>
    <row r="145" spans="2:9" ht="18" x14ac:dyDescent="0.35">
      <c r="B145" s="4">
        <v>569</v>
      </c>
      <c r="C145" s="5" t="s">
        <v>62</v>
      </c>
      <c r="D145" s="12" t="s">
        <v>179</v>
      </c>
      <c r="E145" s="11" t="str">
        <f>+VLOOKUP(D145,'[1]Consumo x Cod Articulo'!$C$1:$O$65536,7,)</f>
        <v>Pela naranjas</v>
      </c>
      <c r="F145" s="3">
        <f>+G145+H145</f>
        <v>240</v>
      </c>
      <c r="G145" s="4">
        <v>240</v>
      </c>
      <c r="H145" s="9">
        <v>0</v>
      </c>
      <c r="I145" s="15" t="s">
        <v>201</v>
      </c>
    </row>
    <row r="146" spans="2:9" ht="18" x14ac:dyDescent="0.35">
      <c r="B146" s="2">
        <v>845</v>
      </c>
      <c r="C146" s="5" t="s">
        <v>67</v>
      </c>
      <c r="D146" s="12" t="s">
        <v>182</v>
      </c>
      <c r="E146" s="11" t="str">
        <f>+VLOOKUP(D146,'[1]Consumo x Cod Articulo'!$C$1:$O$65536,7,)</f>
        <v xml:space="preserve">Cucharon 1 Pz Ny </v>
      </c>
      <c r="F146" s="3">
        <f>+G146+H146</f>
        <v>144</v>
      </c>
      <c r="G146" s="9">
        <v>0</v>
      </c>
      <c r="H146" s="4">
        <v>144</v>
      </c>
      <c r="I146" s="15" t="s">
        <v>207</v>
      </c>
    </row>
    <row r="147" spans="2:9" ht="18" x14ac:dyDescent="0.35">
      <c r="B147" s="4">
        <v>392</v>
      </c>
      <c r="C147" s="5" t="s">
        <v>68</v>
      </c>
      <c r="D147" s="12" t="s">
        <v>182</v>
      </c>
      <c r="E147" s="11" t="str">
        <f>+VLOOKUP(D147,'[1]Consumo x Cod Articulo'!$C$1:$O$65536,7,)</f>
        <v xml:space="preserve">Cucharon 1 Pz Ny </v>
      </c>
      <c r="F147" s="3">
        <f>+G147+H147</f>
        <v>600</v>
      </c>
      <c r="G147" s="4">
        <v>600</v>
      </c>
      <c r="H147" s="9">
        <v>0</v>
      </c>
      <c r="I147" s="15" t="s">
        <v>207</v>
      </c>
    </row>
    <row r="148" spans="2:9" ht="18" x14ac:dyDescent="0.35">
      <c r="B148" s="2">
        <v>842</v>
      </c>
      <c r="C148" s="5" t="s">
        <v>71</v>
      </c>
      <c r="D148" s="12" t="s">
        <v>184</v>
      </c>
      <c r="E148" s="11" t="str">
        <f>+VLOOKUP(D148,'[1]Consumo x Cod Articulo'!$C$1:$O$65536,7,)</f>
        <v xml:space="preserve">Espatula Lisa 1 Pz </v>
      </c>
      <c r="F148" s="3">
        <f>+G148+H148</f>
        <v>120</v>
      </c>
      <c r="G148" s="9">
        <v>0</v>
      </c>
      <c r="H148" s="4">
        <v>120</v>
      </c>
      <c r="I148" s="15" t="s">
        <v>207</v>
      </c>
    </row>
    <row r="149" spans="2:9" ht="18" x14ac:dyDescent="0.35">
      <c r="B149" s="4">
        <v>394</v>
      </c>
      <c r="C149" s="5" t="s">
        <v>72</v>
      </c>
      <c r="D149" s="12" t="s">
        <v>184</v>
      </c>
      <c r="E149" s="11" t="str">
        <f>+VLOOKUP(D149,'[1]Consumo x Cod Articulo'!$C$1:$O$65536,7,)</f>
        <v xml:space="preserve">Espatula Lisa 1 Pz </v>
      </c>
      <c r="F149" s="3">
        <f>+G149+H149</f>
        <v>360</v>
      </c>
      <c r="G149" s="4">
        <v>360</v>
      </c>
      <c r="H149" s="9">
        <v>0</v>
      </c>
      <c r="I149" s="15" t="s">
        <v>207</v>
      </c>
    </row>
    <row r="150" spans="2:9" ht="18" x14ac:dyDescent="0.35">
      <c r="B150" s="2">
        <v>844</v>
      </c>
      <c r="C150" s="5" t="s">
        <v>65</v>
      </c>
      <c r="D150" s="12" t="s">
        <v>181</v>
      </c>
      <c r="E150" s="11" t="str">
        <f>+VLOOKUP(D150,'[1]Consumo x Cod Articulo'!$C$1:$O$65536,7,)</f>
        <v xml:space="preserve">Cuchara Fideos 1 Pz Ny </v>
      </c>
      <c r="F150" s="3">
        <f>+G150+H150</f>
        <v>72</v>
      </c>
      <c r="G150" s="9">
        <v>0</v>
      </c>
      <c r="H150" s="4">
        <v>72</v>
      </c>
      <c r="I150" s="15" t="s">
        <v>207</v>
      </c>
    </row>
    <row r="151" spans="2:9" ht="18" x14ac:dyDescent="0.35">
      <c r="B151" s="4">
        <v>391</v>
      </c>
      <c r="C151" s="5" t="s">
        <v>66</v>
      </c>
      <c r="D151" s="12" t="s">
        <v>181</v>
      </c>
      <c r="E151" s="11" t="str">
        <f>+VLOOKUP(D151,'[1]Consumo x Cod Articulo'!$C$1:$O$65536,7,)</f>
        <v xml:space="preserve">Cuchara Fideos 1 Pz Ny </v>
      </c>
      <c r="F151" s="3">
        <f>+G151+H151</f>
        <v>288</v>
      </c>
      <c r="G151" s="4">
        <v>288</v>
      </c>
      <c r="H151" s="9">
        <v>0</v>
      </c>
      <c r="I151" s="15" t="s">
        <v>207</v>
      </c>
    </row>
    <row r="152" spans="2:9" ht="18" x14ac:dyDescent="0.35">
      <c r="B152" s="2">
        <v>843</v>
      </c>
      <c r="C152" s="5" t="s">
        <v>63</v>
      </c>
      <c r="D152" s="12" t="s">
        <v>180</v>
      </c>
      <c r="E152" s="11" t="str">
        <f>+VLOOKUP(D152,'[1]Consumo x Cod Articulo'!$C$1:$O$65536,7,)</f>
        <v>Cuchara Calada 1 Pz  Ny</v>
      </c>
      <c r="F152" s="3">
        <f>+G152+H152</f>
        <v>48</v>
      </c>
      <c r="G152" s="9">
        <v>0</v>
      </c>
      <c r="H152" s="4">
        <v>48</v>
      </c>
      <c r="I152" s="15" t="s">
        <v>207</v>
      </c>
    </row>
    <row r="153" spans="2:9" ht="18" x14ac:dyDescent="0.35">
      <c r="B153" s="4">
        <v>390</v>
      </c>
      <c r="C153" s="5" t="s">
        <v>64</v>
      </c>
      <c r="D153" s="12" t="s">
        <v>180</v>
      </c>
      <c r="E153" s="11" t="str">
        <f>+VLOOKUP(D153,'[1]Consumo x Cod Articulo'!$C$1:$O$65536,7,)</f>
        <v>Cuchara Calada 1 Pz  Ny</v>
      </c>
      <c r="F153" s="3">
        <f>+G153+H153</f>
        <v>120</v>
      </c>
      <c r="G153" s="4">
        <v>120</v>
      </c>
      <c r="H153" s="9">
        <v>0</v>
      </c>
      <c r="I153" s="15" t="s">
        <v>207</v>
      </c>
    </row>
    <row r="154" spans="2:9" ht="18" x14ac:dyDescent="0.35">
      <c r="B154" s="2">
        <v>846</v>
      </c>
      <c r="C154" s="5" t="s">
        <v>69</v>
      </c>
      <c r="D154" s="12" t="s">
        <v>183</v>
      </c>
      <c r="E154" s="11" t="str">
        <f>+VLOOKUP(D154,'[1]Consumo x Cod Articulo'!$C$1:$O$65536,7,)</f>
        <v>Espatula Cal.  1 Pz Ny</v>
      </c>
      <c r="F154" s="3">
        <f>+G154+H154</f>
        <v>144</v>
      </c>
      <c r="G154" s="9">
        <v>0</v>
      </c>
      <c r="H154" s="4">
        <v>144</v>
      </c>
      <c r="I154" s="15" t="s">
        <v>207</v>
      </c>
    </row>
    <row r="155" spans="2:9" ht="18" x14ac:dyDescent="0.35">
      <c r="B155" s="4">
        <v>393</v>
      </c>
      <c r="C155" s="5" t="s">
        <v>70</v>
      </c>
      <c r="D155" s="12" t="s">
        <v>183</v>
      </c>
      <c r="E155" s="11" t="str">
        <f>+VLOOKUP(D155,'[1]Consumo x Cod Articulo'!$C$1:$O$65536,7,)</f>
        <v>Espatula Cal.  1 Pz Ny</v>
      </c>
      <c r="F155" s="3">
        <f>+G155+H155</f>
        <v>432</v>
      </c>
      <c r="G155" s="4">
        <v>432</v>
      </c>
      <c r="H155" s="9">
        <v>0</v>
      </c>
      <c r="I155" s="15" t="s">
        <v>207</v>
      </c>
    </row>
    <row r="156" spans="2:9" ht="18" x14ac:dyDescent="0.35">
      <c r="B156" s="4">
        <v>547</v>
      </c>
      <c r="C156" s="5" t="s">
        <v>73</v>
      </c>
      <c r="D156" s="12" t="s">
        <v>185</v>
      </c>
      <c r="E156" s="11" t="str">
        <f>+VLOOKUP(D156,'[1]Consumo x Cod Articulo'!$C$1:$O$65536,7,)</f>
        <v>Corta Torta</v>
      </c>
      <c r="F156" s="3">
        <f>+G156+H156</f>
        <v>24</v>
      </c>
      <c r="G156" s="4">
        <v>24</v>
      </c>
      <c r="H156" s="9">
        <v>0</v>
      </c>
      <c r="I156" s="15" t="s">
        <v>202</v>
      </c>
    </row>
    <row r="157" spans="2:9" ht="18.600000000000001" thickBot="1" x14ac:dyDescent="0.4">
      <c r="B157" s="18">
        <v>818</v>
      </c>
      <c r="C157" s="16" t="s">
        <v>74</v>
      </c>
      <c r="D157" s="14" t="s">
        <v>185</v>
      </c>
      <c r="E157" s="11" t="str">
        <f>+VLOOKUP(D157,'[1]Consumo x Cod Articulo'!$C$1:$O$65536,7,)</f>
        <v>Corta Torta</v>
      </c>
      <c r="F157" s="3">
        <f>+G157+H157</f>
        <v>0</v>
      </c>
      <c r="G157" s="10">
        <v>0</v>
      </c>
      <c r="H157" s="7">
        <v>0</v>
      </c>
      <c r="I157" s="15" t="s">
        <v>202</v>
      </c>
    </row>
  </sheetData>
  <autoFilter ref="B2:I157" xr:uid="{1F5791C7-EC57-450F-8846-62940CAAD373}">
    <sortState xmlns:xlrd2="http://schemas.microsoft.com/office/spreadsheetml/2017/richdata2" ref="B3:I157">
      <sortCondition ref="D2:D157"/>
    </sortState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BBFD-2FBB-40BD-9E92-865DE7CD74DE}">
  <sheetPr filterMode="1"/>
  <dimension ref="A1:R52"/>
  <sheetViews>
    <sheetView tabSelected="1" topLeftCell="B1" zoomScale="85" zoomScaleNormal="85" workbookViewId="0">
      <selection activeCell="B2" sqref="B2:P50"/>
    </sheetView>
  </sheetViews>
  <sheetFormatPr baseColWidth="10" defaultRowHeight="14.4" x14ac:dyDescent="0.3"/>
  <cols>
    <col min="1" max="1" width="8.44140625" hidden="1" customWidth="1"/>
    <col min="2" max="2" width="7.6640625" bestFit="1" customWidth="1"/>
    <col min="3" max="3" width="24" bestFit="1" customWidth="1"/>
    <col min="4" max="4" width="8.21875" style="28" hidden="1" customWidth="1"/>
    <col min="5" max="5" width="8.21875" hidden="1" customWidth="1"/>
    <col min="6" max="6" width="7.88671875" style="22" bestFit="1" customWidth="1"/>
    <col min="7" max="9" width="7.88671875" style="22" customWidth="1"/>
    <col min="10" max="10" width="8.6640625" customWidth="1"/>
    <col min="11" max="11" width="7.21875" bestFit="1" customWidth="1"/>
    <col min="12" max="12" width="9.88671875" customWidth="1"/>
    <col min="13" max="13" width="5.5546875" hidden="1" customWidth="1"/>
    <col min="14" max="14" width="10" bestFit="1" customWidth="1"/>
    <col min="15" max="15" width="9.109375" bestFit="1" customWidth="1"/>
    <col min="16" max="16" width="7.21875" bestFit="1" customWidth="1"/>
    <col min="17" max="17" width="7.109375" hidden="1" customWidth="1"/>
    <col min="18" max="18" width="6.88671875" hidden="1" customWidth="1"/>
    <col min="20" max="24" width="14" customWidth="1"/>
  </cols>
  <sheetData>
    <row r="1" spans="1:18" x14ac:dyDescent="0.3">
      <c r="J1" s="20" t="s">
        <v>211</v>
      </c>
      <c r="K1" s="20"/>
      <c r="L1" s="20"/>
      <c r="M1" s="20"/>
      <c r="N1" s="20"/>
      <c r="O1" s="20"/>
      <c r="P1" s="20"/>
      <c r="Q1" s="20"/>
      <c r="R1" s="19"/>
    </row>
    <row r="2" spans="1:18" s="26" customFormat="1" ht="35.4" customHeight="1" x14ac:dyDescent="0.3">
      <c r="A2" s="26" t="s">
        <v>215</v>
      </c>
      <c r="B2" s="23" t="s">
        <v>209</v>
      </c>
      <c r="C2" s="23" t="s">
        <v>210</v>
      </c>
      <c r="D2" s="29" t="s">
        <v>216</v>
      </c>
      <c r="E2" s="23" t="s">
        <v>217</v>
      </c>
      <c r="F2" s="23" t="s">
        <v>212</v>
      </c>
      <c r="G2" s="23" t="s">
        <v>218</v>
      </c>
      <c r="H2" s="23" t="s">
        <v>214</v>
      </c>
      <c r="I2" s="23" t="s">
        <v>213</v>
      </c>
      <c r="J2" s="25" t="s">
        <v>200</v>
      </c>
      <c r="K2" s="25" t="s">
        <v>203</v>
      </c>
      <c r="L2" s="25" t="s">
        <v>204</v>
      </c>
      <c r="M2" s="25" t="s">
        <v>205</v>
      </c>
      <c r="N2" s="25" t="s">
        <v>207</v>
      </c>
      <c r="O2" s="25" t="s">
        <v>202</v>
      </c>
      <c r="P2" s="25" t="s">
        <v>201</v>
      </c>
      <c r="Q2" s="25" t="s">
        <v>206</v>
      </c>
      <c r="R2" s="25" t="s">
        <v>208</v>
      </c>
    </row>
    <row r="3" spans="1:18" ht="18" hidden="1" x14ac:dyDescent="0.3">
      <c r="A3">
        <v>23</v>
      </c>
      <c r="B3" s="12" t="s">
        <v>168</v>
      </c>
      <c r="C3" s="21" t="s">
        <v>115</v>
      </c>
      <c r="D3" s="21">
        <f>+VLOOKUP(B3,'[1]Consumo x Cod Articulo'!$C$1:$O$65536,6,)</f>
        <v>5.5999999999999999E-3</v>
      </c>
      <c r="E3" s="21" t="str">
        <f>+IF(F3=H3,"No","si")</f>
        <v>No</v>
      </c>
      <c r="F3" s="24">
        <f>+H3</f>
        <v>1800</v>
      </c>
      <c r="G3" s="24">
        <f>+F3*D3</f>
        <v>10.08</v>
      </c>
      <c r="H3" s="24">
        <v>1800</v>
      </c>
      <c r="I3" s="24">
        <f>+SUM(J3:R3)</f>
        <v>42000</v>
      </c>
      <c r="J3" s="21" t="str">
        <f>+IF(SUMIFS(Hoja1!$F:$F,Hoja1!$D:$D,$B3,Hoja1!$I:$I,J$2)&gt;1,SUMIFS(Hoja1!$F:$F,Hoja1!$D:$D,$B3,Hoja1!$I:$I,J$2),"")</f>
        <v/>
      </c>
      <c r="K3" s="21">
        <f>+IF(SUMIFS(Hoja1!$F:$F,Hoja1!$D:$D,$B3,Hoja1!$I:$I,K$2)&gt;1,SUMIFS(Hoja1!$F:$F,Hoja1!$D:$D,$B3,Hoja1!$I:$I,K$2),"")</f>
        <v>21000</v>
      </c>
      <c r="L3" s="21" t="str">
        <f>+IF(SUMIFS(Hoja1!$F:$F,Hoja1!$D:$D,$B3,Hoja1!$I:$I,L$2)&gt;1,SUMIFS(Hoja1!$F:$F,Hoja1!$D:$D,$B3,Hoja1!$I:$I,L$2),"")</f>
        <v/>
      </c>
      <c r="M3" s="21" t="str">
        <f>+IF(SUMIFS(Hoja1!$F:$F,Hoja1!$D:$D,$B3,Hoja1!$I:$I,M$2)&gt;1,SUMIFS(Hoja1!$F:$F,Hoja1!$D:$D,$B3,Hoja1!$I:$I,M$2),"")</f>
        <v/>
      </c>
      <c r="N3" s="21" t="str">
        <f>+IF(SUMIFS(Hoja1!$F:$F,Hoja1!$D:$D,$B3,Hoja1!$I:$I,N$2)&gt;1,SUMIFS(Hoja1!$F:$F,Hoja1!$D:$D,$B3,Hoja1!$I:$I,N$2),"")</f>
        <v/>
      </c>
      <c r="O3" s="21" t="str">
        <f>+IF(SUMIFS(Hoja1!$F:$F,Hoja1!$D:$D,$B3,Hoja1!$I:$I,O$2)&gt;1,SUMIFS(Hoja1!$F:$F,Hoja1!$D:$D,$B3,Hoja1!$I:$I,O$2),"")</f>
        <v/>
      </c>
      <c r="P3" s="21">
        <f>+IF(SUMIFS(Hoja1!$F:$F,Hoja1!$D:$D,$B3,Hoja1!$I:$I,P$2)&gt;1,SUMIFS(Hoja1!$F:$F,Hoja1!$D:$D,$B3,Hoja1!$I:$I,P$2),"")</f>
        <v>21000</v>
      </c>
      <c r="Q3" s="21" t="str">
        <f>+IF(SUMIFS(Hoja1!$F:$F,Hoja1!$D:$D,$B3,Hoja1!$I:$I,Q$2)&gt;1,SUMIFS(Hoja1!$F:$F,Hoja1!$D:$D,$B3,Hoja1!$I:$I,Q$2),"")</f>
        <v/>
      </c>
      <c r="R3" s="21" t="str">
        <f>+IF(SUMIFS(Hoja1!$F:$F,Hoja1!$D:$D,$B3,Hoja1!$I:$I,R$2)&gt;1,SUMIFS(Hoja1!$F:$F,Hoja1!$D:$D,$B3,Hoja1!$I:$I,R$2),"")</f>
        <v/>
      </c>
    </row>
    <row r="4" spans="1:18" ht="18" hidden="1" x14ac:dyDescent="0.3">
      <c r="A4">
        <v>36</v>
      </c>
      <c r="B4" s="12" t="s">
        <v>167</v>
      </c>
      <c r="C4" s="21" t="s">
        <v>114</v>
      </c>
      <c r="D4" s="21">
        <f>+VLOOKUP(B4,'[1]Consumo x Cod Articulo'!$C$1:$O$65536,6,)</f>
        <v>4.9000000000000002E-2</v>
      </c>
      <c r="E4" s="21" t="str">
        <f t="shared" ref="E4:E52" si="0">+IF(F4=H4,"No","si")</f>
        <v>No</v>
      </c>
      <c r="F4" s="24">
        <f>+H4</f>
        <v>150</v>
      </c>
      <c r="G4" s="24">
        <f t="shared" ref="G4:G52" si="1">+F4*D4</f>
        <v>7.3500000000000005</v>
      </c>
      <c r="H4" s="24">
        <v>150</v>
      </c>
      <c r="I4" s="24">
        <f>+SUM(J4:R4)</f>
        <v>11650</v>
      </c>
      <c r="J4" s="21">
        <f>+IF(SUMIFS(Hoja1!$F:$F,Hoja1!$D:$D,$B4,Hoja1!$I:$I,J$2)&gt;1,SUMIFS(Hoja1!$F:$F,Hoja1!$D:$D,$B4,Hoja1!$I:$I,J$2),"")</f>
        <v>6050</v>
      </c>
      <c r="K4" s="21">
        <f>+IF(SUMIFS(Hoja1!$F:$F,Hoja1!$D:$D,$B4,Hoja1!$I:$I,K$2)&gt;1,SUMIFS(Hoja1!$F:$F,Hoja1!$D:$D,$B4,Hoja1!$I:$I,K$2),"")</f>
        <v>5600</v>
      </c>
      <c r="L4" s="21" t="str">
        <f>+IF(SUMIFS(Hoja1!$F:$F,Hoja1!$D:$D,$B4,Hoja1!$I:$I,L$2)&gt;1,SUMIFS(Hoja1!$F:$F,Hoja1!$D:$D,$B4,Hoja1!$I:$I,L$2),"")</f>
        <v/>
      </c>
      <c r="M4" s="21" t="str">
        <f>+IF(SUMIFS(Hoja1!$F:$F,Hoja1!$D:$D,$B4,Hoja1!$I:$I,M$2)&gt;1,SUMIFS(Hoja1!$F:$F,Hoja1!$D:$D,$B4,Hoja1!$I:$I,M$2),"")</f>
        <v/>
      </c>
      <c r="N4" s="21" t="str">
        <f>+IF(SUMIFS(Hoja1!$F:$F,Hoja1!$D:$D,$B4,Hoja1!$I:$I,N$2)&gt;1,SUMIFS(Hoja1!$F:$F,Hoja1!$D:$D,$B4,Hoja1!$I:$I,N$2),"")</f>
        <v/>
      </c>
      <c r="O4" s="21" t="str">
        <f>+IF(SUMIFS(Hoja1!$F:$F,Hoja1!$D:$D,$B4,Hoja1!$I:$I,O$2)&gt;1,SUMIFS(Hoja1!$F:$F,Hoja1!$D:$D,$B4,Hoja1!$I:$I,O$2),"")</f>
        <v/>
      </c>
      <c r="P4" s="21" t="str">
        <f>+IF(SUMIFS(Hoja1!$F:$F,Hoja1!$D:$D,$B4,Hoja1!$I:$I,P$2)&gt;1,SUMIFS(Hoja1!$F:$F,Hoja1!$D:$D,$B4,Hoja1!$I:$I,P$2),"")</f>
        <v/>
      </c>
      <c r="Q4" s="21" t="str">
        <f>+IF(SUMIFS(Hoja1!$F:$F,Hoja1!$D:$D,$B4,Hoja1!$I:$I,Q$2)&gt;1,SUMIFS(Hoja1!$F:$F,Hoja1!$D:$D,$B4,Hoja1!$I:$I,Q$2),"")</f>
        <v/>
      </c>
      <c r="R4" s="21" t="str">
        <f>+IF(SUMIFS(Hoja1!$F:$F,Hoja1!$D:$D,$B4,Hoja1!$I:$I,R$2)&gt;1,SUMIFS(Hoja1!$F:$F,Hoja1!$D:$D,$B4,Hoja1!$I:$I,R$2),"")</f>
        <v/>
      </c>
    </row>
    <row r="5" spans="1:18" ht="18" x14ac:dyDescent="0.3">
      <c r="A5">
        <v>3</v>
      </c>
      <c r="B5" s="12" t="s">
        <v>194</v>
      </c>
      <c r="C5" s="21" t="s">
        <v>139</v>
      </c>
      <c r="D5" s="30">
        <f>+VLOOKUP(B5,'[1]Consumo x Cod Articulo'!$C$1:$O$65536,6,)</f>
        <v>8.0000000000000002E-3</v>
      </c>
      <c r="E5" s="21" t="str">
        <f>+IF(F5=H5,"No","si")</f>
        <v>si</v>
      </c>
      <c r="F5" s="24">
        <v>500</v>
      </c>
      <c r="G5" s="27">
        <f>+F5*D5</f>
        <v>4</v>
      </c>
      <c r="H5" s="24">
        <v>1000</v>
      </c>
      <c r="I5" s="24">
        <f>+SUM(J5:R5)</f>
        <v>120</v>
      </c>
      <c r="J5" s="21" t="str">
        <f>+IF(SUMIFS(Hoja1!$F:$F,Hoja1!$D:$D,$B5,Hoja1!$I:$I,J$2)&gt;1,SUMIFS(Hoja1!$F:$F,Hoja1!$D:$D,$B5,Hoja1!$I:$I,J$2),"")</f>
        <v/>
      </c>
      <c r="K5" s="21" t="str">
        <f>+IF(SUMIFS(Hoja1!$F:$F,Hoja1!$D:$D,$B5,Hoja1!$I:$I,K$2)&gt;1,SUMIFS(Hoja1!$F:$F,Hoja1!$D:$D,$B5,Hoja1!$I:$I,K$2),"")</f>
        <v/>
      </c>
      <c r="L5" s="21">
        <f>+IF(SUMIFS(Hoja1!$F:$F,Hoja1!$D:$D,$B5,Hoja1!$I:$I,L$2)&gt;1,SUMIFS(Hoja1!$F:$F,Hoja1!$D:$D,$B5,Hoja1!$I:$I,L$2),"")</f>
        <v>120</v>
      </c>
      <c r="M5" s="21" t="str">
        <f>+IF(SUMIFS(Hoja1!$F:$F,Hoja1!$D:$D,$B5,Hoja1!$I:$I,M$2)&gt;1,SUMIFS(Hoja1!$F:$F,Hoja1!$D:$D,$B5,Hoja1!$I:$I,M$2),"")</f>
        <v/>
      </c>
      <c r="N5" s="21" t="str">
        <f>+IF(SUMIFS(Hoja1!$F:$F,Hoja1!$D:$D,$B5,Hoja1!$I:$I,N$2)&gt;1,SUMIFS(Hoja1!$F:$F,Hoja1!$D:$D,$B5,Hoja1!$I:$I,N$2),"")</f>
        <v/>
      </c>
      <c r="O5" s="21" t="str">
        <f>+IF(SUMIFS(Hoja1!$F:$F,Hoja1!$D:$D,$B5,Hoja1!$I:$I,O$2)&gt;1,SUMIFS(Hoja1!$F:$F,Hoja1!$D:$D,$B5,Hoja1!$I:$I,O$2),"")</f>
        <v/>
      </c>
      <c r="P5" s="21" t="str">
        <f>+IF(SUMIFS(Hoja1!$F:$F,Hoja1!$D:$D,$B5,Hoja1!$I:$I,P$2)&gt;1,SUMIFS(Hoja1!$F:$F,Hoja1!$D:$D,$B5,Hoja1!$I:$I,P$2),"")</f>
        <v/>
      </c>
      <c r="Q5" s="21" t="str">
        <f>+IF(SUMIFS(Hoja1!$F:$F,Hoja1!$D:$D,$B5,Hoja1!$I:$I,Q$2)&gt;1,SUMIFS(Hoja1!$F:$F,Hoja1!$D:$D,$B5,Hoja1!$I:$I,Q$2),"")</f>
        <v/>
      </c>
      <c r="R5" s="21" t="str">
        <f>+IF(SUMIFS(Hoja1!$F:$F,Hoja1!$D:$D,$B5,Hoja1!$I:$I,R$2)&gt;1,SUMIFS(Hoja1!$F:$F,Hoja1!$D:$D,$B5,Hoja1!$I:$I,R$2),"")</f>
        <v/>
      </c>
    </row>
    <row r="6" spans="1:18" ht="18" hidden="1" x14ac:dyDescent="0.3">
      <c r="A6">
        <v>6</v>
      </c>
      <c r="B6" s="12" t="s">
        <v>173</v>
      </c>
      <c r="C6" s="21" t="s">
        <v>120</v>
      </c>
      <c r="D6" s="21">
        <f>+VLOOKUP(B6,'[1]Consumo x Cod Articulo'!$C$1:$O$65536,6,)</f>
        <v>6.3000000000000003E-4</v>
      </c>
      <c r="E6" s="21" t="str">
        <f>+IF(F6=H6,"No","si")</f>
        <v>No</v>
      </c>
      <c r="F6" s="24">
        <f>+H6</f>
        <v>2500</v>
      </c>
      <c r="G6" s="24">
        <f>+F6*D6</f>
        <v>1.575</v>
      </c>
      <c r="H6" s="24">
        <v>2500</v>
      </c>
      <c r="I6" s="24">
        <f>+SUM(J6:R6)</f>
        <v>7404</v>
      </c>
      <c r="J6" s="21" t="str">
        <f>+IF(SUMIFS(Hoja1!$F:$F,Hoja1!$D:$D,$B6,Hoja1!$I:$I,J$2)&gt;1,SUMIFS(Hoja1!$F:$F,Hoja1!$D:$D,$B6,Hoja1!$I:$I,J$2),"")</f>
        <v/>
      </c>
      <c r="K6" s="21" t="str">
        <f>+IF(SUMIFS(Hoja1!$F:$F,Hoja1!$D:$D,$B6,Hoja1!$I:$I,K$2)&gt;1,SUMIFS(Hoja1!$F:$F,Hoja1!$D:$D,$B6,Hoja1!$I:$I,K$2),"")</f>
        <v/>
      </c>
      <c r="L6" s="21" t="str">
        <f>+IF(SUMIFS(Hoja1!$F:$F,Hoja1!$D:$D,$B6,Hoja1!$I:$I,L$2)&gt;1,SUMIFS(Hoja1!$F:$F,Hoja1!$D:$D,$B6,Hoja1!$I:$I,L$2),"")</f>
        <v/>
      </c>
      <c r="M6" s="21">
        <f>+IF(SUMIFS(Hoja1!$F:$F,Hoja1!$D:$D,$B6,Hoja1!$I:$I,M$2)&gt;1,SUMIFS(Hoja1!$F:$F,Hoja1!$D:$D,$B6,Hoja1!$I:$I,M$2),"")</f>
        <v>7404</v>
      </c>
      <c r="N6" s="21" t="str">
        <f>+IF(SUMIFS(Hoja1!$F:$F,Hoja1!$D:$D,$B6,Hoja1!$I:$I,N$2)&gt;1,SUMIFS(Hoja1!$F:$F,Hoja1!$D:$D,$B6,Hoja1!$I:$I,N$2),"")</f>
        <v/>
      </c>
      <c r="O6" s="21" t="str">
        <f>+IF(SUMIFS(Hoja1!$F:$F,Hoja1!$D:$D,$B6,Hoja1!$I:$I,O$2)&gt;1,SUMIFS(Hoja1!$F:$F,Hoja1!$D:$D,$B6,Hoja1!$I:$I,O$2),"")</f>
        <v/>
      </c>
      <c r="P6" s="21" t="str">
        <f>+IF(SUMIFS(Hoja1!$F:$F,Hoja1!$D:$D,$B6,Hoja1!$I:$I,P$2)&gt;1,SUMIFS(Hoja1!$F:$F,Hoja1!$D:$D,$B6,Hoja1!$I:$I,P$2),"")</f>
        <v/>
      </c>
      <c r="Q6" s="21" t="str">
        <f>+IF(SUMIFS(Hoja1!$F:$F,Hoja1!$D:$D,$B6,Hoja1!$I:$I,Q$2)&gt;1,SUMIFS(Hoja1!$F:$F,Hoja1!$D:$D,$B6,Hoja1!$I:$I,Q$2),"")</f>
        <v/>
      </c>
      <c r="R6" s="21" t="str">
        <f>+IF(SUMIFS(Hoja1!$F:$F,Hoja1!$D:$D,$B6,Hoja1!$I:$I,R$2)&gt;1,SUMIFS(Hoja1!$F:$F,Hoja1!$D:$D,$B6,Hoja1!$I:$I,R$2),"")</f>
        <v/>
      </c>
    </row>
    <row r="7" spans="1:18" ht="18" hidden="1" x14ac:dyDescent="0.3">
      <c r="A7">
        <v>30</v>
      </c>
      <c r="B7" s="12" t="s">
        <v>161</v>
      </c>
      <c r="C7" s="21" t="s">
        <v>108</v>
      </c>
      <c r="D7" s="21">
        <f>+VLOOKUP(B7,'[1]Consumo x Cod Articulo'!$C$1:$O$65536,6,)</f>
        <v>1.4999999999999999E-2</v>
      </c>
      <c r="E7" s="21" t="str">
        <f>+IF(F7=H7,"No","si")</f>
        <v>No</v>
      </c>
      <c r="F7" s="24">
        <f>+H7</f>
        <v>1000</v>
      </c>
      <c r="G7" s="24">
        <f>+F7*D7</f>
        <v>15</v>
      </c>
      <c r="H7" s="24">
        <v>1000</v>
      </c>
      <c r="I7" s="24">
        <f>+SUM(J7:R7)</f>
        <v>7040</v>
      </c>
      <c r="J7" s="21">
        <f>+IF(SUMIFS(Hoja1!$F:$F,Hoja1!$D:$D,$B7,Hoja1!$I:$I,J$2)&gt;1,SUMIFS(Hoja1!$F:$F,Hoja1!$D:$D,$B7,Hoja1!$I:$I,J$2),"")</f>
        <v>1016</v>
      </c>
      <c r="K7" s="21" t="str">
        <f>+IF(SUMIFS(Hoja1!$F:$F,Hoja1!$D:$D,$B7,Hoja1!$I:$I,K$2)&gt;1,SUMIFS(Hoja1!$F:$F,Hoja1!$D:$D,$B7,Hoja1!$I:$I,K$2),"")</f>
        <v/>
      </c>
      <c r="L7" s="21">
        <f>+IF(SUMIFS(Hoja1!$F:$F,Hoja1!$D:$D,$B7,Hoja1!$I:$I,L$2)&gt;1,SUMIFS(Hoja1!$F:$F,Hoja1!$D:$D,$B7,Hoja1!$I:$I,L$2),"")</f>
        <v>996</v>
      </c>
      <c r="M7" s="21" t="str">
        <f>+IF(SUMIFS(Hoja1!$F:$F,Hoja1!$D:$D,$B7,Hoja1!$I:$I,M$2)&gt;1,SUMIFS(Hoja1!$F:$F,Hoja1!$D:$D,$B7,Hoja1!$I:$I,M$2),"")</f>
        <v/>
      </c>
      <c r="N7" s="21">
        <f>+IF(SUMIFS(Hoja1!$F:$F,Hoja1!$D:$D,$B7,Hoja1!$I:$I,N$2)&gt;1,SUMIFS(Hoja1!$F:$F,Hoja1!$D:$D,$B7,Hoja1!$I:$I,N$2),"")</f>
        <v>696</v>
      </c>
      <c r="O7" s="21">
        <f>+IF(SUMIFS(Hoja1!$F:$F,Hoja1!$D:$D,$B7,Hoja1!$I:$I,O$2)&gt;1,SUMIFS(Hoja1!$F:$F,Hoja1!$D:$D,$B7,Hoja1!$I:$I,O$2),"")</f>
        <v>1572</v>
      </c>
      <c r="P7" s="21">
        <f>+IF(SUMIFS(Hoja1!$F:$F,Hoja1!$D:$D,$B7,Hoja1!$I:$I,P$2)&gt;1,SUMIFS(Hoja1!$F:$F,Hoja1!$D:$D,$B7,Hoja1!$I:$I,P$2),"")</f>
        <v>2760</v>
      </c>
      <c r="Q7" s="21" t="str">
        <f>+IF(SUMIFS(Hoja1!$F:$F,Hoja1!$D:$D,$B7,Hoja1!$I:$I,Q$2)&gt;1,SUMIFS(Hoja1!$F:$F,Hoja1!$D:$D,$B7,Hoja1!$I:$I,Q$2),"")</f>
        <v/>
      </c>
      <c r="R7" s="21" t="str">
        <f>+IF(SUMIFS(Hoja1!$F:$F,Hoja1!$D:$D,$B7,Hoja1!$I:$I,R$2)&gt;1,SUMIFS(Hoja1!$F:$F,Hoja1!$D:$D,$B7,Hoja1!$I:$I,R$2),"")</f>
        <v/>
      </c>
    </row>
    <row r="8" spans="1:18" ht="18" hidden="1" x14ac:dyDescent="0.3">
      <c r="A8">
        <v>35</v>
      </c>
      <c r="B8" s="12" t="s">
        <v>174</v>
      </c>
      <c r="C8" s="21" t="s">
        <v>121</v>
      </c>
      <c r="D8" s="21">
        <f>+VLOOKUP(B8,'[1]Consumo x Cod Articulo'!$C$1:$O$65536,6,)</f>
        <v>1.6500000000000001E-2</v>
      </c>
      <c r="E8" s="21" t="str">
        <f>+IF(F8=H8,"No","si")</f>
        <v>No</v>
      </c>
      <c r="F8" s="24">
        <f>+H8</f>
        <v>250</v>
      </c>
      <c r="G8" s="24">
        <f>+F8*D8</f>
        <v>4.125</v>
      </c>
      <c r="H8" s="24">
        <v>250</v>
      </c>
      <c r="I8" s="24">
        <f>+SUM(J8:R8)</f>
        <v>6000</v>
      </c>
      <c r="J8" s="21" t="str">
        <f>+IF(SUMIFS(Hoja1!$F:$F,Hoja1!$D:$D,$B8,Hoja1!$I:$I,J$2)&gt;1,SUMIFS(Hoja1!$F:$F,Hoja1!$D:$D,$B8,Hoja1!$I:$I,J$2),"")</f>
        <v/>
      </c>
      <c r="K8" s="21" t="str">
        <f>+IF(SUMIFS(Hoja1!$F:$F,Hoja1!$D:$D,$B8,Hoja1!$I:$I,K$2)&gt;1,SUMIFS(Hoja1!$F:$F,Hoja1!$D:$D,$B8,Hoja1!$I:$I,K$2),"")</f>
        <v/>
      </c>
      <c r="L8" s="21" t="str">
        <f>+IF(SUMIFS(Hoja1!$F:$F,Hoja1!$D:$D,$B8,Hoja1!$I:$I,L$2)&gt;1,SUMIFS(Hoja1!$F:$F,Hoja1!$D:$D,$B8,Hoja1!$I:$I,L$2),"")</f>
        <v/>
      </c>
      <c r="M8" s="21" t="str">
        <f>+IF(SUMIFS(Hoja1!$F:$F,Hoja1!$D:$D,$B8,Hoja1!$I:$I,M$2)&gt;1,SUMIFS(Hoja1!$F:$F,Hoja1!$D:$D,$B8,Hoja1!$I:$I,M$2),"")</f>
        <v/>
      </c>
      <c r="N8" s="21" t="str">
        <f>+IF(SUMIFS(Hoja1!$F:$F,Hoja1!$D:$D,$B8,Hoja1!$I:$I,N$2)&gt;1,SUMIFS(Hoja1!$F:$F,Hoja1!$D:$D,$B8,Hoja1!$I:$I,N$2),"")</f>
        <v/>
      </c>
      <c r="O8" s="21" t="str">
        <f>+IF(SUMIFS(Hoja1!$F:$F,Hoja1!$D:$D,$B8,Hoja1!$I:$I,O$2)&gt;1,SUMIFS(Hoja1!$F:$F,Hoja1!$D:$D,$B8,Hoja1!$I:$I,O$2),"")</f>
        <v/>
      </c>
      <c r="P8" s="21">
        <f>+IF(SUMIFS(Hoja1!$F:$F,Hoja1!$D:$D,$B8,Hoja1!$I:$I,P$2)&gt;1,SUMIFS(Hoja1!$F:$F,Hoja1!$D:$D,$B8,Hoja1!$I:$I,P$2),"")</f>
        <v>6000</v>
      </c>
      <c r="Q8" s="21" t="str">
        <f>+IF(SUMIFS(Hoja1!$F:$F,Hoja1!$D:$D,$B8,Hoja1!$I:$I,Q$2)&gt;1,SUMIFS(Hoja1!$F:$F,Hoja1!$D:$D,$B8,Hoja1!$I:$I,Q$2),"")</f>
        <v/>
      </c>
      <c r="R8" s="21" t="str">
        <f>+IF(SUMIFS(Hoja1!$F:$F,Hoja1!$D:$D,$B8,Hoja1!$I:$I,R$2)&gt;1,SUMIFS(Hoja1!$F:$F,Hoja1!$D:$D,$B8,Hoja1!$I:$I,R$2),"")</f>
        <v/>
      </c>
    </row>
    <row r="9" spans="1:18" ht="18" hidden="1" x14ac:dyDescent="0.3">
      <c r="A9">
        <v>16</v>
      </c>
      <c r="B9" s="12" t="s">
        <v>191</v>
      </c>
      <c r="C9" s="21" t="s">
        <v>137</v>
      </c>
      <c r="D9" s="21">
        <f>+VLOOKUP(B9,'[1]Consumo x Cod Articulo'!$C$1:$O$65536,6,)</f>
        <v>7.7000000000000002E-3</v>
      </c>
      <c r="E9" s="21" t="str">
        <f>+IF(F9=H9,"No","si")</f>
        <v>No</v>
      </c>
      <c r="F9" s="24">
        <f>+H9</f>
        <v>1000</v>
      </c>
      <c r="G9" s="24">
        <f>+F9*D9</f>
        <v>7.7</v>
      </c>
      <c r="H9" s="24">
        <v>1000</v>
      </c>
      <c r="I9" s="24">
        <f>+SUM(J9:R9)</f>
        <v>5400</v>
      </c>
      <c r="J9" s="21" t="str">
        <f>+IF(SUMIFS(Hoja1!$F:$F,Hoja1!$D:$D,$B9,Hoja1!$I:$I,J$2)&gt;1,SUMIFS(Hoja1!$F:$F,Hoja1!$D:$D,$B9,Hoja1!$I:$I,J$2),"")</f>
        <v/>
      </c>
      <c r="K9" s="21" t="str">
        <f>+IF(SUMIFS(Hoja1!$F:$F,Hoja1!$D:$D,$B9,Hoja1!$I:$I,K$2)&gt;1,SUMIFS(Hoja1!$F:$F,Hoja1!$D:$D,$B9,Hoja1!$I:$I,K$2),"")</f>
        <v/>
      </c>
      <c r="L9" s="21" t="str">
        <f>+IF(SUMIFS(Hoja1!$F:$F,Hoja1!$D:$D,$B9,Hoja1!$I:$I,L$2)&gt;1,SUMIFS(Hoja1!$F:$F,Hoja1!$D:$D,$B9,Hoja1!$I:$I,L$2),"")</f>
        <v/>
      </c>
      <c r="M9" s="21" t="str">
        <f>+IF(SUMIFS(Hoja1!$F:$F,Hoja1!$D:$D,$B9,Hoja1!$I:$I,M$2)&gt;1,SUMIFS(Hoja1!$F:$F,Hoja1!$D:$D,$B9,Hoja1!$I:$I,M$2),"")</f>
        <v/>
      </c>
      <c r="N9" s="21" t="str">
        <f>+IF(SUMIFS(Hoja1!$F:$F,Hoja1!$D:$D,$B9,Hoja1!$I:$I,N$2)&gt;1,SUMIFS(Hoja1!$F:$F,Hoja1!$D:$D,$B9,Hoja1!$I:$I,N$2),"")</f>
        <v/>
      </c>
      <c r="O9" s="21" t="str">
        <f>+IF(SUMIFS(Hoja1!$F:$F,Hoja1!$D:$D,$B9,Hoja1!$I:$I,O$2)&gt;1,SUMIFS(Hoja1!$F:$F,Hoja1!$D:$D,$B9,Hoja1!$I:$I,O$2),"")</f>
        <v/>
      </c>
      <c r="P9" s="21">
        <f>+IF(SUMIFS(Hoja1!$F:$F,Hoja1!$D:$D,$B9,Hoja1!$I:$I,P$2)&gt;1,SUMIFS(Hoja1!$F:$F,Hoja1!$D:$D,$B9,Hoja1!$I:$I,P$2),"")</f>
        <v>5400</v>
      </c>
      <c r="Q9" s="21" t="str">
        <f>+IF(SUMIFS(Hoja1!$F:$F,Hoja1!$D:$D,$B9,Hoja1!$I:$I,Q$2)&gt;1,SUMIFS(Hoja1!$F:$F,Hoja1!$D:$D,$B9,Hoja1!$I:$I,Q$2),"")</f>
        <v/>
      </c>
      <c r="R9" s="21" t="str">
        <f>+IF(SUMIFS(Hoja1!$F:$F,Hoja1!$D:$D,$B9,Hoja1!$I:$I,R$2)&gt;1,SUMIFS(Hoja1!$F:$F,Hoja1!$D:$D,$B9,Hoja1!$I:$I,R$2),"")</f>
        <v/>
      </c>
    </row>
    <row r="10" spans="1:18" ht="18" x14ac:dyDescent="0.3">
      <c r="A10">
        <v>5</v>
      </c>
      <c r="B10" s="12" t="s">
        <v>153</v>
      </c>
      <c r="C10" s="21" t="s">
        <v>101</v>
      </c>
      <c r="D10" s="30">
        <f>+VLOOKUP(B10,'[1]Consumo x Cod Articulo'!$C$1:$O$65536,6,)</f>
        <v>0.01</v>
      </c>
      <c r="E10" s="21" t="str">
        <f>+IF(F10=H10,"No","si")</f>
        <v>si</v>
      </c>
      <c r="F10" s="24">
        <v>250</v>
      </c>
      <c r="G10" s="27">
        <f>+F10*D10</f>
        <v>2.5</v>
      </c>
      <c r="H10" s="24">
        <v>1000</v>
      </c>
      <c r="I10" s="24">
        <f>+SUM(J10:R10)</f>
        <v>168</v>
      </c>
      <c r="J10" s="21">
        <f>+IF(SUMIFS(Hoja1!$F:$F,Hoja1!$D:$D,$B10,Hoja1!$I:$I,J$2)&gt;1,SUMIFS(Hoja1!$F:$F,Hoja1!$D:$D,$B10,Hoja1!$I:$I,J$2),"")</f>
        <v>168</v>
      </c>
      <c r="K10" s="21" t="str">
        <f>+IF(SUMIFS(Hoja1!$F:$F,Hoja1!$D:$D,$B10,Hoja1!$I:$I,K$2)&gt;1,SUMIFS(Hoja1!$F:$F,Hoja1!$D:$D,$B10,Hoja1!$I:$I,K$2),"")</f>
        <v/>
      </c>
      <c r="L10" s="21" t="str">
        <f>+IF(SUMIFS(Hoja1!$F:$F,Hoja1!$D:$D,$B10,Hoja1!$I:$I,L$2)&gt;1,SUMIFS(Hoja1!$F:$F,Hoja1!$D:$D,$B10,Hoja1!$I:$I,L$2),"")</f>
        <v/>
      </c>
      <c r="M10" s="21" t="str">
        <f>+IF(SUMIFS(Hoja1!$F:$F,Hoja1!$D:$D,$B10,Hoja1!$I:$I,M$2)&gt;1,SUMIFS(Hoja1!$F:$F,Hoja1!$D:$D,$B10,Hoja1!$I:$I,M$2),"")</f>
        <v/>
      </c>
      <c r="N10" s="21" t="str">
        <f>+IF(SUMIFS(Hoja1!$F:$F,Hoja1!$D:$D,$B10,Hoja1!$I:$I,N$2)&gt;1,SUMIFS(Hoja1!$F:$F,Hoja1!$D:$D,$B10,Hoja1!$I:$I,N$2),"")</f>
        <v/>
      </c>
      <c r="O10" s="21" t="str">
        <f>+IF(SUMIFS(Hoja1!$F:$F,Hoja1!$D:$D,$B10,Hoja1!$I:$I,O$2)&gt;1,SUMIFS(Hoja1!$F:$F,Hoja1!$D:$D,$B10,Hoja1!$I:$I,O$2),"")</f>
        <v/>
      </c>
      <c r="P10" s="21" t="str">
        <f>+IF(SUMIFS(Hoja1!$F:$F,Hoja1!$D:$D,$B10,Hoja1!$I:$I,P$2)&gt;1,SUMIFS(Hoja1!$F:$F,Hoja1!$D:$D,$B10,Hoja1!$I:$I,P$2),"")</f>
        <v/>
      </c>
      <c r="Q10" s="21" t="str">
        <f>+IF(SUMIFS(Hoja1!$F:$F,Hoja1!$D:$D,$B10,Hoja1!$I:$I,Q$2)&gt;1,SUMIFS(Hoja1!$F:$F,Hoja1!$D:$D,$B10,Hoja1!$I:$I,Q$2),"")</f>
        <v/>
      </c>
      <c r="R10" s="21" t="str">
        <f>+IF(SUMIFS(Hoja1!$F:$F,Hoja1!$D:$D,$B10,Hoja1!$I:$I,R$2)&gt;1,SUMIFS(Hoja1!$F:$F,Hoja1!$D:$D,$B10,Hoja1!$I:$I,R$2),"")</f>
        <v/>
      </c>
    </row>
    <row r="11" spans="1:18" ht="18" hidden="1" x14ac:dyDescent="0.3">
      <c r="A11">
        <v>33</v>
      </c>
      <c r="B11" s="12" t="s">
        <v>170</v>
      </c>
      <c r="C11" s="21" t="s">
        <v>117</v>
      </c>
      <c r="D11" s="21">
        <f>+VLOOKUP(B11,'[1]Consumo x Cod Articulo'!$C$1:$O$65536,6,)</f>
        <v>8.9999999999999993E-3</v>
      </c>
      <c r="E11" s="21" t="str">
        <f>+IF(F11=H11,"No","si")</f>
        <v>No</v>
      </c>
      <c r="F11" s="24">
        <v>1200</v>
      </c>
      <c r="G11" s="24">
        <f>+F11*D11</f>
        <v>10.799999999999999</v>
      </c>
      <c r="H11" s="24">
        <v>1200</v>
      </c>
      <c r="I11" s="24">
        <f>+SUM(J11:R11)</f>
        <v>5040</v>
      </c>
      <c r="J11" s="21" t="str">
        <f>+IF(SUMIFS(Hoja1!$F:$F,Hoja1!$D:$D,$B11,Hoja1!$I:$I,J$2)&gt;1,SUMIFS(Hoja1!$F:$F,Hoja1!$D:$D,$B11,Hoja1!$I:$I,J$2),"")</f>
        <v/>
      </c>
      <c r="K11" s="21" t="str">
        <f>+IF(SUMIFS(Hoja1!$F:$F,Hoja1!$D:$D,$B11,Hoja1!$I:$I,K$2)&gt;1,SUMIFS(Hoja1!$F:$F,Hoja1!$D:$D,$B11,Hoja1!$I:$I,K$2),"")</f>
        <v/>
      </c>
      <c r="L11" s="21" t="str">
        <f>+IF(SUMIFS(Hoja1!$F:$F,Hoja1!$D:$D,$B11,Hoja1!$I:$I,L$2)&gt;1,SUMIFS(Hoja1!$F:$F,Hoja1!$D:$D,$B11,Hoja1!$I:$I,L$2),"")</f>
        <v/>
      </c>
      <c r="M11" s="21" t="str">
        <f>+IF(SUMIFS(Hoja1!$F:$F,Hoja1!$D:$D,$B11,Hoja1!$I:$I,M$2)&gt;1,SUMIFS(Hoja1!$F:$F,Hoja1!$D:$D,$B11,Hoja1!$I:$I,M$2),"")</f>
        <v/>
      </c>
      <c r="N11" s="21">
        <f>+IF(SUMIFS(Hoja1!$F:$F,Hoja1!$D:$D,$B11,Hoja1!$I:$I,N$2)&gt;1,SUMIFS(Hoja1!$F:$F,Hoja1!$D:$D,$B11,Hoja1!$I:$I,N$2),"")</f>
        <v>5040</v>
      </c>
      <c r="O11" s="21" t="str">
        <f>+IF(SUMIFS(Hoja1!$F:$F,Hoja1!$D:$D,$B11,Hoja1!$I:$I,O$2)&gt;1,SUMIFS(Hoja1!$F:$F,Hoja1!$D:$D,$B11,Hoja1!$I:$I,O$2),"")</f>
        <v/>
      </c>
      <c r="P11" s="21" t="str">
        <f>+IF(SUMIFS(Hoja1!$F:$F,Hoja1!$D:$D,$B11,Hoja1!$I:$I,P$2)&gt;1,SUMIFS(Hoja1!$F:$F,Hoja1!$D:$D,$B11,Hoja1!$I:$I,P$2),"")</f>
        <v/>
      </c>
      <c r="Q11" s="21" t="str">
        <f>+IF(SUMIFS(Hoja1!$F:$F,Hoja1!$D:$D,$B11,Hoja1!$I:$I,Q$2)&gt;1,SUMIFS(Hoja1!$F:$F,Hoja1!$D:$D,$B11,Hoja1!$I:$I,Q$2),"")</f>
        <v/>
      </c>
      <c r="R11" s="21" t="str">
        <f>+IF(SUMIFS(Hoja1!$F:$F,Hoja1!$D:$D,$B11,Hoja1!$I:$I,R$2)&gt;1,SUMIFS(Hoja1!$F:$F,Hoja1!$D:$D,$B11,Hoja1!$I:$I,R$2),"")</f>
        <v/>
      </c>
    </row>
    <row r="12" spans="1:18" ht="18" x14ac:dyDescent="0.3">
      <c r="A12">
        <v>7</v>
      </c>
      <c r="B12" s="12" t="s">
        <v>151</v>
      </c>
      <c r="C12" s="21" t="s">
        <v>99</v>
      </c>
      <c r="D12" s="30">
        <f>+VLOOKUP(B12,'[1]Consumo x Cod Articulo'!$C$1:$O$65536,6,)</f>
        <v>2.2000000000000001E-3</v>
      </c>
      <c r="E12" s="21" t="str">
        <f>+IF(F12=H12,"No","si")</f>
        <v>si</v>
      </c>
      <c r="F12" s="24">
        <v>1000</v>
      </c>
      <c r="G12" s="27">
        <f>+F12*D12</f>
        <v>2.2000000000000002</v>
      </c>
      <c r="H12" s="24">
        <f>+VLOOKUP(B12,'[1]Relevamiento y OP VACIO'!$C$1:$AH$65536,26,)</f>
        <v>5000</v>
      </c>
      <c r="I12" s="24">
        <f>+SUM(J12:R12)</f>
        <v>3396</v>
      </c>
      <c r="J12" s="21" t="str">
        <f>+IF(SUMIFS(Hoja1!$F:$F,Hoja1!$D:$D,$B12,Hoja1!$I:$I,J$2)&gt;1,SUMIFS(Hoja1!$F:$F,Hoja1!$D:$D,$B12,Hoja1!$I:$I,J$2),"")</f>
        <v/>
      </c>
      <c r="K12" s="21">
        <f>+IF(SUMIFS(Hoja1!$F:$F,Hoja1!$D:$D,$B12,Hoja1!$I:$I,K$2)&gt;1,SUMIFS(Hoja1!$F:$F,Hoja1!$D:$D,$B12,Hoja1!$I:$I,K$2),"")</f>
        <v>2400</v>
      </c>
      <c r="L12" s="21">
        <f>+IF(SUMIFS(Hoja1!$F:$F,Hoja1!$D:$D,$B12,Hoja1!$I:$I,L$2)&gt;1,SUMIFS(Hoja1!$F:$F,Hoja1!$D:$D,$B12,Hoja1!$I:$I,L$2),"")</f>
        <v>996</v>
      </c>
      <c r="M12" s="21" t="str">
        <f>+IF(SUMIFS(Hoja1!$F:$F,Hoja1!$D:$D,$B12,Hoja1!$I:$I,M$2)&gt;1,SUMIFS(Hoja1!$F:$F,Hoja1!$D:$D,$B12,Hoja1!$I:$I,M$2),"")</f>
        <v/>
      </c>
      <c r="N12" s="21" t="str">
        <f>+IF(SUMIFS(Hoja1!$F:$F,Hoja1!$D:$D,$B12,Hoja1!$I:$I,N$2)&gt;1,SUMIFS(Hoja1!$F:$F,Hoja1!$D:$D,$B12,Hoja1!$I:$I,N$2),"")</f>
        <v/>
      </c>
      <c r="O12" s="21" t="str">
        <f>+IF(SUMIFS(Hoja1!$F:$F,Hoja1!$D:$D,$B12,Hoja1!$I:$I,O$2)&gt;1,SUMIFS(Hoja1!$F:$F,Hoja1!$D:$D,$B12,Hoja1!$I:$I,O$2),"")</f>
        <v/>
      </c>
      <c r="P12" s="21" t="str">
        <f>+IF(SUMIFS(Hoja1!$F:$F,Hoja1!$D:$D,$B12,Hoja1!$I:$I,P$2)&gt;1,SUMIFS(Hoja1!$F:$F,Hoja1!$D:$D,$B12,Hoja1!$I:$I,P$2),"")</f>
        <v/>
      </c>
      <c r="Q12" s="21" t="str">
        <f>+IF(SUMIFS(Hoja1!$F:$F,Hoja1!$D:$D,$B12,Hoja1!$I:$I,Q$2)&gt;1,SUMIFS(Hoja1!$F:$F,Hoja1!$D:$D,$B12,Hoja1!$I:$I,Q$2),"")</f>
        <v/>
      </c>
      <c r="R12" s="21" t="str">
        <f>+IF(SUMIFS(Hoja1!$F:$F,Hoja1!$D:$D,$B12,Hoja1!$I:$I,R$2)&gt;1,SUMIFS(Hoja1!$F:$F,Hoja1!$D:$D,$B12,Hoja1!$I:$I,R$2),"")</f>
        <v/>
      </c>
    </row>
    <row r="13" spans="1:18" ht="18" hidden="1" x14ac:dyDescent="0.3">
      <c r="A13">
        <v>25</v>
      </c>
      <c r="B13" s="12" t="s">
        <v>162</v>
      </c>
      <c r="C13" s="21" t="s">
        <v>109</v>
      </c>
      <c r="D13" s="21">
        <f>+VLOOKUP(B13,'[1]Consumo x Cod Articulo'!$C$1:$O$65536,6,)</f>
        <v>1.4999999999999999E-2</v>
      </c>
      <c r="E13" s="21" t="str">
        <f>+IF(F13=H13,"No","si")</f>
        <v>No</v>
      </c>
      <c r="F13" s="24">
        <v>1000</v>
      </c>
      <c r="G13" s="24">
        <f>+F13*D13</f>
        <v>15</v>
      </c>
      <c r="H13" s="24">
        <v>1000</v>
      </c>
      <c r="I13" s="24">
        <f>+SUM(J13:R13)</f>
        <v>4944</v>
      </c>
      <c r="J13" s="21" t="str">
        <f>+IF(SUMIFS(Hoja1!$F:$F,Hoja1!$D:$D,$B13,Hoja1!$I:$I,J$2)&gt;1,SUMIFS(Hoja1!$F:$F,Hoja1!$D:$D,$B13,Hoja1!$I:$I,J$2),"")</f>
        <v/>
      </c>
      <c r="K13" s="21" t="str">
        <f>+IF(SUMIFS(Hoja1!$F:$F,Hoja1!$D:$D,$B13,Hoja1!$I:$I,K$2)&gt;1,SUMIFS(Hoja1!$F:$F,Hoja1!$D:$D,$B13,Hoja1!$I:$I,K$2),"")</f>
        <v/>
      </c>
      <c r="L13" s="21" t="str">
        <f>+IF(SUMIFS(Hoja1!$F:$F,Hoja1!$D:$D,$B13,Hoja1!$I:$I,L$2)&gt;1,SUMIFS(Hoja1!$F:$F,Hoja1!$D:$D,$B13,Hoja1!$I:$I,L$2),"")</f>
        <v/>
      </c>
      <c r="M13" s="21" t="str">
        <f>+IF(SUMIFS(Hoja1!$F:$F,Hoja1!$D:$D,$B13,Hoja1!$I:$I,M$2)&gt;1,SUMIFS(Hoja1!$F:$F,Hoja1!$D:$D,$B13,Hoja1!$I:$I,M$2),"")</f>
        <v/>
      </c>
      <c r="N13" s="21" t="str">
        <f>+IF(SUMIFS(Hoja1!$F:$F,Hoja1!$D:$D,$B13,Hoja1!$I:$I,N$2)&gt;1,SUMIFS(Hoja1!$F:$F,Hoja1!$D:$D,$B13,Hoja1!$I:$I,N$2),"")</f>
        <v/>
      </c>
      <c r="O13" s="21">
        <f>+IF(SUMIFS(Hoja1!$F:$F,Hoja1!$D:$D,$B13,Hoja1!$I:$I,O$2)&gt;1,SUMIFS(Hoja1!$F:$F,Hoja1!$D:$D,$B13,Hoja1!$I:$I,O$2),"")</f>
        <v>144</v>
      </c>
      <c r="P13" s="21">
        <f>+IF(SUMIFS(Hoja1!$F:$F,Hoja1!$D:$D,$B13,Hoja1!$I:$I,P$2)&gt;1,SUMIFS(Hoja1!$F:$F,Hoja1!$D:$D,$B13,Hoja1!$I:$I,P$2),"")</f>
        <v>4800</v>
      </c>
      <c r="Q13" s="21" t="str">
        <f>+IF(SUMIFS(Hoja1!$F:$F,Hoja1!$D:$D,$B13,Hoja1!$I:$I,Q$2)&gt;1,SUMIFS(Hoja1!$F:$F,Hoja1!$D:$D,$B13,Hoja1!$I:$I,Q$2),"")</f>
        <v/>
      </c>
      <c r="R13" s="21" t="str">
        <f>+IF(SUMIFS(Hoja1!$F:$F,Hoja1!$D:$D,$B13,Hoja1!$I:$I,R$2)&gt;1,SUMIFS(Hoja1!$F:$F,Hoja1!$D:$D,$B13,Hoja1!$I:$I,R$2),"")</f>
        <v/>
      </c>
    </row>
    <row r="14" spans="1:18" ht="18" x14ac:dyDescent="0.3">
      <c r="A14">
        <v>9</v>
      </c>
      <c r="B14" s="12" t="s">
        <v>172</v>
      </c>
      <c r="C14" s="21" t="s">
        <v>119</v>
      </c>
      <c r="D14" s="30">
        <f>+VLOOKUP(B14,'[1]Consumo x Cod Articulo'!$C$1:$O$65536,6,)</f>
        <v>5.5999999999999995E-4</v>
      </c>
      <c r="E14" s="21" t="str">
        <f>+IF(F14=H14,"No","si")</f>
        <v>si</v>
      </c>
      <c r="F14" s="24">
        <v>5000</v>
      </c>
      <c r="G14" s="27">
        <f>+F14*D14</f>
        <v>2.8</v>
      </c>
      <c r="H14" s="24">
        <v>25000</v>
      </c>
      <c r="I14" s="24">
        <f>+SUM(J14:R14)</f>
        <v>5040</v>
      </c>
      <c r="J14" s="21" t="str">
        <f>+IF(SUMIFS(Hoja1!$F:$F,Hoja1!$D:$D,$B14,Hoja1!$I:$I,J$2)&gt;1,SUMIFS(Hoja1!$F:$F,Hoja1!$D:$D,$B14,Hoja1!$I:$I,J$2),"")</f>
        <v/>
      </c>
      <c r="K14" s="21" t="str">
        <f>+IF(SUMIFS(Hoja1!$F:$F,Hoja1!$D:$D,$B14,Hoja1!$I:$I,K$2)&gt;1,SUMIFS(Hoja1!$F:$F,Hoja1!$D:$D,$B14,Hoja1!$I:$I,K$2),"")</f>
        <v/>
      </c>
      <c r="L14" s="21" t="str">
        <f>+IF(SUMIFS(Hoja1!$F:$F,Hoja1!$D:$D,$B14,Hoja1!$I:$I,L$2)&gt;1,SUMIFS(Hoja1!$F:$F,Hoja1!$D:$D,$B14,Hoja1!$I:$I,L$2),"")</f>
        <v/>
      </c>
      <c r="M14" s="21" t="str">
        <f>+IF(SUMIFS(Hoja1!$F:$F,Hoja1!$D:$D,$B14,Hoja1!$I:$I,M$2)&gt;1,SUMIFS(Hoja1!$F:$F,Hoja1!$D:$D,$B14,Hoja1!$I:$I,M$2),"")</f>
        <v/>
      </c>
      <c r="N14" s="21">
        <f>+IF(SUMIFS(Hoja1!$F:$F,Hoja1!$D:$D,$B14,Hoja1!$I:$I,N$2)&gt;1,SUMIFS(Hoja1!$F:$F,Hoja1!$D:$D,$B14,Hoja1!$I:$I,N$2),"")</f>
        <v>5040</v>
      </c>
      <c r="O14" s="21" t="str">
        <f>+IF(SUMIFS(Hoja1!$F:$F,Hoja1!$D:$D,$B14,Hoja1!$I:$I,O$2)&gt;1,SUMIFS(Hoja1!$F:$F,Hoja1!$D:$D,$B14,Hoja1!$I:$I,O$2),"")</f>
        <v/>
      </c>
      <c r="P14" s="21" t="str">
        <f>+IF(SUMIFS(Hoja1!$F:$F,Hoja1!$D:$D,$B14,Hoja1!$I:$I,P$2)&gt;1,SUMIFS(Hoja1!$F:$F,Hoja1!$D:$D,$B14,Hoja1!$I:$I,P$2),"")</f>
        <v/>
      </c>
      <c r="Q14" s="21" t="str">
        <f>+IF(SUMIFS(Hoja1!$F:$F,Hoja1!$D:$D,$B14,Hoja1!$I:$I,Q$2)&gt;1,SUMIFS(Hoja1!$F:$F,Hoja1!$D:$D,$B14,Hoja1!$I:$I,Q$2),"")</f>
        <v/>
      </c>
      <c r="R14" s="21" t="str">
        <f>+IF(SUMIFS(Hoja1!$F:$F,Hoja1!$D:$D,$B14,Hoja1!$I:$I,R$2)&gt;1,SUMIFS(Hoja1!$F:$F,Hoja1!$D:$D,$B14,Hoja1!$I:$I,R$2),"")</f>
        <v/>
      </c>
    </row>
    <row r="15" spans="1:18" ht="18" hidden="1" x14ac:dyDescent="0.3">
      <c r="A15">
        <v>31</v>
      </c>
      <c r="B15" s="12" t="s">
        <v>160</v>
      </c>
      <c r="C15" s="21" t="s">
        <v>107</v>
      </c>
      <c r="D15" s="21">
        <f>+VLOOKUP(B15,'[1]Consumo x Cod Articulo'!$C$1:$O$65536,6,)</f>
        <v>1.4999999999999999E-2</v>
      </c>
      <c r="E15" s="21" t="str">
        <f>+IF(F15=H15,"No","si")</f>
        <v>No</v>
      </c>
      <c r="F15" s="24">
        <f>+H15</f>
        <v>1000</v>
      </c>
      <c r="G15" s="24">
        <f>+F15*D15</f>
        <v>15</v>
      </c>
      <c r="H15" s="24">
        <v>1000</v>
      </c>
      <c r="I15" s="24">
        <f>+SUM(J15:R15)</f>
        <v>2400</v>
      </c>
      <c r="J15" s="21" t="str">
        <f>+IF(SUMIFS(Hoja1!$F:$F,Hoja1!$D:$D,$B15,Hoja1!$I:$I,J$2)&gt;1,SUMIFS(Hoja1!$F:$F,Hoja1!$D:$D,$B15,Hoja1!$I:$I,J$2),"")</f>
        <v/>
      </c>
      <c r="K15" s="21">
        <f>+IF(SUMIFS(Hoja1!$F:$F,Hoja1!$D:$D,$B15,Hoja1!$I:$I,K$2)&gt;1,SUMIFS(Hoja1!$F:$F,Hoja1!$D:$D,$B15,Hoja1!$I:$I,K$2),"")</f>
        <v>2400</v>
      </c>
      <c r="L15" s="21" t="str">
        <f>+IF(SUMIFS(Hoja1!$F:$F,Hoja1!$D:$D,$B15,Hoja1!$I:$I,L$2)&gt;1,SUMIFS(Hoja1!$F:$F,Hoja1!$D:$D,$B15,Hoja1!$I:$I,L$2),"")</f>
        <v/>
      </c>
      <c r="M15" s="21" t="str">
        <f>+IF(SUMIFS(Hoja1!$F:$F,Hoja1!$D:$D,$B15,Hoja1!$I:$I,M$2)&gt;1,SUMIFS(Hoja1!$F:$F,Hoja1!$D:$D,$B15,Hoja1!$I:$I,M$2),"")</f>
        <v/>
      </c>
      <c r="N15" s="21" t="str">
        <f>+IF(SUMIFS(Hoja1!$F:$F,Hoja1!$D:$D,$B15,Hoja1!$I:$I,N$2)&gt;1,SUMIFS(Hoja1!$F:$F,Hoja1!$D:$D,$B15,Hoja1!$I:$I,N$2),"")</f>
        <v/>
      </c>
      <c r="O15" s="21" t="str">
        <f>+IF(SUMIFS(Hoja1!$F:$F,Hoja1!$D:$D,$B15,Hoja1!$I:$I,O$2)&gt;1,SUMIFS(Hoja1!$F:$F,Hoja1!$D:$D,$B15,Hoja1!$I:$I,O$2),"")</f>
        <v/>
      </c>
      <c r="P15" s="21" t="str">
        <f>+IF(SUMIFS(Hoja1!$F:$F,Hoja1!$D:$D,$B15,Hoja1!$I:$I,P$2)&gt;1,SUMIFS(Hoja1!$F:$F,Hoja1!$D:$D,$B15,Hoja1!$I:$I,P$2),"")</f>
        <v/>
      </c>
      <c r="Q15" s="21" t="str">
        <f>+IF(SUMIFS(Hoja1!$F:$F,Hoja1!$D:$D,$B15,Hoja1!$I:$I,Q$2)&gt;1,SUMIFS(Hoja1!$F:$F,Hoja1!$D:$D,$B15,Hoja1!$I:$I,Q$2),"")</f>
        <v/>
      </c>
      <c r="R15" s="21" t="str">
        <f>+IF(SUMIFS(Hoja1!$F:$F,Hoja1!$D:$D,$B15,Hoja1!$I:$I,R$2)&gt;1,SUMIFS(Hoja1!$F:$F,Hoja1!$D:$D,$B15,Hoja1!$I:$I,R$2),"")</f>
        <v/>
      </c>
    </row>
    <row r="16" spans="1:18" ht="18" hidden="1" x14ac:dyDescent="0.3">
      <c r="A16">
        <v>38</v>
      </c>
      <c r="B16" s="12" t="s">
        <v>198</v>
      </c>
      <c r="C16" s="21" t="s">
        <v>143</v>
      </c>
      <c r="D16" s="21">
        <f>+VLOOKUP(B16,'[1]Consumo x Cod Articulo'!$C$1:$O$65536,6,)</f>
        <v>2.8000000000000001E-2</v>
      </c>
      <c r="E16" s="21" t="str">
        <f>+IF(F16=H16,"No","si")</f>
        <v>No</v>
      </c>
      <c r="F16" s="24"/>
      <c r="G16" s="24">
        <f>+F16*D16</f>
        <v>0</v>
      </c>
      <c r="H16" s="24"/>
      <c r="I16" s="24">
        <f>+SUM(J16:R16)</f>
        <v>2280</v>
      </c>
      <c r="J16" s="21" t="str">
        <f>+IF(SUMIFS(Hoja1!$F:$F,Hoja1!$D:$D,$B16,Hoja1!$I:$I,J$2)&gt;1,SUMIFS(Hoja1!$F:$F,Hoja1!$D:$D,$B16,Hoja1!$I:$I,J$2),"")</f>
        <v/>
      </c>
      <c r="K16" s="21" t="str">
        <f>+IF(SUMIFS(Hoja1!$F:$F,Hoja1!$D:$D,$B16,Hoja1!$I:$I,K$2)&gt;1,SUMIFS(Hoja1!$F:$F,Hoja1!$D:$D,$B16,Hoja1!$I:$I,K$2),"")</f>
        <v/>
      </c>
      <c r="L16" s="21" t="str">
        <f>+IF(SUMIFS(Hoja1!$F:$F,Hoja1!$D:$D,$B16,Hoja1!$I:$I,L$2)&gt;1,SUMIFS(Hoja1!$F:$F,Hoja1!$D:$D,$B16,Hoja1!$I:$I,L$2),"")</f>
        <v/>
      </c>
      <c r="M16" s="21" t="str">
        <f>+IF(SUMIFS(Hoja1!$F:$F,Hoja1!$D:$D,$B16,Hoja1!$I:$I,M$2)&gt;1,SUMIFS(Hoja1!$F:$F,Hoja1!$D:$D,$B16,Hoja1!$I:$I,M$2),"")</f>
        <v/>
      </c>
      <c r="N16" s="21">
        <f>+IF(SUMIFS(Hoja1!$F:$F,Hoja1!$D:$D,$B16,Hoja1!$I:$I,N$2)&gt;1,SUMIFS(Hoja1!$F:$F,Hoja1!$D:$D,$B16,Hoja1!$I:$I,N$2),"")</f>
        <v>1728</v>
      </c>
      <c r="O16" s="21" t="str">
        <f>+IF(SUMIFS(Hoja1!$F:$F,Hoja1!$D:$D,$B16,Hoja1!$I:$I,O$2)&gt;1,SUMIFS(Hoja1!$F:$F,Hoja1!$D:$D,$B16,Hoja1!$I:$I,O$2),"")</f>
        <v/>
      </c>
      <c r="P16" s="21">
        <f>+IF(SUMIFS(Hoja1!$F:$F,Hoja1!$D:$D,$B16,Hoja1!$I:$I,P$2)&gt;1,SUMIFS(Hoja1!$F:$F,Hoja1!$D:$D,$B16,Hoja1!$I:$I,P$2),"")</f>
        <v>552</v>
      </c>
      <c r="Q16" s="21" t="str">
        <f>+IF(SUMIFS(Hoja1!$F:$F,Hoja1!$D:$D,$B16,Hoja1!$I:$I,Q$2)&gt;1,SUMIFS(Hoja1!$F:$F,Hoja1!$D:$D,$B16,Hoja1!$I:$I,Q$2),"")</f>
        <v/>
      </c>
      <c r="R16" s="21" t="str">
        <f>+IF(SUMIFS(Hoja1!$F:$F,Hoja1!$D:$D,$B16,Hoja1!$I:$I,R$2)&gt;1,SUMIFS(Hoja1!$F:$F,Hoja1!$D:$D,$B16,Hoja1!$I:$I,R$2),"")</f>
        <v/>
      </c>
    </row>
    <row r="17" spans="1:18" ht="18" x14ac:dyDescent="0.3">
      <c r="A17">
        <v>10</v>
      </c>
      <c r="B17" s="12" t="s">
        <v>148</v>
      </c>
      <c r="C17" s="21" t="s">
        <v>96</v>
      </c>
      <c r="D17" s="30">
        <f>+VLOOKUP(B17,'[1]Consumo x Cod Articulo'!$C$1:$O$65536,6,)</f>
        <v>2.2000000000000001E-3</v>
      </c>
      <c r="E17" s="21" t="str">
        <f>+IF(F17=H17,"No","si")</f>
        <v>si</v>
      </c>
      <c r="F17" s="24">
        <v>1000</v>
      </c>
      <c r="G17" s="27">
        <f>+F17*D17</f>
        <v>2.2000000000000002</v>
      </c>
      <c r="H17" s="24">
        <v>5000</v>
      </c>
      <c r="I17" s="24">
        <f>+SUM(J17:R17)</f>
        <v>4944</v>
      </c>
      <c r="J17" s="21" t="str">
        <f>+IF(SUMIFS(Hoja1!$F:$F,Hoja1!$D:$D,$B17,Hoja1!$I:$I,J$2)&gt;1,SUMIFS(Hoja1!$F:$F,Hoja1!$D:$D,$B17,Hoja1!$I:$I,J$2),"")</f>
        <v/>
      </c>
      <c r="K17" s="21" t="str">
        <f>+IF(SUMIFS(Hoja1!$F:$F,Hoja1!$D:$D,$B17,Hoja1!$I:$I,K$2)&gt;1,SUMIFS(Hoja1!$F:$F,Hoja1!$D:$D,$B17,Hoja1!$I:$I,K$2),"")</f>
        <v/>
      </c>
      <c r="L17" s="21" t="str">
        <f>+IF(SUMIFS(Hoja1!$F:$F,Hoja1!$D:$D,$B17,Hoja1!$I:$I,L$2)&gt;1,SUMIFS(Hoja1!$F:$F,Hoja1!$D:$D,$B17,Hoja1!$I:$I,L$2),"")</f>
        <v/>
      </c>
      <c r="M17" s="21" t="str">
        <f>+IF(SUMIFS(Hoja1!$F:$F,Hoja1!$D:$D,$B17,Hoja1!$I:$I,M$2)&gt;1,SUMIFS(Hoja1!$F:$F,Hoja1!$D:$D,$B17,Hoja1!$I:$I,M$2),"")</f>
        <v/>
      </c>
      <c r="N17" s="21" t="str">
        <f>+IF(SUMIFS(Hoja1!$F:$F,Hoja1!$D:$D,$B17,Hoja1!$I:$I,N$2)&gt;1,SUMIFS(Hoja1!$F:$F,Hoja1!$D:$D,$B17,Hoja1!$I:$I,N$2),"")</f>
        <v/>
      </c>
      <c r="O17" s="21">
        <f>+IF(SUMIFS(Hoja1!$F:$F,Hoja1!$D:$D,$B17,Hoja1!$I:$I,O$2)&gt;1,SUMIFS(Hoja1!$F:$F,Hoja1!$D:$D,$B17,Hoja1!$I:$I,O$2),"")</f>
        <v>144</v>
      </c>
      <c r="P17" s="21">
        <f>+IF(SUMIFS(Hoja1!$F:$F,Hoja1!$D:$D,$B17,Hoja1!$I:$I,P$2)&gt;1,SUMIFS(Hoja1!$F:$F,Hoja1!$D:$D,$B17,Hoja1!$I:$I,P$2),"")</f>
        <v>4800</v>
      </c>
      <c r="Q17" s="21" t="str">
        <f>+IF(SUMIFS(Hoja1!$F:$F,Hoja1!$D:$D,$B17,Hoja1!$I:$I,Q$2)&gt;1,SUMIFS(Hoja1!$F:$F,Hoja1!$D:$D,$B17,Hoja1!$I:$I,Q$2),"")</f>
        <v/>
      </c>
      <c r="R17" s="21" t="str">
        <f>+IF(SUMIFS(Hoja1!$F:$F,Hoja1!$D:$D,$B17,Hoja1!$I:$I,R$2)&gt;1,SUMIFS(Hoja1!$F:$F,Hoja1!$D:$D,$B17,Hoja1!$I:$I,R$2),"")</f>
        <v/>
      </c>
    </row>
    <row r="18" spans="1:18" ht="18" x14ac:dyDescent="0.3">
      <c r="A18">
        <v>11</v>
      </c>
      <c r="B18" s="12" t="s">
        <v>150</v>
      </c>
      <c r="C18" s="21" t="s">
        <v>98</v>
      </c>
      <c r="D18" s="30">
        <f>+VLOOKUP(B18,'[1]Consumo x Cod Articulo'!$C$1:$O$65536,6,)</f>
        <v>2.2000000000000001E-3</v>
      </c>
      <c r="E18" s="21" t="str">
        <f>+IF(F18=H18,"No","si")</f>
        <v>si</v>
      </c>
      <c r="F18" s="24">
        <v>500</v>
      </c>
      <c r="G18" s="27">
        <f>+F18*D18</f>
        <v>1.1000000000000001</v>
      </c>
      <c r="H18" s="24">
        <v>5000</v>
      </c>
      <c r="I18" s="24">
        <f>+SUM(J18:R18)</f>
        <v>360</v>
      </c>
      <c r="J18" s="21" t="str">
        <f>+IF(SUMIFS(Hoja1!$F:$F,Hoja1!$D:$D,$B18,Hoja1!$I:$I,J$2)&gt;1,SUMIFS(Hoja1!$F:$F,Hoja1!$D:$D,$B18,Hoja1!$I:$I,J$2),"")</f>
        <v/>
      </c>
      <c r="K18" s="21" t="str">
        <f>+IF(SUMIFS(Hoja1!$F:$F,Hoja1!$D:$D,$B18,Hoja1!$I:$I,K$2)&gt;1,SUMIFS(Hoja1!$F:$F,Hoja1!$D:$D,$B18,Hoja1!$I:$I,K$2),"")</f>
        <v/>
      </c>
      <c r="L18" s="21" t="str">
        <f>+IF(SUMIFS(Hoja1!$F:$F,Hoja1!$D:$D,$B18,Hoja1!$I:$I,L$2)&gt;1,SUMIFS(Hoja1!$F:$F,Hoja1!$D:$D,$B18,Hoja1!$I:$I,L$2),"")</f>
        <v/>
      </c>
      <c r="M18" s="21" t="str">
        <f>+IF(SUMIFS(Hoja1!$F:$F,Hoja1!$D:$D,$B18,Hoja1!$I:$I,M$2)&gt;1,SUMIFS(Hoja1!$F:$F,Hoja1!$D:$D,$B18,Hoja1!$I:$I,M$2),"")</f>
        <v/>
      </c>
      <c r="N18" s="21">
        <f>+IF(SUMIFS(Hoja1!$F:$F,Hoja1!$D:$D,$B18,Hoja1!$I:$I,N$2)&gt;1,SUMIFS(Hoja1!$F:$F,Hoja1!$D:$D,$B18,Hoja1!$I:$I,N$2),"")</f>
        <v>360</v>
      </c>
      <c r="O18" s="21" t="str">
        <f>+IF(SUMIFS(Hoja1!$F:$F,Hoja1!$D:$D,$B18,Hoja1!$I:$I,O$2)&gt;1,SUMIFS(Hoja1!$F:$F,Hoja1!$D:$D,$B18,Hoja1!$I:$I,O$2),"")</f>
        <v/>
      </c>
      <c r="P18" s="21" t="str">
        <f>+IF(SUMIFS(Hoja1!$F:$F,Hoja1!$D:$D,$B18,Hoja1!$I:$I,P$2)&gt;1,SUMIFS(Hoja1!$F:$F,Hoja1!$D:$D,$B18,Hoja1!$I:$I,P$2),"")</f>
        <v/>
      </c>
      <c r="Q18" s="21" t="str">
        <f>+IF(SUMIFS(Hoja1!$F:$F,Hoja1!$D:$D,$B18,Hoja1!$I:$I,Q$2)&gt;1,SUMIFS(Hoja1!$F:$F,Hoja1!$D:$D,$B18,Hoja1!$I:$I,Q$2),"")</f>
        <v/>
      </c>
      <c r="R18" s="21" t="str">
        <f>+IF(SUMIFS(Hoja1!$F:$F,Hoja1!$D:$D,$B18,Hoja1!$I:$I,R$2)&gt;1,SUMIFS(Hoja1!$F:$F,Hoja1!$D:$D,$B18,Hoja1!$I:$I,R$2),"")</f>
        <v/>
      </c>
    </row>
    <row r="19" spans="1:18" ht="18" hidden="1" x14ac:dyDescent="0.3">
      <c r="A19">
        <v>24</v>
      </c>
      <c r="B19" s="12" t="s">
        <v>190</v>
      </c>
      <c r="C19" s="21" t="s">
        <v>136</v>
      </c>
      <c r="D19" s="21">
        <f>+VLOOKUP(B19,'[1]Consumo x Cod Articulo'!$C$1:$O$65536,6,)</f>
        <v>2.1999999999999999E-2</v>
      </c>
      <c r="E19" s="21" t="str">
        <f>+IF(F19=H19,"No","si")</f>
        <v>No</v>
      </c>
      <c r="F19" s="24">
        <f>+H19</f>
        <v>1000</v>
      </c>
      <c r="G19" s="24">
        <f>+F19*D19</f>
        <v>22</v>
      </c>
      <c r="H19" s="24">
        <v>1000</v>
      </c>
      <c r="I19" s="24">
        <f>+SUM(J19:R19)</f>
        <v>1800</v>
      </c>
      <c r="J19" s="21" t="str">
        <f>+IF(SUMIFS(Hoja1!$F:$F,Hoja1!$D:$D,$B19,Hoja1!$I:$I,J$2)&gt;1,SUMIFS(Hoja1!$F:$F,Hoja1!$D:$D,$B19,Hoja1!$I:$I,J$2),"")</f>
        <v/>
      </c>
      <c r="K19" s="21" t="str">
        <f>+IF(SUMIFS(Hoja1!$F:$F,Hoja1!$D:$D,$B19,Hoja1!$I:$I,K$2)&gt;1,SUMIFS(Hoja1!$F:$F,Hoja1!$D:$D,$B19,Hoja1!$I:$I,K$2),"")</f>
        <v/>
      </c>
      <c r="L19" s="21" t="str">
        <f>+IF(SUMIFS(Hoja1!$F:$F,Hoja1!$D:$D,$B19,Hoja1!$I:$I,L$2)&gt;1,SUMIFS(Hoja1!$F:$F,Hoja1!$D:$D,$B19,Hoja1!$I:$I,L$2),"")</f>
        <v/>
      </c>
      <c r="M19" s="21" t="str">
        <f>+IF(SUMIFS(Hoja1!$F:$F,Hoja1!$D:$D,$B19,Hoja1!$I:$I,M$2)&gt;1,SUMIFS(Hoja1!$F:$F,Hoja1!$D:$D,$B19,Hoja1!$I:$I,M$2),"")</f>
        <v/>
      </c>
      <c r="N19" s="21">
        <f>+IF(SUMIFS(Hoja1!$F:$F,Hoja1!$D:$D,$B19,Hoja1!$I:$I,N$2)&gt;1,SUMIFS(Hoja1!$F:$F,Hoja1!$D:$D,$B19,Hoja1!$I:$I,N$2),"")</f>
        <v>1800</v>
      </c>
      <c r="O19" s="21" t="str">
        <f>+IF(SUMIFS(Hoja1!$F:$F,Hoja1!$D:$D,$B19,Hoja1!$I:$I,O$2)&gt;1,SUMIFS(Hoja1!$F:$F,Hoja1!$D:$D,$B19,Hoja1!$I:$I,O$2),"")</f>
        <v/>
      </c>
      <c r="P19" s="21" t="str">
        <f>+IF(SUMIFS(Hoja1!$F:$F,Hoja1!$D:$D,$B19,Hoja1!$I:$I,P$2)&gt;1,SUMIFS(Hoja1!$F:$F,Hoja1!$D:$D,$B19,Hoja1!$I:$I,P$2),"")</f>
        <v/>
      </c>
      <c r="Q19" s="21" t="str">
        <f>+IF(SUMIFS(Hoja1!$F:$F,Hoja1!$D:$D,$B19,Hoja1!$I:$I,Q$2)&gt;1,SUMIFS(Hoja1!$F:$F,Hoja1!$D:$D,$B19,Hoja1!$I:$I,Q$2),"")</f>
        <v/>
      </c>
      <c r="R19" s="21" t="str">
        <f>+IF(SUMIFS(Hoja1!$F:$F,Hoja1!$D:$D,$B19,Hoja1!$I:$I,R$2)&gt;1,SUMIFS(Hoja1!$F:$F,Hoja1!$D:$D,$B19,Hoja1!$I:$I,R$2),"")</f>
        <v/>
      </c>
    </row>
    <row r="20" spans="1:18" ht="18" hidden="1" x14ac:dyDescent="0.3">
      <c r="A20">
        <v>34</v>
      </c>
      <c r="B20" s="12" t="s">
        <v>175</v>
      </c>
      <c r="C20" s="21" t="s">
        <v>122</v>
      </c>
      <c r="D20" s="21">
        <f>+VLOOKUP(B20,'[1]Consumo x Cod Articulo'!$C$1:$O$65536,6,)</f>
        <v>1.6500000000000001E-2</v>
      </c>
      <c r="E20" s="21" t="str">
        <f>+IF(F20=H20,"No","si")</f>
        <v>No</v>
      </c>
      <c r="F20" s="24">
        <v>250</v>
      </c>
      <c r="G20" s="24">
        <f>+F20*D20</f>
        <v>4.125</v>
      </c>
      <c r="H20" s="24">
        <v>250</v>
      </c>
      <c r="I20" s="24">
        <f>+SUM(J20:R20)</f>
        <v>1476</v>
      </c>
      <c r="J20" s="21" t="str">
        <f>+IF(SUMIFS(Hoja1!$F:$F,Hoja1!$D:$D,$B20,Hoja1!$I:$I,J$2)&gt;1,SUMIFS(Hoja1!$F:$F,Hoja1!$D:$D,$B20,Hoja1!$I:$I,J$2),"")</f>
        <v/>
      </c>
      <c r="K20" s="21" t="str">
        <f>+IF(SUMIFS(Hoja1!$F:$F,Hoja1!$D:$D,$B20,Hoja1!$I:$I,K$2)&gt;1,SUMIFS(Hoja1!$F:$F,Hoja1!$D:$D,$B20,Hoja1!$I:$I,K$2),"")</f>
        <v/>
      </c>
      <c r="L20" s="21" t="str">
        <f>+IF(SUMIFS(Hoja1!$F:$F,Hoja1!$D:$D,$B20,Hoja1!$I:$I,L$2)&gt;1,SUMIFS(Hoja1!$F:$F,Hoja1!$D:$D,$B20,Hoja1!$I:$I,L$2),"")</f>
        <v/>
      </c>
      <c r="M20" s="21" t="str">
        <f>+IF(SUMIFS(Hoja1!$F:$F,Hoja1!$D:$D,$B20,Hoja1!$I:$I,M$2)&gt;1,SUMIFS(Hoja1!$F:$F,Hoja1!$D:$D,$B20,Hoja1!$I:$I,M$2),"")</f>
        <v/>
      </c>
      <c r="N20" s="21" t="str">
        <f>+IF(SUMIFS(Hoja1!$F:$F,Hoja1!$D:$D,$B20,Hoja1!$I:$I,N$2)&gt;1,SUMIFS(Hoja1!$F:$F,Hoja1!$D:$D,$B20,Hoja1!$I:$I,N$2),"")</f>
        <v/>
      </c>
      <c r="O20" s="21" t="str">
        <f>+IF(SUMIFS(Hoja1!$F:$F,Hoja1!$D:$D,$B20,Hoja1!$I:$I,O$2)&gt;1,SUMIFS(Hoja1!$F:$F,Hoja1!$D:$D,$B20,Hoja1!$I:$I,O$2),"")</f>
        <v/>
      </c>
      <c r="P20" s="21">
        <f>+IF(SUMIFS(Hoja1!$F:$F,Hoja1!$D:$D,$B20,Hoja1!$I:$I,P$2)&gt;1,SUMIFS(Hoja1!$F:$F,Hoja1!$D:$D,$B20,Hoja1!$I:$I,P$2),"")</f>
        <v>1476</v>
      </c>
      <c r="Q20" s="21" t="str">
        <f>+IF(SUMIFS(Hoja1!$F:$F,Hoja1!$D:$D,$B20,Hoja1!$I:$I,Q$2)&gt;1,SUMIFS(Hoja1!$F:$F,Hoja1!$D:$D,$B20,Hoja1!$I:$I,Q$2),"")</f>
        <v/>
      </c>
      <c r="R20" s="21" t="str">
        <f>+IF(SUMIFS(Hoja1!$F:$F,Hoja1!$D:$D,$B20,Hoja1!$I:$I,R$2)&gt;1,SUMIFS(Hoja1!$F:$F,Hoja1!$D:$D,$B20,Hoja1!$I:$I,R$2),"")</f>
        <v/>
      </c>
    </row>
    <row r="21" spans="1:18" ht="18" x14ac:dyDescent="0.3">
      <c r="A21">
        <v>13</v>
      </c>
      <c r="B21" s="12" t="s">
        <v>159</v>
      </c>
      <c r="C21" s="21" t="s">
        <v>106</v>
      </c>
      <c r="D21" s="30">
        <f>+VLOOKUP(B21,'[1]Consumo x Cod Articulo'!$C$1:$O$65536,6,)</f>
        <v>1.4999999999999999E-2</v>
      </c>
      <c r="E21" s="21" t="str">
        <f>+IF(F21=H21,"No","si")</f>
        <v>si</v>
      </c>
      <c r="F21" s="24">
        <v>250</v>
      </c>
      <c r="G21" s="27">
        <f>+F21*D21</f>
        <v>3.75</v>
      </c>
      <c r="H21" s="24">
        <f>+VLOOKUP(B21,'[1]Relevamiento y OP VACIO'!$C$1:$AH$65536,26,)</f>
        <v>1000</v>
      </c>
      <c r="I21" s="24">
        <f>+SUM(J21:R21)</f>
        <v>156</v>
      </c>
      <c r="J21" s="21">
        <f>+IF(SUMIFS(Hoja1!$F:$F,Hoja1!$D:$D,$B21,Hoja1!$I:$I,J$2)&gt;1,SUMIFS(Hoja1!$F:$F,Hoja1!$D:$D,$B21,Hoja1!$I:$I,J$2),"")</f>
        <v>156</v>
      </c>
      <c r="K21" s="21" t="str">
        <f>+IF(SUMIFS(Hoja1!$F:$F,Hoja1!$D:$D,$B21,Hoja1!$I:$I,K$2)&gt;1,SUMIFS(Hoja1!$F:$F,Hoja1!$D:$D,$B21,Hoja1!$I:$I,K$2),"")</f>
        <v/>
      </c>
      <c r="L21" s="21" t="str">
        <f>+IF(SUMIFS(Hoja1!$F:$F,Hoja1!$D:$D,$B21,Hoja1!$I:$I,L$2)&gt;1,SUMIFS(Hoja1!$F:$F,Hoja1!$D:$D,$B21,Hoja1!$I:$I,L$2),"")</f>
        <v/>
      </c>
      <c r="M21" s="21" t="str">
        <f>+IF(SUMIFS(Hoja1!$F:$F,Hoja1!$D:$D,$B21,Hoja1!$I:$I,M$2)&gt;1,SUMIFS(Hoja1!$F:$F,Hoja1!$D:$D,$B21,Hoja1!$I:$I,M$2),"")</f>
        <v/>
      </c>
      <c r="N21" s="21" t="str">
        <f>+IF(SUMIFS(Hoja1!$F:$F,Hoja1!$D:$D,$B21,Hoja1!$I:$I,N$2)&gt;1,SUMIFS(Hoja1!$F:$F,Hoja1!$D:$D,$B21,Hoja1!$I:$I,N$2),"")</f>
        <v/>
      </c>
      <c r="O21" s="21" t="str">
        <f>+IF(SUMIFS(Hoja1!$F:$F,Hoja1!$D:$D,$B21,Hoja1!$I:$I,O$2)&gt;1,SUMIFS(Hoja1!$F:$F,Hoja1!$D:$D,$B21,Hoja1!$I:$I,O$2),"")</f>
        <v/>
      </c>
      <c r="P21" s="21" t="str">
        <f>+IF(SUMIFS(Hoja1!$F:$F,Hoja1!$D:$D,$B21,Hoja1!$I:$I,P$2)&gt;1,SUMIFS(Hoja1!$F:$F,Hoja1!$D:$D,$B21,Hoja1!$I:$I,P$2),"")</f>
        <v/>
      </c>
      <c r="Q21" s="21" t="str">
        <f>+IF(SUMIFS(Hoja1!$F:$F,Hoja1!$D:$D,$B21,Hoja1!$I:$I,Q$2)&gt;1,SUMIFS(Hoja1!$F:$F,Hoja1!$D:$D,$B21,Hoja1!$I:$I,Q$2),"")</f>
        <v/>
      </c>
      <c r="R21" s="21" t="str">
        <f>+IF(SUMIFS(Hoja1!$F:$F,Hoja1!$D:$D,$B21,Hoja1!$I:$I,R$2)&gt;1,SUMIFS(Hoja1!$F:$F,Hoja1!$D:$D,$B21,Hoja1!$I:$I,R$2),"")</f>
        <v/>
      </c>
    </row>
    <row r="22" spans="1:18" ht="18" hidden="1" x14ac:dyDescent="0.3">
      <c r="A22">
        <v>37</v>
      </c>
      <c r="B22" s="12" t="s">
        <v>197</v>
      </c>
      <c r="C22" s="21" t="s">
        <v>142</v>
      </c>
      <c r="D22" s="21">
        <f>+VLOOKUP(B22,'[1]Consumo x Cod Articulo'!$C$1:$O$65536,6,)</f>
        <v>6.3E-3</v>
      </c>
      <c r="E22" s="21" t="str">
        <f>+IF(F22=H22,"No","si")</f>
        <v>No</v>
      </c>
      <c r="F22" s="24"/>
      <c r="G22" s="24">
        <f>+F22*D22</f>
        <v>0</v>
      </c>
      <c r="H22" s="24"/>
      <c r="I22" s="24">
        <f>+SUM(J22:R22)</f>
        <v>1104</v>
      </c>
      <c r="J22" s="21" t="str">
        <f>+IF(SUMIFS(Hoja1!$F:$F,Hoja1!$D:$D,$B22,Hoja1!$I:$I,J$2)&gt;1,SUMIFS(Hoja1!$F:$F,Hoja1!$D:$D,$B22,Hoja1!$I:$I,J$2),"")</f>
        <v/>
      </c>
      <c r="K22" s="21" t="str">
        <f>+IF(SUMIFS(Hoja1!$F:$F,Hoja1!$D:$D,$B22,Hoja1!$I:$I,K$2)&gt;1,SUMIFS(Hoja1!$F:$F,Hoja1!$D:$D,$B22,Hoja1!$I:$I,K$2),"")</f>
        <v/>
      </c>
      <c r="L22" s="21" t="str">
        <f>+IF(SUMIFS(Hoja1!$F:$F,Hoja1!$D:$D,$B22,Hoja1!$I:$I,L$2)&gt;1,SUMIFS(Hoja1!$F:$F,Hoja1!$D:$D,$B22,Hoja1!$I:$I,L$2),"")</f>
        <v/>
      </c>
      <c r="M22" s="21" t="str">
        <f>+IF(SUMIFS(Hoja1!$F:$F,Hoja1!$D:$D,$B22,Hoja1!$I:$I,M$2)&gt;1,SUMIFS(Hoja1!$F:$F,Hoja1!$D:$D,$B22,Hoja1!$I:$I,M$2),"")</f>
        <v/>
      </c>
      <c r="N22" s="21" t="str">
        <f>+IF(SUMIFS(Hoja1!$F:$F,Hoja1!$D:$D,$B22,Hoja1!$I:$I,N$2)&gt;1,SUMIFS(Hoja1!$F:$F,Hoja1!$D:$D,$B22,Hoja1!$I:$I,N$2),"")</f>
        <v/>
      </c>
      <c r="O22" s="21" t="str">
        <f>+IF(SUMIFS(Hoja1!$F:$F,Hoja1!$D:$D,$B22,Hoja1!$I:$I,O$2)&gt;1,SUMIFS(Hoja1!$F:$F,Hoja1!$D:$D,$B22,Hoja1!$I:$I,O$2),"")</f>
        <v/>
      </c>
      <c r="P22" s="21">
        <f>+IF(SUMIFS(Hoja1!$F:$F,Hoja1!$D:$D,$B22,Hoja1!$I:$I,P$2)&gt;1,SUMIFS(Hoja1!$F:$F,Hoja1!$D:$D,$B22,Hoja1!$I:$I,P$2),"")</f>
        <v>1104</v>
      </c>
      <c r="Q22" s="21" t="str">
        <f>+IF(SUMIFS(Hoja1!$F:$F,Hoja1!$D:$D,$B22,Hoja1!$I:$I,Q$2)&gt;1,SUMIFS(Hoja1!$F:$F,Hoja1!$D:$D,$B22,Hoja1!$I:$I,Q$2),"")</f>
        <v/>
      </c>
      <c r="R22" s="21" t="str">
        <f>+IF(SUMIFS(Hoja1!$F:$F,Hoja1!$D:$D,$B22,Hoja1!$I:$I,R$2)&gt;1,SUMIFS(Hoja1!$F:$F,Hoja1!$D:$D,$B22,Hoja1!$I:$I,R$2),"")</f>
        <v/>
      </c>
    </row>
    <row r="23" spans="1:18" ht="18" hidden="1" x14ac:dyDescent="0.3">
      <c r="A23">
        <v>29</v>
      </c>
      <c r="B23" s="12" t="s">
        <v>164</v>
      </c>
      <c r="C23" s="21" t="s">
        <v>111</v>
      </c>
      <c r="D23" s="21">
        <f>+VLOOKUP(B23,'[1]Consumo x Cod Articulo'!$C$1:$O$65536,6,)</f>
        <v>2.3E-2</v>
      </c>
      <c r="E23" s="21" t="str">
        <f>+IF(F23=H23,"No","si")</f>
        <v>No</v>
      </c>
      <c r="F23" s="24">
        <f>+H23</f>
        <v>500</v>
      </c>
      <c r="G23" s="24">
        <f>+F23*D23</f>
        <v>11.5</v>
      </c>
      <c r="H23" s="24">
        <v>500</v>
      </c>
      <c r="I23" s="24">
        <f>+SUM(J23:R23)</f>
        <v>1032</v>
      </c>
      <c r="J23" s="21" t="str">
        <f>+IF(SUMIFS(Hoja1!$F:$F,Hoja1!$D:$D,$B23,Hoja1!$I:$I,J$2)&gt;1,SUMIFS(Hoja1!$F:$F,Hoja1!$D:$D,$B23,Hoja1!$I:$I,J$2),"")</f>
        <v/>
      </c>
      <c r="K23" s="21" t="str">
        <f>+IF(SUMIFS(Hoja1!$F:$F,Hoja1!$D:$D,$B23,Hoja1!$I:$I,K$2)&gt;1,SUMIFS(Hoja1!$F:$F,Hoja1!$D:$D,$B23,Hoja1!$I:$I,K$2),"")</f>
        <v/>
      </c>
      <c r="L23" s="21" t="str">
        <f>+IF(SUMIFS(Hoja1!$F:$F,Hoja1!$D:$D,$B23,Hoja1!$I:$I,L$2)&gt;1,SUMIFS(Hoja1!$F:$F,Hoja1!$D:$D,$B23,Hoja1!$I:$I,L$2),"")</f>
        <v/>
      </c>
      <c r="M23" s="21" t="str">
        <f>+IF(SUMIFS(Hoja1!$F:$F,Hoja1!$D:$D,$B23,Hoja1!$I:$I,M$2)&gt;1,SUMIFS(Hoja1!$F:$F,Hoja1!$D:$D,$B23,Hoja1!$I:$I,M$2),"")</f>
        <v/>
      </c>
      <c r="N23" s="21" t="str">
        <f>+IF(SUMIFS(Hoja1!$F:$F,Hoja1!$D:$D,$B23,Hoja1!$I:$I,N$2)&gt;1,SUMIFS(Hoja1!$F:$F,Hoja1!$D:$D,$B23,Hoja1!$I:$I,N$2),"")</f>
        <v/>
      </c>
      <c r="O23" s="21" t="str">
        <f>+IF(SUMIFS(Hoja1!$F:$F,Hoja1!$D:$D,$B23,Hoja1!$I:$I,O$2)&gt;1,SUMIFS(Hoja1!$F:$F,Hoja1!$D:$D,$B23,Hoja1!$I:$I,O$2),"")</f>
        <v/>
      </c>
      <c r="P23" s="21">
        <f>+IF(SUMIFS(Hoja1!$F:$F,Hoja1!$D:$D,$B23,Hoja1!$I:$I,P$2)&gt;1,SUMIFS(Hoja1!$F:$F,Hoja1!$D:$D,$B23,Hoja1!$I:$I,P$2),"")</f>
        <v>1032</v>
      </c>
      <c r="Q23" s="21" t="str">
        <f>+IF(SUMIFS(Hoja1!$F:$F,Hoja1!$D:$D,$B23,Hoja1!$I:$I,Q$2)&gt;1,SUMIFS(Hoja1!$F:$F,Hoja1!$D:$D,$B23,Hoja1!$I:$I,Q$2),"")</f>
        <v/>
      </c>
      <c r="R23" s="21" t="str">
        <f>+IF(SUMIFS(Hoja1!$F:$F,Hoja1!$D:$D,$B23,Hoja1!$I:$I,R$2)&gt;1,SUMIFS(Hoja1!$F:$F,Hoja1!$D:$D,$B23,Hoja1!$I:$I,R$2),"")</f>
        <v/>
      </c>
    </row>
    <row r="24" spans="1:18" ht="18" hidden="1" x14ac:dyDescent="0.3">
      <c r="A24">
        <v>8</v>
      </c>
      <c r="B24" s="12" t="s">
        <v>165</v>
      </c>
      <c r="C24" s="21" t="s">
        <v>112</v>
      </c>
      <c r="D24" s="21">
        <f>+VLOOKUP(B24,'[1]Consumo x Cod Articulo'!$C$1:$O$65536,6,)</f>
        <v>3.5000000000000001E-3</v>
      </c>
      <c r="E24" s="21" t="str">
        <f>+IF(F24=H24,"No","si")</f>
        <v>No</v>
      </c>
      <c r="F24" s="24">
        <f>+H24</f>
        <v>500</v>
      </c>
      <c r="G24" s="24">
        <f>+F24*D24</f>
        <v>1.75</v>
      </c>
      <c r="H24" s="24">
        <v>500</v>
      </c>
      <c r="I24" s="24">
        <f>+SUM(J24:R24)</f>
        <v>984</v>
      </c>
      <c r="J24" s="21" t="str">
        <f>+IF(SUMIFS(Hoja1!$F:$F,Hoja1!$D:$D,$B24,Hoja1!$I:$I,J$2)&gt;1,SUMIFS(Hoja1!$F:$F,Hoja1!$D:$D,$B24,Hoja1!$I:$I,J$2),"")</f>
        <v/>
      </c>
      <c r="K24" s="21" t="str">
        <f>+IF(SUMIFS(Hoja1!$F:$F,Hoja1!$D:$D,$B24,Hoja1!$I:$I,K$2)&gt;1,SUMIFS(Hoja1!$F:$F,Hoja1!$D:$D,$B24,Hoja1!$I:$I,K$2),"")</f>
        <v/>
      </c>
      <c r="L24" s="21" t="str">
        <f>+IF(SUMIFS(Hoja1!$F:$F,Hoja1!$D:$D,$B24,Hoja1!$I:$I,L$2)&gt;1,SUMIFS(Hoja1!$F:$F,Hoja1!$D:$D,$B24,Hoja1!$I:$I,L$2),"")</f>
        <v/>
      </c>
      <c r="M24" s="21">
        <f>+IF(SUMIFS(Hoja1!$F:$F,Hoja1!$D:$D,$B24,Hoja1!$I:$I,M$2)&gt;1,SUMIFS(Hoja1!$F:$F,Hoja1!$D:$D,$B24,Hoja1!$I:$I,M$2),"")</f>
        <v>984</v>
      </c>
      <c r="N24" s="21" t="str">
        <f>+IF(SUMIFS(Hoja1!$F:$F,Hoja1!$D:$D,$B24,Hoja1!$I:$I,N$2)&gt;1,SUMIFS(Hoja1!$F:$F,Hoja1!$D:$D,$B24,Hoja1!$I:$I,N$2),"")</f>
        <v/>
      </c>
      <c r="O24" s="21" t="str">
        <f>+IF(SUMIFS(Hoja1!$F:$F,Hoja1!$D:$D,$B24,Hoja1!$I:$I,O$2)&gt;1,SUMIFS(Hoja1!$F:$F,Hoja1!$D:$D,$B24,Hoja1!$I:$I,O$2),"")</f>
        <v/>
      </c>
      <c r="P24" s="21" t="str">
        <f>+IF(SUMIFS(Hoja1!$F:$F,Hoja1!$D:$D,$B24,Hoja1!$I:$I,P$2)&gt;1,SUMIFS(Hoja1!$F:$F,Hoja1!$D:$D,$B24,Hoja1!$I:$I,P$2),"")</f>
        <v/>
      </c>
      <c r="Q24" s="21" t="str">
        <f>+IF(SUMIFS(Hoja1!$F:$F,Hoja1!$D:$D,$B24,Hoja1!$I:$I,Q$2)&gt;1,SUMIFS(Hoja1!$F:$F,Hoja1!$D:$D,$B24,Hoja1!$I:$I,Q$2),"")</f>
        <v/>
      </c>
      <c r="R24" s="21" t="str">
        <f>+IF(SUMIFS(Hoja1!$F:$F,Hoja1!$D:$D,$B24,Hoja1!$I:$I,R$2)&gt;1,SUMIFS(Hoja1!$F:$F,Hoja1!$D:$D,$B24,Hoja1!$I:$I,R$2),"")</f>
        <v/>
      </c>
    </row>
    <row r="25" spans="1:18" ht="18" hidden="1" x14ac:dyDescent="0.3">
      <c r="A25">
        <v>18</v>
      </c>
      <c r="B25" s="12" t="s">
        <v>187</v>
      </c>
      <c r="C25" s="21" t="s">
        <v>133</v>
      </c>
      <c r="D25" s="21">
        <f>+VLOOKUP(B25,'[1]Consumo x Cod Articulo'!$C$1:$O$65536,6,)</f>
        <v>5.5E-2</v>
      </c>
      <c r="E25" s="21" t="str">
        <f>+IF(F25=H25,"No","si")</f>
        <v>No</v>
      </c>
      <c r="F25" s="24">
        <f>+H25</f>
        <v>150</v>
      </c>
      <c r="G25" s="24">
        <f>+F25*D25</f>
        <v>8.25</v>
      </c>
      <c r="H25" s="24">
        <v>150</v>
      </c>
      <c r="I25" s="24">
        <f>+SUM(J25:R25)</f>
        <v>984</v>
      </c>
      <c r="J25" s="21" t="str">
        <f>+IF(SUMIFS(Hoja1!$F:$F,Hoja1!$D:$D,$B25,Hoja1!$I:$I,J$2)&gt;1,SUMIFS(Hoja1!$F:$F,Hoja1!$D:$D,$B25,Hoja1!$I:$I,J$2),"")</f>
        <v/>
      </c>
      <c r="K25" s="21" t="str">
        <f>+IF(SUMIFS(Hoja1!$F:$F,Hoja1!$D:$D,$B25,Hoja1!$I:$I,K$2)&gt;1,SUMIFS(Hoja1!$F:$F,Hoja1!$D:$D,$B25,Hoja1!$I:$I,K$2),"")</f>
        <v/>
      </c>
      <c r="L25" s="21" t="str">
        <f>+IF(SUMIFS(Hoja1!$F:$F,Hoja1!$D:$D,$B25,Hoja1!$I:$I,L$2)&gt;1,SUMIFS(Hoja1!$F:$F,Hoja1!$D:$D,$B25,Hoja1!$I:$I,L$2),"")</f>
        <v/>
      </c>
      <c r="M25" s="21" t="str">
        <f>+IF(SUMIFS(Hoja1!$F:$F,Hoja1!$D:$D,$B25,Hoja1!$I:$I,M$2)&gt;1,SUMIFS(Hoja1!$F:$F,Hoja1!$D:$D,$B25,Hoja1!$I:$I,M$2),"")</f>
        <v/>
      </c>
      <c r="N25" s="21" t="str">
        <f>+IF(SUMIFS(Hoja1!$F:$F,Hoja1!$D:$D,$B25,Hoja1!$I:$I,N$2)&gt;1,SUMIFS(Hoja1!$F:$F,Hoja1!$D:$D,$B25,Hoja1!$I:$I,N$2),"")</f>
        <v/>
      </c>
      <c r="O25" s="21">
        <f>+IF(SUMIFS(Hoja1!$F:$F,Hoja1!$D:$D,$B25,Hoja1!$I:$I,O$2)&gt;1,SUMIFS(Hoja1!$F:$F,Hoja1!$D:$D,$B25,Hoja1!$I:$I,O$2),"")</f>
        <v>984</v>
      </c>
      <c r="P25" s="21" t="str">
        <f>+IF(SUMIFS(Hoja1!$F:$F,Hoja1!$D:$D,$B25,Hoja1!$I:$I,P$2)&gt;1,SUMIFS(Hoja1!$F:$F,Hoja1!$D:$D,$B25,Hoja1!$I:$I,P$2),"")</f>
        <v/>
      </c>
      <c r="Q25" s="21" t="str">
        <f>+IF(SUMIFS(Hoja1!$F:$F,Hoja1!$D:$D,$B25,Hoja1!$I:$I,Q$2)&gt;1,SUMIFS(Hoja1!$F:$F,Hoja1!$D:$D,$B25,Hoja1!$I:$I,Q$2),"")</f>
        <v/>
      </c>
      <c r="R25" s="21" t="str">
        <f>+IF(SUMIFS(Hoja1!$F:$F,Hoja1!$D:$D,$B25,Hoja1!$I:$I,R$2)&gt;1,SUMIFS(Hoja1!$F:$F,Hoja1!$D:$D,$B25,Hoja1!$I:$I,R$2),"")</f>
        <v/>
      </c>
    </row>
    <row r="26" spans="1:18" ht="18" hidden="1" x14ac:dyDescent="0.3">
      <c r="A26">
        <v>49</v>
      </c>
      <c r="B26" s="12" t="s">
        <v>188</v>
      </c>
      <c r="C26" s="21" t="s">
        <v>134</v>
      </c>
      <c r="D26" s="21">
        <f>+VLOOKUP(B26,'[1]Consumo x Cod Articulo'!$C$1:$O$65536,6,)</f>
        <v>1.1000000000000001E-3</v>
      </c>
      <c r="E26" s="21" t="str">
        <f>+IF(F26=H26,"No","si")</f>
        <v>No</v>
      </c>
      <c r="F26" s="24"/>
      <c r="G26" s="24">
        <f>+F26*D26</f>
        <v>0</v>
      </c>
      <c r="H26" s="24"/>
      <c r="I26" s="24">
        <f>+SUM(J26:R26)</f>
        <v>984</v>
      </c>
      <c r="J26" s="21" t="str">
        <f>+IF(SUMIFS(Hoja1!$F:$F,Hoja1!$D:$D,$B26,Hoja1!$I:$I,J$2)&gt;1,SUMIFS(Hoja1!$F:$F,Hoja1!$D:$D,$B26,Hoja1!$I:$I,J$2),"")</f>
        <v/>
      </c>
      <c r="K26" s="21" t="str">
        <f>+IF(SUMIFS(Hoja1!$F:$F,Hoja1!$D:$D,$B26,Hoja1!$I:$I,K$2)&gt;1,SUMIFS(Hoja1!$F:$F,Hoja1!$D:$D,$B26,Hoja1!$I:$I,K$2),"")</f>
        <v/>
      </c>
      <c r="L26" s="21" t="str">
        <f>+IF(SUMIFS(Hoja1!$F:$F,Hoja1!$D:$D,$B26,Hoja1!$I:$I,L$2)&gt;1,SUMIFS(Hoja1!$F:$F,Hoja1!$D:$D,$B26,Hoja1!$I:$I,L$2),"")</f>
        <v/>
      </c>
      <c r="M26" s="21" t="str">
        <f>+IF(SUMIFS(Hoja1!$F:$F,Hoja1!$D:$D,$B26,Hoja1!$I:$I,M$2)&gt;1,SUMIFS(Hoja1!$F:$F,Hoja1!$D:$D,$B26,Hoja1!$I:$I,M$2),"")</f>
        <v/>
      </c>
      <c r="N26" s="21" t="str">
        <f>+IF(SUMIFS(Hoja1!$F:$F,Hoja1!$D:$D,$B26,Hoja1!$I:$I,N$2)&gt;1,SUMIFS(Hoja1!$F:$F,Hoja1!$D:$D,$B26,Hoja1!$I:$I,N$2),"")</f>
        <v/>
      </c>
      <c r="O26" s="21" t="str">
        <f>+IF(SUMIFS(Hoja1!$F:$F,Hoja1!$D:$D,$B26,Hoja1!$I:$I,O$2)&gt;1,SUMIFS(Hoja1!$F:$F,Hoja1!$D:$D,$B26,Hoja1!$I:$I,O$2),"")</f>
        <v/>
      </c>
      <c r="P26" s="21" t="str">
        <f>+IF(SUMIFS(Hoja1!$F:$F,Hoja1!$D:$D,$B26,Hoja1!$I:$I,P$2)&gt;1,SUMIFS(Hoja1!$F:$F,Hoja1!$D:$D,$B26,Hoja1!$I:$I,P$2),"")</f>
        <v/>
      </c>
      <c r="Q26" s="21" t="str">
        <f>+IF(SUMIFS(Hoja1!$F:$F,Hoja1!$D:$D,$B26,Hoja1!$I:$I,Q$2)&gt;1,SUMIFS(Hoja1!$F:$F,Hoja1!$D:$D,$B26,Hoja1!$I:$I,Q$2),"")</f>
        <v/>
      </c>
      <c r="R26" s="21">
        <f>+IF(SUMIFS(Hoja1!$F:$F,Hoja1!$D:$D,$B26,Hoja1!$I:$I,R$2)&gt;1,SUMIFS(Hoja1!$F:$F,Hoja1!$D:$D,$B26,Hoja1!$I:$I,R$2),"")</f>
        <v>984</v>
      </c>
    </row>
    <row r="27" spans="1:18" ht="18" hidden="1" x14ac:dyDescent="0.3">
      <c r="A27">
        <v>39</v>
      </c>
      <c r="B27" s="12" t="s">
        <v>195</v>
      </c>
      <c r="C27" s="21" t="s">
        <v>140</v>
      </c>
      <c r="D27" s="21">
        <f>+VLOOKUP(B27,'[1]Consumo x Cod Articulo'!$C$1:$O$65536,6,)</f>
        <v>7.4499999999999997E-2</v>
      </c>
      <c r="E27" s="21" t="str">
        <f>+IF(F27=H27,"No","si")</f>
        <v>No</v>
      </c>
      <c r="F27" s="24"/>
      <c r="G27" s="24">
        <f>+F27*D27</f>
        <v>0</v>
      </c>
      <c r="H27" s="24"/>
      <c r="I27" s="24">
        <f>+SUM(J27:R27)</f>
        <v>864</v>
      </c>
      <c r="J27" s="21" t="str">
        <f>+IF(SUMIFS(Hoja1!$F:$F,Hoja1!$D:$D,$B27,Hoja1!$I:$I,J$2)&gt;1,SUMIFS(Hoja1!$F:$F,Hoja1!$D:$D,$B27,Hoja1!$I:$I,J$2),"")</f>
        <v/>
      </c>
      <c r="K27" s="21" t="str">
        <f>+IF(SUMIFS(Hoja1!$F:$F,Hoja1!$D:$D,$B27,Hoja1!$I:$I,K$2)&gt;1,SUMIFS(Hoja1!$F:$F,Hoja1!$D:$D,$B27,Hoja1!$I:$I,K$2),"")</f>
        <v/>
      </c>
      <c r="L27" s="21" t="str">
        <f>+IF(SUMIFS(Hoja1!$F:$F,Hoja1!$D:$D,$B27,Hoja1!$I:$I,L$2)&gt;1,SUMIFS(Hoja1!$F:$F,Hoja1!$D:$D,$B27,Hoja1!$I:$I,L$2),"")</f>
        <v/>
      </c>
      <c r="M27" s="21" t="str">
        <f>+IF(SUMIFS(Hoja1!$F:$F,Hoja1!$D:$D,$B27,Hoja1!$I:$I,M$2)&gt;1,SUMIFS(Hoja1!$F:$F,Hoja1!$D:$D,$B27,Hoja1!$I:$I,M$2),"")</f>
        <v/>
      </c>
      <c r="N27" s="21" t="str">
        <f>+IF(SUMIFS(Hoja1!$F:$F,Hoja1!$D:$D,$B27,Hoja1!$I:$I,N$2)&gt;1,SUMIFS(Hoja1!$F:$F,Hoja1!$D:$D,$B27,Hoja1!$I:$I,N$2),"")</f>
        <v/>
      </c>
      <c r="O27" s="21" t="str">
        <f>+IF(SUMIFS(Hoja1!$F:$F,Hoja1!$D:$D,$B27,Hoja1!$I:$I,O$2)&gt;1,SUMIFS(Hoja1!$F:$F,Hoja1!$D:$D,$B27,Hoja1!$I:$I,O$2),"")</f>
        <v/>
      </c>
      <c r="P27" s="21">
        <f>+IF(SUMIFS(Hoja1!$F:$F,Hoja1!$D:$D,$B27,Hoja1!$I:$I,P$2)&gt;1,SUMIFS(Hoja1!$F:$F,Hoja1!$D:$D,$B27,Hoja1!$I:$I,P$2),"")</f>
        <v>864</v>
      </c>
      <c r="Q27" s="21" t="str">
        <f>+IF(SUMIFS(Hoja1!$F:$F,Hoja1!$D:$D,$B27,Hoja1!$I:$I,Q$2)&gt;1,SUMIFS(Hoja1!$F:$F,Hoja1!$D:$D,$B27,Hoja1!$I:$I,Q$2),"")</f>
        <v/>
      </c>
      <c r="R27" s="21" t="str">
        <f>+IF(SUMIFS(Hoja1!$F:$F,Hoja1!$D:$D,$B27,Hoja1!$I:$I,R$2)&gt;1,SUMIFS(Hoja1!$F:$F,Hoja1!$D:$D,$B27,Hoja1!$I:$I,R$2),"")</f>
        <v/>
      </c>
    </row>
    <row r="28" spans="1:18" ht="18" hidden="1" x14ac:dyDescent="0.3">
      <c r="A28">
        <v>43</v>
      </c>
      <c r="B28" s="12" t="s">
        <v>182</v>
      </c>
      <c r="C28" s="21" t="s">
        <v>128</v>
      </c>
      <c r="D28" s="21">
        <f>+VLOOKUP(B28,'[1]Consumo x Cod Articulo'!$C$1:$O$65536,6,)</f>
        <v>5.5E-2</v>
      </c>
      <c r="E28" s="21" t="str">
        <f>+IF(F28=H28,"No","si")</f>
        <v>No</v>
      </c>
      <c r="F28" s="24"/>
      <c r="G28" s="24">
        <f>+F28*D28</f>
        <v>0</v>
      </c>
      <c r="H28" s="24"/>
      <c r="I28" s="24">
        <f>+SUM(J28:R28)</f>
        <v>744</v>
      </c>
      <c r="J28" s="21" t="str">
        <f>+IF(SUMIFS(Hoja1!$F:$F,Hoja1!$D:$D,$B28,Hoja1!$I:$I,J$2)&gt;1,SUMIFS(Hoja1!$F:$F,Hoja1!$D:$D,$B28,Hoja1!$I:$I,J$2),"")</f>
        <v/>
      </c>
      <c r="K28" s="21" t="str">
        <f>+IF(SUMIFS(Hoja1!$F:$F,Hoja1!$D:$D,$B28,Hoja1!$I:$I,K$2)&gt;1,SUMIFS(Hoja1!$F:$F,Hoja1!$D:$D,$B28,Hoja1!$I:$I,K$2),"")</f>
        <v/>
      </c>
      <c r="L28" s="21" t="str">
        <f>+IF(SUMIFS(Hoja1!$F:$F,Hoja1!$D:$D,$B28,Hoja1!$I:$I,L$2)&gt;1,SUMIFS(Hoja1!$F:$F,Hoja1!$D:$D,$B28,Hoja1!$I:$I,L$2),"")</f>
        <v/>
      </c>
      <c r="M28" s="21" t="str">
        <f>+IF(SUMIFS(Hoja1!$F:$F,Hoja1!$D:$D,$B28,Hoja1!$I:$I,M$2)&gt;1,SUMIFS(Hoja1!$F:$F,Hoja1!$D:$D,$B28,Hoja1!$I:$I,M$2),"")</f>
        <v/>
      </c>
      <c r="N28" s="21">
        <f>+IF(SUMIFS(Hoja1!$F:$F,Hoja1!$D:$D,$B28,Hoja1!$I:$I,N$2)&gt;1,SUMIFS(Hoja1!$F:$F,Hoja1!$D:$D,$B28,Hoja1!$I:$I,N$2),"")</f>
        <v>744</v>
      </c>
      <c r="O28" s="21" t="str">
        <f>+IF(SUMIFS(Hoja1!$F:$F,Hoja1!$D:$D,$B28,Hoja1!$I:$I,O$2)&gt;1,SUMIFS(Hoja1!$F:$F,Hoja1!$D:$D,$B28,Hoja1!$I:$I,O$2),"")</f>
        <v/>
      </c>
      <c r="P28" s="21" t="str">
        <f>+IF(SUMIFS(Hoja1!$F:$F,Hoja1!$D:$D,$B28,Hoja1!$I:$I,P$2)&gt;1,SUMIFS(Hoja1!$F:$F,Hoja1!$D:$D,$B28,Hoja1!$I:$I,P$2),"")</f>
        <v/>
      </c>
      <c r="Q28" s="21" t="str">
        <f>+IF(SUMIFS(Hoja1!$F:$F,Hoja1!$D:$D,$B28,Hoja1!$I:$I,Q$2)&gt;1,SUMIFS(Hoja1!$F:$F,Hoja1!$D:$D,$B28,Hoja1!$I:$I,Q$2),"")</f>
        <v/>
      </c>
      <c r="R28" s="21" t="str">
        <f>+IF(SUMIFS(Hoja1!$F:$F,Hoja1!$D:$D,$B28,Hoja1!$I:$I,R$2)&gt;1,SUMIFS(Hoja1!$F:$F,Hoja1!$D:$D,$B28,Hoja1!$I:$I,R$2),"")</f>
        <v/>
      </c>
    </row>
    <row r="29" spans="1:18" ht="18" hidden="1" x14ac:dyDescent="0.3">
      <c r="A29">
        <v>32</v>
      </c>
      <c r="B29" s="12" t="s">
        <v>171</v>
      </c>
      <c r="C29" s="21" t="s">
        <v>118</v>
      </c>
      <c r="D29" s="21">
        <f>+VLOOKUP(B29,'[1]Consumo x Cod Articulo'!$C$1:$O$65536,6,)</f>
        <v>8.9999999999999993E-3</v>
      </c>
      <c r="E29" s="21" t="str">
        <f>+IF(F29=H29,"No","si")</f>
        <v>No</v>
      </c>
      <c r="F29" s="24">
        <f>+H29</f>
        <v>1200</v>
      </c>
      <c r="G29" s="24">
        <f>+F29*D29</f>
        <v>10.799999999999999</v>
      </c>
      <c r="H29" s="24">
        <v>1200</v>
      </c>
      <c r="I29" s="24">
        <f>+SUM(J29:R29)</f>
        <v>600</v>
      </c>
      <c r="J29" s="21" t="str">
        <f>+IF(SUMIFS(Hoja1!$F:$F,Hoja1!$D:$D,$B29,Hoja1!$I:$I,J$2)&gt;1,SUMIFS(Hoja1!$F:$F,Hoja1!$D:$D,$B29,Hoja1!$I:$I,J$2),"")</f>
        <v/>
      </c>
      <c r="K29" s="21" t="str">
        <f>+IF(SUMIFS(Hoja1!$F:$F,Hoja1!$D:$D,$B29,Hoja1!$I:$I,K$2)&gt;1,SUMIFS(Hoja1!$F:$F,Hoja1!$D:$D,$B29,Hoja1!$I:$I,K$2),"")</f>
        <v/>
      </c>
      <c r="L29" s="21" t="str">
        <f>+IF(SUMIFS(Hoja1!$F:$F,Hoja1!$D:$D,$B29,Hoja1!$I:$I,L$2)&gt;1,SUMIFS(Hoja1!$F:$F,Hoja1!$D:$D,$B29,Hoja1!$I:$I,L$2),"")</f>
        <v/>
      </c>
      <c r="M29" s="21" t="str">
        <f>+IF(SUMIFS(Hoja1!$F:$F,Hoja1!$D:$D,$B29,Hoja1!$I:$I,M$2)&gt;1,SUMIFS(Hoja1!$F:$F,Hoja1!$D:$D,$B29,Hoja1!$I:$I,M$2),"")</f>
        <v/>
      </c>
      <c r="N29" s="21">
        <f>+IF(SUMIFS(Hoja1!$F:$F,Hoja1!$D:$D,$B29,Hoja1!$I:$I,N$2)&gt;1,SUMIFS(Hoja1!$F:$F,Hoja1!$D:$D,$B29,Hoja1!$I:$I,N$2),"")</f>
        <v>600</v>
      </c>
      <c r="O29" s="21" t="str">
        <f>+IF(SUMIFS(Hoja1!$F:$F,Hoja1!$D:$D,$B29,Hoja1!$I:$I,O$2)&gt;1,SUMIFS(Hoja1!$F:$F,Hoja1!$D:$D,$B29,Hoja1!$I:$I,O$2),"")</f>
        <v/>
      </c>
      <c r="P29" s="21" t="str">
        <f>+IF(SUMIFS(Hoja1!$F:$F,Hoja1!$D:$D,$B29,Hoja1!$I:$I,P$2)&gt;1,SUMIFS(Hoja1!$F:$F,Hoja1!$D:$D,$B29,Hoja1!$I:$I,P$2),"")</f>
        <v/>
      </c>
      <c r="Q29" s="21" t="str">
        <f>+IF(SUMIFS(Hoja1!$F:$F,Hoja1!$D:$D,$B29,Hoja1!$I:$I,Q$2)&gt;1,SUMIFS(Hoja1!$F:$F,Hoja1!$D:$D,$B29,Hoja1!$I:$I,Q$2),"")</f>
        <v/>
      </c>
      <c r="R29" s="21" t="str">
        <f>+IF(SUMIFS(Hoja1!$F:$F,Hoja1!$D:$D,$B29,Hoja1!$I:$I,R$2)&gt;1,SUMIFS(Hoja1!$F:$F,Hoja1!$D:$D,$B29,Hoja1!$I:$I,R$2),"")</f>
        <v/>
      </c>
    </row>
    <row r="30" spans="1:18" ht="18" hidden="1" x14ac:dyDescent="0.3">
      <c r="A30">
        <v>40</v>
      </c>
      <c r="B30" s="12" t="s">
        <v>196</v>
      </c>
      <c r="C30" s="21" t="s">
        <v>141</v>
      </c>
      <c r="D30" s="21">
        <f>+VLOOKUP(B30,'[1]Consumo x Cod Articulo'!$C$1:$O$65536,6,)</f>
        <v>7.4499999999999997E-2</v>
      </c>
      <c r="E30" s="21" t="str">
        <f>+IF(F30=H30,"No","si")</f>
        <v>No</v>
      </c>
      <c r="F30" s="24"/>
      <c r="G30" s="24">
        <f>+F30*D30</f>
        <v>0</v>
      </c>
      <c r="H30" s="24"/>
      <c r="I30" s="24">
        <f>+SUM(J30:R30)</f>
        <v>600</v>
      </c>
      <c r="J30" s="21">
        <f>+IF(SUMIFS(Hoja1!$F:$F,Hoja1!$D:$D,$B30,Hoja1!$I:$I,J$2)&gt;1,SUMIFS(Hoja1!$F:$F,Hoja1!$D:$D,$B30,Hoja1!$I:$I,J$2),"")</f>
        <v>600</v>
      </c>
      <c r="K30" s="21" t="str">
        <f>+IF(SUMIFS(Hoja1!$F:$F,Hoja1!$D:$D,$B30,Hoja1!$I:$I,K$2)&gt;1,SUMIFS(Hoja1!$F:$F,Hoja1!$D:$D,$B30,Hoja1!$I:$I,K$2),"")</f>
        <v/>
      </c>
      <c r="L30" s="21" t="str">
        <f>+IF(SUMIFS(Hoja1!$F:$F,Hoja1!$D:$D,$B30,Hoja1!$I:$I,L$2)&gt;1,SUMIFS(Hoja1!$F:$F,Hoja1!$D:$D,$B30,Hoja1!$I:$I,L$2),"")</f>
        <v/>
      </c>
      <c r="M30" s="21" t="str">
        <f>+IF(SUMIFS(Hoja1!$F:$F,Hoja1!$D:$D,$B30,Hoja1!$I:$I,M$2)&gt;1,SUMIFS(Hoja1!$F:$F,Hoja1!$D:$D,$B30,Hoja1!$I:$I,M$2),"")</f>
        <v/>
      </c>
      <c r="N30" s="21" t="str">
        <f>+IF(SUMIFS(Hoja1!$F:$F,Hoja1!$D:$D,$B30,Hoja1!$I:$I,N$2)&gt;1,SUMIFS(Hoja1!$F:$F,Hoja1!$D:$D,$B30,Hoja1!$I:$I,N$2),"")</f>
        <v/>
      </c>
      <c r="O30" s="21" t="str">
        <f>+IF(SUMIFS(Hoja1!$F:$F,Hoja1!$D:$D,$B30,Hoja1!$I:$I,O$2)&gt;1,SUMIFS(Hoja1!$F:$F,Hoja1!$D:$D,$B30,Hoja1!$I:$I,O$2),"")</f>
        <v/>
      </c>
      <c r="P30" s="21" t="str">
        <f>+IF(SUMIFS(Hoja1!$F:$F,Hoja1!$D:$D,$B30,Hoja1!$I:$I,P$2)&gt;1,SUMIFS(Hoja1!$F:$F,Hoja1!$D:$D,$B30,Hoja1!$I:$I,P$2),"")</f>
        <v/>
      </c>
      <c r="Q30" s="21" t="str">
        <f>+IF(SUMIFS(Hoja1!$F:$F,Hoja1!$D:$D,$B30,Hoja1!$I:$I,Q$2)&gt;1,SUMIFS(Hoja1!$F:$F,Hoja1!$D:$D,$B30,Hoja1!$I:$I,Q$2),"")</f>
        <v/>
      </c>
      <c r="R30" s="21" t="str">
        <f>+IF(SUMIFS(Hoja1!$F:$F,Hoja1!$D:$D,$B30,Hoja1!$I:$I,R$2)&gt;1,SUMIFS(Hoja1!$F:$F,Hoja1!$D:$D,$B30,Hoja1!$I:$I,R$2),"")</f>
        <v/>
      </c>
    </row>
    <row r="31" spans="1:18" ht="18" hidden="1" x14ac:dyDescent="0.3">
      <c r="A31">
        <v>47</v>
      </c>
      <c r="B31" s="12" t="s">
        <v>183</v>
      </c>
      <c r="C31" s="21" t="s">
        <v>129</v>
      </c>
      <c r="D31" s="21">
        <f>+VLOOKUP(B31,'[1]Consumo x Cod Articulo'!$C$1:$O$65536,6,)</f>
        <v>4.2999999999999997E-2</v>
      </c>
      <c r="E31" s="21" t="str">
        <f>+IF(F31=H31,"No","si")</f>
        <v>No</v>
      </c>
      <c r="F31" s="24"/>
      <c r="G31" s="24">
        <f>+F31*D31</f>
        <v>0</v>
      </c>
      <c r="H31" s="24"/>
      <c r="I31" s="24">
        <f>+SUM(J31:R31)</f>
        <v>576</v>
      </c>
      <c r="J31" s="21" t="str">
        <f>+IF(SUMIFS(Hoja1!$F:$F,Hoja1!$D:$D,$B31,Hoja1!$I:$I,J$2)&gt;1,SUMIFS(Hoja1!$F:$F,Hoja1!$D:$D,$B31,Hoja1!$I:$I,J$2),"")</f>
        <v/>
      </c>
      <c r="K31" s="21" t="str">
        <f>+IF(SUMIFS(Hoja1!$F:$F,Hoja1!$D:$D,$B31,Hoja1!$I:$I,K$2)&gt;1,SUMIFS(Hoja1!$F:$F,Hoja1!$D:$D,$B31,Hoja1!$I:$I,K$2),"")</f>
        <v/>
      </c>
      <c r="L31" s="21" t="str">
        <f>+IF(SUMIFS(Hoja1!$F:$F,Hoja1!$D:$D,$B31,Hoja1!$I:$I,L$2)&gt;1,SUMIFS(Hoja1!$F:$F,Hoja1!$D:$D,$B31,Hoja1!$I:$I,L$2),"")</f>
        <v/>
      </c>
      <c r="M31" s="21" t="str">
        <f>+IF(SUMIFS(Hoja1!$F:$F,Hoja1!$D:$D,$B31,Hoja1!$I:$I,M$2)&gt;1,SUMIFS(Hoja1!$F:$F,Hoja1!$D:$D,$B31,Hoja1!$I:$I,M$2),"")</f>
        <v/>
      </c>
      <c r="N31" s="21">
        <f>+IF(SUMIFS(Hoja1!$F:$F,Hoja1!$D:$D,$B31,Hoja1!$I:$I,N$2)&gt;1,SUMIFS(Hoja1!$F:$F,Hoja1!$D:$D,$B31,Hoja1!$I:$I,N$2),"")</f>
        <v>576</v>
      </c>
      <c r="O31" s="21" t="str">
        <f>+IF(SUMIFS(Hoja1!$F:$F,Hoja1!$D:$D,$B31,Hoja1!$I:$I,O$2)&gt;1,SUMIFS(Hoja1!$F:$F,Hoja1!$D:$D,$B31,Hoja1!$I:$I,O$2),"")</f>
        <v/>
      </c>
      <c r="P31" s="21" t="str">
        <f>+IF(SUMIFS(Hoja1!$F:$F,Hoja1!$D:$D,$B31,Hoja1!$I:$I,P$2)&gt;1,SUMIFS(Hoja1!$F:$F,Hoja1!$D:$D,$B31,Hoja1!$I:$I,P$2),"")</f>
        <v/>
      </c>
      <c r="Q31" s="21" t="str">
        <f>+IF(SUMIFS(Hoja1!$F:$F,Hoja1!$D:$D,$B31,Hoja1!$I:$I,Q$2)&gt;1,SUMIFS(Hoja1!$F:$F,Hoja1!$D:$D,$B31,Hoja1!$I:$I,Q$2),"")</f>
        <v/>
      </c>
      <c r="R31" s="21" t="str">
        <f>+IF(SUMIFS(Hoja1!$F:$F,Hoja1!$D:$D,$B31,Hoja1!$I:$I,R$2)&gt;1,SUMIFS(Hoja1!$F:$F,Hoja1!$D:$D,$B31,Hoja1!$I:$I,R$2),"")</f>
        <v/>
      </c>
    </row>
    <row r="32" spans="1:18" ht="18" hidden="1" x14ac:dyDescent="0.3">
      <c r="A32">
        <v>42</v>
      </c>
      <c r="B32" s="12" t="s">
        <v>189</v>
      </c>
      <c r="C32" s="21" t="s">
        <v>135</v>
      </c>
      <c r="D32" s="21">
        <f>+VLOOKUP(B32,'[1]Consumo x Cod Articulo'!$C$1:$O$65536,6,)</f>
        <v>1.4E-2</v>
      </c>
      <c r="E32" s="21" t="str">
        <f>+IF(F32=H32,"No","si")</f>
        <v>No</v>
      </c>
      <c r="F32" s="24"/>
      <c r="G32" s="24">
        <f>+F32*D32</f>
        <v>0</v>
      </c>
      <c r="H32" s="24"/>
      <c r="I32" s="24">
        <f>+SUM(J32:R32)</f>
        <v>480</v>
      </c>
      <c r="J32" s="21" t="str">
        <f>+IF(SUMIFS(Hoja1!$F:$F,Hoja1!$D:$D,$B32,Hoja1!$I:$I,J$2)&gt;1,SUMIFS(Hoja1!$F:$F,Hoja1!$D:$D,$B32,Hoja1!$I:$I,J$2),"")</f>
        <v/>
      </c>
      <c r="K32" s="21">
        <f>+IF(SUMIFS(Hoja1!$F:$F,Hoja1!$D:$D,$B32,Hoja1!$I:$I,K$2)&gt;1,SUMIFS(Hoja1!$F:$F,Hoja1!$D:$D,$B32,Hoja1!$I:$I,K$2),"")</f>
        <v>480</v>
      </c>
      <c r="L32" s="21" t="str">
        <f>+IF(SUMIFS(Hoja1!$F:$F,Hoja1!$D:$D,$B32,Hoja1!$I:$I,L$2)&gt;1,SUMIFS(Hoja1!$F:$F,Hoja1!$D:$D,$B32,Hoja1!$I:$I,L$2),"")</f>
        <v/>
      </c>
      <c r="M32" s="21" t="str">
        <f>+IF(SUMIFS(Hoja1!$F:$F,Hoja1!$D:$D,$B32,Hoja1!$I:$I,M$2)&gt;1,SUMIFS(Hoja1!$F:$F,Hoja1!$D:$D,$B32,Hoja1!$I:$I,M$2),"")</f>
        <v/>
      </c>
      <c r="N32" s="21" t="str">
        <f>+IF(SUMIFS(Hoja1!$F:$F,Hoja1!$D:$D,$B32,Hoja1!$I:$I,N$2)&gt;1,SUMIFS(Hoja1!$F:$F,Hoja1!$D:$D,$B32,Hoja1!$I:$I,N$2),"")</f>
        <v/>
      </c>
      <c r="O32" s="21" t="str">
        <f>+IF(SUMIFS(Hoja1!$F:$F,Hoja1!$D:$D,$B32,Hoja1!$I:$I,O$2)&gt;1,SUMIFS(Hoja1!$F:$F,Hoja1!$D:$D,$B32,Hoja1!$I:$I,O$2),"")</f>
        <v/>
      </c>
      <c r="P32" s="21" t="str">
        <f>+IF(SUMIFS(Hoja1!$F:$F,Hoja1!$D:$D,$B32,Hoja1!$I:$I,P$2)&gt;1,SUMIFS(Hoja1!$F:$F,Hoja1!$D:$D,$B32,Hoja1!$I:$I,P$2),"")</f>
        <v/>
      </c>
      <c r="Q32" s="21" t="str">
        <f>+IF(SUMIFS(Hoja1!$F:$F,Hoja1!$D:$D,$B32,Hoja1!$I:$I,Q$2)&gt;1,SUMIFS(Hoja1!$F:$F,Hoja1!$D:$D,$B32,Hoja1!$I:$I,Q$2),"")</f>
        <v/>
      </c>
      <c r="R32" s="21" t="str">
        <f>+IF(SUMIFS(Hoja1!$F:$F,Hoja1!$D:$D,$B32,Hoja1!$I:$I,R$2)&gt;1,SUMIFS(Hoja1!$F:$F,Hoja1!$D:$D,$B32,Hoja1!$I:$I,R$2),"")</f>
        <v/>
      </c>
    </row>
    <row r="33" spans="1:18" ht="18" hidden="1" x14ac:dyDescent="0.3">
      <c r="A33">
        <v>44</v>
      </c>
      <c r="B33" s="12" t="s">
        <v>184</v>
      </c>
      <c r="C33" s="21" t="s">
        <v>130</v>
      </c>
      <c r="D33" s="21">
        <f>+VLOOKUP(B33,'[1]Consumo x Cod Articulo'!$C$1:$O$65536,6,)</f>
        <v>0.05</v>
      </c>
      <c r="E33" s="21" t="str">
        <f>+IF(F33=H33,"No","si")</f>
        <v>No</v>
      </c>
      <c r="F33" s="24"/>
      <c r="G33" s="24">
        <f>+F33*D33</f>
        <v>0</v>
      </c>
      <c r="H33" s="24"/>
      <c r="I33" s="24">
        <f>+SUM(J33:R33)</f>
        <v>480</v>
      </c>
      <c r="J33" s="21" t="str">
        <f>+IF(SUMIFS(Hoja1!$F:$F,Hoja1!$D:$D,$B33,Hoja1!$I:$I,J$2)&gt;1,SUMIFS(Hoja1!$F:$F,Hoja1!$D:$D,$B33,Hoja1!$I:$I,J$2),"")</f>
        <v/>
      </c>
      <c r="K33" s="21" t="str">
        <f>+IF(SUMIFS(Hoja1!$F:$F,Hoja1!$D:$D,$B33,Hoja1!$I:$I,K$2)&gt;1,SUMIFS(Hoja1!$F:$F,Hoja1!$D:$D,$B33,Hoja1!$I:$I,K$2),"")</f>
        <v/>
      </c>
      <c r="L33" s="21" t="str">
        <f>+IF(SUMIFS(Hoja1!$F:$F,Hoja1!$D:$D,$B33,Hoja1!$I:$I,L$2)&gt;1,SUMIFS(Hoja1!$F:$F,Hoja1!$D:$D,$B33,Hoja1!$I:$I,L$2),"")</f>
        <v/>
      </c>
      <c r="M33" s="21" t="str">
        <f>+IF(SUMIFS(Hoja1!$F:$F,Hoja1!$D:$D,$B33,Hoja1!$I:$I,M$2)&gt;1,SUMIFS(Hoja1!$F:$F,Hoja1!$D:$D,$B33,Hoja1!$I:$I,M$2),"")</f>
        <v/>
      </c>
      <c r="N33" s="21">
        <f>+IF(SUMIFS(Hoja1!$F:$F,Hoja1!$D:$D,$B33,Hoja1!$I:$I,N$2)&gt;1,SUMIFS(Hoja1!$F:$F,Hoja1!$D:$D,$B33,Hoja1!$I:$I,N$2),"")</f>
        <v>480</v>
      </c>
      <c r="O33" s="21" t="str">
        <f>+IF(SUMIFS(Hoja1!$F:$F,Hoja1!$D:$D,$B33,Hoja1!$I:$I,O$2)&gt;1,SUMIFS(Hoja1!$F:$F,Hoja1!$D:$D,$B33,Hoja1!$I:$I,O$2),"")</f>
        <v/>
      </c>
      <c r="P33" s="21" t="str">
        <f>+IF(SUMIFS(Hoja1!$F:$F,Hoja1!$D:$D,$B33,Hoja1!$I:$I,P$2)&gt;1,SUMIFS(Hoja1!$F:$F,Hoja1!$D:$D,$B33,Hoja1!$I:$I,P$2),"")</f>
        <v/>
      </c>
      <c r="Q33" s="21" t="str">
        <f>+IF(SUMIFS(Hoja1!$F:$F,Hoja1!$D:$D,$B33,Hoja1!$I:$I,Q$2)&gt;1,SUMIFS(Hoja1!$F:$F,Hoja1!$D:$D,$B33,Hoja1!$I:$I,Q$2),"")</f>
        <v/>
      </c>
      <c r="R33" s="21" t="str">
        <f>+IF(SUMIFS(Hoja1!$F:$F,Hoja1!$D:$D,$B33,Hoja1!$I:$I,R$2)&gt;1,SUMIFS(Hoja1!$F:$F,Hoja1!$D:$D,$B33,Hoja1!$I:$I,R$2),"")</f>
        <v/>
      </c>
    </row>
    <row r="34" spans="1:18" ht="18" hidden="1" x14ac:dyDescent="0.3">
      <c r="A34">
        <v>1</v>
      </c>
      <c r="B34" s="12" t="s">
        <v>147</v>
      </c>
      <c r="C34" s="21" t="s">
        <v>95</v>
      </c>
      <c r="D34" s="21">
        <f>+VLOOKUP(B34,'[1]Consumo x Cod Articulo'!$C$1:$O$65536,6,)</f>
        <v>2E-3</v>
      </c>
      <c r="E34" s="21" t="str">
        <f>+IF(F34=H34,"No","si")</f>
        <v>No</v>
      </c>
      <c r="F34" s="24">
        <f>+H34</f>
        <v>1000</v>
      </c>
      <c r="G34" s="24">
        <f>+F34*D34</f>
        <v>2</v>
      </c>
      <c r="H34" s="24">
        <v>1000</v>
      </c>
      <c r="I34" s="24">
        <f>+SUM(J34:R34)</f>
        <v>420</v>
      </c>
      <c r="J34" s="21">
        <f>+IF(SUMIFS(Hoja1!$F:$F,Hoja1!$D:$D,$B34,Hoja1!$I:$I,J$2)&gt;1,SUMIFS(Hoja1!$F:$F,Hoja1!$D:$D,$B34,Hoja1!$I:$I,J$2),"")</f>
        <v>420</v>
      </c>
      <c r="K34" s="21" t="str">
        <f>+IF(SUMIFS(Hoja1!$F:$F,Hoja1!$D:$D,$B34,Hoja1!$I:$I,K$2)&gt;1,SUMIFS(Hoja1!$F:$F,Hoja1!$D:$D,$B34,Hoja1!$I:$I,K$2),"")</f>
        <v/>
      </c>
      <c r="L34" s="21" t="str">
        <f>+IF(SUMIFS(Hoja1!$F:$F,Hoja1!$D:$D,$B34,Hoja1!$I:$I,L$2)&gt;1,SUMIFS(Hoja1!$F:$F,Hoja1!$D:$D,$B34,Hoja1!$I:$I,L$2),"")</f>
        <v/>
      </c>
      <c r="M34" s="21" t="str">
        <f>+IF(SUMIFS(Hoja1!$F:$F,Hoja1!$D:$D,$B34,Hoja1!$I:$I,M$2)&gt;1,SUMIFS(Hoja1!$F:$F,Hoja1!$D:$D,$B34,Hoja1!$I:$I,M$2),"")</f>
        <v/>
      </c>
      <c r="N34" s="21" t="str">
        <f>+IF(SUMIFS(Hoja1!$F:$F,Hoja1!$D:$D,$B34,Hoja1!$I:$I,N$2)&gt;1,SUMIFS(Hoja1!$F:$F,Hoja1!$D:$D,$B34,Hoja1!$I:$I,N$2),"")</f>
        <v/>
      </c>
      <c r="O34" s="21" t="str">
        <f>+IF(SUMIFS(Hoja1!$F:$F,Hoja1!$D:$D,$B34,Hoja1!$I:$I,O$2)&gt;1,SUMIFS(Hoja1!$F:$F,Hoja1!$D:$D,$B34,Hoja1!$I:$I,O$2),"")</f>
        <v/>
      </c>
      <c r="P34" s="21" t="str">
        <f>+IF(SUMIFS(Hoja1!$F:$F,Hoja1!$D:$D,$B34,Hoja1!$I:$I,P$2)&gt;1,SUMIFS(Hoja1!$F:$F,Hoja1!$D:$D,$B34,Hoja1!$I:$I,P$2),"")</f>
        <v/>
      </c>
      <c r="Q34" s="21" t="str">
        <f>+IF(SUMIFS(Hoja1!$F:$F,Hoja1!$D:$D,$B34,Hoja1!$I:$I,Q$2)&gt;1,SUMIFS(Hoja1!$F:$F,Hoja1!$D:$D,$B34,Hoja1!$I:$I,Q$2),"")</f>
        <v/>
      </c>
      <c r="R34" s="21" t="str">
        <f>+IF(SUMIFS(Hoja1!$F:$F,Hoja1!$D:$D,$B34,Hoja1!$I:$I,R$2)&gt;1,SUMIFS(Hoja1!$F:$F,Hoja1!$D:$D,$B34,Hoja1!$I:$I,R$2),"")</f>
        <v/>
      </c>
    </row>
    <row r="35" spans="1:18" ht="18" hidden="1" x14ac:dyDescent="0.3">
      <c r="A35">
        <v>4</v>
      </c>
      <c r="B35" s="12" t="s">
        <v>152</v>
      </c>
      <c r="C35" s="21" t="s">
        <v>100</v>
      </c>
      <c r="D35" s="21">
        <f>+VLOOKUP(B35,'[1]Consumo x Cod Articulo'!$C$1:$O$65536,6,)</f>
        <v>0.01</v>
      </c>
      <c r="E35" s="21" t="str">
        <f>+IF(F35=H35,"No","si")</f>
        <v>No</v>
      </c>
      <c r="F35" s="24">
        <f>+H35</f>
        <v>1000</v>
      </c>
      <c r="G35" s="24">
        <f>+F35*D35</f>
        <v>10</v>
      </c>
      <c r="H35" s="24">
        <v>1000</v>
      </c>
      <c r="I35" s="24">
        <f>+SUM(J35:R35)</f>
        <v>360</v>
      </c>
      <c r="J35" s="21">
        <f>+IF(SUMIFS(Hoja1!$F:$F,Hoja1!$D:$D,$B35,Hoja1!$I:$I,J$2)&gt;1,SUMIFS(Hoja1!$F:$F,Hoja1!$D:$D,$B35,Hoja1!$I:$I,J$2),"")</f>
        <v>360</v>
      </c>
      <c r="K35" s="21" t="str">
        <f>+IF(SUMIFS(Hoja1!$F:$F,Hoja1!$D:$D,$B35,Hoja1!$I:$I,K$2)&gt;1,SUMIFS(Hoja1!$F:$F,Hoja1!$D:$D,$B35,Hoja1!$I:$I,K$2),"")</f>
        <v/>
      </c>
      <c r="L35" s="21" t="str">
        <f>+IF(SUMIFS(Hoja1!$F:$F,Hoja1!$D:$D,$B35,Hoja1!$I:$I,L$2)&gt;1,SUMIFS(Hoja1!$F:$F,Hoja1!$D:$D,$B35,Hoja1!$I:$I,L$2),"")</f>
        <v/>
      </c>
      <c r="M35" s="21" t="str">
        <f>+IF(SUMIFS(Hoja1!$F:$F,Hoja1!$D:$D,$B35,Hoja1!$I:$I,M$2)&gt;1,SUMIFS(Hoja1!$F:$F,Hoja1!$D:$D,$B35,Hoja1!$I:$I,M$2),"")</f>
        <v/>
      </c>
      <c r="N35" s="21" t="str">
        <f>+IF(SUMIFS(Hoja1!$F:$F,Hoja1!$D:$D,$B35,Hoja1!$I:$I,N$2)&gt;1,SUMIFS(Hoja1!$F:$F,Hoja1!$D:$D,$B35,Hoja1!$I:$I,N$2),"")</f>
        <v/>
      </c>
      <c r="O35" s="21" t="str">
        <f>+IF(SUMIFS(Hoja1!$F:$F,Hoja1!$D:$D,$B35,Hoja1!$I:$I,O$2)&gt;1,SUMIFS(Hoja1!$F:$F,Hoja1!$D:$D,$B35,Hoja1!$I:$I,O$2),"")</f>
        <v/>
      </c>
      <c r="P35" s="21" t="str">
        <f>+IF(SUMIFS(Hoja1!$F:$F,Hoja1!$D:$D,$B35,Hoja1!$I:$I,P$2)&gt;1,SUMIFS(Hoja1!$F:$F,Hoja1!$D:$D,$B35,Hoja1!$I:$I,P$2),"")</f>
        <v/>
      </c>
      <c r="Q35" s="21" t="str">
        <f>+IF(SUMIFS(Hoja1!$F:$F,Hoja1!$D:$D,$B35,Hoja1!$I:$I,Q$2)&gt;1,SUMIFS(Hoja1!$F:$F,Hoja1!$D:$D,$B35,Hoja1!$I:$I,Q$2),"")</f>
        <v/>
      </c>
      <c r="R35" s="21" t="str">
        <f>+IF(SUMIFS(Hoja1!$F:$F,Hoja1!$D:$D,$B35,Hoja1!$I:$I,R$2)&gt;1,SUMIFS(Hoja1!$F:$F,Hoja1!$D:$D,$B35,Hoja1!$I:$I,R$2),"")</f>
        <v/>
      </c>
    </row>
    <row r="36" spans="1:18" ht="18" x14ac:dyDescent="0.3">
      <c r="A36">
        <v>14</v>
      </c>
      <c r="B36" s="12" t="s">
        <v>149</v>
      </c>
      <c r="C36" s="21" t="s">
        <v>97</v>
      </c>
      <c r="D36" s="30">
        <f>+VLOOKUP(B36,'[1]Consumo x Cod Articulo'!$C$1:$O$65536,6,)</f>
        <v>2.2000000000000001E-3</v>
      </c>
      <c r="E36" s="21" t="str">
        <f>+IF(F36=H36,"No","si")</f>
        <v>si</v>
      </c>
      <c r="F36" s="24">
        <v>2500</v>
      </c>
      <c r="G36" s="27">
        <f>+F36*D36</f>
        <v>5.5</v>
      </c>
      <c r="H36" s="24">
        <f>+VLOOKUP(B36,'[1]Relevamiento y OP VACIO'!$C$1:$AH$65536,26,)</f>
        <v>5000</v>
      </c>
      <c r="I36" s="24">
        <f>+SUM(J36:R36)</f>
        <v>11000</v>
      </c>
      <c r="J36" s="21">
        <f>+IF(SUMIFS(Hoja1!$F:$F,Hoja1!$D:$D,$B36,Hoja1!$I:$I,J$2)&gt;1,SUMIFS(Hoja1!$F:$F,Hoja1!$D:$D,$B36,Hoja1!$I:$I,J$2),"")</f>
        <v>1172</v>
      </c>
      <c r="K36" s="21" t="str">
        <f>+IF(SUMIFS(Hoja1!$F:$F,Hoja1!$D:$D,$B36,Hoja1!$I:$I,K$2)&gt;1,SUMIFS(Hoja1!$F:$F,Hoja1!$D:$D,$B36,Hoja1!$I:$I,K$2),"")</f>
        <v/>
      </c>
      <c r="L36" s="21" t="str">
        <f>+IF(SUMIFS(Hoja1!$F:$F,Hoja1!$D:$D,$B36,Hoja1!$I:$I,L$2)&gt;1,SUMIFS(Hoja1!$F:$F,Hoja1!$D:$D,$B36,Hoja1!$I:$I,L$2),"")</f>
        <v/>
      </c>
      <c r="M36" s="21" t="str">
        <f>+IF(SUMIFS(Hoja1!$F:$F,Hoja1!$D:$D,$B36,Hoja1!$I:$I,M$2)&gt;1,SUMIFS(Hoja1!$F:$F,Hoja1!$D:$D,$B36,Hoja1!$I:$I,M$2),"")</f>
        <v/>
      </c>
      <c r="N36" s="21">
        <f>+IF(SUMIFS(Hoja1!$F:$F,Hoja1!$D:$D,$B36,Hoja1!$I:$I,N$2)&gt;1,SUMIFS(Hoja1!$F:$F,Hoja1!$D:$D,$B36,Hoja1!$I:$I,N$2),"")</f>
        <v>696</v>
      </c>
      <c r="O36" s="21">
        <f>+IF(SUMIFS(Hoja1!$F:$F,Hoja1!$D:$D,$B36,Hoja1!$I:$I,O$2)&gt;1,SUMIFS(Hoja1!$F:$F,Hoja1!$D:$D,$B36,Hoja1!$I:$I,O$2),"")</f>
        <v>1572</v>
      </c>
      <c r="P36" s="21">
        <f>+IF(SUMIFS(Hoja1!$F:$F,Hoja1!$D:$D,$B36,Hoja1!$I:$I,P$2)&gt;1,SUMIFS(Hoja1!$F:$F,Hoja1!$D:$D,$B36,Hoja1!$I:$I,P$2),"")</f>
        <v>7560</v>
      </c>
      <c r="Q36" s="21" t="str">
        <f>+IF(SUMIFS(Hoja1!$F:$F,Hoja1!$D:$D,$B36,Hoja1!$I:$I,Q$2)&gt;1,SUMIFS(Hoja1!$F:$F,Hoja1!$D:$D,$B36,Hoja1!$I:$I,Q$2),"")</f>
        <v/>
      </c>
      <c r="R36" s="21" t="str">
        <f>+IF(SUMIFS(Hoja1!$F:$F,Hoja1!$D:$D,$B36,Hoja1!$I:$I,R$2)&gt;1,SUMIFS(Hoja1!$F:$F,Hoja1!$D:$D,$B36,Hoja1!$I:$I,R$2),"")</f>
        <v/>
      </c>
    </row>
    <row r="37" spans="1:18" ht="18" hidden="1" x14ac:dyDescent="0.3">
      <c r="A37">
        <v>12</v>
      </c>
      <c r="B37" s="12" t="s">
        <v>163</v>
      </c>
      <c r="C37" s="21" t="s">
        <v>110</v>
      </c>
      <c r="D37" s="21">
        <f>+VLOOKUP(B37,'[1]Consumo x Cod Articulo'!$C$1:$O$65536,6,)</f>
        <v>1.4999999999999999E-2</v>
      </c>
      <c r="E37" s="21" t="str">
        <f>+IF(F37=H37,"No","si")</f>
        <v>No</v>
      </c>
      <c r="F37" s="24">
        <f>+H37</f>
        <v>1000</v>
      </c>
      <c r="G37" s="24">
        <f>+F37*D37</f>
        <v>15</v>
      </c>
      <c r="H37" s="24">
        <f>+VLOOKUP(B37,'[1]Relevamiento y OP VACIO'!$C$1:$AH$65536,26,)</f>
        <v>1000</v>
      </c>
      <c r="I37" s="24">
        <f>+SUM(J37:R37)</f>
        <v>360</v>
      </c>
      <c r="J37" s="21" t="str">
        <f>+IF(SUMIFS(Hoja1!$F:$F,Hoja1!$D:$D,$B37,Hoja1!$I:$I,J$2)&gt;1,SUMIFS(Hoja1!$F:$F,Hoja1!$D:$D,$B37,Hoja1!$I:$I,J$2),"")</f>
        <v/>
      </c>
      <c r="K37" s="21" t="str">
        <f>+IF(SUMIFS(Hoja1!$F:$F,Hoja1!$D:$D,$B37,Hoja1!$I:$I,K$2)&gt;1,SUMIFS(Hoja1!$F:$F,Hoja1!$D:$D,$B37,Hoja1!$I:$I,K$2),"")</f>
        <v/>
      </c>
      <c r="L37" s="21" t="str">
        <f>+IF(SUMIFS(Hoja1!$F:$F,Hoja1!$D:$D,$B37,Hoja1!$I:$I,L$2)&gt;1,SUMIFS(Hoja1!$F:$F,Hoja1!$D:$D,$B37,Hoja1!$I:$I,L$2),"")</f>
        <v/>
      </c>
      <c r="M37" s="21" t="str">
        <f>+IF(SUMIFS(Hoja1!$F:$F,Hoja1!$D:$D,$B37,Hoja1!$I:$I,M$2)&gt;1,SUMIFS(Hoja1!$F:$F,Hoja1!$D:$D,$B37,Hoja1!$I:$I,M$2),"")</f>
        <v/>
      </c>
      <c r="N37" s="21">
        <f>+IF(SUMIFS(Hoja1!$F:$F,Hoja1!$D:$D,$B37,Hoja1!$I:$I,N$2)&gt;1,SUMIFS(Hoja1!$F:$F,Hoja1!$D:$D,$B37,Hoja1!$I:$I,N$2),"")</f>
        <v>360</v>
      </c>
      <c r="O37" s="21" t="str">
        <f>+IF(SUMIFS(Hoja1!$F:$F,Hoja1!$D:$D,$B37,Hoja1!$I:$I,O$2)&gt;1,SUMIFS(Hoja1!$F:$F,Hoja1!$D:$D,$B37,Hoja1!$I:$I,O$2),"")</f>
        <v/>
      </c>
      <c r="P37" s="21" t="str">
        <f>+IF(SUMIFS(Hoja1!$F:$F,Hoja1!$D:$D,$B37,Hoja1!$I:$I,P$2)&gt;1,SUMIFS(Hoja1!$F:$F,Hoja1!$D:$D,$B37,Hoja1!$I:$I,P$2),"")</f>
        <v/>
      </c>
      <c r="Q37" s="21" t="str">
        <f>+IF(SUMIFS(Hoja1!$F:$F,Hoja1!$D:$D,$B37,Hoja1!$I:$I,Q$2)&gt;1,SUMIFS(Hoja1!$F:$F,Hoja1!$D:$D,$B37,Hoja1!$I:$I,Q$2),"")</f>
        <v/>
      </c>
      <c r="R37" s="21" t="str">
        <f>+IF(SUMIFS(Hoja1!$F:$F,Hoja1!$D:$D,$B37,Hoja1!$I:$I,R$2)&gt;1,SUMIFS(Hoja1!$F:$F,Hoja1!$D:$D,$B37,Hoja1!$I:$I,R$2),"")</f>
        <v/>
      </c>
    </row>
    <row r="38" spans="1:18" ht="18" hidden="1" x14ac:dyDescent="0.3">
      <c r="A38">
        <v>26</v>
      </c>
      <c r="B38" s="12" t="s">
        <v>169</v>
      </c>
      <c r="C38" s="21" t="s">
        <v>116</v>
      </c>
      <c r="D38" s="21">
        <f>+VLOOKUP(B38,'[1]Consumo x Cod Articulo'!$C$1:$O$65536,6,)</f>
        <v>0</v>
      </c>
      <c r="E38" s="21" t="str">
        <f>+IF(F38=H38,"No","si")</f>
        <v>No</v>
      </c>
      <c r="F38" s="24">
        <f>+H38</f>
        <v>1000</v>
      </c>
      <c r="G38" s="24">
        <f>+F38*D38</f>
        <v>0</v>
      </c>
      <c r="H38" s="24">
        <v>1000</v>
      </c>
      <c r="I38" s="24">
        <f>+SUM(J38:R38)</f>
        <v>360</v>
      </c>
      <c r="J38" s="21" t="str">
        <f>+IF(SUMIFS(Hoja1!$F:$F,Hoja1!$D:$D,$B38,Hoja1!$I:$I,J$2)&gt;1,SUMIFS(Hoja1!$F:$F,Hoja1!$D:$D,$B38,Hoja1!$I:$I,J$2),"")</f>
        <v/>
      </c>
      <c r="K38" s="21" t="str">
        <f>+IF(SUMIFS(Hoja1!$F:$F,Hoja1!$D:$D,$B38,Hoja1!$I:$I,K$2)&gt;1,SUMIFS(Hoja1!$F:$F,Hoja1!$D:$D,$B38,Hoja1!$I:$I,K$2),"")</f>
        <v/>
      </c>
      <c r="L38" s="21" t="str">
        <f>+IF(SUMIFS(Hoja1!$F:$F,Hoja1!$D:$D,$B38,Hoja1!$I:$I,L$2)&gt;1,SUMIFS(Hoja1!$F:$F,Hoja1!$D:$D,$B38,Hoja1!$I:$I,L$2),"")</f>
        <v/>
      </c>
      <c r="M38" s="21" t="str">
        <f>+IF(SUMIFS(Hoja1!$F:$F,Hoja1!$D:$D,$B38,Hoja1!$I:$I,M$2)&gt;1,SUMIFS(Hoja1!$F:$F,Hoja1!$D:$D,$B38,Hoja1!$I:$I,M$2),"")</f>
        <v/>
      </c>
      <c r="N38" s="21">
        <f>+IF(SUMIFS(Hoja1!$F:$F,Hoja1!$D:$D,$B38,Hoja1!$I:$I,N$2)&gt;1,SUMIFS(Hoja1!$F:$F,Hoja1!$D:$D,$B38,Hoja1!$I:$I,N$2),"")</f>
        <v>360</v>
      </c>
      <c r="O38" s="21" t="str">
        <f>+IF(SUMIFS(Hoja1!$F:$F,Hoja1!$D:$D,$B38,Hoja1!$I:$I,O$2)&gt;1,SUMIFS(Hoja1!$F:$F,Hoja1!$D:$D,$B38,Hoja1!$I:$I,O$2),"")</f>
        <v/>
      </c>
      <c r="P38" s="21" t="str">
        <f>+IF(SUMIFS(Hoja1!$F:$F,Hoja1!$D:$D,$B38,Hoja1!$I:$I,P$2)&gt;1,SUMIFS(Hoja1!$F:$F,Hoja1!$D:$D,$B38,Hoja1!$I:$I,P$2),"")</f>
        <v/>
      </c>
      <c r="Q38" s="21" t="str">
        <f>+IF(SUMIFS(Hoja1!$F:$F,Hoja1!$D:$D,$B38,Hoja1!$I:$I,Q$2)&gt;1,SUMIFS(Hoja1!$F:$F,Hoja1!$D:$D,$B38,Hoja1!$I:$I,Q$2),"")</f>
        <v/>
      </c>
      <c r="R38" s="21" t="str">
        <f>+IF(SUMIFS(Hoja1!$F:$F,Hoja1!$D:$D,$B38,Hoja1!$I:$I,R$2)&gt;1,SUMIFS(Hoja1!$F:$F,Hoja1!$D:$D,$B38,Hoja1!$I:$I,R$2),"")</f>
        <v/>
      </c>
    </row>
    <row r="39" spans="1:18" ht="18" hidden="1" x14ac:dyDescent="0.3">
      <c r="A39">
        <v>45</v>
      </c>
      <c r="B39" s="12" t="s">
        <v>181</v>
      </c>
      <c r="C39" s="21" t="s">
        <v>127</v>
      </c>
      <c r="D39" s="21">
        <f>+VLOOKUP(B39,'[1]Consumo x Cod Articulo'!$C$1:$O$65536,6,)</f>
        <v>4.8000000000000001E-2</v>
      </c>
      <c r="E39" s="21" t="str">
        <f>+IF(F39=H39,"No","si")</f>
        <v>No</v>
      </c>
      <c r="F39" s="24"/>
      <c r="G39" s="24">
        <f>+F39*D39</f>
        <v>0</v>
      </c>
      <c r="H39" s="24"/>
      <c r="I39" s="24">
        <f>+SUM(J39:R39)</f>
        <v>360</v>
      </c>
      <c r="J39" s="21" t="str">
        <f>+IF(SUMIFS(Hoja1!$F:$F,Hoja1!$D:$D,$B39,Hoja1!$I:$I,J$2)&gt;1,SUMIFS(Hoja1!$F:$F,Hoja1!$D:$D,$B39,Hoja1!$I:$I,J$2),"")</f>
        <v/>
      </c>
      <c r="K39" s="21" t="str">
        <f>+IF(SUMIFS(Hoja1!$F:$F,Hoja1!$D:$D,$B39,Hoja1!$I:$I,K$2)&gt;1,SUMIFS(Hoja1!$F:$F,Hoja1!$D:$D,$B39,Hoja1!$I:$I,K$2),"")</f>
        <v/>
      </c>
      <c r="L39" s="21" t="str">
        <f>+IF(SUMIFS(Hoja1!$F:$F,Hoja1!$D:$D,$B39,Hoja1!$I:$I,L$2)&gt;1,SUMIFS(Hoja1!$F:$F,Hoja1!$D:$D,$B39,Hoja1!$I:$I,L$2),"")</f>
        <v/>
      </c>
      <c r="M39" s="21" t="str">
        <f>+IF(SUMIFS(Hoja1!$F:$F,Hoja1!$D:$D,$B39,Hoja1!$I:$I,M$2)&gt;1,SUMIFS(Hoja1!$F:$F,Hoja1!$D:$D,$B39,Hoja1!$I:$I,M$2),"")</f>
        <v/>
      </c>
      <c r="N39" s="21">
        <f>+IF(SUMIFS(Hoja1!$F:$F,Hoja1!$D:$D,$B39,Hoja1!$I:$I,N$2)&gt;1,SUMIFS(Hoja1!$F:$F,Hoja1!$D:$D,$B39,Hoja1!$I:$I,N$2),"")</f>
        <v>360</v>
      </c>
      <c r="O39" s="21" t="str">
        <f>+IF(SUMIFS(Hoja1!$F:$F,Hoja1!$D:$D,$B39,Hoja1!$I:$I,O$2)&gt;1,SUMIFS(Hoja1!$F:$F,Hoja1!$D:$D,$B39,Hoja1!$I:$I,O$2),"")</f>
        <v/>
      </c>
      <c r="P39" s="21" t="str">
        <f>+IF(SUMIFS(Hoja1!$F:$F,Hoja1!$D:$D,$B39,Hoja1!$I:$I,P$2)&gt;1,SUMIFS(Hoja1!$F:$F,Hoja1!$D:$D,$B39,Hoja1!$I:$I,P$2),"")</f>
        <v/>
      </c>
      <c r="Q39" s="21" t="str">
        <f>+IF(SUMIFS(Hoja1!$F:$F,Hoja1!$D:$D,$B39,Hoja1!$I:$I,Q$2)&gt;1,SUMIFS(Hoja1!$F:$F,Hoja1!$D:$D,$B39,Hoja1!$I:$I,Q$2),"")</f>
        <v/>
      </c>
      <c r="R39" s="21" t="str">
        <f>+IF(SUMIFS(Hoja1!$F:$F,Hoja1!$D:$D,$B39,Hoja1!$I:$I,R$2)&gt;1,SUMIFS(Hoja1!$F:$F,Hoja1!$D:$D,$B39,Hoja1!$I:$I,R$2),"")</f>
        <v/>
      </c>
    </row>
    <row r="40" spans="1:18" ht="18" x14ac:dyDescent="0.3">
      <c r="A40">
        <v>15</v>
      </c>
      <c r="B40" s="12" t="s">
        <v>176</v>
      </c>
      <c r="C40" s="21" t="s">
        <v>123</v>
      </c>
      <c r="D40" s="30">
        <f>+VLOOKUP(B40,'[1]Consumo x Cod Articulo'!$C$1:$O$65536,6,)</f>
        <v>1.37E-2</v>
      </c>
      <c r="E40" s="21" t="str">
        <f>+IF(F40=H40,"No","si")</f>
        <v>si</v>
      </c>
      <c r="F40" s="24">
        <v>500</v>
      </c>
      <c r="G40" s="27">
        <f>+F40*D40</f>
        <v>6.8500000000000005</v>
      </c>
      <c r="H40" s="24">
        <v>1000</v>
      </c>
      <c r="I40" s="24">
        <f>+SUM(J40:R40)</f>
        <v>1848</v>
      </c>
      <c r="J40" s="21">
        <f>+IF(SUMIFS(Hoja1!$F:$F,Hoja1!$D:$D,$B40,Hoja1!$I:$I,J$2)&gt;1,SUMIFS(Hoja1!$F:$F,Hoja1!$D:$D,$B40,Hoja1!$I:$I,J$2),"")</f>
        <v>396</v>
      </c>
      <c r="K40" s="21">
        <f>+IF(SUMIFS(Hoja1!$F:$F,Hoja1!$D:$D,$B40,Hoja1!$I:$I,K$2)&gt;1,SUMIFS(Hoja1!$F:$F,Hoja1!$D:$D,$B40,Hoja1!$I:$I,K$2),"")</f>
        <v>840</v>
      </c>
      <c r="L40" s="21" t="str">
        <f>+IF(SUMIFS(Hoja1!$F:$F,Hoja1!$D:$D,$B40,Hoja1!$I:$I,L$2)&gt;1,SUMIFS(Hoja1!$F:$F,Hoja1!$D:$D,$B40,Hoja1!$I:$I,L$2),"")</f>
        <v/>
      </c>
      <c r="M40" s="21" t="str">
        <f>+IF(SUMIFS(Hoja1!$F:$F,Hoja1!$D:$D,$B40,Hoja1!$I:$I,M$2)&gt;1,SUMIFS(Hoja1!$F:$F,Hoja1!$D:$D,$B40,Hoja1!$I:$I,M$2),"")</f>
        <v/>
      </c>
      <c r="N40" s="21">
        <f>+IF(SUMIFS(Hoja1!$F:$F,Hoja1!$D:$D,$B40,Hoja1!$I:$I,N$2)&gt;1,SUMIFS(Hoja1!$F:$F,Hoja1!$D:$D,$B40,Hoja1!$I:$I,N$2),"")</f>
        <v>228</v>
      </c>
      <c r="O40" s="21">
        <f>+IF(SUMIFS(Hoja1!$F:$F,Hoja1!$D:$D,$B40,Hoja1!$I:$I,O$2)&gt;1,SUMIFS(Hoja1!$F:$F,Hoja1!$D:$D,$B40,Hoja1!$I:$I,O$2),"")</f>
        <v>384</v>
      </c>
      <c r="P40" s="21" t="str">
        <f>+IF(SUMIFS(Hoja1!$F:$F,Hoja1!$D:$D,$B40,Hoja1!$I:$I,P$2)&gt;1,SUMIFS(Hoja1!$F:$F,Hoja1!$D:$D,$B40,Hoja1!$I:$I,P$2),"")</f>
        <v/>
      </c>
      <c r="Q40" s="21" t="str">
        <f>+IF(SUMIFS(Hoja1!$F:$F,Hoja1!$D:$D,$B40,Hoja1!$I:$I,Q$2)&gt;1,SUMIFS(Hoja1!$F:$F,Hoja1!$D:$D,$B40,Hoja1!$I:$I,Q$2),"")</f>
        <v/>
      </c>
      <c r="R40" s="21" t="str">
        <f>+IF(SUMIFS(Hoja1!$F:$F,Hoja1!$D:$D,$B40,Hoja1!$I:$I,R$2)&gt;1,SUMIFS(Hoja1!$F:$F,Hoja1!$D:$D,$B40,Hoja1!$I:$I,R$2),"")</f>
        <v/>
      </c>
    </row>
    <row r="41" spans="1:18" ht="18" hidden="1" x14ac:dyDescent="0.3">
      <c r="A41">
        <v>22</v>
      </c>
      <c r="B41" s="12" t="s">
        <v>193</v>
      </c>
      <c r="C41" s="21" t="s">
        <v>138</v>
      </c>
      <c r="D41" s="21">
        <f>+VLOOKUP(B41,'[1]Consumo x Cod Articulo'!$C$1:$O$65536,6,)</f>
        <v>1.6299999999999999E-2</v>
      </c>
      <c r="E41" s="21" t="str">
        <f>+IF(F41=H41,"No","si")</f>
        <v>No</v>
      </c>
      <c r="F41" s="24">
        <f>+H41</f>
        <v>500</v>
      </c>
      <c r="G41" s="24">
        <f>+F41*D41</f>
        <v>8.1499999999999986</v>
      </c>
      <c r="H41" s="24">
        <v>500</v>
      </c>
      <c r="I41" s="24">
        <f>+SUM(J41:R41)</f>
        <v>300</v>
      </c>
      <c r="J41" s="21">
        <f>+IF(SUMIFS(Hoja1!$F:$F,Hoja1!$D:$D,$B41,Hoja1!$I:$I,J$2)&gt;1,SUMIFS(Hoja1!$F:$F,Hoja1!$D:$D,$B41,Hoja1!$I:$I,J$2),"")</f>
        <v>300</v>
      </c>
      <c r="K41" s="21" t="str">
        <f>+IF(SUMIFS(Hoja1!$F:$F,Hoja1!$D:$D,$B41,Hoja1!$I:$I,K$2)&gt;1,SUMIFS(Hoja1!$F:$F,Hoja1!$D:$D,$B41,Hoja1!$I:$I,K$2),"")</f>
        <v/>
      </c>
      <c r="L41" s="21" t="str">
        <f>+IF(SUMIFS(Hoja1!$F:$F,Hoja1!$D:$D,$B41,Hoja1!$I:$I,L$2)&gt;1,SUMIFS(Hoja1!$F:$F,Hoja1!$D:$D,$B41,Hoja1!$I:$I,L$2),"")</f>
        <v/>
      </c>
      <c r="M41" s="21" t="str">
        <f>+IF(SUMIFS(Hoja1!$F:$F,Hoja1!$D:$D,$B41,Hoja1!$I:$I,M$2)&gt;1,SUMIFS(Hoja1!$F:$F,Hoja1!$D:$D,$B41,Hoja1!$I:$I,M$2),"")</f>
        <v/>
      </c>
      <c r="N41" s="21" t="str">
        <f>+IF(SUMIFS(Hoja1!$F:$F,Hoja1!$D:$D,$B41,Hoja1!$I:$I,N$2)&gt;1,SUMIFS(Hoja1!$F:$F,Hoja1!$D:$D,$B41,Hoja1!$I:$I,N$2),"")</f>
        <v/>
      </c>
      <c r="O41" s="21" t="str">
        <f>+IF(SUMIFS(Hoja1!$F:$F,Hoja1!$D:$D,$B41,Hoja1!$I:$I,O$2)&gt;1,SUMIFS(Hoja1!$F:$F,Hoja1!$D:$D,$B41,Hoja1!$I:$I,O$2),"")</f>
        <v/>
      </c>
      <c r="P41" s="21" t="str">
        <f>+IF(SUMIFS(Hoja1!$F:$F,Hoja1!$D:$D,$B41,Hoja1!$I:$I,P$2)&gt;1,SUMIFS(Hoja1!$F:$F,Hoja1!$D:$D,$B41,Hoja1!$I:$I,P$2),"")</f>
        <v/>
      </c>
      <c r="Q41" s="21" t="str">
        <f>+IF(SUMIFS(Hoja1!$F:$F,Hoja1!$D:$D,$B41,Hoja1!$I:$I,Q$2)&gt;1,SUMIFS(Hoja1!$F:$F,Hoja1!$D:$D,$B41,Hoja1!$I:$I,Q$2),"")</f>
        <v/>
      </c>
      <c r="R41" s="21" t="str">
        <f>+IF(SUMIFS(Hoja1!$F:$F,Hoja1!$D:$D,$B41,Hoja1!$I:$I,R$2)&gt;1,SUMIFS(Hoja1!$F:$F,Hoja1!$D:$D,$B41,Hoja1!$I:$I,R$2),"")</f>
        <v/>
      </c>
    </row>
    <row r="42" spans="1:18" ht="18" hidden="1" x14ac:dyDescent="0.3">
      <c r="A42">
        <v>2</v>
      </c>
      <c r="B42" s="12" t="s">
        <v>146</v>
      </c>
      <c r="C42" s="21" t="s">
        <v>94</v>
      </c>
      <c r="D42" s="21">
        <f>+VLOOKUP(B42,'[1]Consumo x Cod Articulo'!$C$1:$O$65536,6,)</f>
        <v>2E-3</v>
      </c>
      <c r="E42" s="21" t="str">
        <f>+IF(F42=H42,"No","si")</f>
        <v>No</v>
      </c>
      <c r="F42" s="24">
        <f>+H42</f>
        <v>1000</v>
      </c>
      <c r="G42" s="24">
        <f>+F42*D42</f>
        <v>2</v>
      </c>
      <c r="H42" s="24">
        <v>1000</v>
      </c>
      <c r="I42" s="24">
        <f>+SUM(J42:R42)</f>
        <v>240</v>
      </c>
      <c r="J42" s="21">
        <f>+IF(SUMIFS(Hoja1!$F:$F,Hoja1!$D:$D,$B42,Hoja1!$I:$I,J$2)&gt;1,SUMIFS(Hoja1!$F:$F,Hoja1!$D:$D,$B42,Hoja1!$I:$I,J$2),"")</f>
        <v>240</v>
      </c>
      <c r="K42" s="21" t="str">
        <f>+IF(SUMIFS(Hoja1!$F:$F,Hoja1!$D:$D,$B42,Hoja1!$I:$I,K$2)&gt;1,SUMIFS(Hoja1!$F:$F,Hoja1!$D:$D,$B42,Hoja1!$I:$I,K$2),"")</f>
        <v/>
      </c>
      <c r="L42" s="21" t="str">
        <f>+IF(SUMIFS(Hoja1!$F:$F,Hoja1!$D:$D,$B42,Hoja1!$I:$I,L$2)&gt;1,SUMIFS(Hoja1!$F:$F,Hoja1!$D:$D,$B42,Hoja1!$I:$I,L$2),"")</f>
        <v/>
      </c>
      <c r="M42" s="21" t="str">
        <f>+IF(SUMIFS(Hoja1!$F:$F,Hoja1!$D:$D,$B42,Hoja1!$I:$I,M$2)&gt;1,SUMIFS(Hoja1!$F:$F,Hoja1!$D:$D,$B42,Hoja1!$I:$I,M$2),"")</f>
        <v/>
      </c>
      <c r="N42" s="21" t="str">
        <f>+IF(SUMIFS(Hoja1!$F:$F,Hoja1!$D:$D,$B42,Hoja1!$I:$I,N$2)&gt;1,SUMIFS(Hoja1!$F:$F,Hoja1!$D:$D,$B42,Hoja1!$I:$I,N$2),"")</f>
        <v/>
      </c>
      <c r="O42" s="21" t="str">
        <f>+IF(SUMIFS(Hoja1!$F:$F,Hoja1!$D:$D,$B42,Hoja1!$I:$I,O$2)&gt;1,SUMIFS(Hoja1!$F:$F,Hoja1!$D:$D,$B42,Hoja1!$I:$I,O$2),"")</f>
        <v/>
      </c>
      <c r="P42" s="21" t="str">
        <f>+IF(SUMIFS(Hoja1!$F:$F,Hoja1!$D:$D,$B42,Hoja1!$I:$I,P$2)&gt;1,SUMIFS(Hoja1!$F:$F,Hoja1!$D:$D,$B42,Hoja1!$I:$I,P$2),"")</f>
        <v/>
      </c>
      <c r="Q42" s="21" t="str">
        <f>+IF(SUMIFS(Hoja1!$F:$F,Hoja1!$D:$D,$B42,Hoja1!$I:$I,Q$2)&gt;1,SUMIFS(Hoja1!$F:$F,Hoja1!$D:$D,$B42,Hoja1!$I:$I,Q$2),"")</f>
        <v/>
      </c>
      <c r="R42" s="21" t="str">
        <f>+IF(SUMIFS(Hoja1!$F:$F,Hoja1!$D:$D,$B42,Hoja1!$I:$I,R$2)&gt;1,SUMIFS(Hoja1!$F:$F,Hoja1!$D:$D,$B42,Hoja1!$I:$I,R$2),"")</f>
        <v/>
      </c>
    </row>
    <row r="43" spans="1:18" ht="18" hidden="1" x14ac:dyDescent="0.3">
      <c r="A43">
        <v>50</v>
      </c>
      <c r="B43" s="12" t="s">
        <v>179</v>
      </c>
      <c r="C43" s="21" t="s">
        <v>125</v>
      </c>
      <c r="D43" s="21">
        <f>+VLOOKUP(B43,'[1]Consumo x Cod Articulo'!$C$1:$O$65536,6,)</f>
        <v>7.0000000000000001E-3</v>
      </c>
      <c r="E43" s="21" t="str">
        <f>+IF(F43=H43,"No","si")</f>
        <v>No</v>
      </c>
      <c r="F43" s="24"/>
      <c r="G43" s="24">
        <f>+F43*D43</f>
        <v>0</v>
      </c>
      <c r="H43" s="24"/>
      <c r="I43" s="24">
        <f>+SUM(J43:R43)</f>
        <v>240</v>
      </c>
      <c r="J43" s="21" t="str">
        <f>+IF(SUMIFS(Hoja1!$F:$F,Hoja1!$D:$D,$B43,Hoja1!$I:$I,J$2)&gt;1,SUMIFS(Hoja1!$F:$F,Hoja1!$D:$D,$B43,Hoja1!$I:$I,J$2),"")</f>
        <v/>
      </c>
      <c r="K43" s="21" t="str">
        <f>+IF(SUMIFS(Hoja1!$F:$F,Hoja1!$D:$D,$B43,Hoja1!$I:$I,K$2)&gt;1,SUMIFS(Hoja1!$F:$F,Hoja1!$D:$D,$B43,Hoja1!$I:$I,K$2),"")</f>
        <v/>
      </c>
      <c r="L43" s="21" t="str">
        <f>+IF(SUMIFS(Hoja1!$F:$F,Hoja1!$D:$D,$B43,Hoja1!$I:$I,L$2)&gt;1,SUMIFS(Hoja1!$F:$F,Hoja1!$D:$D,$B43,Hoja1!$I:$I,L$2),"")</f>
        <v/>
      </c>
      <c r="M43" s="21" t="str">
        <f>+IF(SUMIFS(Hoja1!$F:$F,Hoja1!$D:$D,$B43,Hoja1!$I:$I,M$2)&gt;1,SUMIFS(Hoja1!$F:$F,Hoja1!$D:$D,$B43,Hoja1!$I:$I,M$2),"")</f>
        <v/>
      </c>
      <c r="N43" s="21" t="str">
        <f>+IF(SUMIFS(Hoja1!$F:$F,Hoja1!$D:$D,$B43,Hoja1!$I:$I,N$2)&gt;1,SUMIFS(Hoja1!$F:$F,Hoja1!$D:$D,$B43,Hoja1!$I:$I,N$2),"")</f>
        <v/>
      </c>
      <c r="O43" s="21" t="str">
        <f>+IF(SUMIFS(Hoja1!$F:$F,Hoja1!$D:$D,$B43,Hoja1!$I:$I,O$2)&gt;1,SUMIFS(Hoja1!$F:$F,Hoja1!$D:$D,$B43,Hoja1!$I:$I,O$2),"")</f>
        <v/>
      </c>
      <c r="P43" s="21">
        <f>+IF(SUMIFS(Hoja1!$F:$F,Hoja1!$D:$D,$B43,Hoja1!$I:$I,P$2)&gt;1,SUMIFS(Hoja1!$F:$F,Hoja1!$D:$D,$B43,Hoja1!$I:$I,P$2),"")</f>
        <v>240</v>
      </c>
      <c r="Q43" s="21" t="str">
        <f>+IF(SUMIFS(Hoja1!$F:$F,Hoja1!$D:$D,$B43,Hoja1!$I:$I,Q$2)&gt;1,SUMIFS(Hoja1!$F:$F,Hoja1!$D:$D,$B43,Hoja1!$I:$I,Q$2),"")</f>
        <v/>
      </c>
      <c r="R43" s="21" t="str">
        <f>+IF(SUMIFS(Hoja1!$F:$F,Hoja1!$D:$D,$B43,Hoja1!$I:$I,R$2)&gt;1,SUMIFS(Hoja1!$F:$F,Hoja1!$D:$D,$B43,Hoja1!$I:$I,R$2),"")</f>
        <v/>
      </c>
    </row>
    <row r="44" spans="1:18" ht="18" hidden="1" x14ac:dyDescent="0.3">
      <c r="A44">
        <v>41</v>
      </c>
      <c r="B44" s="12" t="s">
        <v>178</v>
      </c>
      <c r="C44" s="21" t="s">
        <v>124</v>
      </c>
      <c r="D44" s="21">
        <f>+VLOOKUP(B44,'[1]Consumo x Cod Articulo'!$C$1:$O$65536,6,)</f>
        <v>7.3000000000000001E-3</v>
      </c>
      <c r="E44" s="21" t="str">
        <f>+IF(F44=H44,"No","si")</f>
        <v>No</v>
      </c>
      <c r="F44" s="24"/>
      <c r="G44" s="24">
        <f>+F44*D44</f>
        <v>0</v>
      </c>
      <c r="H44" s="24"/>
      <c r="I44" s="24">
        <f>+SUM(J44:R44)</f>
        <v>192</v>
      </c>
      <c r="J44" s="21" t="str">
        <f>+IF(SUMIFS(Hoja1!$F:$F,Hoja1!$D:$D,$B44,Hoja1!$I:$I,J$2)&gt;1,SUMIFS(Hoja1!$F:$F,Hoja1!$D:$D,$B44,Hoja1!$I:$I,J$2),"")</f>
        <v/>
      </c>
      <c r="K44" s="21" t="str">
        <f>+IF(SUMIFS(Hoja1!$F:$F,Hoja1!$D:$D,$B44,Hoja1!$I:$I,K$2)&gt;1,SUMIFS(Hoja1!$F:$F,Hoja1!$D:$D,$B44,Hoja1!$I:$I,K$2),"")</f>
        <v/>
      </c>
      <c r="L44" s="21" t="str">
        <f>+IF(SUMIFS(Hoja1!$F:$F,Hoja1!$D:$D,$B44,Hoja1!$I:$I,L$2)&gt;1,SUMIFS(Hoja1!$F:$F,Hoja1!$D:$D,$B44,Hoja1!$I:$I,L$2),"")</f>
        <v/>
      </c>
      <c r="M44" s="21" t="str">
        <f>+IF(SUMIFS(Hoja1!$F:$F,Hoja1!$D:$D,$B44,Hoja1!$I:$I,M$2)&gt;1,SUMIFS(Hoja1!$F:$F,Hoja1!$D:$D,$B44,Hoja1!$I:$I,M$2),"")</f>
        <v/>
      </c>
      <c r="N44" s="21" t="str">
        <f>+IF(SUMIFS(Hoja1!$F:$F,Hoja1!$D:$D,$B44,Hoja1!$I:$I,N$2)&gt;1,SUMIFS(Hoja1!$F:$F,Hoja1!$D:$D,$B44,Hoja1!$I:$I,N$2),"")</f>
        <v/>
      </c>
      <c r="O44" s="21" t="str">
        <f>+IF(SUMIFS(Hoja1!$F:$F,Hoja1!$D:$D,$B44,Hoja1!$I:$I,O$2)&gt;1,SUMIFS(Hoja1!$F:$F,Hoja1!$D:$D,$B44,Hoja1!$I:$I,O$2),"")</f>
        <v/>
      </c>
      <c r="P44" s="21">
        <f>+IF(SUMIFS(Hoja1!$F:$F,Hoja1!$D:$D,$B44,Hoja1!$I:$I,P$2)&gt;1,SUMIFS(Hoja1!$F:$F,Hoja1!$D:$D,$B44,Hoja1!$I:$I,P$2),"")</f>
        <v>192</v>
      </c>
      <c r="Q44" s="21" t="str">
        <f>+IF(SUMIFS(Hoja1!$F:$F,Hoja1!$D:$D,$B44,Hoja1!$I:$I,Q$2)&gt;1,SUMIFS(Hoja1!$F:$F,Hoja1!$D:$D,$B44,Hoja1!$I:$I,Q$2),"")</f>
        <v/>
      </c>
      <c r="R44" s="21" t="str">
        <f>+IF(SUMIFS(Hoja1!$F:$F,Hoja1!$D:$D,$B44,Hoja1!$I:$I,R$2)&gt;1,SUMIFS(Hoja1!$F:$F,Hoja1!$D:$D,$B44,Hoja1!$I:$I,R$2),"")</f>
        <v/>
      </c>
    </row>
    <row r="45" spans="1:18" ht="18" x14ac:dyDescent="0.3">
      <c r="A45">
        <v>19</v>
      </c>
      <c r="B45" s="12" t="s">
        <v>154</v>
      </c>
      <c r="C45" s="21" t="s">
        <v>102</v>
      </c>
      <c r="D45" s="30">
        <f>+VLOOKUP(B45,'[1]Consumo x Cod Articulo'!$C$1:$O$65536,6,)</f>
        <v>5.0000000000000001E-3</v>
      </c>
      <c r="E45" s="21" t="str">
        <f>+IF(F45=H45,"No","si")</f>
        <v>si</v>
      </c>
      <c r="F45" s="24">
        <v>500</v>
      </c>
      <c r="G45" s="27">
        <f>+F45*D45</f>
        <v>2.5</v>
      </c>
      <c r="H45" s="24">
        <v>2500</v>
      </c>
      <c r="I45" s="24">
        <f>+SUM(J45:R45)</f>
        <v>96</v>
      </c>
      <c r="J45" s="21">
        <f>+IF(SUMIFS(Hoja1!$F:$F,Hoja1!$D:$D,$B45,Hoja1!$I:$I,J$2)&gt;1,SUMIFS(Hoja1!$F:$F,Hoja1!$D:$D,$B45,Hoja1!$I:$I,J$2),"")</f>
        <v>96</v>
      </c>
      <c r="K45" s="21" t="str">
        <f>+IF(SUMIFS(Hoja1!$F:$F,Hoja1!$D:$D,$B45,Hoja1!$I:$I,K$2)&gt;1,SUMIFS(Hoja1!$F:$F,Hoja1!$D:$D,$B45,Hoja1!$I:$I,K$2),"")</f>
        <v/>
      </c>
      <c r="L45" s="21" t="str">
        <f>+IF(SUMIFS(Hoja1!$F:$F,Hoja1!$D:$D,$B45,Hoja1!$I:$I,L$2)&gt;1,SUMIFS(Hoja1!$F:$F,Hoja1!$D:$D,$B45,Hoja1!$I:$I,L$2),"")</f>
        <v/>
      </c>
      <c r="M45" s="21" t="str">
        <f>+IF(SUMIFS(Hoja1!$F:$F,Hoja1!$D:$D,$B45,Hoja1!$I:$I,M$2)&gt;1,SUMIFS(Hoja1!$F:$F,Hoja1!$D:$D,$B45,Hoja1!$I:$I,M$2),"")</f>
        <v/>
      </c>
      <c r="N45" s="21" t="str">
        <f>+IF(SUMIFS(Hoja1!$F:$F,Hoja1!$D:$D,$B45,Hoja1!$I:$I,N$2)&gt;1,SUMIFS(Hoja1!$F:$F,Hoja1!$D:$D,$B45,Hoja1!$I:$I,N$2),"")</f>
        <v/>
      </c>
      <c r="O45" s="21" t="str">
        <f>+IF(SUMIFS(Hoja1!$F:$F,Hoja1!$D:$D,$B45,Hoja1!$I:$I,O$2)&gt;1,SUMIFS(Hoja1!$F:$F,Hoja1!$D:$D,$B45,Hoja1!$I:$I,O$2),"")</f>
        <v/>
      </c>
      <c r="P45" s="21" t="str">
        <f>+IF(SUMIFS(Hoja1!$F:$F,Hoja1!$D:$D,$B45,Hoja1!$I:$I,P$2)&gt;1,SUMIFS(Hoja1!$F:$F,Hoja1!$D:$D,$B45,Hoja1!$I:$I,P$2),"")</f>
        <v/>
      </c>
      <c r="Q45" s="21" t="str">
        <f>+IF(SUMIFS(Hoja1!$F:$F,Hoja1!$D:$D,$B45,Hoja1!$I:$I,Q$2)&gt;1,SUMIFS(Hoja1!$F:$F,Hoja1!$D:$D,$B45,Hoja1!$I:$I,Q$2),"")</f>
        <v/>
      </c>
      <c r="R45" s="21" t="str">
        <f>+IF(SUMIFS(Hoja1!$F:$F,Hoja1!$D:$D,$B45,Hoja1!$I:$I,R$2)&gt;1,SUMIFS(Hoja1!$F:$F,Hoja1!$D:$D,$B45,Hoja1!$I:$I,R$2),"")</f>
        <v/>
      </c>
    </row>
    <row r="46" spans="1:18" ht="18" hidden="1" x14ac:dyDescent="0.3">
      <c r="A46">
        <v>46</v>
      </c>
      <c r="B46" s="12" t="s">
        <v>180</v>
      </c>
      <c r="C46" s="21" t="s">
        <v>126</v>
      </c>
      <c r="D46" s="21">
        <f>+VLOOKUP(B46,'[1]Consumo x Cod Articulo'!$C$1:$O$65536,6,)</f>
        <v>4.2000000000000003E-2</v>
      </c>
      <c r="E46" s="21" t="str">
        <f>+IF(F46=H46,"No","si")</f>
        <v>No</v>
      </c>
      <c r="F46" s="24"/>
      <c r="G46" s="24">
        <f>+F46*D46</f>
        <v>0</v>
      </c>
      <c r="H46" s="24"/>
      <c r="I46" s="24">
        <f>+SUM(J46:R46)</f>
        <v>168</v>
      </c>
      <c r="J46" s="21" t="str">
        <f>+IF(SUMIFS(Hoja1!$F:$F,Hoja1!$D:$D,$B46,Hoja1!$I:$I,J$2)&gt;1,SUMIFS(Hoja1!$F:$F,Hoja1!$D:$D,$B46,Hoja1!$I:$I,J$2),"")</f>
        <v/>
      </c>
      <c r="K46" s="21" t="str">
        <f>+IF(SUMIFS(Hoja1!$F:$F,Hoja1!$D:$D,$B46,Hoja1!$I:$I,K$2)&gt;1,SUMIFS(Hoja1!$F:$F,Hoja1!$D:$D,$B46,Hoja1!$I:$I,K$2),"")</f>
        <v/>
      </c>
      <c r="L46" s="21" t="str">
        <f>+IF(SUMIFS(Hoja1!$F:$F,Hoja1!$D:$D,$B46,Hoja1!$I:$I,L$2)&gt;1,SUMIFS(Hoja1!$F:$F,Hoja1!$D:$D,$B46,Hoja1!$I:$I,L$2),"")</f>
        <v/>
      </c>
      <c r="M46" s="21" t="str">
        <f>+IF(SUMIFS(Hoja1!$F:$F,Hoja1!$D:$D,$B46,Hoja1!$I:$I,M$2)&gt;1,SUMIFS(Hoja1!$F:$F,Hoja1!$D:$D,$B46,Hoja1!$I:$I,M$2),"")</f>
        <v/>
      </c>
      <c r="N46" s="21">
        <f>+IF(SUMIFS(Hoja1!$F:$F,Hoja1!$D:$D,$B46,Hoja1!$I:$I,N$2)&gt;1,SUMIFS(Hoja1!$F:$F,Hoja1!$D:$D,$B46,Hoja1!$I:$I,N$2),"")</f>
        <v>168</v>
      </c>
      <c r="O46" s="21" t="str">
        <f>+IF(SUMIFS(Hoja1!$F:$F,Hoja1!$D:$D,$B46,Hoja1!$I:$I,O$2)&gt;1,SUMIFS(Hoja1!$F:$F,Hoja1!$D:$D,$B46,Hoja1!$I:$I,O$2),"")</f>
        <v/>
      </c>
      <c r="P46" s="21" t="str">
        <f>+IF(SUMIFS(Hoja1!$F:$F,Hoja1!$D:$D,$B46,Hoja1!$I:$I,P$2)&gt;1,SUMIFS(Hoja1!$F:$F,Hoja1!$D:$D,$B46,Hoja1!$I:$I,P$2),"")</f>
        <v/>
      </c>
      <c r="Q46" s="21" t="str">
        <f>+IF(SUMIFS(Hoja1!$F:$F,Hoja1!$D:$D,$B46,Hoja1!$I:$I,Q$2)&gt;1,SUMIFS(Hoja1!$F:$F,Hoja1!$D:$D,$B46,Hoja1!$I:$I,Q$2),"")</f>
        <v/>
      </c>
      <c r="R46" s="21" t="str">
        <f>+IF(SUMIFS(Hoja1!$F:$F,Hoja1!$D:$D,$B46,Hoja1!$I:$I,R$2)&gt;1,SUMIFS(Hoja1!$F:$F,Hoja1!$D:$D,$B46,Hoja1!$I:$I,R$2),"")</f>
        <v/>
      </c>
    </row>
    <row r="47" spans="1:18" ht="18" x14ac:dyDescent="0.3">
      <c r="A47">
        <v>20</v>
      </c>
      <c r="B47" s="12" t="s">
        <v>155</v>
      </c>
      <c r="C47" s="21" t="s">
        <v>103</v>
      </c>
      <c r="D47" s="30">
        <f>+VLOOKUP(B47,'[1]Consumo x Cod Articulo'!$C$1:$O$65536,6,)</f>
        <v>5.0000000000000001E-3</v>
      </c>
      <c r="E47" s="21" t="str">
        <f>+IF(F47=H47,"No","si")</f>
        <v>si</v>
      </c>
      <c r="F47" s="24">
        <v>250</v>
      </c>
      <c r="G47" s="27">
        <f>+F47*D47</f>
        <v>1.25</v>
      </c>
      <c r="H47" s="24">
        <v>2500</v>
      </c>
      <c r="I47" s="24">
        <f>+SUM(J47:R47)</f>
        <v>348</v>
      </c>
      <c r="J47" s="21">
        <f>+IF(SUMIFS(Hoja1!$F:$F,Hoja1!$D:$D,$B47,Hoja1!$I:$I,J$2)&gt;1,SUMIFS(Hoja1!$F:$F,Hoja1!$D:$D,$B47,Hoja1!$I:$I,J$2),"")</f>
        <v>240</v>
      </c>
      <c r="K47" s="21" t="str">
        <f>+IF(SUMIFS(Hoja1!$F:$F,Hoja1!$D:$D,$B47,Hoja1!$I:$I,K$2)&gt;1,SUMIFS(Hoja1!$F:$F,Hoja1!$D:$D,$B47,Hoja1!$I:$I,K$2),"")</f>
        <v/>
      </c>
      <c r="L47" s="21" t="str">
        <f>+IF(SUMIFS(Hoja1!$F:$F,Hoja1!$D:$D,$B47,Hoja1!$I:$I,L$2)&gt;1,SUMIFS(Hoja1!$F:$F,Hoja1!$D:$D,$B47,Hoja1!$I:$I,L$2),"")</f>
        <v/>
      </c>
      <c r="M47" s="21" t="str">
        <f>+IF(SUMIFS(Hoja1!$F:$F,Hoja1!$D:$D,$B47,Hoja1!$I:$I,M$2)&gt;1,SUMIFS(Hoja1!$F:$F,Hoja1!$D:$D,$B47,Hoja1!$I:$I,M$2),"")</f>
        <v/>
      </c>
      <c r="N47" s="21">
        <f>+IF(SUMIFS(Hoja1!$F:$F,Hoja1!$D:$D,$B47,Hoja1!$I:$I,N$2)&gt;1,SUMIFS(Hoja1!$F:$F,Hoja1!$D:$D,$B47,Hoja1!$I:$I,N$2),"")</f>
        <v>108</v>
      </c>
      <c r="O47" s="21" t="str">
        <f>+IF(SUMIFS(Hoja1!$F:$F,Hoja1!$D:$D,$B47,Hoja1!$I:$I,O$2)&gt;1,SUMIFS(Hoja1!$F:$F,Hoja1!$D:$D,$B47,Hoja1!$I:$I,O$2),"")</f>
        <v/>
      </c>
      <c r="P47" s="21" t="str">
        <f>+IF(SUMIFS(Hoja1!$F:$F,Hoja1!$D:$D,$B47,Hoja1!$I:$I,P$2)&gt;1,SUMIFS(Hoja1!$F:$F,Hoja1!$D:$D,$B47,Hoja1!$I:$I,P$2),"")</f>
        <v/>
      </c>
      <c r="Q47" s="21" t="str">
        <f>+IF(SUMIFS(Hoja1!$F:$F,Hoja1!$D:$D,$B47,Hoja1!$I:$I,Q$2)&gt;1,SUMIFS(Hoja1!$F:$F,Hoja1!$D:$D,$B47,Hoja1!$I:$I,Q$2),"")</f>
        <v/>
      </c>
      <c r="R47" s="21" t="str">
        <f>+IF(SUMIFS(Hoja1!$F:$F,Hoja1!$D:$D,$B47,Hoja1!$I:$I,R$2)&gt;1,SUMIFS(Hoja1!$F:$F,Hoja1!$D:$D,$B47,Hoja1!$I:$I,R$2),"")</f>
        <v/>
      </c>
    </row>
    <row r="48" spans="1:18" ht="18" x14ac:dyDescent="0.3">
      <c r="A48">
        <v>21</v>
      </c>
      <c r="B48" s="12" t="s">
        <v>156</v>
      </c>
      <c r="C48" s="21" t="s">
        <v>104</v>
      </c>
      <c r="D48" s="30">
        <f>+VLOOKUP(B48,'[1]Consumo x Cod Articulo'!$C$1:$O$65536,6,)</f>
        <v>5.0000000000000001E-3</v>
      </c>
      <c r="E48" s="21" t="str">
        <f>+IF(F48=H48,"No","si")</f>
        <v>si</v>
      </c>
      <c r="F48" s="24">
        <v>500</v>
      </c>
      <c r="G48" s="27">
        <f>+F48*D48</f>
        <v>2.5</v>
      </c>
      <c r="H48" s="24">
        <v>2500</v>
      </c>
      <c r="I48" s="24">
        <f>+SUM(J48:R48)</f>
        <v>1392</v>
      </c>
      <c r="J48" s="21">
        <f>+IF(SUMIFS(Hoja1!$F:$F,Hoja1!$D:$D,$B48,Hoja1!$I:$I,J$2)&gt;1,SUMIFS(Hoja1!$F:$F,Hoja1!$D:$D,$B48,Hoja1!$I:$I,J$2),"")</f>
        <v>72</v>
      </c>
      <c r="K48" s="21">
        <f>+IF(SUMIFS(Hoja1!$F:$F,Hoja1!$D:$D,$B48,Hoja1!$I:$I,K$2)&gt;1,SUMIFS(Hoja1!$F:$F,Hoja1!$D:$D,$B48,Hoja1!$I:$I,K$2),"")</f>
        <v>840</v>
      </c>
      <c r="L48" s="21">
        <f>+IF(SUMIFS(Hoja1!$F:$F,Hoja1!$D:$D,$B48,Hoja1!$I:$I,L$2)&gt;1,SUMIFS(Hoja1!$F:$F,Hoja1!$D:$D,$B48,Hoja1!$I:$I,L$2),"")</f>
        <v>480</v>
      </c>
      <c r="M48" s="21" t="str">
        <f>+IF(SUMIFS(Hoja1!$F:$F,Hoja1!$D:$D,$B48,Hoja1!$I:$I,M$2)&gt;1,SUMIFS(Hoja1!$F:$F,Hoja1!$D:$D,$B48,Hoja1!$I:$I,M$2),"")</f>
        <v/>
      </c>
      <c r="N48" s="21" t="str">
        <f>+IF(SUMIFS(Hoja1!$F:$F,Hoja1!$D:$D,$B48,Hoja1!$I:$I,N$2)&gt;1,SUMIFS(Hoja1!$F:$F,Hoja1!$D:$D,$B48,Hoja1!$I:$I,N$2),"")</f>
        <v/>
      </c>
      <c r="O48" s="21" t="str">
        <f>+IF(SUMIFS(Hoja1!$F:$F,Hoja1!$D:$D,$B48,Hoja1!$I:$I,O$2)&gt;1,SUMIFS(Hoja1!$F:$F,Hoja1!$D:$D,$B48,Hoja1!$I:$I,O$2),"")</f>
        <v/>
      </c>
      <c r="P48" s="21" t="str">
        <f>+IF(SUMIFS(Hoja1!$F:$F,Hoja1!$D:$D,$B48,Hoja1!$I:$I,P$2)&gt;1,SUMIFS(Hoja1!$F:$F,Hoja1!$D:$D,$B48,Hoja1!$I:$I,P$2),"")</f>
        <v/>
      </c>
      <c r="Q48" s="21" t="str">
        <f>+IF(SUMIFS(Hoja1!$F:$F,Hoja1!$D:$D,$B48,Hoja1!$I:$I,Q$2)&gt;1,SUMIFS(Hoja1!$F:$F,Hoja1!$D:$D,$B48,Hoja1!$I:$I,Q$2),"")</f>
        <v/>
      </c>
      <c r="R48" s="21" t="str">
        <f>+IF(SUMIFS(Hoja1!$F:$F,Hoja1!$D:$D,$B48,Hoja1!$I:$I,R$2)&gt;1,SUMIFS(Hoja1!$F:$F,Hoja1!$D:$D,$B48,Hoja1!$I:$I,R$2),"")</f>
        <v/>
      </c>
    </row>
    <row r="49" spans="1:18" ht="18" x14ac:dyDescent="0.3">
      <c r="A49">
        <v>27</v>
      </c>
      <c r="B49" s="12" t="s">
        <v>166</v>
      </c>
      <c r="C49" s="21" t="s">
        <v>113</v>
      </c>
      <c r="D49" s="30">
        <f>+VLOOKUP(B49,'[1]Consumo x Cod Articulo'!$C$1:$O$65536,6,)</f>
        <v>1E-3</v>
      </c>
      <c r="E49" s="21" t="str">
        <f>+IF(F49=H49,"No","si")</f>
        <v>si</v>
      </c>
      <c r="F49" s="24">
        <v>500</v>
      </c>
      <c r="G49" s="27">
        <f>+F49*D49</f>
        <v>0.5</v>
      </c>
      <c r="H49" s="24">
        <v>2500</v>
      </c>
      <c r="I49" s="24">
        <f>+SUM(J49:R49)</f>
        <v>1848</v>
      </c>
      <c r="J49" s="21">
        <f>+IF(SUMIFS(Hoja1!$F:$F,Hoja1!$D:$D,$B49,Hoja1!$I:$I,J$2)&gt;1,SUMIFS(Hoja1!$F:$F,Hoja1!$D:$D,$B49,Hoja1!$I:$I,J$2),"")</f>
        <v>396</v>
      </c>
      <c r="K49" s="21">
        <f>+IF(SUMIFS(Hoja1!$F:$F,Hoja1!$D:$D,$B49,Hoja1!$I:$I,K$2)&gt;1,SUMIFS(Hoja1!$F:$F,Hoja1!$D:$D,$B49,Hoja1!$I:$I,K$2),"")</f>
        <v>840</v>
      </c>
      <c r="L49" s="21" t="str">
        <f>+IF(SUMIFS(Hoja1!$F:$F,Hoja1!$D:$D,$B49,Hoja1!$I:$I,L$2)&gt;1,SUMIFS(Hoja1!$F:$F,Hoja1!$D:$D,$B49,Hoja1!$I:$I,L$2),"")</f>
        <v/>
      </c>
      <c r="M49" s="21" t="str">
        <f>+IF(SUMIFS(Hoja1!$F:$F,Hoja1!$D:$D,$B49,Hoja1!$I:$I,M$2)&gt;1,SUMIFS(Hoja1!$F:$F,Hoja1!$D:$D,$B49,Hoja1!$I:$I,M$2),"")</f>
        <v/>
      </c>
      <c r="N49" s="21">
        <f>+IF(SUMIFS(Hoja1!$F:$F,Hoja1!$D:$D,$B49,Hoja1!$I:$I,N$2)&gt;1,SUMIFS(Hoja1!$F:$F,Hoja1!$D:$D,$B49,Hoja1!$I:$I,N$2),"")</f>
        <v>228</v>
      </c>
      <c r="O49" s="21">
        <f>+IF(SUMIFS(Hoja1!$F:$F,Hoja1!$D:$D,$B49,Hoja1!$I:$I,O$2)&gt;1,SUMIFS(Hoja1!$F:$F,Hoja1!$D:$D,$B49,Hoja1!$I:$I,O$2),"")</f>
        <v>384</v>
      </c>
      <c r="P49" s="21" t="str">
        <f>+IF(SUMIFS(Hoja1!$F:$F,Hoja1!$D:$D,$B49,Hoja1!$I:$I,P$2)&gt;1,SUMIFS(Hoja1!$F:$F,Hoja1!$D:$D,$B49,Hoja1!$I:$I,P$2),"")</f>
        <v/>
      </c>
      <c r="Q49" s="21" t="str">
        <f>+IF(SUMIFS(Hoja1!$F:$F,Hoja1!$D:$D,$B49,Hoja1!$I:$I,Q$2)&gt;1,SUMIFS(Hoja1!$F:$F,Hoja1!$D:$D,$B49,Hoja1!$I:$I,Q$2),"")</f>
        <v/>
      </c>
      <c r="R49" s="21" t="str">
        <f>+IF(SUMIFS(Hoja1!$F:$F,Hoja1!$D:$D,$B49,Hoja1!$I:$I,R$2)&gt;1,SUMIFS(Hoja1!$F:$F,Hoja1!$D:$D,$B49,Hoja1!$I:$I,R$2),"")</f>
        <v/>
      </c>
    </row>
    <row r="50" spans="1:18" ht="18" x14ac:dyDescent="0.3">
      <c r="A50">
        <v>28</v>
      </c>
      <c r="B50" s="12" t="s">
        <v>158</v>
      </c>
      <c r="C50" s="21" t="s">
        <v>105</v>
      </c>
      <c r="D50" s="30">
        <f>+VLOOKUP(B50,'[1]Consumo x Cod Articulo'!$C$1:$O$65536,6,)</f>
        <v>5.0000000000000001E-3</v>
      </c>
      <c r="E50" s="21" t="str">
        <f>+IF(F50=H50,"No","si")</f>
        <v>si</v>
      </c>
      <c r="F50" s="24">
        <v>500</v>
      </c>
      <c r="G50" s="27">
        <f>+F50*D50</f>
        <v>2.5</v>
      </c>
      <c r="H50" s="24">
        <v>2500</v>
      </c>
      <c r="I50" s="24">
        <f>+SUM(J50:R50)</f>
        <v>60</v>
      </c>
      <c r="J50" s="21">
        <f>+IF(SUMIFS(Hoja1!$F:$F,Hoja1!$D:$D,$B50,Hoja1!$I:$I,J$2)&gt;1,SUMIFS(Hoja1!$F:$F,Hoja1!$D:$D,$B50,Hoja1!$I:$I,J$2),"")</f>
        <v>60</v>
      </c>
      <c r="K50" s="21" t="str">
        <f>+IF(SUMIFS(Hoja1!$F:$F,Hoja1!$D:$D,$B50,Hoja1!$I:$I,K$2)&gt;1,SUMIFS(Hoja1!$F:$F,Hoja1!$D:$D,$B50,Hoja1!$I:$I,K$2),"")</f>
        <v/>
      </c>
      <c r="L50" s="21" t="str">
        <f>+IF(SUMIFS(Hoja1!$F:$F,Hoja1!$D:$D,$B50,Hoja1!$I:$I,L$2)&gt;1,SUMIFS(Hoja1!$F:$F,Hoja1!$D:$D,$B50,Hoja1!$I:$I,L$2),"")</f>
        <v/>
      </c>
      <c r="M50" s="21" t="str">
        <f>+IF(SUMIFS(Hoja1!$F:$F,Hoja1!$D:$D,$B50,Hoja1!$I:$I,M$2)&gt;1,SUMIFS(Hoja1!$F:$F,Hoja1!$D:$D,$B50,Hoja1!$I:$I,M$2),"")</f>
        <v/>
      </c>
      <c r="N50" s="21" t="str">
        <f>+IF(SUMIFS(Hoja1!$F:$F,Hoja1!$D:$D,$B50,Hoja1!$I:$I,N$2)&gt;1,SUMIFS(Hoja1!$F:$F,Hoja1!$D:$D,$B50,Hoja1!$I:$I,N$2),"")</f>
        <v/>
      </c>
      <c r="O50" s="21" t="str">
        <f>+IF(SUMIFS(Hoja1!$F:$F,Hoja1!$D:$D,$B50,Hoja1!$I:$I,O$2)&gt;1,SUMIFS(Hoja1!$F:$F,Hoja1!$D:$D,$B50,Hoja1!$I:$I,O$2),"")</f>
        <v/>
      </c>
      <c r="P50" s="21" t="str">
        <f>+IF(SUMIFS(Hoja1!$F:$F,Hoja1!$D:$D,$B50,Hoja1!$I:$I,P$2)&gt;1,SUMIFS(Hoja1!$F:$F,Hoja1!$D:$D,$B50,Hoja1!$I:$I,P$2),"")</f>
        <v/>
      </c>
      <c r="Q50" s="21" t="str">
        <f>+IF(SUMIFS(Hoja1!$F:$F,Hoja1!$D:$D,$B50,Hoja1!$I:$I,Q$2)&gt;1,SUMIFS(Hoja1!$F:$F,Hoja1!$D:$D,$B50,Hoja1!$I:$I,Q$2),"")</f>
        <v/>
      </c>
      <c r="R50" s="21" t="str">
        <f>+IF(SUMIFS(Hoja1!$F:$F,Hoja1!$D:$D,$B50,Hoja1!$I:$I,R$2)&gt;1,SUMIFS(Hoja1!$F:$F,Hoja1!$D:$D,$B50,Hoja1!$I:$I,R$2),"")</f>
        <v/>
      </c>
    </row>
    <row r="51" spans="1:18" ht="18" hidden="1" x14ac:dyDescent="0.3">
      <c r="A51">
        <v>17</v>
      </c>
      <c r="B51" s="12" t="s">
        <v>186</v>
      </c>
      <c r="C51" s="21" t="s">
        <v>132</v>
      </c>
      <c r="D51" s="21">
        <f>+VLOOKUP(B51,'[1]Consumo x Cod Articulo'!$C$1:$O$65536,6,)</f>
        <v>5.5E-2</v>
      </c>
      <c r="E51" s="21" t="str">
        <f t="shared" si="0"/>
        <v>No</v>
      </c>
      <c r="F51" s="24">
        <v>150</v>
      </c>
      <c r="G51" s="24">
        <f t="shared" si="1"/>
        <v>8.25</v>
      </c>
      <c r="H51" s="24">
        <v>150</v>
      </c>
      <c r="I51" s="24">
        <f>+SUM(J51:R51)</f>
        <v>24</v>
      </c>
      <c r="J51" s="21" t="str">
        <f>+IF(SUMIFS(Hoja1!$F:$F,Hoja1!$D:$D,$B51,Hoja1!$I:$I,J$2)&gt;1,SUMIFS(Hoja1!$F:$F,Hoja1!$D:$D,$B51,Hoja1!$I:$I,J$2),"")</f>
        <v/>
      </c>
      <c r="K51" s="21" t="str">
        <f>+IF(SUMIFS(Hoja1!$F:$F,Hoja1!$D:$D,$B51,Hoja1!$I:$I,K$2)&gt;1,SUMIFS(Hoja1!$F:$F,Hoja1!$D:$D,$B51,Hoja1!$I:$I,K$2),"")</f>
        <v/>
      </c>
      <c r="L51" s="21" t="str">
        <f>+IF(SUMIFS(Hoja1!$F:$F,Hoja1!$D:$D,$B51,Hoja1!$I:$I,L$2)&gt;1,SUMIFS(Hoja1!$F:$F,Hoja1!$D:$D,$B51,Hoja1!$I:$I,L$2),"")</f>
        <v/>
      </c>
      <c r="M51" s="21" t="str">
        <f>+IF(SUMIFS(Hoja1!$F:$F,Hoja1!$D:$D,$B51,Hoja1!$I:$I,M$2)&gt;1,SUMIFS(Hoja1!$F:$F,Hoja1!$D:$D,$B51,Hoja1!$I:$I,M$2),"")</f>
        <v/>
      </c>
      <c r="N51" s="21" t="str">
        <f>+IF(SUMIFS(Hoja1!$F:$F,Hoja1!$D:$D,$B51,Hoja1!$I:$I,N$2)&gt;1,SUMIFS(Hoja1!$F:$F,Hoja1!$D:$D,$B51,Hoja1!$I:$I,N$2),"")</f>
        <v/>
      </c>
      <c r="O51" s="21">
        <f>+IF(SUMIFS(Hoja1!$F:$F,Hoja1!$D:$D,$B51,Hoja1!$I:$I,O$2)&gt;1,SUMIFS(Hoja1!$F:$F,Hoja1!$D:$D,$B51,Hoja1!$I:$I,O$2),"")</f>
        <v>24</v>
      </c>
      <c r="P51" s="21" t="str">
        <f>+IF(SUMIFS(Hoja1!$F:$F,Hoja1!$D:$D,$B51,Hoja1!$I:$I,P$2)&gt;1,SUMIFS(Hoja1!$F:$F,Hoja1!$D:$D,$B51,Hoja1!$I:$I,P$2),"")</f>
        <v/>
      </c>
      <c r="Q51" s="21" t="str">
        <f>+IF(SUMIFS(Hoja1!$F:$F,Hoja1!$D:$D,$B51,Hoja1!$I:$I,Q$2)&gt;1,SUMIFS(Hoja1!$F:$F,Hoja1!$D:$D,$B51,Hoja1!$I:$I,Q$2),"")</f>
        <v/>
      </c>
      <c r="R51" s="21" t="str">
        <f>+IF(SUMIFS(Hoja1!$F:$F,Hoja1!$D:$D,$B51,Hoja1!$I:$I,R$2)&gt;1,SUMIFS(Hoja1!$F:$F,Hoja1!$D:$D,$B51,Hoja1!$I:$I,R$2),"")</f>
        <v/>
      </c>
    </row>
    <row r="52" spans="1:18" ht="18" hidden="1" x14ac:dyDescent="0.3">
      <c r="A52">
        <v>48</v>
      </c>
      <c r="B52" s="12" t="s">
        <v>185</v>
      </c>
      <c r="C52" s="21" t="s">
        <v>131</v>
      </c>
      <c r="D52" s="21">
        <f>+VLOOKUP(B52,'[1]Consumo x Cod Articulo'!$C$1:$O$65536,6,)</f>
        <v>6.2E-2</v>
      </c>
      <c r="E52" s="21" t="str">
        <f t="shared" si="0"/>
        <v>No</v>
      </c>
      <c r="F52" s="24"/>
      <c r="G52" s="24">
        <f t="shared" si="1"/>
        <v>0</v>
      </c>
      <c r="H52" s="24"/>
      <c r="I52" s="24">
        <f>+SUM(J52:R52)</f>
        <v>24</v>
      </c>
      <c r="J52" s="21" t="str">
        <f>+IF(SUMIFS(Hoja1!$F:$F,Hoja1!$D:$D,$B52,Hoja1!$I:$I,J$2)&gt;1,SUMIFS(Hoja1!$F:$F,Hoja1!$D:$D,$B52,Hoja1!$I:$I,J$2),"")</f>
        <v/>
      </c>
      <c r="K52" s="21" t="str">
        <f>+IF(SUMIFS(Hoja1!$F:$F,Hoja1!$D:$D,$B52,Hoja1!$I:$I,K$2)&gt;1,SUMIFS(Hoja1!$F:$F,Hoja1!$D:$D,$B52,Hoja1!$I:$I,K$2),"")</f>
        <v/>
      </c>
      <c r="L52" s="21" t="str">
        <f>+IF(SUMIFS(Hoja1!$F:$F,Hoja1!$D:$D,$B52,Hoja1!$I:$I,L$2)&gt;1,SUMIFS(Hoja1!$F:$F,Hoja1!$D:$D,$B52,Hoja1!$I:$I,L$2),"")</f>
        <v/>
      </c>
      <c r="M52" s="21" t="str">
        <f>+IF(SUMIFS(Hoja1!$F:$F,Hoja1!$D:$D,$B52,Hoja1!$I:$I,M$2)&gt;1,SUMIFS(Hoja1!$F:$F,Hoja1!$D:$D,$B52,Hoja1!$I:$I,M$2),"")</f>
        <v/>
      </c>
      <c r="N52" s="21" t="str">
        <f>+IF(SUMIFS(Hoja1!$F:$F,Hoja1!$D:$D,$B52,Hoja1!$I:$I,N$2)&gt;1,SUMIFS(Hoja1!$F:$F,Hoja1!$D:$D,$B52,Hoja1!$I:$I,N$2),"")</f>
        <v/>
      </c>
      <c r="O52" s="21">
        <f>+IF(SUMIFS(Hoja1!$F:$F,Hoja1!$D:$D,$B52,Hoja1!$I:$I,O$2)&gt;1,SUMIFS(Hoja1!$F:$F,Hoja1!$D:$D,$B52,Hoja1!$I:$I,O$2),"")</f>
        <v>24</v>
      </c>
      <c r="P52" s="21" t="str">
        <f>+IF(SUMIFS(Hoja1!$F:$F,Hoja1!$D:$D,$B52,Hoja1!$I:$I,P$2)&gt;1,SUMIFS(Hoja1!$F:$F,Hoja1!$D:$D,$B52,Hoja1!$I:$I,P$2),"")</f>
        <v/>
      </c>
      <c r="Q52" s="21" t="str">
        <f>+IF(SUMIFS(Hoja1!$F:$F,Hoja1!$D:$D,$B52,Hoja1!$I:$I,Q$2)&gt;1,SUMIFS(Hoja1!$F:$F,Hoja1!$D:$D,$B52,Hoja1!$I:$I,Q$2),"")</f>
        <v/>
      </c>
      <c r="R52" s="21" t="str">
        <f>+IF(SUMIFS(Hoja1!$F:$F,Hoja1!$D:$D,$B52,Hoja1!$I:$I,R$2)&gt;1,SUMIFS(Hoja1!$F:$F,Hoja1!$D:$D,$B52,Hoja1!$I:$I,R$2),"")</f>
        <v/>
      </c>
    </row>
  </sheetData>
  <autoFilter ref="A2:X52" xr:uid="{B7DABBFD-2FBB-40BD-9E92-865DE7CD74DE}">
    <filterColumn colId="4">
      <filters>
        <filter val="si"/>
      </filters>
    </filterColumn>
    <sortState xmlns:xlrd2="http://schemas.microsoft.com/office/spreadsheetml/2017/richdata2" ref="A5:R50">
      <sortCondition ref="A2:A52"/>
    </sortState>
  </autoFilter>
  <mergeCells count="1">
    <mergeCell ref="J1:R1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</dc:creator>
  <cp:lastModifiedBy>Damian</cp:lastModifiedBy>
  <cp:lastPrinted>2024-07-23T19:33:57Z</cp:lastPrinted>
  <dcterms:created xsi:type="dcterms:W3CDTF">2024-07-23T17:51:00Z</dcterms:created>
  <dcterms:modified xsi:type="dcterms:W3CDTF">2024-07-23T19:40:51Z</dcterms:modified>
</cp:coreProperties>
</file>